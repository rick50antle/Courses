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430"/>
  <workbookPr/>
  <mc:AlternateContent xmlns:mc="http://schemas.openxmlformats.org/markup-compatibility/2006">
    <mc:Choice Requires="x15">
      <x15ac:absPath xmlns:x15ac="http://schemas.microsoft.com/office/spreadsheetml/2010/11/ac" url="C:\Users\ra1\OneDrive - Yale University\Accounting Pre-work\Excel Workbooks\"/>
    </mc:Choice>
  </mc:AlternateContent>
  <xr:revisionPtr revIDLastSave="19" documentId="8_{8E2386B6-188F-804F-BC9D-3459F3AF2A01}" xr6:coauthVersionLast="45" xr6:coauthVersionMax="45" xr10:uidLastSave="{195C375F-8795-400A-B830-142DB68C96A5}"/>
  <bookViews>
    <workbookView xWindow="4875" yWindow="4875" windowWidth="43200" windowHeight="17235" activeTab="4" xr2:uid="{00000000-000D-0000-FFFF-FFFF00000000}"/>
  </bookViews>
  <sheets>
    <sheet name="Instructions" sheetId="11" r:id="rId1"/>
    <sheet name="For-Profit" sheetId="8" r:id="rId2"/>
    <sheet name="Not-for-Profit" sheetId="9" r:id="rId3"/>
    <sheet name="General Ledger" sheetId="6" r:id="rId4"/>
    <sheet name="Journal" sheetId="4" r:id="rId5"/>
    <sheet name="Account Names" sheetId="10" r:id="rId6"/>
  </sheets>
  <definedNames>
    <definedName name="Asset">'Account Names'!$B$2:$B$5</definedName>
    <definedName name="Equity">'Account Names'!$D$2:$D$3</definedName>
    <definedName name="Liability">'Account Names'!$C$2:$C$4</definedName>
    <definedName name="Net_Asset">'Account Names'!$E$2:$E$3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1" i="8" l="1"/>
  <c r="C10" i="8"/>
  <c r="C8" i="8"/>
  <c r="C6" i="8"/>
  <c r="C10" i="9"/>
  <c r="C8" i="9"/>
  <c r="C6" i="9"/>
  <c r="K5" i="8" l="1"/>
  <c r="K4" i="8"/>
  <c r="C34" i="8" l="1"/>
  <c r="W33" i="6" l="1"/>
  <c r="W32" i="6"/>
  <c r="W31" i="6"/>
  <c r="W30" i="6"/>
  <c r="W29" i="6"/>
  <c r="W28" i="6"/>
  <c r="W27" i="6"/>
  <c r="W26" i="6"/>
  <c r="W14" i="6"/>
  <c r="W13" i="6"/>
  <c r="W12" i="6"/>
  <c r="W11" i="6"/>
  <c r="W10" i="6"/>
  <c r="W9" i="6"/>
  <c r="W8" i="6"/>
  <c r="W7" i="6"/>
  <c r="K55" i="8" l="1"/>
  <c r="K54" i="8"/>
  <c r="K53" i="8"/>
  <c r="K52" i="8"/>
  <c r="K51" i="8"/>
  <c r="K50" i="8"/>
  <c r="K49" i="8"/>
  <c r="K48" i="8"/>
  <c r="K49" i="9"/>
  <c r="K50" i="9"/>
  <c r="K51" i="9"/>
  <c r="K52" i="9"/>
  <c r="K53" i="9"/>
  <c r="K54" i="9"/>
  <c r="K55" i="9"/>
  <c r="K48" i="9"/>
  <c r="J40" i="9" l="1"/>
  <c r="I40" i="9"/>
  <c r="G40" i="9"/>
  <c r="F40" i="9"/>
  <c r="D40" i="9"/>
  <c r="C40" i="9"/>
  <c r="H13" i="4"/>
  <c r="H20" i="4"/>
  <c r="H18" i="4"/>
  <c r="H16" i="4"/>
  <c r="H7" i="4"/>
  <c r="H9" i="4"/>
  <c r="H11" i="4"/>
  <c r="H28" i="4"/>
  <c r="H44" i="4"/>
  <c r="H42" i="4"/>
  <c r="H40" i="4"/>
  <c r="H37" i="4"/>
  <c r="H35" i="4"/>
  <c r="H33" i="4"/>
  <c r="H31" i="4"/>
  <c r="H5" i="4"/>
  <c r="K4" i="9"/>
  <c r="J56" i="9"/>
  <c r="I56" i="9"/>
  <c r="G56" i="9"/>
  <c r="F56" i="9"/>
  <c r="D56" i="9"/>
  <c r="C56" i="9"/>
  <c r="J39" i="9"/>
  <c r="I39" i="9"/>
  <c r="G39" i="9"/>
  <c r="F39" i="9"/>
  <c r="D39" i="9"/>
  <c r="C39" i="9"/>
  <c r="J38" i="9"/>
  <c r="I38" i="9"/>
  <c r="G38" i="9"/>
  <c r="F38" i="9"/>
  <c r="D38" i="9"/>
  <c r="C38" i="9"/>
  <c r="J37" i="9"/>
  <c r="I37" i="9"/>
  <c r="G37" i="9"/>
  <c r="F37" i="9"/>
  <c r="D37" i="9"/>
  <c r="C37" i="9"/>
  <c r="J36" i="9"/>
  <c r="I36" i="9"/>
  <c r="G36" i="9"/>
  <c r="F36" i="9"/>
  <c r="D36" i="9"/>
  <c r="C36" i="9"/>
  <c r="J35" i="9"/>
  <c r="I35" i="9"/>
  <c r="G35" i="9"/>
  <c r="F35" i="9"/>
  <c r="D35" i="9"/>
  <c r="C35" i="9"/>
  <c r="J34" i="9"/>
  <c r="I34" i="9"/>
  <c r="G34" i="9"/>
  <c r="F34" i="9"/>
  <c r="D34" i="9"/>
  <c r="C34" i="9"/>
  <c r="J33" i="9"/>
  <c r="I33" i="9"/>
  <c r="G33" i="9"/>
  <c r="F33" i="9"/>
  <c r="D33" i="9"/>
  <c r="C33" i="9"/>
  <c r="J26" i="9"/>
  <c r="I26" i="9"/>
  <c r="G26" i="9"/>
  <c r="F26" i="9"/>
  <c r="D26" i="9"/>
  <c r="C26" i="9"/>
  <c r="K25" i="9"/>
  <c r="K24" i="9"/>
  <c r="K23" i="9"/>
  <c r="K22" i="9"/>
  <c r="K21" i="9"/>
  <c r="K20" i="9"/>
  <c r="K19" i="9"/>
  <c r="K18" i="9"/>
  <c r="I12" i="9"/>
  <c r="F12" i="9"/>
  <c r="K11" i="9"/>
  <c r="K10" i="9"/>
  <c r="K9" i="9"/>
  <c r="K8" i="9"/>
  <c r="K7" i="9"/>
  <c r="K6" i="9"/>
  <c r="K5" i="9"/>
  <c r="J34" i="8"/>
  <c r="J35" i="8"/>
  <c r="J36" i="8"/>
  <c r="J37" i="8"/>
  <c r="J38" i="8"/>
  <c r="J39" i="8"/>
  <c r="J40" i="8"/>
  <c r="J33" i="8"/>
  <c r="I40" i="8"/>
  <c r="I34" i="8"/>
  <c r="I35" i="8"/>
  <c r="I36" i="8"/>
  <c r="I37" i="8"/>
  <c r="I38" i="8"/>
  <c r="I39" i="8"/>
  <c r="I33" i="8"/>
  <c r="G34" i="8"/>
  <c r="G35" i="8"/>
  <c r="G36" i="8"/>
  <c r="G37" i="8"/>
  <c r="G38" i="8"/>
  <c r="G39" i="8"/>
  <c r="G40" i="8"/>
  <c r="G33" i="8"/>
  <c r="F34" i="8"/>
  <c r="F35" i="8"/>
  <c r="F36" i="8"/>
  <c r="F37" i="8"/>
  <c r="F38" i="8"/>
  <c r="F39" i="8"/>
  <c r="F40" i="8"/>
  <c r="F33" i="8"/>
  <c r="D34" i="8"/>
  <c r="D35" i="8"/>
  <c r="D36" i="8"/>
  <c r="D37" i="8"/>
  <c r="D38" i="8"/>
  <c r="D39" i="8"/>
  <c r="D40" i="8"/>
  <c r="D33" i="8"/>
  <c r="C35" i="8"/>
  <c r="C36" i="8"/>
  <c r="C37" i="8"/>
  <c r="C38" i="8"/>
  <c r="C39" i="8"/>
  <c r="C40" i="8"/>
  <c r="C33" i="8"/>
  <c r="J56" i="8"/>
  <c r="I56" i="8"/>
  <c r="G56" i="8"/>
  <c r="F56" i="8"/>
  <c r="D56" i="8"/>
  <c r="C56" i="8"/>
  <c r="J26" i="8"/>
  <c r="I26" i="8"/>
  <c r="G26" i="8"/>
  <c r="F26" i="8"/>
  <c r="D26" i="8"/>
  <c r="C26" i="8"/>
  <c r="I12" i="8"/>
  <c r="F12" i="8"/>
  <c r="K25" i="8"/>
  <c r="K11" i="8"/>
  <c r="K24" i="8"/>
  <c r="K10" i="8"/>
  <c r="K23" i="8"/>
  <c r="K9" i="8"/>
  <c r="K22" i="8"/>
  <c r="K8" i="8"/>
  <c r="K21" i="8"/>
  <c r="K7" i="8"/>
  <c r="K20" i="8"/>
  <c r="K6" i="8"/>
  <c r="K19" i="8"/>
  <c r="K18" i="8"/>
  <c r="K33" i="9" l="1"/>
  <c r="F57" i="9"/>
  <c r="K40" i="9"/>
  <c r="K39" i="9"/>
  <c r="K38" i="9"/>
  <c r="K37" i="9"/>
  <c r="K35" i="9"/>
  <c r="K34" i="9"/>
  <c r="K36" i="9"/>
  <c r="I27" i="9"/>
  <c r="G41" i="8"/>
  <c r="F57" i="8"/>
  <c r="I57" i="9"/>
  <c r="F27" i="9"/>
  <c r="G41" i="9"/>
  <c r="J41" i="9"/>
  <c r="F41" i="9"/>
  <c r="I41" i="9"/>
  <c r="D41" i="9"/>
  <c r="C27" i="9"/>
  <c r="K27" i="9"/>
  <c r="C12" i="9"/>
  <c r="K12" i="9" s="1"/>
  <c r="C41" i="9"/>
  <c r="C57" i="9"/>
  <c r="K34" i="8"/>
  <c r="I57" i="8"/>
  <c r="K38" i="8"/>
  <c r="K35" i="8"/>
  <c r="K36" i="8"/>
  <c r="F41" i="8"/>
  <c r="I41" i="8"/>
  <c r="F27" i="8"/>
  <c r="D41" i="8"/>
  <c r="C41" i="8"/>
  <c r="K37" i="8"/>
  <c r="J41" i="8"/>
  <c r="K33" i="8"/>
  <c r="K39" i="8"/>
  <c r="K40" i="8"/>
  <c r="C57" i="8"/>
  <c r="I27" i="8"/>
  <c r="C12" i="8"/>
  <c r="K12" i="8" s="1"/>
  <c r="C27" i="8"/>
  <c r="V34" i="6"/>
  <c r="U34" i="6"/>
  <c r="T34" i="6"/>
  <c r="S34" i="6"/>
  <c r="Q34" i="6"/>
  <c r="P34" i="6"/>
  <c r="O34" i="6"/>
  <c r="N34" i="6"/>
  <c r="M34" i="6"/>
  <c r="L34" i="6"/>
  <c r="J34" i="6"/>
  <c r="I34" i="6"/>
  <c r="H34" i="6"/>
  <c r="G34" i="6"/>
  <c r="F34" i="6"/>
  <c r="E34" i="6"/>
  <c r="D34" i="6"/>
  <c r="C34" i="6"/>
  <c r="K5" i="6"/>
  <c r="J15" i="6"/>
  <c r="I15" i="6"/>
  <c r="V15" i="6"/>
  <c r="U15" i="6"/>
  <c r="T15" i="6"/>
  <c r="S15" i="6"/>
  <c r="Q15" i="6"/>
  <c r="P15" i="6"/>
  <c r="O15" i="6"/>
  <c r="N15" i="6"/>
  <c r="H15" i="6"/>
  <c r="G15" i="6"/>
  <c r="F15" i="6"/>
  <c r="E15" i="6"/>
  <c r="M15" i="6"/>
  <c r="L15" i="6"/>
  <c r="D15" i="6"/>
  <c r="F42" i="8" l="1"/>
  <c r="F42" i="9"/>
  <c r="W34" i="6"/>
  <c r="K57" i="8"/>
  <c r="K57" i="9"/>
  <c r="K27" i="8"/>
  <c r="U35" i="6"/>
  <c r="L16" i="6"/>
  <c r="P35" i="6"/>
  <c r="L35" i="6"/>
  <c r="N35" i="6"/>
  <c r="S35" i="6"/>
  <c r="S16" i="6"/>
  <c r="N16" i="6"/>
  <c r="P16" i="6"/>
  <c r="U16" i="6"/>
  <c r="I35" i="6"/>
  <c r="E16" i="6"/>
  <c r="E35" i="6"/>
  <c r="I16" i="6"/>
  <c r="I42" i="9"/>
  <c r="K42" i="9" s="1"/>
  <c r="C42" i="9"/>
  <c r="C42" i="8"/>
  <c r="I42" i="8"/>
  <c r="C35" i="6"/>
  <c r="G35" i="6"/>
  <c r="G16" i="6"/>
  <c r="C15" i="6"/>
  <c r="W15" i="6" s="1"/>
  <c r="K42" i="8" l="1"/>
  <c r="S36" i="6"/>
  <c r="C36" i="6"/>
  <c r="L17" i="6"/>
  <c r="S17" i="6"/>
  <c r="L36" i="6"/>
  <c r="C16" i="6"/>
  <c r="C17" i="6" s="1"/>
  <c r="W36" i="6" l="1"/>
  <c r="W1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K46" authorId="0" shapeId="0" xr:uid="{00000000-0006-0000-0100-000001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K46" authorId="0" shapeId="0" xr:uid="{00000000-0006-0000-0200-000001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W5" authorId="0" shapeId="0" xr:uid="{00000000-0006-0000-0300-000001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 ref="W24" authorId="0" shapeId="0" xr:uid="{00000000-0006-0000-0300-000002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00000000-0006-0000-0400-000001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 ref="H27" authorId="0" shapeId="0" xr:uid="{00000000-0006-0000-0400-000002000000}">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sharedStrings.xml><?xml version="1.0" encoding="utf-8"?>
<sst xmlns="http://schemas.openxmlformats.org/spreadsheetml/2006/main" count="428" uniqueCount="80">
  <si>
    <t>Assets</t>
  </si>
  <si>
    <t>Increase</t>
  </si>
  <si>
    <t>Decrease</t>
  </si>
  <si>
    <t>Liabilities</t>
  </si>
  <si>
    <t>Equities</t>
  </si>
  <si>
    <t>=</t>
  </si>
  <si>
    <t>+</t>
  </si>
  <si>
    <t>Total</t>
  </si>
  <si>
    <t>Cash</t>
  </si>
  <si>
    <t>Accounts Receivable</t>
  </si>
  <si>
    <t>Inventory</t>
  </si>
  <si>
    <t>Accounts Payable</t>
  </si>
  <si>
    <t>Balance?</t>
  </si>
  <si>
    <t>Purchased equipment paying $3k in cash</t>
  </si>
  <si>
    <t>Borrowed $5k from a bank</t>
  </si>
  <si>
    <t>Issued common stock for $20k</t>
  </si>
  <si>
    <t>Example</t>
  </si>
  <si>
    <t>a</t>
  </si>
  <si>
    <t>b</t>
  </si>
  <si>
    <t>c</t>
  </si>
  <si>
    <t>d</t>
  </si>
  <si>
    <t>e</t>
  </si>
  <si>
    <t>f</t>
  </si>
  <si>
    <t>g</t>
  </si>
  <si>
    <t>j</t>
  </si>
  <si>
    <t>k</t>
  </si>
  <si>
    <t>m</t>
  </si>
  <si>
    <t>Total increases and decreases</t>
  </si>
  <si>
    <t>Total by category</t>
  </si>
  <si>
    <t>Bank Loan</t>
  </si>
  <si>
    <t>Common Stock</t>
  </si>
  <si>
    <t>Retained Earnings</t>
  </si>
  <si>
    <t>Dividends Payable</t>
  </si>
  <si>
    <t>Debit</t>
  </si>
  <si>
    <t>Credit</t>
  </si>
  <si>
    <t>Property, Plant &amp; Equipment</t>
  </si>
  <si>
    <t>Unrestricted Net Assets</t>
  </si>
  <si>
    <t>Restricted Net Assets</t>
  </si>
  <si>
    <t>Purchased $8k of inventory on credit</t>
  </si>
  <si>
    <t>Received $6k cash from customers</t>
  </si>
  <si>
    <t xml:space="preserve">Declared and paid a $2k cash dividend </t>
  </si>
  <si>
    <t>Paid $7k cash to suppliers</t>
  </si>
  <si>
    <t>Received a contribution of $20k cash</t>
  </si>
  <si>
    <t>Net Assets</t>
  </si>
  <si>
    <t>Spent $2k fulfilling requirements of intial $20k donation</t>
  </si>
  <si>
    <t>Received a contribution of $20k, $15k unrestricted, $5k restricted.</t>
  </si>
  <si>
    <t>Ref.</t>
  </si>
  <si>
    <t>AccntType</t>
  </si>
  <si>
    <t>For Profit</t>
  </si>
  <si>
    <t>Asset</t>
  </si>
  <si>
    <t>Equity</t>
  </si>
  <si>
    <t>Account to Credit</t>
  </si>
  <si>
    <t>Account to Debit</t>
  </si>
  <si>
    <t>Amount to Debit</t>
  </si>
  <si>
    <t>Amount to Credit</t>
  </si>
  <si>
    <t>Debits-Credits</t>
  </si>
  <si>
    <t>Net_Asset</t>
  </si>
  <si>
    <t>Spent $2k fulfilling requirements of intial $5k restricted donation</t>
  </si>
  <si>
    <t>Transaction/Information</t>
  </si>
  <si>
    <t>Journal</t>
  </si>
  <si>
    <t>Received a contribution of $20k, $15k unrestricted, $5k restricted</t>
  </si>
  <si>
    <t>Declared and paid a dividend of $2k</t>
  </si>
  <si>
    <t>For-Profit Problem</t>
  </si>
  <si>
    <t>Not-for-Profit Problem</t>
  </si>
  <si>
    <t>General Ledger</t>
  </si>
  <si>
    <t>For-profit Problem</t>
  </si>
  <si>
    <t>Not-for-profit Problem</t>
  </si>
  <si>
    <t>Total by account</t>
  </si>
  <si>
    <t>Total by type</t>
  </si>
  <si>
    <t>2. Now write the increases and decreases in separate columns. Note that there are now no negative numbers.</t>
  </si>
  <si>
    <t>4. Now make the same entries as debits (blue) and credits (yellow). Note how any entry that has debits - credits will preserve the Accounting Indentity.</t>
  </si>
  <si>
    <t>1. Insert numbers into the blue areas that both capture the transaction and preserve the Accounting Indentity.</t>
  </si>
  <si>
    <t>1. Record the transactions in the more detailed set of accounts using debits and credits.</t>
  </si>
  <si>
    <t>2. Record the transactions in the more detailed set of accounts using debits and credits.</t>
  </si>
  <si>
    <t>Total debits and credits</t>
  </si>
  <si>
    <t>Sold inventory that cost $4k for promises to pay $6k in 30 days.</t>
  </si>
  <si>
    <r>
      <t xml:space="preserve">1. 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</si>
  <si>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2. Record the transactions in the journal. Use the drop down menus for AccntType and Account to Debit and Account to Credit. You must select an account type in column B first, then you will get a menu of account names in columns D and E. Also, you must enter all the debits in the first lines of the enty, then all the credits. If ExPrep grades an entry with more than one debit as wrong, try entering them in a different order.</t>
  </si>
  <si>
    <r>
      <t xml:space="preserve">3. The form below automatically records what you entered in 2 but switches the columns for Liabilities and Equities. </t>
    </r>
    <r>
      <rPr>
        <b/>
        <i/>
        <sz val="12"/>
        <color theme="1"/>
        <rFont val="Calibri"/>
        <family val="2"/>
        <scheme val="minor"/>
      </rPr>
      <t>Take two minutes to think about this!</t>
    </r>
  </si>
  <si>
    <t>4. Now make the same entries as debits (blue) and credits (yellow). Note how any entry that has debits = credits will preserve the Accounting Indentity.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</si>
</sst>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_(* #,##0.0_);_(* \(#,##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Helvetica"/>
    </font>
    <font>
      <b/>
      <sz val="16"/>
      <color theme="1"/>
      <name val="Calibri"/>
      <family val="2"/>
      <scheme val="minor"/>
    </font>
    <font>
      <b/>
      <sz val="20"/>
      <color theme="1"/>
      <name val="Calibri"/>
      <family val="2"/>
      <scheme val="minor"/>
    </font>
    <font>
      <b/>
      <sz val="22"/>
      <color theme="1"/>
      <name val="Calibri"/>
      <family val="2"/>
      <scheme val="minor"/>
    </font>
    <font>
      <sz val="14"/>
      <color theme="1"/>
      <name val="Calibri"/>
      <family val="2"/>
      <scheme val="minor"/>
    </font>
    <font>
      <sz val="12"/>
      <color theme="1"/>
      <name val="Calibri"/>
      <family val="2"/>
      <scheme val="minor"/>
    </font>
    <font>
      <sz val="9"/>
      <color indexed="81"/>
      <name val="Tahoma"/>
      <family val="2"/>
    </font>
    <font>
      <b/>
      <sz val="9"/>
      <color indexed="81"/>
      <name val="Tahoma"/>
      <family val="2"/>
    </font>
    <font>
      <sz val="11"/>
      <name val="Calibri"/>
      <family val="2"/>
      <scheme val="minor"/>
    </font>
    <font>
      <b/>
      <i/>
      <sz val="14"/>
      <color theme="1"/>
      <name val="Calibri"/>
      <family val="2"/>
      <scheme val="minor"/>
    </font>
    <font>
      <b/>
      <i/>
      <sz val="12"/>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bgColor indexed="64"/>
      </patternFill>
    </fill>
    <fill>
      <patternFill patternType="solid">
        <fgColor theme="4" tint="-0.499984740745262"/>
        <bgColor indexed="64"/>
      </patternFill>
    </fill>
  </fills>
  <borders count="31">
    <border>
      <left/>
      <right/>
      <top/>
      <bottom/>
      <diagonal/>
    </border>
    <border>
      <left/>
      <right/>
      <top style="thin">
        <color indexed="64"/>
      </top>
      <bottom style="double">
        <color indexed="64"/>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medium">
        <color auto="1"/>
      </top>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auto="1"/>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cellStyleXfs>
  <cellXfs count="15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165"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vertical="center"/>
    </xf>
    <xf numFmtId="0" fontId="0" fillId="0" borderId="0" xfId="0" applyBorder="1"/>
    <xf numFmtId="0" fontId="0" fillId="0" borderId="2" xfId="0" applyBorder="1"/>
    <xf numFmtId="165" fontId="0" fillId="0" borderId="3" xfId="2" applyNumberFormat="1" applyFont="1" applyBorder="1"/>
    <xf numFmtId="0" fontId="0" fillId="0" borderId="3" xfId="0" applyBorder="1"/>
    <xf numFmtId="0" fontId="2" fillId="0" borderId="4" xfId="0" applyFont="1" applyBorder="1" applyAlignment="1">
      <alignment horizontal="center" vertical="center"/>
    </xf>
    <xf numFmtId="0" fontId="0" fillId="0" borderId="4" xfId="0" quotePrefix="1" applyBorder="1" applyAlignment="1">
      <alignment horizontal="center" vertical="center"/>
    </xf>
    <xf numFmtId="0" fontId="2" fillId="0" borderId="0" xfId="0" quotePrefix="1" applyFont="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0" fillId="2" borderId="9" xfId="1" applyNumberFormat="1" applyFont="1" applyFill="1" applyBorder="1"/>
    <xf numFmtId="165" fontId="0" fillId="0" borderId="11" xfId="2" applyNumberFormat="1" applyFont="1" applyBorder="1"/>
    <xf numFmtId="165" fontId="0" fillId="0" borderId="12" xfId="2" applyNumberFormat="1" applyFont="1" applyBorder="1"/>
    <xf numFmtId="164" fontId="0" fillId="0" borderId="0" xfId="0" applyNumberFormat="1" applyAlignment="1">
      <alignment horizontal="center"/>
    </xf>
    <xf numFmtId="0" fontId="2" fillId="0" borderId="0" xfId="0" applyFont="1" applyAlignment="1">
      <alignment horizontal="center" vertical="center"/>
    </xf>
    <xf numFmtId="164" fontId="0" fillId="0" borderId="0" xfId="1" applyNumberFormat="1" applyFont="1"/>
    <xf numFmtId="166" fontId="2" fillId="0" borderId="0" xfId="2" applyNumberFormat="1" applyFont="1" applyBorder="1" applyAlignment="1">
      <alignment horizontal="center" vertical="center"/>
    </xf>
    <xf numFmtId="164" fontId="0" fillId="3" borderId="0" xfId="1" applyNumberFormat="1" applyFont="1" applyFill="1"/>
    <xf numFmtId="164" fontId="0" fillId="4" borderId="0" xfId="1" applyNumberFormat="1" applyFont="1" applyFill="1"/>
    <xf numFmtId="0" fontId="2" fillId="0" borderId="4" xfId="0" applyFont="1" applyBorder="1" applyAlignment="1">
      <alignment horizontal="center" vertical="center"/>
    </xf>
    <xf numFmtId="0" fontId="0" fillId="0" borderId="4" xfId="0" applyBorder="1"/>
    <xf numFmtId="164" fontId="0" fillId="3" borderId="15" xfId="1" applyNumberFormat="1" applyFont="1" applyFill="1" applyBorder="1"/>
    <xf numFmtId="164" fontId="0" fillId="3" borderId="16" xfId="1" applyNumberFormat="1" applyFont="1" applyFill="1" applyBorder="1"/>
    <xf numFmtId="164" fontId="0" fillId="3" borderId="17" xfId="1" applyNumberFormat="1" applyFont="1" applyFill="1" applyBorder="1"/>
    <xf numFmtId="165" fontId="0" fillId="0" borderId="18" xfId="2" applyNumberFormat="1" applyFont="1" applyBorder="1"/>
    <xf numFmtId="164" fontId="0" fillId="4" borderId="15" xfId="1" applyNumberFormat="1" applyFont="1" applyFill="1" applyBorder="1"/>
    <xf numFmtId="164" fontId="0" fillId="4" borderId="16" xfId="1" applyNumberFormat="1" applyFont="1" applyFill="1" applyBorder="1"/>
    <xf numFmtId="164" fontId="0" fillId="4" borderId="17" xfId="1" applyNumberFormat="1" applyFont="1" applyFill="1" applyBorder="1"/>
    <xf numFmtId="164" fontId="0" fillId="5" borderId="0" xfId="1" applyNumberFormat="1" applyFont="1" applyFill="1"/>
    <xf numFmtId="164" fontId="0" fillId="2" borderId="15" xfId="1" applyNumberFormat="1" applyFont="1" applyFill="1" applyBorder="1"/>
    <xf numFmtId="165" fontId="0" fillId="0" borderId="3" xfId="2" applyNumberFormat="1" applyFont="1" applyFill="1" applyBorder="1"/>
    <xf numFmtId="0" fontId="0" fillId="0" borderId="0" xfId="0" applyAlignment="1">
      <alignment horizontal="left"/>
    </xf>
    <xf numFmtId="164" fontId="0" fillId="5" borderId="10" xfId="1" applyNumberFormat="1" applyFont="1" applyFill="1" applyBorder="1"/>
    <xf numFmtId="0" fontId="0" fillId="0" borderId="4" xfId="0" applyBorder="1" applyAlignment="1">
      <alignment horizontal="center" vertical="center" wrapText="1"/>
    </xf>
    <xf numFmtId="0" fontId="0" fillId="0" borderId="7" xfId="0" applyBorder="1" applyAlignment="1">
      <alignment horizontal="center" vertical="center" wrapText="1"/>
    </xf>
    <xf numFmtId="0" fontId="4" fillId="0" borderId="7" xfId="3" applyFont="1" applyFill="1" applyBorder="1" applyAlignment="1">
      <alignment horizontal="center"/>
    </xf>
    <xf numFmtId="0" fontId="4" fillId="0" borderId="8" xfId="3" applyFont="1" applyFill="1" applyBorder="1" applyAlignment="1">
      <alignment horizontal="center"/>
    </xf>
    <xf numFmtId="0" fontId="4" fillId="6" borderId="7" xfId="3" applyFont="1" applyFill="1" applyBorder="1" applyAlignment="1">
      <alignment horizontal="center"/>
    </xf>
    <xf numFmtId="0" fontId="4" fillId="6" borderId="4" xfId="3" applyFont="1" applyFill="1" applyBorder="1" applyAlignment="1">
      <alignment horizontal="center"/>
    </xf>
    <xf numFmtId="0" fontId="4" fillId="6" borderId="8" xfId="3" applyFont="1" applyFill="1" applyBorder="1" applyAlignment="1">
      <alignment horizontal="center"/>
    </xf>
    <xf numFmtId="0" fontId="4" fillId="7" borderId="22" xfId="3" applyFont="1" applyFill="1" applyBorder="1" applyAlignment="1">
      <alignment horizontal="center"/>
    </xf>
    <xf numFmtId="0" fontId="4" fillId="7" borderId="20" xfId="3" applyFont="1" applyFill="1" applyBorder="1" applyAlignment="1">
      <alignment horizontal="center"/>
    </xf>
    <xf numFmtId="0" fontId="4" fillId="7" borderId="21" xfId="3" applyFont="1" applyFill="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2" fillId="0" borderId="10" xfId="0" applyFont="1" applyBorder="1" applyAlignment="1">
      <alignment horizontal="center"/>
    </xf>
    <xf numFmtId="0" fontId="0" fillId="0" borderId="4" xfId="0" applyFill="1" applyBorder="1" applyAlignment="1">
      <alignment horizontal="center" vertical="center" wrapText="1"/>
    </xf>
    <xf numFmtId="0" fontId="0" fillId="0" borderId="4" xfId="0" applyFill="1" applyBorder="1"/>
    <xf numFmtId="167" fontId="0" fillId="0" borderId="4" xfId="1" applyNumberFormat="1" applyFont="1" applyFill="1" applyBorder="1"/>
    <xf numFmtId="167" fontId="0" fillId="0" borderId="8" xfId="1" applyNumberFormat="1" applyFont="1" applyBorder="1" applyAlignment="1">
      <alignment horizontal="center"/>
    </xf>
    <xf numFmtId="0" fontId="0" fillId="0" borderId="7" xfId="0" applyBorder="1"/>
    <xf numFmtId="0" fontId="0" fillId="0" borderId="8" xfId="0" applyBorder="1"/>
    <xf numFmtId="0" fontId="6" fillId="0" borderId="0" xfId="0" applyFont="1" applyAlignment="1">
      <alignment horizontal="center"/>
    </xf>
    <xf numFmtId="0" fontId="2" fillId="0" borderId="0" xfId="0" quotePrefix="1" applyFont="1" applyBorder="1" applyAlignment="1">
      <alignment horizontal="center" vertical="center"/>
    </xf>
    <xf numFmtId="0" fontId="0" fillId="0" borderId="9" xfId="0" applyBorder="1"/>
    <xf numFmtId="0" fontId="0" fillId="0" borderId="10" xfId="0" applyBorder="1"/>
    <xf numFmtId="0" fontId="12" fillId="9" borderId="0" xfId="0" applyFont="1" applyFill="1"/>
    <xf numFmtId="0" fontId="0" fillId="9" borderId="0" xfId="0" applyFill="1"/>
    <xf numFmtId="164" fontId="0" fillId="4" borderId="0" xfId="1" applyNumberFormat="1" applyFont="1" applyFill="1" applyProtection="1">
      <protection locked="0"/>
    </xf>
    <xf numFmtId="164" fontId="0" fillId="3" borderId="16" xfId="1" applyNumberFormat="1" applyFont="1" applyFill="1" applyBorder="1" applyProtection="1">
      <protection locked="0"/>
    </xf>
    <xf numFmtId="164" fontId="0" fillId="3" borderId="17" xfId="1" applyNumberFormat="1" applyFont="1" applyFill="1" applyBorder="1" applyProtection="1">
      <protection locked="0"/>
    </xf>
    <xf numFmtId="164" fontId="0" fillId="3" borderId="15" xfId="1" applyNumberFormat="1" applyFont="1" applyFill="1" applyBorder="1" applyProtection="1"/>
    <xf numFmtId="164" fontId="0" fillId="4" borderId="0" xfId="1" applyNumberFormat="1" applyFont="1" applyFill="1" applyProtection="1"/>
    <xf numFmtId="164" fontId="0" fillId="2" borderId="16" xfId="1" applyNumberFormat="1" applyFont="1" applyFill="1" applyBorder="1" applyProtection="1">
      <protection locked="0"/>
    </xf>
    <xf numFmtId="164" fontId="0" fillId="5" borderId="0" xfId="1" applyNumberFormat="1" applyFont="1" applyFill="1" applyProtection="1">
      <protection locked="0"/>
    </xf>
    <xf numFmtId="164" fontId="0" fillId="2" borderId="9" xfId="1" applyNumberFormat="1" applyFont="1" applyFill="1" applyBorder="1" applyProtection="1">
      <protection locked="0"/>
    </xf>
    <xf numFmtId="164" fontId="0" fillId="5" borderId="10" xfId="1" applyNumberFormat="1" applyFont="1" applyFill="1" applyBorder="1" applyProtection="1">
      <protection locked="0"/>
    </xf>
    <xf numFmtId="0" fontId="0" fillId="3" borderId="23" xfId="0" applyFill="1" applyBorder="1" applyAlignment="1" applyProtection="1">
      <alignment horizontal="center" vertical="center" wrapText="1"/>
      <protection locked="0"/>
    </xf>
    <xf numFmtId="0" fontId="0" fillId="3" borderId="27" xfId="0" applyFill="1" applyBorder="1" applyProtection="1">
      <protection locked="0"/>
    </xf>
    <xf numFmtId="167" fontId="0" fillId="3" borderId="15" xfId="1" applyNumberFormat="1" applyFont="1" applyFill="1" applyBorder="1" applyProtection="1">
      <protection locked="0"/>
    </xf>
    <xf numFmtId="167" fontId="0" fillId="3" borderId="27" xfId="1" applyNumberFormat="1" applyFont="1" applyFill="1" applyBorder="1" applyProtection="1">
      <protection locked="0"/>
    </xf>
    <xf numFmtId="167" fontId="0" fillId="3" borderId="6" xfId="1" applyNumberFormat="1" applyFont="1" applyFill="1" applyBorder="1" applyProtection="1">
      <protection locked="0"/>
    </xf>
    <xf numFmtId="0" fontId="0" fillId="3" borderId="24" xfId="0" applyFill="1" applyBorder="1" applyAlignment="1" applyProtection="1">
      <alignment horizontal="center" vertical="center" wrapText="1"/>
      <protection locked="0"/>
    </xf>
    <xf numFmtId="0" fontId="0" fillId="3" borderId="28" xfId="0" applyFill="1" applyBorder="1" applyProtection="1">
      <protection locked="0"/>
    </xf>
    <xf numFmtId="167" fontId="0" fillId="3" borderId="26" xfId="1" applyNumberFormat="1" applyFont="1" applyFill="1" applyBorder="1" applyProtection="1">
      <protection locked="0"/>
    </xf>
    <xf numFmtId="167" fontId="0" fillId="3" borderId="28" xfId="1" applyNumberFormat="1" applyFont="1" applyFill="1" applyBorder="1" applyProtection="1">
      <protection locked="0"/>
    </xf>
    <xf numFmtId="167" fontId="0" fillId="3" borderId="8" xfId="1" applyNumberFormat="1" applyFont="1" applyFill="1" applyBorder="1" applyProtection="1">
      <protection locked="0"/>
    </xf>
    <xf numFmtId="0" fontId="0" fillId="6" borderId="25" xfId="0" applyFill="1" applyBorder="1" applyAlignment="1" applyProtection="1">
      <alignment horizontal="center" vertical="center" wrapText="1"/>
      <protection locked="0"/>
    </xf>
    <xf numFmtId="0" fontId="0" fillId="6" borderId="29" xfId="0" applyFill="1" applyBorder="1" applyProtection="1">
      <protection locked="0"/>
    </xf>
    <xf numFmtId="167" fontId="0" fillId="6" borderId="16" xfId="1" applyNumberFormat="1" applyFont="1" applyFill="1" applyBorder="1" applyProtection="1">
      <protection locked="0"/>
    </xf>
    <xf numFmtId="167" fontId="0" fillId="6" borderId="29" xfId="1" applyNumberFormat="1" applyFont="1" applyFill="1" applyBorder="1" applyProtection="1">
      <protection locked="0"/>
    </xf>
    <xf numFmtId="167" fontId="0" fillId="6" borderId="10" xfId="1" applyNumberFormat="1" applyFont="1" applyFill="1" applyBorder="1" applyProtection="1">
      <protection locked="0"/>
    </xf>
    <xf numFmtId="0" fontId="0" fillId="6" borderId="28" xfId="0" applyFill="1" applyBorder="1" applyProtection="1">
      <protection locked="0"/>
    </xf>
    <xf numFmtId="167" fontId="0" fillId="6" borderId="26" xfId="1" applyNumberFormat="1" applyFont="1" applyFill="1" applyBorder="1" applyProtection="1">
      <protection locked="0"/>
    </xf>
    <xf numFmtId="167" fontId="0" fillId="6" borderId="28" xfId="1" applyNumberFormat="1" applyFont="1" applyFill="1" applyBorder="1" applyProtection="1">
      <protection locked="0"/>
    </xf>
    <xf numFmtId="167" fontId="0" fillId="6" borderId="8" xfId="1" applyNumberFormat="1" applyFont="1" applyFill="1" applyBorder="1" applyProtection="1">
      <protection locked="0"/>
    </xf>
    <xf numFmtId="0" fontId="0" fillId="3" borderId="29" xfId="0" applyFill="1" applyBorder="1" applyProtection="1">
      <protection locked="0"/>
    </xf>
    <xf numFmtId="167" fontId="0" fillId="3" borderId="16" xfId="1" applyNumberFormat="1" applyFont="1" applyFill="1" applyBorder="1" applyProtection="1">
      <protection locked="0"/>
    </xf>
    <xf numFmtId="167" fontId="0" fillId="3" borderId="29" xfId="1" applyNumberFormat="1" applyFont="1" applyFill="1" applyBorder="1" applyProtection="1">
      <protection locked="0"/>
    </xf>
    <xf numFmtId="167" fontId="0" fillId="3" borderId="10" xfId="1" applyNumberFormat="1" applyFont="1" applyFill="1" applyBorder="1" applyProtection="1">
      <protection locked="0"/>
    </xf>
    <xf numFmtId="0" fontId="0" fillId="3" borderId="25" xfId="0" applyFill="1" applyBorder="1" applyAlignment="1" applyProtection="1">
      <alignment horizontal="center" vertical="center" wrapText="1"/>
      <protection locked="0"/>
    </xf>
    <xf numFmtId="0" fontId="0" fillId="6" borderId="24" xfId="0" applyFill="1" applyBorder="1" applyAlignment="1" applyProtection="1">
      <alignment horizontal="center" vertical="center" wrapText="1"/>
      <protection locked="0"/>
    </xf>
    <xf numFmtId="0" fontId="0" fillId="0" borderId="0" xfId="0" applyProtection="1"/>
    <xf numFmtId="0" fontId="0" fillId="3" borderId="23" xfId="0" applyFill="1" applyBorder="1" applyAlignment="1" applyProtection="1">
      <alignment horizontal="center" vertical="center" wrapText="1"/>
    </xf>
    <xf numFmtId="0" fontId="0" fillId="3" borderId="27" xfId="0" applyFill="1" applyBorder="1" applyProtection="1"/>
    <xf numFmtId="167" fontId="0" fillId="3" borderId="15" xfId="1" applyNumberFormat="1" applyFont="1" applyFill="1" applyBorder="1" applyProtection="1"/>
    <xf numFmtId="167" fontId="0" fillId="3" borderId="27" xfId="1" applyNumberFormat="1" applyFont="1" applyFill="1" applyBorder="1" applyProtection="1"/>
    <xf numFmtId="167" fontId="0" fillId="3" borderId="6" xfId="1" applyNumberFormat="1" applyFont="1" applyFill="1" applyBorder="1" applyProtection="1"/>
    <xf numFmtId="0" fontId="0" fillId="3" borderId="24" xfId="0" applyFill="1" applyBorder="1" applyAlignment="1" applyProtection="1">
      <alignment horizontal="center" vertical="center" wrapText="1"/>
    </xf>
    <xf numFmtId="0" fontId="0" fillId="3" borderId="28" xfId="0" applyFill="1" applyBorder="1" applyProtection="1"/>
    <xf numFmtId="167" fontId="0" fillId="3" borderId="26" xfId="1" applyNumberFormat="1" applyFont="1" applyFill="1" applyBorder="1" applyProtection="1"/>
    <xf numFmtId="167" fontId="0" fillId="3" borderId="28" xfId="1" applyNumberFormat="1" applyFont="1" applyFill="1" applyBorder="1" applyProtection="1"/>
    <xf numFmtId="167" fontId="0" fillId="3" borderId="8" xfId="1" applyNumberFormat="1" applyFont="1" applyFill="1" applyBorder="1" applyProtection="1"/>
    <xf numFmtId="167" fontId="0" fillId="3" borderId="10" xfId="1" applyNumberFormat="1" applyFont="1" applyFill="1" applyBorder="1" applyProtection="1"/>
    <xf numFmtId="0" fontId="0" fillId="3" borderId="25" xfId="0" applyFill="1" applyBorder="1" applyAlignment="1" applyProtection="1">
      <alignment horizontal="center" vertical="center" wrapText="1"/>
    </xf>
    <xf numFmtId="0" fontId="0" fillId="3" borderId="29" xfId="0" applyFill="1" applyBorder="1" applyProtection="1"/>
    <xf numFmtId="167" fontId="0" fillId="3" borderId="29" xfId="1" applyNumberFormat="1" applyFont="1" applyFill="1" applyBorder="1" applyProtection="1"/>
    <xf numFmtId="167" fontId="0" fillId="3" borderId="16" xfId="1" applyNumberFormat="1" applyFont="1" applyFill="1" applyBorder="1" applyProtection="1"/>
    <xf numFmtId="0" fontId="9" fillId="8" borderId="0" xfId="0" applyFont="1" applyFill="1" applyAlignment="1">
      <alignment horizontal="left"/>
    </xf>
    <xf numFmtId="0" fontId="6" fillId="0" borderId="0" xfId="0" applyFont="1" applyAlignment="1">
      <alignment horizontal="center"/>
    </xf>
    <xf numFmtId="0" fontId="2" fillId="0" borderId="4" xfId="0" applyFont="1" applyBorder="1" applyAlignment="1">
      <alignment horizontal="center" vertical="center"/>
    </xf>
    <xf numFmtId="0" fontId="2" fillId="0" borderId="0" xfId="0" applyFont="1" applyAlignment="1">
      <alignment horizontal="center" vertical="center"/>
    </xf>
    <xf numFmtId="166" fontId="2" fillId="0" borderId="1" xfId="2" applyNumberFormat="1" applyFont="1" applyBorder="1" applyAlignment="1">
      <alignment horizontal="center" vertical="center"/>
    </xf>
    <xf numFmtId="164" fontId="0" fillId="2" borderId="0" xfId="1" applyNumberFormat="1" applyFont="1" applyFill="1" applyAlignment="1" applyProtection="1">
      <alignment horizontal="center"/>
    </xf>
    <xf numFmtId="164" fontId="0" fillId="2" borderId="0" xfId="1" applyNumberFormat="1" applyFont="1" applyFill="1" applyAlignment="1" applyProtection="1">
      <alignment horizontal="center"/>
      <protection locked="0"/>
    </xf>
    <xf numFmtId="164" fontId="0" fillId="2" borderId="0" xfId="1" applyNumberFormat="1" applyFont="1" applyFill="1" applyAlignment="1">
      <alignment horizontal="center"/>
    </xf>
    <xf numFmtId="0" fontId="2" fillId="0" borderId="7" xfId="0" applyFont="1" applyBorder="1" applyAlignment="1">
      <alignment horizontal="center"/>
    </xf>
    <xf numFmtId="0" fontId="2" fillId="0" borderId="4" xfId="0" applyFont="1" applyBorder="1" applyAlignment="1">
      <alignment horizontal="center"/>
    </xf>
    <xf numFmtId="0" fontId="2" fillId="0" borderId="0" xfId="0" applyFont="1" applyBorder="1" applyAlignment="1">
      <alignment horizontal="center" vertical="center"/>
    </xf>
    <xf numFmtId="0" fontId="2" fillId="0" borderId="8" xfId="0" applyFont="1" applyBorder="1" applyAlignment="1">
      <alignment horizontal="center"/>
    </xf>
    <xf numFmtId="0" fontId="7" fillId="0" borderId="0" xfId="0" applyFont="1" applyAlignment="1">
      <alignment horizontal="center"/>
    </xf>
    <xf numFmtId="0" fontId="5" fillId="0" borderId="5" xfId="0" applyFont="1" applyBorder="1" applyAlignment="1">
      <alignment horizontal="center"/>
    </xf>
    <xf numFmtId="0" fontId="5" fillId="0" borderId="19" xfId="0" applyFont="1" applyBorder="1" applyAlignment="1">
      <alignment horizontal="center"/>
    </xf>
    <xf numFmtId="0" fontId="5" fillId="0" borderId="6" xfId="0" applyFont="1" applyBorder="1" applyAlignment="1">
      <alignment horizontal="center"/>
    </xf>
    <xf numFmtId="166" fontId="2" fillId="0" borderId="13" xfId="2" applyNumberFormat="1" applyFont="1" applyBorder="1" applyAlignment="1">
      <alignment horizontal="center" vertical="center"/>
    </xf>
    <xf numFmtId="166" fontId="2" fillId="0" borderId="14" xfId="2"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166" fontId="2" fillId="0" borderId="30" xfId="0" applyNumberFormat="1"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8" fillId="8" borderId="0" xfId="0" applyFont="1" applyFill="1" applyAlignment="1">
      <alignment horizontal="left"/>
    </xf>
    <xf numFmtId="167" fontId="0" fillId="0" borderId="10" xfId="1" applyNumberFormat="1" applyFont="1" applyBorder="1" applyAlignment="1">
      <alignment horizontal="center"/>
    </xf>
    <xf numFmtId="0" fontId="0" fillId="0" borderId="9" xfId="0" applyBorder="1" applyAlignment="1">
      <alignment horizontal="center" vertical="center" wrapText="1"/>
    </xf>
    <xf numFmtId="0" fontId="0" fillId="0" borderId="0" xfId="0" applyBorder="1" applyAlignment="1">
      <alignment horizontal="center" vertical="center" wrapText="1"/>
    </xf>
    <xf numFmtId="0" fontId="5" fillId="0" borderId="5" xfId="0" applyFont="1" applyFill="1" applyBorder="1" applyAlignment="1">
      <alignment horizontal="center"/>
    </xf>
    <xf numFmtId="0" fontId="5" fillId="0" borderId="19" xfId="0" applyFont="1" applyFill="1" applyBorder="1" applyAlignment="1">
      <alignment horizontal="center"/>
    </xf>
    <xf numFmtId="0" fontId="5" fillId="0" borderId="6" xfId="0" applyFont="1" applyFill="1" applyBorder="1" applyAlignment="1">
      <alignment horizontal="center"/>
    </xf>
    <xf numFmtId="0" fontId="7" fillId="0" borderId="5" xfId="0" applyFont="1" applyBorder="1" applyAlignment="1">
      <alignment horizontal="center"/>
    </xf>
    <xf numFmtId="0" fontId="7" fillId="0" borderId="19" xfId="0" applyFont="1" applyBorder="1" applyAlignment="1">
      <alignment horizontal="center"/>
    </xf>
    <xf numFmtId="0" fontId="7" fillId="0" borderId="6" xfId="0" applyFont="1" applyBorder="1" applyAlignment="1">
      <alignment horizontal="center"/>
    </xf>
    <xf numFmtId="0" fontId="8" fillId="8" borderId="9" xfId="0" applyFont="1" applyFill="1" applyBorder="1" applyAlignment="1">
      <alignment horizontal="left" wrapText="1"/>
    </xf>
    <xf numFmtId="0" fontId="8" fillId="8" borderId="0" xfId="0" applyFont="1" applyFill="1" applyBorder="1" applyAlignment="1">
      <alignment horizontal="left" wrapText="1"/>
    </xf>
    <xf numFmtId="0" fontId="8" fillId="8" borderId="10" xfId="0" applyFont="1" applyFill="1" applyBorder="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24">
    <dxf>
      <fill>
        <patternFill>
          <bgColor theme="4" tint="0.79998168889431442"/>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patternType="solid">
          <bgColor rgb="FF00B050"/>
        </patternFill>
      </fill>
    </dxf>
    <dxf>
      <fill>
        <patternFill patternType="solid">
          <bgColor rgb="FFFF9999"/>
        </patternFill>
      </fill>
    </dxf>
    <dxf>
      <fill>
        <patternFill patternType="solid">
          <bgColor rgb="FF00B050"/>
        </patternFill>
      </fill>
    </dxf>
    <dxf>
      <fill>
        <patternFill patternType="solid">
          <bgColor rgb="FFFF9999"/>
        </patternFill>
      </fill>
    </dxf>
    <dxf>
      <fill>
        <patternFill patternType="solid">
          <bgColor rgb="FF00B050"/>
        </patternFill>
      </fill>
    </dxf>
    <dxf>
      <fill>
        <patternFill patternType="solid">
          <bgColor rgb="FFFF9999"/>
        </patternFill>
      </fill>
    </dxf>
    <dxf>
      <fill>
        <patternFill patternType="solid">
          <bgColor rgb="FF00B050"/>
        </patternFill>
      </fill>
    </dxf>
    <dxf>
      <fill>
        <patternFill patternType="solid">
          <bgColor rgb="FFFF9999"/>
        </patternFill>
      </fill>
    </dxf>
    <dxf>
      <fill>
        <patternFill>
          <bgColor theme="4" tint="0.79998168889431442"/>
        </patternFill>
      </fill>
    </dxf>
    <dxf>
      <fill>
        <patternFill>
          <bgColor theme="7" tint="0.79998168889431442"/>
        </patternFill>
      </fill>
    </dxf>
    <dxf>
      <fill>
        <patternFill patternType="solid">
          <bgColor rgb="FF00B050"/>
        </patternFill>
      </fill>
    </dxf>
    <dxf>
      <fill>
        <patternFill patternType="solid">
          <bgColor rgb="FFFF9999"/>
        </patternFill>
      </fill>
    </dxf>
    <dxf>
      <fill>
        <patternFill patternType="solid">
          <bgColor rgb="FF00B050"/>
        </patternFill>
      </fill>
    </dxf>
    <dxf>
      <fill>
        <patternFill patternType="solid">
          <bgColor rgb="FFFF9999"/>
        </patternFill>
      </fill>
    </dxf>
    <dxf>
      <fill>
        <patternFill patternType="solid">
          <bgColor rgb="FF00B050"/>
        </patternFill>
      </fill>
    </dxf>
    <dxf>
      <fill>
        <patternFill patternType="solid">
          <bgColor rgb="FFFF999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387567</xdr:colOff>
      <xdr:row>3</xdr:row>
      <xdr:rowOff>124810</xdr:rowOff>
    </xdr:from>
    <xdr:ext cx="5366845" cy="6261138"/>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87567" y="696310"/>
          <a:ext cx="5366845" cy="6261138"/>
        </a:xfrm>
        <a:prstGeom prst="rect">
          <a:avLst/>
        </a:prstGeom>
        <a:solidFill>
          <a:schemeClr val="bg1"/>
        </a:solidFill>
        <a:ln w="38100">
          <a:solidFill>
            <a:schemeClr val="tx1"/>
          </a:solidFill>
          <a:miter lim="800000"/>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t>Frank's Balance Sheet Practice</a:t>
          </a:r>
        </a:p>
        <a:p>
          <a:endParaRPr lang="en-US" sz="1100"/>
        </a:p>
        <a:p>
          <a:r>
            <a:rPr lang="en-US" sz="1100" b="1"/>
            <a:t>This</a:t>
          </a:r>
          <a:r>
            <a:rPr lang="en-US" sz="1100" b="1" baseline="0"/>
            <a:t> exercise has many purposes:</a:t>
          </a:r>
        </a:p>
        <a:p>
          <a:endParaRPr lang="en-US" sz="1100" baseline="0"/>
        </a:p>
        <a:p>
          <a:r>
            <a:rPr lang="en-US" sz="1100" baseline="0"/>
            <a:t>1. Explore the definitions of Asset and Liabilities.</a:t>
          </a:r>
        </a:p>
        <a:p>
          <a:r>
            <a:rPr lang="en-US" sz="1100" baseline="0"/>
            <a:t>2. Explore the nature of Equity (or Net Assets in a not-for-profit). </a:t>
          </a:r>
        </a:p>
        <a:p>
          <a:r>
            <a:rPr lang="en-US" sz="1100" baseline="0"/>
            <a:t>3. Start working with the Balance Sheet identity: A = L + E (A = L + NA for a not-for-profit.)</a:t>
          </a:r>
        </a:p>
        <a:p>
          <a:r>
            <a:rPr lang="en-US" sz="1100" baseline="0"/>
            <a:t>4. Start becoming familiar with two useful ways of writing down financial information:</a:t>
          </a:r>
        </a:p>
        <a:p>
          <a:r>
            <a:rPr lang="en-US" sz="1100" baseline="0"/>
            <a:t>     Journal entries and T-accounts</a:t>
          </a:r>
        </a:p>
        <a:p>
          <a:r>
            <a:rPr lang="en-US" sz="1100" baseline="0"/>
            <a:t>5. Start becoming familiar with </a:t>
          </a:r>
          <a:r>
            <a:rPr lang="en-US" sz="1100" i="1" baseline="0"/>
            <a:t>debits</a:t>
          </a:r>
          <a:r>
            <a:rPr lang="en-US" sz="1100" i="0" baseline="0"/>
            <a:t> and </a:t>
          </a:r>
          <a:r>
            <a:rPr lang="en-US" sz="1100" i="1" baseline="0"/>
            <a:t>credits</a:t>
          </a:r>
          <a:r>
            <a:rPr lang="en-US" sz="1100" i="0" baseline="0"/>
            <a:t> (come on, this is an accounting class!), </a:t>
          </a:r>
        </a:p>
        <a:p>
          <a:r>
            <a:rPr lang="en-US" sz="1100" i="0" baseline="0"/>
            <a:t>     see the role they play in the accounting process, and start to see how useful they are </a:t>
          </a:r>
        </a:p>
        <a:p>
          <a:r>
            <a:rPr lang="en-US" sz="1100" i="0" baseline="0"/>
            <a:t>     in analyzing transactions.</a:t>
          </a:r>
        </a:p>
        <a:p>
          <a:r>
            <a:rPr lang="en-US" sz="1100" i="0" baseline="0"/>
            <a:t>6. See that basic accounting techniques are applicable to both for-profit and not-for-profit </a:t>
          </a:r>
        </a:p>
        <a:p>
          <a:r>
            <a:rPr lang="en-US" sz="1100" i="0" baseline="0"/>
            <a:t>    entities.</a:t>
          </a:r>
        </a:p>
        <a:p>
          <a:endParaRPr lang="en-US" sz="1100" i="0" baseline="0"/>
        </a:p>
        <a:p>
          <a:r>
            <a:rPr lang="en-US" sz="1100" b="1" i="0" baseline="0"/>
            <a:t>Instructions:</a:t>
          </a:r>
        </a:p>
        <a:p>
          <a:endParaRPr lang="en-US" sz="1100" i="0" baseline="0"/>
        </a:p>
        <a:p>
          <a:r>
            <a:rPr lang="en-US" sz="1100" i="0" baseline="0"/>
            <a:t>1. Go through each tab, in order: For-Profit, Not-for-Profit, General Ledger, Journal</a:t>
          </a:r>
        </a:p>
        <a:p>
          <a:r>
            <a:rPr lang="en-US" sz="1100" i="0" baseline="0"/>
            <a:t>2. In each tab, all relevant information and requirements are between the dark blue </a:t>
          </a:r>
        </a:p>
        <a:p>
          <a:r>
            <a:rPr lang="en-US" sz="1100" i="0" baseline="0"/>
            <a:t>    column and the dark blue row.</a:t>
          </a:r>
        </a:p>
        <a:p>
          <a:r>
            <a:rPr lang="en-US" sz="1100" i="0" baseline="0"/>
            <a:t>3. Work form the top down. Note that some cells will automatically populate when you</a:t>
          </a:r>
        </a:p>
        <a:p>
          <a:r>
            <a:rPr lang="en-US" sz="1100" i="0" baseline="0"/>
            <a:t>     fill in certain other cells. Specific directions are shown in gray.</a:t>
          </a:r>
        </a:p>
        <a:p>
          <a:r>
            <a:rPr lang="en-US" sz="1100" i="0" baseline="0"/>
            <a:t>4. You cannot change the format of any sheet.</a:t>
          </a:r>
        </a:p>
        <a:p>
          <a:r>
            <a:rPr lang="en-US" sz="1100" i="0" baseline="0"/>
            <a:t>5. You cannot change all cells. The cells you can change are the only ones that require </a:t>
          </a:r>
        </a:p>
        <a:p>
          <a:r>
            <a:rPr lang="en-US" sz="1100" i="0" baseline="0"/>
            <a:t>    your input.</a:t>
          </a:r>
        </a:p>
        <a:p>
          <a:r>
            <a:rPr lang="en-US" sz="1100" i="0" baseline="0"/>
            <a:t>6.To get quick feedback, submit the file with your answers to the Frank's Balance Sheet </a:t>
          </a:r>
        </a:p>
        <a:p>
          <a:r>
            <a:rPr lang="en-US" sz="1100" i="0" baseline="0"/>
            <a:t>    Practice exam on ExPrep. After ExPrep finishes grading your file, you can download it </a:t>
          </a:r>
        </a:p>
        <a:p>
          <a:r>
            <a:rPr lang="en-US" sz="1100" i="0" baseline="0"/>
            <a:t>    and see where your answers don't agree with the model answer I provided. Sometimes </a:t>
          </a:r>
        </a:p>
        <a:p>
          <a:r>
            <a:rPr lang="en-US" sz="1100" i="0" baseline="0"/>
            <a:t>    the differences are highlighted in red, and sometimes they only appear in the Student </a:t>
          </a:r>
        </a:p>
        <a:p>
          <a:r>
            <a:rPr lang="en-US" sz="1100" i="0" baseline="0"/>
            <a:t>    Score Report tab.</a:t>
          </a:r>
        </a:p>
        <a:p>
          <a:r>
            <a:rPr lang="en-US" sz="1100" i="0" baseline="0"/>
            <a:t>7. You can then fix your answer and re-submit through ExPrep. If you still don't get </a:t>
          </a:r>
        </a:p>
        <a:p>
          <a:r>
            <a:rPr lang="en-US" sz="1100" i="0" baseline="0"/>
            <a:t>     everything, repeat the process. (Don't repeat forever, though. ExPrep sometimes makes </a:t>
          </a:r>
        </a:p>
        <a:p>
          <a:r>
            <a:rPr lang="en-US" sz="1100" i="0" baseline="0"/>
            <a:t>     odd mistakes.)</a:t>
          </a: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45" zoomScaleNormal="145" workbookViewId="0">
      <selection activeCell="M29" sqref="M29"/>
    </sheetView>
  </sheetViews>
  <sheetFormatPr defaultColWidth="8.85546875" defaultRowHeight="15" x14ac:dyDescent="0.25"/>
  <sheetData/>
  <sheetProtection algorithmName="SHA-512" hashValue="4lOW1SgAngpfi6IR2SzaEUc0NWfPqIv/vDakkFfpAcvLZm3v/0OhO32h7LYnZl1rbW54l4zqKPJigTcvmDbNyQ==" saltValue="gQmeT5BpohCCmOKbiRckYQ=="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9"/>
  <sheetViews>
    <sheetView zoomScale="99" zoomScaleNormal="160" workbookViewId="0">
      <selection activeCell="C4" sqref="C4:D4"/>
    </sheetView>
  </sheetViews>
  <sheetFormatPr defaultColWidth="11.42578125" defaultRowHeight="15" x14ac:dyDescent="0.25"/>
  <cols>
    <col min="2" max="2" width="57.28515625" customWidth="1"/>
    <col min="5" max="5" width="3.85546875" customWidth="1"/>
    <col min="8" max="8" width="4" customWidth="1"/>
    <col min="11" max="11" width="13.85546875" bestFit="1" customWidth="1"/>
    <col min="13" max="13" width="3.42578125" customWidth="1"/>
  </cols>
  <sheetData>
    <row r="1" spans="1:13" ht="26.25" x14ac:dyDescent="0.4">
      <c r="A1" s="115" t="s">
        <v>62</v>
      </c>
      <c r="B1" s="115"/>
      <c r="C1" s="115"/>
      <c r="D1" s="115"/>
      <c r="E1" s="115"/>
      <c r="F1" s="115"/>
      <c r="G1" s="115"/>
      <c r="H1" s="115"/>
      <c r="I1" s="115"/>
      <c r="J1" s="115"/>
      <c r="K1" s="115"/>
      <c r="M1" s="63"/>
    </row>
    <row r="2" spans="1:13" ht="16.5" customHeight="1" x14ac:dyDescent="0.25">
      <c r="A2" s="114" t="s">
        <v>71</v>
      </c>
      <c r="B2" s="114"/>
      <c r="C2" s="114"/>
      <c r="D2" s="114"/>
      <c r="E2" s="114"/>
      <c r="F2" s="114"/>
      <c r="G2" s="114"/>
      <c r="H2" s="114"/>
      <c r="I2" s="114"/>
      <c r="J2" s="114"/>
      <c r="K2" s="114"/>
      <c r="M2" s="63"/>
    </row>
    <row r="3" spans="1:13" ht="15.75" thickBot="1" x14ac:dyDescent="0.3">
      <c r="C3" s="116" t="s">
        <v>0</v>
      </c>
      <c r="D3" s="116"/>
      <c r="E3" s="12" t="s">
        <v>5</v>
      </c>
      <c r="F3" s="116" t="s">
        <v>3</v>
      </c>
      <c r="G3" s="116"/>
      <c r="H3" s="12" t="s">
        <v>6</v>
      </c>
      <c r="I3" s="116" t="s">
        <v>4</v>
      </c>
      <c r="J3" s="116"/>
      <c r="K3" s="6" t="s">
        <v>12</v>
      </c>
      <c r="M3" s="63"/>
    </row>
    <row r="4" spans="1:13" x14ac:dyDescent="0.25">
      <c r="A4" s="5" t="s">
        <v>16</v>
      </c>
      <c r="B4" s="3" t="s">
        <v>15</v>
      </c>
      <c r="C4" s="119">
        <v>20</v>
      </c>
      <c r="D4" s="119"/>
      <c r="E4" s="98"/>
      <c r="F4" s="119"/>
      <c r="G4" s="119"/>
      <c r="H4" s="98"/>
      <c r="I4" s="119">
        <v>20</v>
      </c>
      <c r="J4" s="119"/>
      <c r="K4" s="5" t="str">
        <f t="shared" ref="K4:K11" si="0">IF(AND(ISBLANK(C4),ISBLANK(F4),ISBLANK(I4)),"",IF(C4-F4-I4=0,"YES","NO"))</f>
        <v>YES</v>
      </c>
      <c r="M4" s="63"/>
    </row>
    <row r="5" spans="1:13" x14ac:dyDescent="0.25">
      <c r="A5" s="5" t="s">
        <v>17</v>
      </c>
      <c r="B5" s="3" t="s">
        <v>14</v>
      </c>
      <c r="C5" s="120">
        <v>5</v>
      </c>
      <c r="D5" s="120"/>
      <c r="F5" s="120">
        <v>5</v>
      </c>
      <c r="G5" s="120"/>
      <c r="I5" s="120"/>
      <c r="J5" s="120"/>
      <c r="K5" s="5" t="str">
        <f t="shared" si="0"/>
        <v>YES</v>
      </c>
      <c r="M5" s="63"/>
    </row>
    <row r="6" spans="1:13" x14ac:dyDescent="0.25">
      <c r="A6" s="5" t="s">
        <v>18</v>
      </c>
      <c r="B6" s="3" t="s">
        <v>13</v>
      </c>
      <c r="C6" s="120">
        <f>3-3</f>
        <v>0</v>
      </c>
      <c r="D6" s="120"/>
      <c r="F6" s="120"/>
      <c r="G6" s="120"/>
      <c r="I6" s="120"/>
      <c r="J6" s="120"/>
      <c r="K6" s="5" t="str">
        <f t="shared" si="0"/>
        <v>YES</v>
      </c>
      <c r="M6" s="63"/>
    </row>
    <row r="7" spans="1:13" x14ac:dyDescent="0.25">
      <c r="A7" s="5" t="s">
        <v>19</v>
      </c>
      <c r="B7" s="3" t="s">
        <v>38</v>
      </c>
      <c r="C7" s="120">
        <v>8</v>
      </c>
      <c r="D7" s="120"/>
      <c r="F7" s="120">
        <v>8</v>
      </c>
      <c r="G7" s="120"/>
      <c r="I7" s="120"/>
      <c r="J7" s="120"/>
      <c r="K7" s="5" t="str">
        <f t="shared" si="0"/>
        <v>YES</v>
      </c>
      <c r="M7" s="63"/>
    </row>
    <row r="8" spans="1:13" x14ac:dyDescent="0.25">
      <c r="A8" s="5" t="s">
        <v>20</v>
      </c>
      <c r="B8" s="3" t="s">
        <v>75</v>
      </c>
      <c r="C8" s="120">
        <f>6-4</f>
        <v>2</v>
      </c>
      <c r="D8" s="120"/>
      <c r="F8" s="120"/>
      <c r="G8" s="120"/>
      <c r="I8" s="120">
        <v>2</v>
      </c>
      <c r="J8" s="120"/>
      <c r="K8" s="5" t="str">
        <f t="shared" si="0"/>
        <v>YES</v>
      </c>
      <c r="M8" s="63"/>
    </row>
    <row r="9" spans="1:13" x14ac:dyDescent="0.25">
      <c r="A9" s="5" t="s">
        <v>21</v>
      </c>
      <c r="B9" s="3" t="s">
        <v>41</v>
      </c>
      <c r="C9" s="120">
        <v>-7</v>
      </c>
      <c r="D9" s="120"/>
      <c r="F9" s="120">
        <v>-7</v>
      </c>
      <c r="G9" s="120"/>
      <c r="I9" s="120"/>
      <c r="J9" s="120"/>
      <c r="K9" s="5" t="str">
        <f t="shared" si="0"/>
        <v>YES</v>
      </c>
      <c r="M9" s="63"/>
    </row>
    <row r="10" spans="1:13" x14ac:dyDescent="0.25">
      <c r="A10" s="5" t="s">
        <v>22</v>
      </c>
      <c r="B10" s="3" t="s">
        <v>39</v>
      </c>
      <c r="C10" s="120">
        <f>6-6</f>
        <v>0</v>
      </c>
      <c r="D10" s="120"/>
      <c r="F10" s="120"/>
      <c r="G10" s="120"/>
      <c r="I10" s="120"/>
      <c r="J10" s="120"/>
      <c r="K10" s="5" t="str">
        <f t="shared" si="0"/>
        <v>YES</v>
      </c>
      <c r="M10" s="63"/>
    </row>
    <row r="11" spans="1:13" x14ac:dyDescent="0.25">
      <c r="A11" s="5" t="s">
        <v>23</v>
      </c>
      <c r="B11" s="3" t="s">
        <v>40</v>
      </c>
      <c r="C11" s="120">
        <v>-2</v>
      </c>
      <c r="D11" s="120"/>
      <c r="F11" s="120">
        <f>2-2</f>
        <v>0</v>
      </c>
      <c r="G11" s="120"/>
      <c r="I11" s="120">
        <v>-2</v>
      </c>
      <c r="J11" s="120"/>
      <c r="K11" s="5" t="str">
        <f t="shared" si="0"/>
        <v>YES</v>
      </c>
      <c r="M11" s="63"/>
    </row>
    <row r="12" spans="1:13" ht="15.75" thickBot="1" x14ac:dyDescent="0.3">
      <c r="B12" t="s">
        <v>7</v>
      </c>
      <c r="C12" s="118">
        <f>SUM(C4:C11)</f>
        <v>26</v>
      </c>
      <c r="D12" s="118"/>
      <c r="F12" s="118">
        <f>SUM(F4:F11)</f>
        <v>6</v>
      </c>
      <c r="G12" s="118"/>
      <c r="I12" s="118">
        <f>SUM(I4:I11)</f>
        <v>20</v>
      </c>
      <c r="J12" s="118"/>
      <c r="K12" s="4" t="str">
        <f>IF(C12-F12-I12=0,"YES","NO")</f>
        <v>YES</v>
      </c>
      <c r="M12" s="63"/>
    </row>
    <row r="13" spans="1:13" ht="15.75" thickTop="1" x14ac:dyDescent="0.25">
      <c r="M13" s="63"/>
    </row>
    <row r="14" spans="1:13" ht="15.75" x14ac:dyDescent="0.25">
      <c r="A14" s="114" t="s">
        <v>69</v>
      </c>
      <c r="B14" s="114"/>
      <c r="C14" s="114"/>
      <c r="D14" s="114"/>
      <c r="E14" s="114"/>
      <c r="F14" s="114"/>
      <c r="G14" s="114"/>
      <c r="H14" s="114"/>
      <c r="I14" s="114"/>
      <c r="J14" s="114"/>
      <c r="K14" s="114"/>
      <c r="M14" s="63"/>
    </row>
    <row r="15" spans="1:13" x14ac:dyDescent="0.25">
      <c r="M15" s="63"/>
    </row>
    <row r="16" spans="1:13" x14ac:dyDescent="0.25">
      <c r="C16" s="117" t="s">
        <v>0</v>
      </c>
      <c r="D16" s="117"/>
      <c r="E16" s="13" t="s">
        <v>5</v>
      </c>
      <c r="F16" s="117" t="s">
        <v>3</v>
      </c>
      <c r="G16" s="117"/>
      <c r="H16" s="13" t="s">
        <v>6</v>
      </c>
      <c r="I16" s="117" t="s">
        <v>4</v>
      </c>
      <c r="J16" s="117"/>
      <c r="K16" s="6" t="s">
        <v>12</v>
      </c>
      <c r="M16" s="63"/>
    </row>
    <row r="17" spans="1:13" ht="15.75" thickBot="1" x14ac:dyDescent="0.3">
      <c r="C17" s="11" t="s">
        <v>1</v>
      </c>
      <c r="D17" s="11" t="s">
        <v>2</v>
      </c>
      <c r="E17" s="12"/>
      <c r="F17" s="11" t="s">
        <v>1</v>
      </c>
      <c r="G17" s="11" t="s">
        <v>2</v>
      </c>
      <c r="H17" s="12"/>
      <c r="I17" s="11" t="s">
        <v>1</v>
      </c>
      <c r="J17" s="11" t="s">
        <v>2</v>
      </c>
      <c r="K17" s="2"/>
      <c r="M17" s="63"/>
    </row>
    <row r="18" spans="1:13" x14ac:dyDescent="0.25">
      <c r="A18" s="5" t="s">
        <v>16</v>
      </c>
      <c r="B18" s="3" t="s">
        <v>15</v>
      </c>
      <c r="C18" s="67">
        <v>20</v>
      </c>
      <c r="D18" s="68"/>
      <c r="E18" s="98"/>
      <c r="F18" s="67"/>
      <c r="G18" s="68"/>
      <c r="H18" s="98"/>
      <c r="I18" s="67">
        <v>20</v>
      </c>
      <c r="J18" s="68"/>
      <c r="K18" s="5" t="str">
        <f>IF(AND(ISBLANK(C18),ISBLANK(D18),ISBLANK(G18),ISBLANK(J18),ISBLANK(F18),ISBLANK(I18)),"",IF(C18-D18-F18+G18-I18+J18=0,"YES","NO"))</f>
        <v>YES</v>
      </c>
      <c r="M18" s="63"/>
    </row>
    <row r="19" spans="1:13" x14ac:dyDescent="0.25">
      <c r="A19" s="5" t="s">
        <v>17</v>
      </c>
      <c r="B19" s="3" t="s">
        <v>14</v>
      </c>
      <c r="C19" s="65"/>
      <c r="D19" s="64"/>
      <c r="F19" s="65"/>
      <c r="G19" s="64"/>
      <c r="I19" s="65"/>
      <c r="J19" s="64"/>
      <c r="K19" s="5" t="str">
        <f t="shared" ref="K19:K25" si="1">IF(AND(ISBLANK(C19),ISBLANK(D19),ISBLANK(G19),ISBLANK(J19),ISBLANK(F19),ISBLANK(I19)),"",IF(C19-D19-F19+G19-I19+J19=0,"YES","NO"))</f>
        <v/>
      </c>
      <c r="M19" s="63"/>
    </row>
    <row r="20" spans="1:13" x14ac:dyDescent="0.25">
      <c r="A20" s="5" t="s">
        <v>18</v>
      </c>
      <c r="B20" s="3" t="s">
        <v>13</v>
      </c>
      <c r="C20" s="65"/>
      <c r="D20" s="64"/>
      <c r="F20" s="65"/>
      <c r="G20" s="64"/>
      <c r="I20" s="65"/>
      <c r="J20" s="64"/>
      <c r="K20" s="5" t="str">
        <f t="shared" si="1"/>
        <v/>
      </c>
      <c r="M20" s="63"/>
    </row>
    <row r="21" spans="1:13" x14ac:dyDescent="0.25">
      <c r="A21" s="5" t="s">
        <v>19</v>
      </c>
      <c r="B21" s="3" t="s">
        <v>38</v>
      </c>
      <c r="C21" s="65"/>
      <c r="D21" s="64"/>
      <c r="F21" s="65"/>
      <c r="G21" s="64"/>
      <c r="I21" s="65"/>
      <c r="J21" s="64"/>
      <c r="K21" s="5" t="str">
        <f t="shared" si="1"/>
        <v/>
      </c>
      <c r="M21" s="63"/>
    </row>
    <row r="22" spans="1:13" x14ac:dyDescent="0.25">
      <c r="A22" s="5" t="s">
        <v>20</v>
      </c>
      <c r="B22" s="3" t="s">
        <v>75</v>
      </c>
      <c r="C22" s="65"/>
      <c r="D22" s="64"/>
      <c r="F22" s="65"/>
      <c r="G22" s="64"/>
      <c r="I22" s="65"/>
      <c r="J22" s="64"/>
      <c r="K22" s="5" t="str">
        <f t="shared" si="1"/>
        <v/>
      </c>
      <c r="M22" s="63"/>
    </row>
    <row r="23" spans="1:13" x14ac:dyDescent="0.25">
      <c r="A23" s="5" t="s">
        <v>21</v>
      </c>
      <c r="B23" s="3" t="s">
        <v>41</v>
      </c>
      <c r="C23" s="65"/>
      <c r="D23" s="64"/>
      <c r="F23" s="65"/>
      <c r="G23" s="64"/>
      <c r="I23" s="65"/>
      <c r="J23" s="64"/>
      <c r="K23" s="5" t="str">
        <f t="shared" si="1"/>
        <v/>
      </c>
      <c r="M23" s="63"/>
    </row>
    <row r="24" spans="1:13" x14ac:dyDescent="0.25">
      <c r="A24" s="5" t="s">
        <v>22</v>
      </c>
      <c r="B24" s="3" t="s">
        <v>39</v>
      </c>
      <c r="C24" s="65"/>
      <c r="D24" s="64"/>
      <c r="F24" s="65"/>
      <c r="G24" s="64"/>
      <c r="I24" s="65"/>
      <c r="J24" s="64"/>
      <c r="K24" s="5" t="str">
        <f t="shared" si="1"/>
        <v/>
      </c>
      <c r="M24" s="63"/>
    </row>
    <row r="25" spans="1:13" x14ac:dyDescent="0.25">
      <c r="A25" s="5" t="s">
        <v>23</v>
      </c>
      <c r="B25" s="3" t="s">
        <v>40</v>
      </c>
      <c r="C25" s="66"/>
      <c r="D25" s="64"/>
      <c r="F25" s="66"/>
      <c r="G25" s="64"/>
      <c r="I25" s="66"/>
      <c r="J25" s="64"/>
      <c r="K25" s="5" t="str">
        <f t="shared" si="1"/>
        <v/>
      </c>
      <c r="M25" s="63"/>
    </row>
    <row r="26" spans="1:13" x14ac:dyDescent="0.25">
      <c r="B26" t="s">
        <v>27</v>
      </c>
      <c r="C26" s="9">
        <f>SUM(C18:C25)</f>
        <v>20</v>
      </c>
      <c r="D26" s="9">
        <f>SUM(D18:D25)</f>
        <v>0</v>
      </c>
      <c r="E26" s="10"/>
      <c r="F26" s="30">
        <f>SUM(F18:F25)</f>
        <v>0</v>
      </c>
      <c r="G26" s="9">
        <f>SUM(G18:G25)</f>
        <v>0</v>
      </c>
      <c r="H26" s="10"/>
      <c r="I26" s="9">
        <f>SUM(I18:I25)</f>
        <v>20</v>
      </c>
      <c r="J26" s="9">
        <f>SUM(J18:J25)</f>
        <v>0</v>
      </c>
      <c r="K26" s="4"/>
      <c r="M26" s="63"/>
    </row>
    <row r="27" spans="1:13" ht="15.75" thickBot="1" x14ac:dyDescent="0.3">
      <c r="B27" s="3" t="s">
        <v>28</v>
      </c>
      <c r="C27" s="118">
        <f>C26-D26</f>
        <v>20</v>
      </c>
      <c r="D27" s="118"/>
      <c r="E27" s="7"/>
      <c r="F27" s="118">
        <f>F26-G26</f>
        <v>0</v>
      </c>
      <c r="G27" s="118"/>
      <c r="H27" s="7"/>
      <c r="I27" s="118">
        <f>I26-J26</f>
        <v>20</v>
      </c>
      <c r="J27" s="118"/>
      <c r="K27" s="4" t="str">
        <f>IF(C289-F27-I27,"YES","NO")</f>
        <v>YES</v>
      </c>
      <c r="M27" s="63"/>
    </row>
    <row r="28" spans="1:13" ht="15.75" thickTop="1" x14ac:dyDescent="0.25">
      <c r="B28" s="3"/>
      <c r="C28" s="22"/>
      <c r="D28" s="22"/>
      <c r="E28" s="7"/>
      <c r="F28" s="22"/>
      <c r="G28" s="22"/>
      <c r="H28" s="7"/>
      <c r="I28" s="22"/>
      <c r="J28" s="22"/>
      <c r="K28" s="4"/>
      <c r="M28" s="63"/>
    </row>
    <row r="29" spans="1:13" ht="15.75" x14ac:dyDescent="0.25">
      <c r="A29" s="114" t="s">
        <v>78</v>
      </c>
      <c r="B29" s="114"/>
      <c r="C29" s="114"/>
      <c r="D29" s="114"/>
      <c r="E29" s="114"/>
      <c r="F29" s="114"/>
      <c r="G29" s="114"/>
      <c r="H29" s="114"/>
      <c r="I29" s="114"/>
      <c r="J29" s="114"/>
      <c r="K29" s="114"/>
      <c r="M29" s="63"/>
    </row>
    <row r="30" spans="1:13" x14ac:dyDescent="0.25">
      <c r="M30" s="63"/>
    </row>
    <row r="31" spans="1:13" x14ac:dyDescent="0.25">
      <c r="C31" s="117" t="s">
        <v>0</v>
      </c>
      <c r="D31" s="117"/>
      <c r="E31" s="13" t="s">
        <v>5</v>
      </c>
      <c r="F31" s="117" t="s">
        <v>3</v>
      </c>
      <c r="G31" s="117"/>
      <c r="H31" s="13" t="s">
        <v>6</v>
      </c>
      <c r="I31" s="117" t="s">
        <v>4</v>
      </c>
      <c r="J31" s="117"/>
      <c r="K31" s="6" t="s">
        <v>12</v>
      </c>
      <c r="M31" s="63"/>
    </row>
    <row r="32" spans="1:13" ht="15.75" thickBot="1" x14ac:dyDescent="0.3">
      <c r="C32" s="11" t="s">
        <v>1</v>
      </c>
      <c r="D32" s="11" t="s">
        <v>2</v>
      </c>
      <c r="E32" s="12"/>
      <c r="F32" s="11" t="s">
        <v>2</v>
      </c>
      <c r="G32" s="11" t="s">
        <v>1</v>
      </c>
      <c r="H32" s="12"/>
      <c r="I32" s="11" t="s">
        <v>2</v>
      </c>
      <c r="J32" s="11" t="s">
        <v>1</v>
      </c>
      <c r="K32" s="2"/>
      <c r="M32" s="63"/>
    </row>
    <row r="33" spans="1:13" x14ac:dyDescent="0.25">
      <c r="A33" s="5" t="s">
        <v>16</v>
      </c>
      <c r="B33" s="3" t="s">
        <v>15</v>
      </c>
      <c r="C33" s="27">
        <f>C18</f>
        <v>20</v>
      </c>
      <c r="D33" s="24">
        <f>D18</f>
        <v>0</v>
      </c>
      <c r="F33" s="31">
        <f>G18</f>
        <v>0</v>
      </c>
      <c r="G33" s="23">
        <f>F18</f>
        <v>0</v>
      </c>
      <c r="I33" s="31">
        <f>J18</f>
        <v>0</v>
      </c>
      <c r="J33" s="23">
        <f>I18</f>
        <v>20</v>
      </c>
      <c r="K33" s="5" t="str">
        <f t="shared" ref="K33:K40" si="2">IF(AND(ISBLANK(C33),ISBLANK(D33),ISBLANK(F33),ISBLANK(I33),ISBLANK(G33),ISBLANK(J33)),"",IF(C33-D33-G33+F33-J33+I33=0,"YES","NO"))</f>
        <v>YES</v>
      </c>
      <c r="M33" s="63"/>
    </row>
    <row r="34" spans="1:13" x14ac:dyDescent="0.25">
      <c r="A34" s="5" t="s">
        <v>17</v>
      </c>
      <c r="B34" s="3" t="s">
        <v>14</v>
      </c>
      <c r="C34" s="28">
        <f t="shared" ref="C34:D40" si="3">C19</f>
        <v>0</v>
      </c>
      <c r="D34" s="24">
        <f t="shared" si="3"/>
        <v>0</v>
      </c>
      <c r="F34" s="32">
        <f t="shared" ref="F34:F40" si="4">G19</f>
        <v>0</v>
      </c>
      <c r="G34" s="23">
        <f t="shared" ref="G34:G40" si="5">F19</f>
        <v>0</v>
      </c>
      <c r="I34" s="32">
        <f t="shared" ref="I34:I39" si="6">J19</f>
        <v>0</v>
      </c>
      <c r="J34" s="23">
        <f t="shared" ref="J34:J40" si="7">I19</f>
        <v>0</v>
      </c>
      <c r="K34" s="5" t="str">
        <f t="shared" si="2"/>
        <v>YES</v>
      </c>
      <c r="M34" s="63"/>
    </row>
    <row r="35" spans="1:13" x14ac:dyDescent="0.25">
      <c r="A35" s="5" t="s">
        <v>18</v>
      </c>
      <c r="B35" s="3" t="s">
        <v>13</v>
      </c>
      <c r="C35" s="28">
        <f t="shared" si="3"/>
        <v>0</v>
      </c>
      <c r="D35" s="24">
        <f t="shared" si="3"/>
        <v>0</v>
      </c>
      <c r="F35" s="32">
        <f t="shared" si="4"/>
        <v>0</v>
      </c>
      <c r="G35" s="23">
        <f t="shared" si="5"/>
        <v>0</v>
      </c>
      <c r="I35" s="32">
        <f t="shared" si="6"/>
        <v>0</v>
      </c>
      <c r="J35" s="23">
        <f t="shared" si="7"/>
        <v>0</v>
      </c>
      <c r="K35" s="5" t="str">
        <f t="shared" si="2"/>
        <v>YES</v>
      </c>
      <c r="M35" s="63"/>
    </row>
    <row r="36" spans="1:13" x14ac:dyDescent="0.25">
      <c r="A36" s="5" t="s">
        <v>19</v>
      </c>
      <c r="B36" s="3" t="s">
        <v>38</v>
      </c>
      <c r="C36" s="28">
        <f t="shared" si="3"/>
        <v>0</v>
      </c>
      <c r="D36" s="24">
        <f t="shared" si="3"/>
        <v>0</v>
      </c>
      <c r="F36" s="32">
        <f t="shared" si="4"/>
        <v>0</v>
      </c>
      <c r="G36" s="23">
        <f t="shared" si="5"/>
        <v>0</v>
      </c>
      <c r="I36" s="32">
        <f t="shared" si="6"/>
        <v>0</v>
      </c>
      <c r="J36" s="23">
        <f t="shared" si="7"/>
        <v>0</v>
      </c>
      <c r="K36" s="5" t="str">
        <f t="shared" si="2"/>
        <v>YES</v>
      </c>
      <c r="M36" s="63"/>
    </row>
    <row r="37" spans="1:13" x14ac:dyDescent="0.25">
      <c r="A37" s="5" t="s">
        <v>20</v>
      </c>
      <c r="B37" s="3" t="s">
        <v>75</v>
      </c>
      <c r="C37" s="28">
        <f t="shared" si="3"/>
        <v>0</v>
      </c>
      <c r="D37" s="24">
        <f t="shared" si="3"/>
        <v>0</v>
      </c>
      <c r="F37" s="32">
        <f t="shared" si="4"/>
        <v>0</v>
      </c>
      <c r="G37" s="23">
        <f t="shared" si="5"/>
        <v>0</v>
      </c>
      <c r="I37" s="32">
        <f t="shared" si="6"/>
        <v>0</v>
      </c>
      <c r="J37" s="23">
        <f t="shared" si="7"/>
        <v>0</v>
      </c>
      <c r="K37" s="5" t="str">
        <f t="shared" si="2"/>
        <v>YES</v>
      </c>
      <c r="M37" s="63"/>
    </row>
    <row r="38" spans="1:13" x14ac:dyDescent="0.25">
      <c r="A38" s="5" t="s">
        <v>21</v>
      </c>
      <c r="B38" s="3" t="s">
        <v>41</v>
      </c>
      <c r="C38" s="28">
        <f t="shared" si="3"/>
        <v>0</v>
      </c>
      <c r="D38" s="24">
        <f t="shared" si="3"/>
        <v>0</v>
      </c>
      <c r="F38" s="32">
        <f t="shared" si="4"/>
        <v>0</v>
      </c>
      <c r="G38" s="23">
        <f t="shared" si="5"/>
        <v>0</v>
      </c>
      <c r="I38" s="32">
        <f t="shared" si="6"/>
        <v>0</v>
      </c>
      <c r="J38" s="23">
        <f t="shared" si="7"/>
        <v>0</v>
      </c>
      <c r="K38" s="5" t="str">
        <f t="shared" si="2"/>
        <v>YES</v>
      </c>
      <c r="M38" s="63"/>
    </row>
    <row r="39" spans="1:13" x14ac:dyDescent="0.25">
      <c r="A39" s="5" t="s">
        <v>22</v>
      </c>
      <c r="B39" s="3" t="s">
        <v>39</v>
      </c>
      <c r="C39" s="28">
        <f t="shared" si="3"/>
        <v>0</v>
      </c>
      <c r="D39" s="24">
        <f t="shared" si="3"/>
        <v>0</v>
      </c>
      <c r="F39" s="32">
        <f t="shared" si="4"/>
        <v>0</v>
      </c>
      <c r="G39" s="23">
        <f t="shared" si="5"/>
        <v>0</v>
      </c>
      <c r="I39" s="32">
        <f t="shared" si="6"/>
        <v>0</v>
      </c>
      <c r="J39" s="23">
        <f t="shared" si="7"/>
        <v>0</v>
      </c>
      <c r="K39" s="5" t="str">
        <f t="shared" si="2"/>
        <v>YES</v>
      </c>
      <c r="M39" s="63"/>
    </row>
    <row r="40" spans="1:13" x14ac:dyDescent="0.25">
      <c r="A40" s="5" t="s">
        <v>23</v>
      </c>
      <c r="B40" s="3" t="s">
        <v>40</v>
      </c>
      <c r="C40" s="29">
        <f t="shared" si="3"/>
        <v>0</v>
      </c>
      <c r="D40" s="24">
        <f t="shared" si="3"/>
        <v>0</v>
      </c>
      <c r="F40" s="33">
        <f t="shared" si="4"/>
        <v>0</v>
      </c>
      <c r="G40" s="23">
        <f t="shared" si="5"/>
        <v>0</v>
      </c>
      <c r="I40" s="33">
        <f>J25</f>
        <v>0</v>
      </c>
      <c r="J40" s="23">
        <f t="shared" si="7"/>
        <v>0</v>
      </c>
      <c r="K40" s="5" t="str">
        <f t="shared" si="2"/>
        <v>YES</v>
      </c>
      <c r="M40" s="63"/>
    </row>
    <row r="41" spans="1:13" x14ac:dyDescent="0.25">
      <c r="B41" t="s">
        <v>27</v>
      </c>
      <c r="C41" s="9">
        <f>SUM(C33:C40)</f>
        <v>20</v>
      </c>
      <c r="D41" s="9">
        <f>SUM(D33:D40)</f>
        <v>0</v>
      </c>
      <c r="E41" s="10"/>
      <c r="F41" s="9">
        <f>SUM(F33:F40)</f>
        <v>0</v>
      </c>
      <c r="G41" s="9">
        <f>SUM(G33:G40)</f>
        <v>0</v>
      </c>
      <c r="H41" s="10"/>
      <c r="I41" s="9">
        <f>SUM(I33:I40)</f>
        <v>0</v>
      </c>
      <c r="J41" s="9">
        <f>SUM(J33:J40)</f>
        <v>20</v>
      </c>
      <c r="K41" s="4"/>
      <c r="M41" s="63"/>
    </row>
    <row r="42" spans="1:13" ht="15.75" thickBot="1" x14ac:dyDescent="0.3">
      <c r="B42" s="3" t="s">
        <v>28</v>
      </c>
      <c r="C42" s="118">
        <f>C41-D41</f>
        <v>20</v>
      </c>
      <c r="D42" s="118"/>
      <c r="E42" s="7"/>
      <c r="F42" s="118">
        <f>-F41+G41</f>
        <v>0</v>
      </c>
      <c r="G42" s="118"/>
      <c r="H42" s="7"/>
      <c r="I42" s="118">
        <f>J41-I41</f>
        <v>20</v>
      </c>
      <c r="J42" s="118"/>
      <c r="K42" s="4" t="str">
        <f>IF(C302-F42-I42,"YES","NO")</f>
        <v>YES</v>
      </c>
      <c r="M42" s="63"/>
    </row>
    <row r="43" spans="1:13" ht="15.75" thickTop="1" x14ac:dyDescent="0.25">
      <c r="M43" s="63"/>
    </row>
    <row r="44" spans="1:13" ht="15.75" x14ac:dyDescent="0.25">
      <c r="A44" s="114" t="s">
        <v>70</v>
      </c>
      <c r="B44" s="114"/>
      <c r="C44" s="114"/>
      <c r="D44" s="114"/>
      <c r="E44" s="114"/>
      <c r="F44" s="114"/>
      <c r="G44" s="114"/>
      <c r="H44" s="114"/>
      <c r="I44" s="114"/>
      <c r="J44" s="114"/>
      <c r="K44" s="114"/>
      <c r="M44" s="63"/>
    </row>
    <row r="45" spans="1:13" x14ac:dyDescent="0.25">
      <c r="A45" s="37"/>
      <c r="B45" s="37"/>
      <c r="C45" s="37"/>
      <c r="D45" s="37"/>
      <c r="E45" s="37"/>
      <c r="F45" s="37"/>
      <c r="G45" s="37"/>
      <c r="H45" s="37"/>
      <c r="I45" s="37"/>
      <c r="J45" s="37"/>
      <c r="K45" s="37"/>
      <c r="M45" s="63"/>
    </row>
    <row r="46" spans="1:13" x14ac:dyDescent="0.25">
      <c r="C46" s="117" t="s">
        <v>0</v>
      </c>
      <c r="D46" s="117"/>
      <c r="E46" s="13" t="s">
        <v>5</v>
      </c>
      <c r="F46" s="117" t="s">
        <v>3</v>
      </c>
      <c r="G46" s="117"/>
      <c r="H46" s="13" t="s">
        <v>6</v>
      </c>
      <c r="I46" s="117" t="s">
        <v>4</v>
      </c>
      <c r="J46" s="117"/>
      <c r="K46" s="6" t="s">
        <v>55</v>
      </c>
      <c r="M46" s="63"/>
    </row>
    <row r="47" spans="1:13" ht="15.75" thickBot="1" x14ac:dyDescent="0.3">
      <c r="C47" s="11" t="s">
        <v>33</v>
      </c>
      <c r="D47" s="11" t="s">
        <v>34</v>
      </c>
      <c r="E47" s="12"/>
      <c r="F47" s="11" t="s">
        <v>33</v>
      </c>
      <c r="G47" s="11" t="s">
        <v>34</v>
      </c>
      <c r="H47" s="12"/>
      <c r="I47" s="11" t="s">
        <v>33</v>
      </c>
      <c r="J47" s="11" t="s">
        <v>34</v>
      </c>
      <c r="K47" s="2"/>
      <c r="M47" s="63"/>
    </row>
    <row r="48" spans="1:13" x14ac:dyDescent="0.25">
      <c r="A48" s="5" t="s">
        <v>16</v>
      </c>
      <c r="B48" s="3" t="s">
        <v>15</v>
      </c>
      <c r="C48" s="35">
        <v>20</v>
      </c>
      <c r="D48" s="34"/>
      <c r="F48" s="35"/>
      <c r="G48" s="34"/>
      <c r="I48" s="35"/>
      <c r="J48" s="34">
        <v>20</v>
      </c>
      <c r="K48" s="19">
        <f>C48+F48+I48-D48-G48-J48</f>
        <v>0</v>
      </c>
      <c r="M48" s="63"/>
    </row>
    <row r="49" spans="1:13" x14ac:dyDescent="0.25">
      <c r="A49" s="5" t="s">
        <v>17</v>
      </c>
      <c r="B49" s="3" t="s">
        <v>14</v>
      </c>
      <c r="C49" s="69"/>
      <c r="D49" s="70"/>
      <c r="F49" s="69"/>
      <c r="G49" s="70"/>
      <c r="I49" s="69"/>
      <c r="J49" s="70"/>
      <c r="K49" s="19">
        <f t="shared" ref="K49:K55" si="8">C49+F49+I49-D49-G49-J49</f>
        <v>0</v>
      </c>
      <c r="M49" s="63"/>
    </row>
    <row r="50" spans="1:13" x14ac:dyDescent="0.25">
      <c r="A50" s="5" t="s">
        <v>18</v>
      </c>
      <c r="B50" s="3" t="s">
        <v>13</v>
      </c>
      <c r="C50" s="69"/>
      <c r="D50" s="70"/>
      <c r="F50" s="69"/>
      <c r="G50" s="70"/>
      <c r="I50" s="69"/>
      <c r="J50" s="70"/>
      <c r="K50" s="19">
        <f t="shared" si="8"/>
        <v>0</v>
      </c>
      <c r="M50" s="63"/>
    </row>
    <row r="51" spans="1:13" x14ac:dyDescent="0.25">
      <c r="A51" s="5" t="s">
        <v>19</v>
      </c>
      <c r="B51" s="3" t="s">
        <v>38</v>
      </c>
      <c r="C51" s="69"/>
      <c r="D51" s="70"/>
      <c r="F51" s="69"/>
      <c r="G51" s="70"/>
      <c r="I51" s="69"/>
      <c r="J51" s="70"/>
      <c r="K51" s="19">
        <f t="shared" si="8"/>
        <v>0</v>
      </c>
      <c r="M51" s="63"/>
    </row>
    <row r="52" spans="1:13" x14ac:dyDescent="0.25">
      <c r="A52" s="5" t="s">
        <v>20</v>
      </c>
      <c r="B52" s="3" t="s">
        <v>75</v>
      </c>
      <c r="C52" s="69"/>
      <c r="D52" s="70"/>
      <c r="F52" s="69"/>
      <c r="G52" s="70"/>
      <c r="I52" s="69"/>
      <c r="J52" s="70"/>
      <c r="K52" s="19">
        <f t="shared" si="8"/>
        <v>0</v>
      </c>
      <c r="M52" s="63"/>
    </row>
    <row r="53" spans="1:13" x14ac:dyDescent="0.25">
      <c r="A53" s="5" t="s">
        <v>21</v>
      </c>
      <c r="B53" s="3" t="s">
        <v>41</v>
      </c>
      <c r="C53" s="69"/>
      <c r="D53" s="70"/>
      <c r="F53" s="69"/>
      <c r="G53" s="70"/>
      <c r="I53" s="69"/>
      <c r="J53" s="70"/>
      <c r="K53" s="19">
        <f t="shared" si="8"/>
        <v>0</v>
      </c>
      <c r="M53" s="63"/>
    </row>
    <row r="54" spans="1:13" x14ac:dyDescent="0.25">
      <c r="A54" s="5" t="s">
        <v>22</v>
      </c>
      <c r="B54" s="3" t="s">
        <v>39</v>
      </c>
      <c r="C54" s="69"/>
      <c r="D54" s="70"/>
      <c r="F54" s="69"/>
      <c r="G54" s="70"/>
      <c r="I54" s="69"/>
      <c r="J54" s="70"/>
      <c r="K54" s="19">
        <f t="shared" si="8"/>
        <v>0</v>
      </c>
      <c r="M54" s="63"/>
    </row>
    <row r="55" spans="1:13" x14ac:dyDescent="0.25">
      <c r="A55" s="5" t="s">
        <v>23</v>
      </c>
      <c r="B55" s="3" t="s">
        <v>40</v>
      </c>
      <c r="C55" s="69"/>
      <c r="D55" s="70"/>
      <c r="F55" s="69"/>
      <c r="G55" s="70"/>
      <c r="I55" s="69"/>
      <c r="J55" s="70"/>
      <c r="K55" s="19">
        <f t="shared" si="8"/>
        <v>0</v>
      </c>
      <c r="M55" s="63"/>
    </row>
    <row r="56" spans="1:13" x14ac:dyDescent="0.25">
      <c r="B56" t="s">
        <v>74</v>
      </c>
      <c r="C56" s="9">
        <f>SUM(C48:C55)</f>
        <v>20</v>
      </c>
      <c r="D56" s="9">
        <f>SUM(D48:D55)</f>
        <v>0</v>
      </c>
      <c r="E56" s="10"/>
      <c r="F56" s="9">
        <f>SUM(F48:F55)</f>
        <v>0</v>
      </c>
      <c r="G56" s="9">
        <f>SUM(G48:G55)</f>
        <v>0</v>
      </c>
      <c r="H56" s="10"/>
      <c r="I56" s="9">
        <f>SUM(I48:I55)</f>
        <v>0</v>
      </c>
      <c r="J56" s="36">
        <f>SUM(J48:J55)</f>
        <v>20</v>
      </c>
      <c r="K56" s="19"/>
      <c r="M56" s="63"/>
    </row>
    <row r="57" spans="1:13" ht="15.75" thickBot="1" x14ac:dyDescent="0.3">
      <c r="B57" s="3" t="s">
        <v>28</v>
      </c>
      <c r="C57" s="118">
        <f>C56-D56</f>
        <v>20</v>
      </c>
      <c r="D57" s="118"/>
      <c r="E57" s="7"/>
      <c r="F57" s="118">
        <f>-F56+G56</f>
        <v>0</v>
      </c>
      <c r="G57" s="118"/>
      <c r="H57" s="7"/>
      <c r="I57" s="118">
        <f>J56-I56</f>
        <v>20</v>
      </c>
      <c r="J57" s="118"/>
      <c r="K57" s="4">
        <f>C57-F57-I57</f>
        <v>0</v>
      </c>
      <c r="M57" s="63"/>
    </row>
    <row r="58" spans="1:13" ht="15.75" thickTop="1" x14ac:dyDescent="0.25">
      <c r="M58" s="63"/>
    </row>
    <row r="59" spans="1:13" x14ac:dyDescent="0.25">
      <c r="A59" s="63"/>
      <c r="B59" s="63"/>
      <c r="C59" s="63"/>
      <c r="D59" s="63"/>
      <c r="E59" s="63"/>
      <c r="F59" s="63"/>
      <c r="G59" s="63"/>
      <c r="H59" s="63"/>
      <c r="I59" s="63"/>
      <c r="J59" s="63"/>
      <c r="K59" s="63"/>
      <c r="L59" s="63"/>
      <c r="M59" s="63"/>
    </row>
  </sheetData>
  <mergeCells count="53">
    <mergeCell ref="A2:K2"/>
    <mergeCell ref="I8:J8"/>
    <mergeCell ref="C16:D16"/>
    <mergeCell ref="F16:G16"/>
    <mergeCell ref="I16:J16"/>
    <mergeCell ref="I12:J12"/>
    <mergeCell ref="F12:G12"/>
    <mergeCell ref="C8:D8"/>
    <mergeCell ref="C9:D9"/>
    <mergeCell ref="F4:G4"/>
    <mergeCell ref="F5:G5"/>
    <mergeCell ref="F6:G6"/>
    <mergeCell ref="F7:G7"/>
    <mergeCell ref="F8:G8"/>
    <mergeCell ref="F9:G9"/>
    <mergeCell ref="C3:D3"/>
    <mergeCell ref="I27:J27"/>
    <mergeCell ref="I3:J3"/>
    <mergeCell ref="I4:J4"/>
    <mergeCell ref="I5:J5"/>
    <mergeCell ref="I6:J6"/>
    <mergeCell ref="I7:J7"/>
    <mergeCell ref="I9:J9"/>
    <mergeCell ref="I10:J10"/>
    <mergeCell ref="I11:J11"/>
    <mergeCell ref="A14:K14"/>
    <mergeCell ref="C12:D12"/>
    <mergeCell ref="F10:G10"/>
    <mergeCell ref="F11:G11"/>
    <mergeCell ref="C10:D10"/>
    <mergeCell ref="C11:D11"/>
    <mergeCell ref="C46:D46"/>
    <mergeCell ref="F46:G46"/>
    <mergeCell ref="I46:J46"/>
    <mergeCell ref="C57:D57"/>
    <mergeCell ref="F57:G57"/>
    <mergeCell ref="I57:J57"/>
    <mergeCell ref="A29:K29"/>
    <mergeCell ref="A44:K44"/>
    <mergeCell ref="A1:K1"/>
    <mergeCell ref="F3:G3"/>
    <mergeCell ref="C31:D31"/>
    <mergeCell ref="F31:G31"/>
    <mergeCell ref="I31:J31"/>
    <mergeCell ref="C42:D42"/>
    <mergeCell ref="F42:G42"/>
    <mergeCell ref="I42:J42"/>
    <mergeCell ref="C4:D4"/>
    <mergeCell ref="C5:D5"/>
    <mergeCell ref="C6:D6"/>
    <mergeCell ref="C7:D7"/>
    <mergeCell ref="C27:D27"/>
    <mergeCell ref="F27:G27"/>
  </mergeCells>
  <conditionalFormatting sqref="K4:K12">
    <cfRule type="cellIs" dxfId="23" priority="9" operator="equal">
      <formula>"NO"</formula>
    </cfRule>
    <cfRule type="cellIs" dxfId="22" priority="10" operator="equal">
      <formula>"YES"</formula>
    </cfRule>
  </conditionalFormatting>
  <conditionalFormatting sqref="K18:K28">
    <cfRule type="cellIs" dxfId="21" priority="7" operator="equal">
      <formula>"NO"</formula>
    </cfRule>
    <cfRule type="cellIs" dxfId="20" priority="8" operator="equal">
      <formula>"YES"</formula>
    </cfRule>
  </conditionalFormatting>
  <conditionalFormatting sqref="K33:K42">
    <cfRule type="cellIs" dxfId="19" priority="5" operator="equal">
      <formula>"NO"</formula>
    </cfRule>
    <cfRule type="cellIs" dxfId="18" priority="6" operator="equal">
      <formula>"YES"</formula>
    </cfRule>
  </conditionalFormatting>
  <conditionalFormatting sqref="K48:K57">
    <cfRule type="cellIs" dxfId="17" priority="2" operator="greaterThan">
      <formula>0</formula>
    </cfRule>
  </conditionalFormatting>
  <conditionalFormatting sqref="K48:K57">
    <cfRule type="cellIs" dxfId="16" priority="1" operator="lessThan">
      <formula>0</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zoomScale="125" workbookViewId="0">
      <selection activeCell="A2" sqref="A2:K2"/>
    </sheetView>
  </sheetViews>
  <sheetFormatPr defaultColWidth="11.42578125" defaultRowHeight="15" x14ac:dyDescent="0.25"/>
  <cols>
    <col min="2" max="2" width="57.42578125" customWidth="1"/>
    <col min="5" max="5" width="3.85546875" customWidth="1"/>
    <col min="8" max="8" width="4" customWidth="1"/>
    <col min="11" max="11" width="13.85546875" bestFit="1" customWidth="1"/>
    <col min="13" max="13" width="3.85546875" customWidth="1"/>
  </cols>
  <sheetData>
    <row r="1" spans="1:13" ht="26.25" x14ac:dyDescent="0.4">
      <c r="A1" s="115" t="s">
        <v>63</v>
      </c>
      <c r="B1" s="115"/>
      <c r="C1" s="115"/>
      <c r="D1" s="115"/>
      <c r="E1" s="115"/>
      <c r="F1" s="115"/>
      <c r="G1" s="115"/>
      <c r="H1" s="115"/>
      <c r="I1" s="115"/>
      <c r="J1" s="115"/>
      <c r="K1" s="115"/>
      <c r="M1" s="63"/>
    </row>
    <row r="2" spans="1:13" ht="16.5" customHeight="1" x14ac:dyDescent="0.25">
      <c r="A2" s="114" t="s">
        <v>71</v>
      </c>
      <c r="B2" s="114"/>
      <c r="C2" s="114"/>
      <c r="D2" s="114"/>
      <c r="E2" s="114"/>
      <c r="F2" s="114"/>
      <c r="G2" s="114"/>
      <c r="H2" s="114"/>
      <c r="I2" s="114"/>
      <c r="J2" s="114"/>
      <c r="K2" s="114"/>
      <c r="M2" s="63"/>
    </row>
    <row r="3" spans="1:13" ht="15.75" thickBot="1" x14ac:dyDescent="0.3">
      <c r="C3" s="116" t="s">
        <v>0</v>
      </c>
      <c r="D3" s="116"/>
      <c r="E3" s="12" t="s">
        <v>5</v>
      </c>
      <c r="F3" s="116" t="s">
        <v>3</v>
      </c>
      <c r="G3" s="116"/>
      <c r="H3" s="12" t="s">
        <v>6</v>
      </c>
      <c r="I3" s="116" t="s">
        <v>43</v>
      </c>
      <c r="J3" s="116"/>
      <c r="K3" s="6" t="s">
        <v>12</v>
      </c>
      <c r="M3" s="63"/>
    </row>
    <row r="4" spans="1:13" x14ac:dyDescent="0.25">
      <c r="A4" s="5" t="s">
        <v>16</v>
      </c>
      <c r="B4" s="3" t="s">
        <v>42</v>
      </c>
      <c r="C4" s="120">
        <v>20</v>
      </c>
      <c r="D4" s="120"/>
      <c r="F4" s="121"/>
      <c r="G4" s="121"/>
      <c r="I4" s="121">
        <v>20</v>
      </c>
      <c r="J4" s="121"/>
      <c r="K4" s="5" t="str">
        <f t="shared" ref="K4:K11" si="0">IF(AND(ISBLANK(C4),ISBLANK(F4),ISBLANK(I4)),"",IF(C4-F4-I4=0,"YES","NO"))</f>
        <v>YES</v>
      </c>
      <c r="M4" s="63"/>
    </row>
    <row r="5" spans="1:13" x14ac:dyDescent="0.25">
      <c r="A5" s="5" t="s">
        <v>17</v>
      </c>
      <c r="B5" s="3" t="s">
        <v>14</v>
      </c>
      <c r="C5" s="120">
        <v>5</v>
      </c>
      <c r="D5" s="120"/>
      <c r="F5" s="120">
        <v>5</v>
      </c>
      <c r="G5" s="120"/>
      <c r="I5" s="120"/>
      <c r="J5" s="120"/>
      <c r="K5" s="5" t="str">
        <f t="shared" si="0"/>
        <v>YES</v>
      </c>
      <c r="M5" s="63"/>
    </row>
    <row r="6" spans="1:13" x14ac:dyDescent="0.25">
      <c r="A6" s="5" t="s">
        <v>18</v>
      </c>
      <c r="B6" s="3" t="s">
        <v>13</v>
      </c>
      <c r="C6" s="120">
        <f>3-3</f>
        <v>0</v>
      </c>
      <c r="D6" s="120"/>
      <c r="F6" s="120"/>
      <c r="G6" s="120"/>
      <c r="I6" s="120"/>
      <c r="J6" s="120"/>
      <c r="K6" s="5" t="str">
        <f t="shared" si="0"/>
        <v>YES</v>
      </c>
      <c r="M6" s="63"/>
    </row>
    <row r="7" spans="1:13" x14ac:dyDescent="0.25">
      <c r="A7" s="5" t="s">
        <v>19</v>
      </c>
      <c r="B7" s="3" t="s">
        <v>38</v>
      </c>
      <c r="C7" s="120">
        <v>8</v>
      </c>
      <c r="D7" s="120"/>
      <c r="F7" s="120">
        <v>8</v>
      </c>
      <c r="G7" s="120"/>
      <c r="I7" s="120"/>
      <c r="J7" s="120"/>
      <c r="K7" s="5" t="str">
        <f t="shared" si="0"/>
        <v>YES</v>
      </c>
      <c r="M7" s="63"/>
    </row>
    <row r="8" spans="1:13" x14ac:dyDescent="0.25">
      <c r="A8" s="5" t="s">
        <v>20</v>
      </c>
      <c r="B8" s="3" t="s">
        <v>75</v>
      </c>
      <c r="C8" s="120">
        <f>6-4</f>
        <v>2</v>
      </c>
      <c r="D8" s="120"/>
      <c r="F8" s="120"/>
      <c r="G8" s="120"/>
      <c r="I8" s="120">
        <v>2</v>
      </c>
      <c r="J8" s="120"/>
      <c r="K8" s="5" t="str">
        <f t="shared" si="0"/>
        <v>YES</v>
      </c>
      <c r="M8" s="63"/>
    </row>
    <row r="9" spans="1:13" x14ac:dyDescent="0.25">
      <c r="A9" s="5" t="s">
        <v>21</v>
      </c>
      <c r="B9" s="3" t="s">
        <v>41</v>
      </c>
      <c r="C9" s="120">
        <v>-7</v>
      </c>
      <c r="D9" s="120"/>
      <c r="F9" s="120">
        <v>-7</v>
      </c>
      <c r="G9" s="120"/>
      <c r="I9" s="120"/>
      <c r="J9" s="120"/>
      <c r="K9" s="5" t="str">
        <f t="shared" si="0"/>
        <v>YES</v>
      </c>
      <c r="M9" s="63"/>
    </row>
    <row r="10" spans="1:13" x14ac:dyDescent="0.25">
      <c r="A10" s="5" t="s">
        <v>22</v>
      </c>
      <c r="B10" s="3" t="s">
        <v>39</v>
      </c>
      <c r="C10" s="120">
        <f>6-6</f>
        <v>0</v>
      </c>
      <c r="D10" s="120"/>
      <c r="F10" s="120"/>
      <c r="G10" s="120"/>
      <c r="I10" s="120"/>
      <c r="J10" s="120"/>
      <c r="K10" s="5" t="str">
        <f t="shared" si="0"/>
        <v>YES</v>
      </c>
      <c r="M10" s="63"/>
    </row>
    <row r="11" spans="1:13" x14ac:dyDescent="0.25">
      <c r="A11" s="5" t="s">
        <v>23</v>
      </c>
      <c r="B11" s="3" t="s">
        <v>44</v>
      </c>
      <c r="C11" s="120">
        <v>-2</v>
      </c>
      <c r="D11" s="120"/>
      <c r="F11" s="120"/>
      <c r="G11" s="120"/>
      <c r="I11" s="120">
        <v>-2</v>
      </c>
      <c r="J11" s="120"/>
      <c r="K11" s="5" t="str">
        <f t="shared" si="0"/>
        <v>YES</v>
      </c>
      <c r="M11" s="63"/>
    </row>
    <row r="12" spans="1:13" ht="15.75" thickBot="1" x14ac:dyDescent="0.3">
      <c r="B12" t="s">
        <v>7</v>
      </c>
      <c r="C12" s="118">
        <f>SUM(C4:C11)</f>
        <v>26</v>
      </c>
      <c r="D12" s="118"/>
      <c r="F12" s="118">
        <f>SUM(F4:F11)</f>
        <v>6</v>
      </c>
      <c r="G12" s="118"/>
      <c r="I12" s="118">
        <f>SUM(I4:I11)</f>
        <v>20</v>
      </c>
      <c r="J12" s="118"/>
      <c r="K12" s="4" t="str">
        <f>IF(C12-F12-I12=0,"YES","NO")</f>
        <v>YES</v>
      </c>
      <c r="M12" s="63"/>
    </row>
    <row r="13" spans="1:13" ht="15.75" thickTop="1" x14ac:dyDescent="0.25">
      <c r="M13" s="63"/>
    </row>
    <row r="14" spans="1:13" ht="15.75" x14ac:dyDescent="0.25">
      <c r="A14" s="114" t="s">
        <v>69</v>
      </c>
      <c r="B14" s="114"/>
      <c r="C14" s="114"/>
      <c r="D14" s="114"/>
      <c r="E14" s="114"/>
      <c r="F14" s="114"/>
      <c r="G14" s="114"/>
      <c r="H14" s="114"/>
      <c r="I14" s="114"/>
      <c r="J14" s="114"/>
      <c r="K14" s="114"/>
      <c r="M14" s="63"/>
    </row>
    <row r="15" spans="1:13" x14ac:dyDescent="0.25">
      <c r="M15" s="63"/>
    </row>
    <row r="16" spans="1:13" x14ac:dyDescent="0.25">
      <c r="C16" s="117" t="s">
        <v>0</v>
      </c>
      <c r="D16" s="117"/>
      <c r="E16" s="13" t="s">
        <v>5</v>
      </c>
      <c r="F16" s="117" t="s">
        <v>3</v>
      </c>
      <c r="G16" s="117"/>
      <c r="H16" s="13" t="s">
        <v>6</v>
      </c>
      <c r="I16" s="117" t="s">
        <v>43</v>
      </c>
      <c r="J16" s="117"/>
      <c r="K16" s="6" t="s">
        <v>12</v>
      </c>
      <c r="M16" s="63"/>
    </row>
    <row r="17" spans="1:13" ht="15.75" thickBot="1" x14ac:dyDescent="0.3">
      <c r="C17" s="11" t="s">
        <v>1</v>
      </c>
      <c r="D17" s="11" t="s">
        <v>2</v>
      </c>
      <c r="E17" s="12"/>
      <c r="F17" s="11" t="s">
        <v>1</v>
      </c>
      <c r="G17" s="11" t="s">
        <v>2</v>
      </c>
      <c r="H17" s="12"/>
      <c r="I17" s="11" t="s">
        <v>1</v>
      </c>
      <c r="J17" s="11" t="s">
        <v>2</v>
      </c>
      <c r="K17" s="2"/>
      <c r="M17" s="63"/>
    </row>
    <row r="18" spans="1:13" x14ac:dyDescent="0.25">
      <c r="A18" s="5" t="s">
        <v>16</v>
      </c>
      <c r="B18" s="3" t="s">
        <v>42</v>
      </c>
      <c r="C18" s="27">
        <v>20</v>
      </c>
      <c r="D18" s="24"/>
      <c r="F18" s="27"/>
      <c r="G18" s="24"/>
      <c r="I18" s="27">
        <v>20</v>
      </c>
      <c r="J18" s="24"/>
      <c r="K18" s="5" t="str">
        <f>IF(AND(ISBLANK(C18),ISBLANK(D18),ISBLANK(G18),ISBLANK(J18),ISBLANK(F18),ISBLANK(I18)),"",IF(C18-D18-F18+G18-I18+J18=0,"YES","NO"))</f>
        <v>YES</v>
      </c>
      <c r="M18" s="63"/>
    </row>
    <row r="19" spans="1:13" x14ac:dyDescent="0.25">
      <c r="A19" s="5" t="s">
        <v>17</v>
      </c>
      <c r="B19" s="3" t="s">
        <v>14</v>
      </c>
      <c r="C19" s="65"/>
      <c r="D19" s="64"/>
      <c r="F19" s="65"/>
      <c r="G19" s="64"/>
      <c r="I19" s="65"/>
      <c r="J19" s="64"/>
      <c r="K19" s="5" t="str">
        <f t="shared" ref="K19:K25" si="1">IF(AND(ISBLANK(C19),ISBLANK(D19),ISBLANK(G19),ISBLANK(J19),ISBLANK(F19),ISBLANK(I19)),"",IF(C19-D19-F19+G19-I19+J19=0,"YES","NO"))</f>
        <v/>
      </c>
      <c r="M19" s="63"/>
    </row>
    <row r="20" spans="1:13" x14ac:dyDescent="0.25">
      <c r="A20" s="5" t="s">
        <v>18</v>
      </c>
      <c r="B20" s="3" t="s">
        <v>13</v>
      </c>
      <c r="C20" s="65"/>
      <c r="D20" s="64"/>
      <c r="F20" s="65"/>
      <c r="G20" s="64"/>
      <c r="I20" s="65"/>
      <c r="J20" s="64"/>
      <c r="K20" s="5" t="str">
        <f t="shared" si="1"/>
        <v/>
      </c>
      <c r="M20" s="63"/>
    </row>
    <row r="21" spans="1:13" x14ac:dyDescent="0.25">
      <c r="A21" s="5" t="s">
        <v>19</v>
      </c>
      <c r="B21" s="3" t="s">
        <v>38</v>
      </c>
      <c r="C21" s="65"/>
      <c r="D21" s="64"/>
      <c r="F21" s="65"/>
      <c r="G21" s="64"/>
      <c r="I21" s="65"/>
      <c r="J21" s="64"/>
      <c r="K21" s="5" t="str">
        <f t="shared" si="1"/>
        <v/>
      </c>
      <c r="M21" s="63"/>
    </row>
    <row r="22" spans="1:13" x14ac:dyDescent="0.25">
      <c r="A22" s="5" t="s">
        <v>20</v>
      </c>
      <c r="B22" s="3" t="s">
        <v>75</v>
      </c>
      <c r="C22" s="65"/>
      <c r="D22" s="64"/>
      <c r="F22" s="65"/>
      <c r="G22" s="64"/>
      <c r="I22" s="65"/>
      <c r="J22" s="64"/>
      <c r="K22" s="5" t="str">
        <f t="shared" si="1"/>
        <v/>
      </c>
      <c r="M22" s="63"/>
    </row>
    <row r="23" spans="1:13" x14ac:dyDescent="0.25">
      <c r="A23" s="5" t="s">
        <v>21</v>
      </c>
      <c r="B23" s="3" t="s">
        <v>41</v>
      </c>
      <c r="C23" s="65"/>
      <c r="D23" s="64"/>
      <c r="F23" s="65"/>
      <c r="G23" s="64"/>
      <c r="I23" s="65"/>
      <c r="J23" s="64"/>
      <c r="K23" s="5" t="str">
        <f t="shared" si="1"/>
        <v/>
      </c>
      <c r="M23" s="63"/>
    </row>
    <row r="24" spans="1:13" x14ac:dyDescent="0.25">
      <c r="A24" s="5" t="s">
        <v>22</v>
      </c>
      <c r="B24" s="3" t="s">
        <v>39</v>
      </c>
      <c r="C24" s="65"/>
      <c r="D24" s="64"/>
      <c r="F24" s="65"/>
      <c r="G24" s="64"/>
      <c r="I24" s="65"/>
      <c r="J24" s="64"/>
      <c r="K24" s="5" t="str">
        <f t="shared" si="1"/>
        <v/>
      </c>
      <c r="M24" s="63"/>
    </row>
    <row r="25" spans="1:13" x14ac:dyDescent="0.25">
      <c r="A25" s="5" t="s">
        <v>23</v>
      </c>
      <c r="B25" s="3" t="s">
        <v>44</v>
      </c>
      <c r="C25" s="66"/>
      <c r="D25" s="64"/>
      <c r="F25" s="66"/>
      <c r="G25" s="64"/>
      <c r="I25" s="66"/>
      <c r="J25" s="64"/>
      <c r="K25" s="5" t="str">
        <f t="shared" si="1"/>
        <v/>
      </c>
      <c r="M25" s="63"/>
    </row>
    <row r="26" spans="1:13" x14ac:dyDescent="0.25">
      <c r="B26" t="s">
        <v>27</v>
      </c>
      <c r="C26" s="9">
        <f>SUM(C18:C25)</f>
        <v>20</v>
      </c>
      <c r="D26" s="9">
        <f>SUM(D18:D25)</f>
        <v>0</v>
      </c>
      <c r="E26" s="10"/>
      <c r="F26" s="30">
        <f>SUM(F18:F25)</f>
        <v>0</v>
      </c>
      <c r="G26" s="9">
        <f>SUM(G18:G25)</f>
        <v>0</v>
      </c>
      <c r="H26" s="10"/>
      <c r="I26" s="9">
        <f>SUM(I18:I25)</f>
        <v>20</v>
      </c>
      <c r="J26" s="9">
        <f>SUM(J18:J25)</f>
        <v>0</v>
      </c>
      <c r="K26" s="4"/>
      <c r="M26" s="63"/>
    </row>
    <row r="27" spans="1:13" ht="15.75" thickBot="1" x14ac:dyDescent="0.3">
      <c r="B27" s="3" t="s">
        <v>28</v>
      </c>
      <c r="C27" s="118">
        <f>C26-D26</f>
        <v>20</v>
      </c>
      <c r="D27" s="118"/>
      <c r="E27" s="7"/>
      <c r="F27" s="118">
        <f>F26-G26</f>
        <v>0</v>
      </c>
      <c r="G27" s="118"/>
      <c r="H27" s="7"/>
      <c r="I27" s="118">
        <f>I26-J26</f>
        <v>20</v>
      </c>
      <c r="J27" s="118"/>
      <c r="K27" s="4" t="str">
        <f>IF(C289-F27-I27,"YES","NO")</f>
        <v>YES</v>
      </c>
      <c r="M27" s="63"/>
    </row>
    <row r="28" spans="1:13" ht="15.75" thickTop="1" x14ac:dyDescent="0.25">
      <c r="B28" s="3"/>
      <c r="C28" s="22"/>
      <c r="D28" s="22"/>
      <c r="E28" s="7"/>
      <c r="F28" s="22"/>
      <c r="G28" s="22"/>
      <c r="H28" s="7"/>
      <c r="I28" s="22"/>
      <c r="J28" s="22"/>
      <c r="K28" s="4"/>
      <c r="M28" s="63"/>
    </row>
    <row r="29" spans="1:13" ht="15.75" x14ac:dyDescent="0.25">
      <c r="A29" s="114" t="s">
        <v>78</v>
      </c>
      <c r="B29" s="114"/>
      <c r="C29" s="114"/>
      <c r="D29" s="114"/>
      <c r="E29" s="114"/>
      <c r="F29" s="114"/>
      <c r="G29" s="114"/>
      <c r="H29" s="114"/>
      <c r="I29" s="114"/>
      <c r="J29" s="114"/>
      <c r="K29" s="114"/>
      <c r="M29" s="63"/>
    </row>
    <row r="30" spans="1:13" x14ac:dyDescent="0.25">
      <c r="M30" s="63"/>
    </row>
    <row r="31" spans="1:13" x14ac:dyDescent="0.25">
      <c r="C31" s="117" t="s">
        <v>0</v>
      </c>
      <c r="D31" s="117"/>
      <c r="E31" s="13" t="s">
        <v>5</v>
      </c>
      <c r="F31" s="117" t="s">
        <v>3</v>
      </c>
      <c r="G31" s="117"/>
      <c r="H31" s="13" t="s">
        <v>6</v>
      </c>
      <c r="I31" s="117" t="s">
        <v>43</v>
      </c>
      <c r="J31" s="117"/>
      <c r="K31" s="6" t="s">
        <v>12</v>
      </c>
      <c r="M31" s="63"/>
    </row>
    <row r="32" spans="1:13" ht="15.75" thickBot="1" x14ac:dyDescent="0.3">
      <c r="C32" s="11" t="s">
        <v>1</v>
      </c>
      <c r="D32" s="11" t="s">
        <v>2</v>
      </c>
      <c r="E32" s="12"/>
      <c r="F32" s="11" t="s">
        <v>2</v>
      </c>
      <c r="G32" s="11" t="s">
        <v>1</v>
      </c>
      <c r="H32" s="12"/>
      <c r="I32" s="11" t="s">
        <v>2</v>
      </c>
      <c r="J32" s="11" t="s">
        <v>1</v>
      </c>
      <c r="K32" s="2"/>
      <c r="M32" s="63"/>
    </row>
    <row r="33" spans="1:13" x14ac:dyDescent="0.25">
      <c r="A33" s="5" t="s">
        <v>16</v>
      </c>
      <c r="B33" s="3" t="s">
        <v>42</v>
      </c>
      <c r="C33" s="27">
        <f>C18</f>
        <v>20</v>
      </c>
      <c r="D33" s="24">
        <f>D18</f>
        <v>0</v>
      </c>
      <c r="F33" s="31">
        <f>G18</f>
        <v>0</v>
      </c>
      <c r="G33" s="23">
        <f>F18</f>
        <v>0</v>
      </c>
      <c r="I33" s="31">
        <f>J18</f>
        <v>0</v>
      </c>
      <c r="J33" s="23">
        <f>I18</f>
        <v>20</v>
      </c>
      <c r="K33" s="5" t="str">
        <f t="shared" ref="K33:K40" si="2">IF(AND(ISBLANK(C33),ISBLANK(D33),ISBLANK(F33),ISBLANK(I33),ISBLANK(G33),ISBLANK(J33)),"",IF(C33-D33-G33+F33-J33+I33=0,"YES","NO"))</f>
        <v>YES</v>
      </c>
      <c r="M33" s="63"/>
    </row>
    <row r="34" spans="1:13" x14ac:dyDescent="0.25">
      <c r="A34" s="5" t="s">
        <v>17</v>
      </c>
      <c r="B34" s="3" t="s">
        <v>14</v>
      </c>
      <c r="C34" s="28">
        <f t="shared" ref="C34:D39" si="3">C19</f>
        <v>0</v>
      </c>
      <c r="D34" s="24">
        <f t="shared" si="3"/>
        <v>0</v>
      </c>
      <c r="F34" s="32">
        <f t="shared" ref="F34:F39" si="4">G19</f>
        <v>0</v>
      </c>
      <c r="G34" s="23">
        <f t="shared" ref="G34:G39" si="5">F19</f>
        <v>0</v>
      </c>
      <c r="I34" s="32">
        <f t="shared" ref="I34:I39" si="6">J19</f>
        <v>0</v>
      </c>
      <c r="J34" s="23">
        <f t="shared" ref="J34:J39" si="7">I19</f>
        <v>0</v>
      </c>
      <c r="K34" s="5" t="str">
        <f t="shared" si="2"/>
        <v>YES</v>
      </c>
      <c r="M34" s="63"/>
    </row>
    <row r="35" spans="1:13" x14ac:dyDescent="0.25">
      <c r="A35" s="5" t="s">
        <v>18</v>
      </c>
      <c r="B35" s="3" t="s">
        <v>13</v>
      </c>
      <c r="C35" s="28">
        <f t="shared" si="3"/>
        <v>0</v>
      </c>
      <c r="D35" s="24">
        <f t="shared" si="3"/>
        <v>0</v>
      </c>
      <c r="F35" s="32">
        <f t="shared" si="4"/>
        <v>0</v>
      </c>
      <c r="G35" s="23">
        <f t="shared" si="5"/>
        <v>0</v>
      </c>
      <c r="I35" s="32">
        <f t="shared" si="6"/>
        <v>0</v>
      </c>
      <c r="J35" s="23">
        <f t="shared" si="7"/>
        <v>0</v>
      </c>
      <c r="K35" s="5" t="str">
        <f t="shared" si="2"/>
        <v>YES</v>
      </c>
      <c r="M35" s="63"/>
    </row>
    <row r="36" spans="1:13" x14ac:dyDescent="0.25">
      <c r="A36" s="5" t="s">
        <v>19</v>
      </c>
      <c r="B36" s="3" t="s">
        <v>38</v>
      </c>
      <c r="C36" s="28">
        <f t="shared" si="3"/>
        <v>0</v>
      </c>
      <c r="D36" s="24">
        <f t="shared" si="3"/>
        <v>0</v>
      </c>
      <c r="F36" s="32">
        <f t="shared" si="4"/>
        <v>0</v>
      </c>
      <c r="G36" s="23">
        <f t="shared" si="5"/>
        <v>0</v>
      </c>
      <c r="I36" s="32">
        <f t="shared" si="6"/>
        <v>0</v>
      </c>
      <c r="J36" s="23">
        <f t="shared" si="7"/>
        <v>0</v>
      </c>
      <c r="K36" s="5" t="str">
        <f t="shared" si="2"/>
        <v>YES</v>
      </c>
      <c r="M36" s="63"/>
    </row>
    <row r="37" spans="1:13" x14ac:dyDescent="0.25">
      <c r="A37" s="5" t="s">
        <v>20</v>
      </c>
      <c r="B37" s="3" t="s">
        <v>75</v>
      </c>
      <c r="C37" s="28">
        <f t="shared" si="3"/>
        <v>0</v>
      </c>
      <c r="D37" s="24">
        <f t="shared" si="3"/>
        <v>0</v>
      </c>
      <c r="F37" s="32">
        <f t="shared" si="4"/>
        <v>0</v>
      </c>
      <c r="G37" s="23">
        <f t="shared" si="5"/>
        <v>0</v>
      </c>
      <c r="I37" s="32">
        <f t="shared" si="6"/>
        <v>0</v>
      </c>
      <c r="J37" s="23">
        <f t="shared" si="7"/>
        <v>0</v>
      </c>
      <c r="K37" s="5" t="str">
        <f t="shared" si="2"/>
        <v>YES</v>
      </c>
      <c r="M37" s="63"/>
    </row>
    <row r="38" spans="1:13" x14ac:dyDescent="0.25">
      <c r="A38" s="5" t="s">
        <v>21</v>
      </c>
      <c r="B38" s="3" t="s">
        <v>41</v>
      </c>
      <c r="C38" s="28">
        <f t="shared" si="3"/>
        <v>0</v>
      </c>
      <c r="D38" s="24">
        <f t="shared" si="3"/>
        <v>0</v>
      </c>
      <c r="F38" s="32">
        <f t="shared" si="4"/>
        <v>0</v>
      </c>
      <c r="G38" s="23">
        <f t="shared" si="5"/>
        <v>0</v>
      </c>
      <c r="I38" s="32">
        <f t="shared" si="6"/>
        <v>0</v>
      </c>
      <c r="J38" s="23">
        <f t="shared" si="7"/>
        <v>0</v>
      </c>
      <c r="K38" s="5" t="str">
        <f t="shared" si="2"/>
        <v>YES</v>
      </c>
      <c r="M38" s="63"/>
    </row>
    <row r="39" spans="1:13" x14ac:dyDescent="0.25">
      <c r="A39" s="5" t="s">
        <v>22</v>
      </c>
      <c r="B39" s="3" t="s">
        <v>39</v>
      </c>
      <c r="C39" s="28">
        <f t="shared" si="3"/>
        <v>0</v>
      </c>
      <c r="D39" s="24">
        <f t="shared" si="3"/>
        <v>0</v>
      </c>
      <c r="F39" s="32">
        <f t="shared" si="4"/>
        <v>0</v>
      </c>
      <c r="G39" s="23">
        <f t="shared" si="5"/>
        <v>0</v>
      </c>
      <c r="I39" s="32">
        <f t="shared" si="6"/>
        <v>0</v>
      </c>
      <c r="J39" s="23">
        <f t="shared" si="7"/>
        <v>0</v>
      </c>
      <c r="K39" s="5" t="str">
        <f t="shared" si="2"/>
        <v>YES</v>
      </c>
      <c r="M39" s="63"/>
    </row>
    <row r="40" spans="1:13" x14ac:dyDescent="0.25">
      <c r="A40" s="5" t="s">
        <v>23</v>
      </c>
      <c r="B40" s="3" t="s">
        <v>44</v>
      </c>
      <c r="C40" s="29">
        <f>C25</f>
        <v>0</v>
      </c>
      <c r="D40" s="24">
        <f>D25</f>
        <v>0</v>
      </c>
      <c r="F40" s="33">
        <f>G25</f>
        <v>0</v>
      </c>
      <c r="G40" s="23">
        <f>F25</f>
        <v>0</v>
      </c>
      <c r="I40" s="33">
        <f>J25</f>
        <v>0</v>
      </c>
      <c r="J40" s="23">
        <f>I25</f>
        <v>0</v>
      </c>
      <c r="K40" s="5" t="str">
        <f t="shared" si="2"/>
        <v>YES</v>
      </c>
      <c r="M40" s="63"/>
    </row>
    <row r="41" spans="1:13" x14ac:dyDescent="0.25">
      <c r="B41" t="s">
        <v>27</v>
      </c>
      <c r="C41" s="9">
        <f>SUM(C33:C40)</f>
        <v>20</v>
      </c>
      <c r="D41" s="9">
        <f>SUM(D33:D40)</f>
        <v>0</v>
      </c>
      <c r="E41" s="10"/>
      <c r="F41" s="9">
        <f>SUM(F33:F40)</f>
        <v>0</v>
      </c>
      <c r="G41" s="9">
        <f>SUM(G33:G40)</f>
        <v>0</v>
      </c>
      <c r="H41" s="10"/>
      <c r="I41" s="9">
        <f>SUM(I33:I40)</f>
        <v>0</v>
      </c>
      <c r="J41" s="9">
        <f>SUM(J33:J40)</f>
        <v>20</v>
      </c>
      <c r="K41" s="4"/>
      <c r="M41" s="63"/>
    </row>
    <row r="42" spans="1:13" ht="15.75" thickBot="1" x14ac:dyDescent="0.3">
      <c r="B42" s="3" t="s">
        <v>28</v>
      </c>
      <c r="C42" s="118">
        <f>C41-D41</f>
        <v>20</v>
      </c>
      <c r="D42" s="118"/>
      <c r="E42" s="7"/>
      <c r="F42" s="118">
        <f>-F41+G41</f>
        <v>0</v>
      </c>
      <c r="G42" s="118"/>
      <c r="H42" s="7"/>
      <c r="I42" s="118">
        <f>J41-I41</f>
        <v>20</v>
      </c>
      <c r="J42" s="118"/>
      <c r="K42" s="4" t="str">
        <f>IF(C302-F42-I42,"YES","NO")</f>
        <v>YES</v>
      </c>
      <c r="M42" s="63"/>
    </row>
    <row r="43" spans="1:13" ht="15.75" thickTop="1" x14ac:dyDescent="0.25">
      <c r="M43" s="63"/>
    </row>
    <row r="44" spans="1:13" ht="15.75" x14ac:dyDescent="0.25">
      <c r="A44" s="114" t="s">
        <v>79</v>
      </c>
      <c r="B44" s="114"/>
      <c r="C44" s="114"/>
      <c r="D44" s="114"/>
      <c r="E44" s="114"/>
      <c r="F44" s="114"/>
      <c r="G44" s="114"/>
      <c r="H44" s="114"/>
      <c r="I44" s="114"/>
      <c r="J44" s="114"/>
      <c r="K44" s="114"/>
      <c r="M44" s="63"/>
    </row>
    <row r="45" spans="1:13" x14ac:dyDescent="0.25">
      <c r="A45" s="37"/>
      <c r="B45" s="37"/>
      <c r="C45" s="37"/>
      <c r="D45" s="37"/>
      <c r="E45" s="37"/>
      <c r="F45" s="37"/>
      <c r="G45" s="37"/>
      <c r="H45" s="37"/>
      <c r="I45" s="37"/>
      <c r="J45" s="37"/>
      <c r="K45" s="37"/>
      <c r="M45" s="63"/>
    </row>
    <row r="46" spans="1:13" x14ac:dyDescent="0.25">
      <c r="C46" s="117" t="s">
        <v>0</v>
      </c>
      <c r="D46" s="117"/>
      <c r="E46" s="13" t="s">
        <v>5</v>
      </c>
      <c r="F46" s="117" t="s">
        <v>3</v>
      </c>
      <c r="G46" s="117"/>
      <c r="H46" s="13" t="s">
        <v>6</v>
      </c>
      <c r="I46" s="117" t="s">
        <v>43</v>
      </c>
      <c r="J46" s="117"/>
      <c r="K46" s="6" t="s">
        <v>55</v>
      </c>
      <c r="M46" s="63"/>
    </row>
    <row r="47" spans="1:13" ht="15.75" thickBot="1" x14ac:dyDescent="0.3">
      <c r="C47" s="11" t="s">
        <v>33</v>
      </c>
      <c r="D47" s="11" t="s">
        <v>34</v>
      </c>
      <c r="E47" s="12"/>
      <c r="F47" s="11" t="s">
        <v>33</v>
      </c>
      <c r="G47" s="11" t="s">
        <v>34</v>
      </c>
      <c r="H47" s="12"/>
      <c r="I47" s="11" t="s">
        <v>33</v>
      </c>
      <c r="J47" s="11" t="s">
        <v>34</v>
      </c>
      <c r="K47" s="2"/>
      <c r="M47" s="63"/>
    </row>
    <row r="48" spans="1:13" x14ac:dyDescent="0.25">
      <c r="A48" s="5" t="s">
        <v>16</v>
      </c>
      <c r="B48" s="3" t="s">
        <v>42</v>
      </c>
      <c r="C48" s="35">
        <v>20</v>
      </c>
      <c r="D48" s="34"/>
      <c r="E48" s="21"/>
      <c r="F48" s="35"/>
      <c r="G48" s="34"/>
      <c r="H48" s="21"/>
      <c r="I48" s="35"/>
      <c r="J48" s="34">
        <v>20</v>
      </c>
      <c r="K48" s="19">
        <f>C48+F48+I48-D48-G48-J48</f>
        <v>0</v>
      </c>
      <c r="M48" s="63"/>
    </row>
    <row r="49" spans="1:13" x14ac:dyDescent="0.25">
      <c r="A49" s="5" t="s">
        <v>17</v>
      </c>
      <c r="B49" s="3" t="s">
        <v>14</v>
      </c>
      <c r="C49" s="69"/>
      <c r="D49" s="70"/>
      <c r="E49" s="21"/>
      <c r="F49" s="69"/>
      <c r="G49" s="70"/>
      <c r="H49" s="21"/>
      <c r="I49" s="69"/>
      <c r="J49" s="70"/>
      <c r="K49" s="19">
        <f t="shared" ref="K49:K55" si="8">C49+F49+I49-D49-G49-J49</f>
        <v>0</v>
      </c>
      <c r="M49" s="63"/>
    </row>
    <row r="50" spans="1:13" x14ac:dyDescent="0.25">
      <c r="A50" s="5" t="s">
        <v>18</v>
      </c>
      <c r="B50" s="3" t="s">
        <v>13</v>
      </c>
      <c r="C50" s="69"/>
      <c r="D50" s="70"/>
      <c r="E50" s="21"/>
      <c r="F50" s="69"/>
      <c r="G50" s="70"/>
      <c r="H50" s="21"/>
      <c r="I50" s="69"/>
      <c r="J50" s="70"/>
      <c r="K50" s="19">
        <f t="shared" si="8"/>
        <v>0</v>
      </c>
      <c r="M50" s="63"/>
    </row>
    <row r="51" spans="1:13" x14ac:dyDescent="0.25">
      <c r="A51" s="5" t="s">
        <v>19</v>
      </c>
      <c r="B51" s="3" t="s">
        <v>38</v>
      </c>
      <c r="C51" s="69"/>
      <c r="D51" s="70"/>
      <c r="E51" s="21"/>
      <c r="F51" s="69"/>
      <c r="G51" s="70"/>
      <c r="H51" s="21"/>
      <c r="I51" s="69"/>
      <c r="J51" s="70"/>
      <c r="K51" s="19">
        <f t="shared" si="8"/>
        <v>0</v>
      </c>
      <c r="M51" s="63"/>
    </row>
    <row r="52" spans="1:13" x14ac:dyDescent="0.25">
      <c r="A52" s="5" t="s">
        <v>20</v>
      </c>
      <c r="B52" s="3" t="s">
        <v>75</v>
      </c>
      <c r="C52" s="69"/>
      <c r="D52" s="70"/>
      <c r="E52" s="21"/>
      <c r="F52" s="69"/>
      <c r="G52" s="70"/>
      <c r="H52" s="21"/>
      <c r="I52" s="69"/>
      <c r="J52" s="70"/>
      <c r="K52" s="19">
        <f t="shared" si="8"/>
        <v>0</v>
      </c>
      <c r="M52" s="63"/>
    </row>
    <row r="53" spans="1:13" x14ac:dyDescent="0.25">
      <c r="A53" s="5" t="s">
        <v>21</v>
      </c>
      <c r="B53" s="3" t="s">
        <v>41</v>
      </c>
      <c r="C53" s="69"/>
      <c r="D53" s="70"/>
      <c r="E53" s="21"/>
      <c r="F53" s="69"/>
      <c r="G53" s="70"/>
      <c r="H53" s="21"/>
      <c r="I53" s="69"/>
      <c r="J53" s="70"/>
      <c r="K53" s="19">
        <f t="shared" si="8"/>
        <v>0</v>
      </c>
      <c r="M53" s="63"/>
    </row>
    <row r="54" spans="1:13" x14ac:dyDescent="0.25">
      <c r="A54" s="5" t="s">
        <v>22</v>
      </c>
      <c r="B54" s="3" t="s">
        <v>39</v>
      </c>
      <c r="C54" s="69"/>
      <c r="D54" s="70"/>
      <c r="E54" s="21"/>
      <c r="F54" s="69"/>
      <c r="G54" s="70"/>
      <c r="H54" s="21"/>
      <c r="I54" s="69"/>
      <c r="J54" s="70"/>
      <c r="K54" s="19">
        <f t="shared" si="8"/>
        <v>0</v>
      </c>
      <c r="M54" s="63"/>
    </row>
    <row r="55" spans="1:13" x14ac:dyDescent="0.25">
      <c r="A55" s="5" t="s">
        <v>23</v>
      </c>
      <c r="B55" s="3" t="s">
        <v>44</v>
      </c>
      <c r="C55" s="69"/>
      <c r="D55" s="70"/>
      <c r="E55" s="21"/>
      <c r="F55" s="69"/>
      <c r="G55" s="70"/>
      <c r="H55" s="21"/>
      <c r="I55" s="69"/>
      <c r="J55" s="70"/>
      <c r="K55" s="19">
        <f t="shared" si="8"/>
        <v>0</v>
      </c>
      <c r="M55" s="63"/>
    </row>
    <row r="56" spans="1:13" x14ac:dyDescent="0.25">
      <c r="B56" t="s">
        <v>74</v>
      </c>
      <c r="C56" s="9">
        <f>SUM(C48:C55)</f>
        <v>20</v>
      </c>
      <c r="D56" s="9">
        <f>SUM(D48:D55)</f>
        <v>0</v>
      </c>
      <c r="E56" s="10"/>
      <c r="F56" s="9">
        <f>SUM(F48:F55)</f>
        <v>0</v>
      </c>
      <c r="G56" s="9">
        <f>SUM(G48:G55)</f>
        <v>0</v>
      </c>
      <c r="H56" s="10"/>
      <c r="I56" s="9">
        <f>SUM(I48:I55)</f>
        <v>0</v>
      </c>
      <c r="J56" s="36">
        <f>SUM(J48:J55)</f>
        <v>20</v>
      </c>
      <c r="K56" s="19"/>
      <c r="M56" s="63"/>
    </row>
    <row r="57" spans="1:13" ht="15.75" thickBot="1" x14ac:dyDescent="0.3">
      <c r="B57" s="3" t="s">
        <v>28</v>
      </c>
      <c r="C57" s="118">
        <f>C56-D56</f>
        <v>20</v>
      </c>
      <c r="D57" s="118"/>
      <c r="E57" s="7"/>
      <c r="F57" s="118">
        <f>-F56+G56</f>
        <v>0</v>
      </c>
      <c r="G57" s="118"/>
      <c r="H57" s="7"/>
      <c r="I57" s="118">
        <f>J56-I56</f>
        <v>20</v>
      </c>
      <c r="J57" s="118"/>
      <c r="K57" s="4">
        <f>C57-F57-I57</f>
        <v>0</v>
      </c>
      <c r="M57" s="63"/>
    </row>
    <row r="58" spans="1:13" ht="15.75" thickTop="1" x14ac:dyDescent="0.25">
      <c r="M58" s="63"/>
    </row>
    <row r="59" spans="1:13" x14ac:dyDescent="0.25">
      <c r="A59" s="63"/>
      <c r="B59" s="63"/>
      <c r="C59" s="63"/>
      <c r="D59" s="63"/>
      <c r="E59" s="63"/>
      <c r="F59" s="63"/>
      <c r="G59" s="63"/>
      <c r="H59" s="63"/>
      <c r="I59" s="63"/>
      <c r="J59" s="63"/>
      <c r="K59" s="63"/>
      <c r="L59" s="63"/>
      <c r="M59" s="63"/>
    </row>
  </sheetData>
  <sheetProtection algorithmName="SHA-512" hashValue="ZNmdO42CcscEas+eVUP0l+Gom2E0Cwwn5sPDHPVQXwHKB6YtS7u4mRFDlSHNNGRfZFwxoWtdUz+CZ/xUiJyL4g==" saltValue="zF64nThOhR93mPrsrTFsFA==" spinCount="100000" sheet="1" objects="1" scenarios="1"/>
  <mergeCells count="53">
    <mergeCell ref="C5:D5"/>
    <mergeCell ref="F5:G5"/>
    <mergeCell ref="I5:J5"/>
    <mergeCell ref="A2:K2"/>
    <mergeCell ref="C3:D3"/>
    <mergeCell ref="I3:J3"/>
    <mergeCell ref="C4:D4"/>
    <mergeCell ref="F4:G4"/>
    <mergeCell ref="I4:J4"/>
    <mergeCell ref="C6:D6"/>
    <mergeCell ref="F6:G6"/>
    <mergeCell ref="I6:J6"/>
    <mergeCell ref="C7:D7"/>
    <mergeCell ref="F7:G7"/>
    <mergeCell ref="I7:J7"/>
    <mergeCell ref="C8:D8"/>
    <mergeCell ref="F8:G8"/>
    <mergeCell ref="I8:J8"/>
    <mergeCell ref="C9:D9"/>
    <mergeCell ref="F9:G9"/>
    <mergeCell ref="I9:J9"/>
    <mergeCell ref="C10:D10"/>
    <mergeCell ref="F10:G10"/>
    <mergeCell ref="I10:J10"/>
    <mergeCell ref="C11:D11"/>
    <mergeCell ref="F11:G11"/>
    <mergeCell ref="I11:J11"/>
    <mergeCell ref="C31:D31"/>
    <mergeCell ref="F31:G31"/>
    <mergeCell ref="I31:J31"/>
    <mergeCell ref="C12:D12"/>
    <mergeCell ref="F12:G12"/>
    <mergeCell ref="I12:J12"/>
    <mergeCell ref="A14:K14"/>
    <mergeCell ref="C16:D16"/>
    <mergeCell ref="F16:G16"/>
    <mergeCell ref="I16:J16"/>
    <mergeCell ref="C57:D57"/>
    <mergeCell ref="F57:G57"/>
    <mergeCell ref="I57:J57"/>
    <mergeCell ref="A1:K1"/>
    <mergeCell ref="F3:G3"/>
    <mergeCell ref="C42:D42"/>
    <mergeCell ref="F42:G42"/>
    <mergeCell ref="I42:J42"/>
    <mergeCell ref="A44:K44"/>
    <mergeCell ref="C46:D46"/>
    <mergeCell ref="F46:G46"/>
    <mergeCell ref="I46:J46"/>
    <mergeCell ref="C27:D27"/>
    <mergeCell ref="F27:G27"/>
    <mergeCell ref="I27:J27"/>
    <mergeCell ref="A29:K29"/>
  </mergeCells>
  <conditionalFormatting sqref="K4:K12">
    <cfRule type="cellIs" dxfId="15" priority="15" operator="equal">
      <formula>"NO"</formula>
    </cfRule>
    <cfRule type="cellIs" dxfId="14" priority="16" operator="equal">
      <formula>"YES"</formula>
    </cfRule>
  </conditionalFormatting>
  <conditionalFormatting sqref="K18:K21 K23:K28">
    <cfRule type="cellIs" dxfId="13" priority="13" operator="equal">
      <formula>"NO"</formula>
    </cfRule>
    <cfRule type="cellIs" dxfId="12" priority="14" operator="equal">
      <formula>"YES"</formula>
    </cfRule>
  </conditionalFormatting>
  <conditionalFormatting sqref="K33:K42">
    <cfRule type="cellIs" dxfId="11" priority="11" operator="equal">
      <formula>"NO"</formula>
    </cfRule>
    <cfRule type="cellIs" dxfId="10" priority="12" operator="equal">
      <formula>"YES"</formula>
    </cfRule>
  </conditionalFormatting>
  <conditionalFormatting sqref="K22">
    <cfRule type="cellIs" dxfId="9" priority="3" operator="equal">
      <formula>"NO"</formula>
    </cfRule>
    <cfRule type="cellIs" dxfId="8" priority="4" operator="equal">
      <formula>"YES"</formula>
    </cfRule>
  </conditionalFormatting>
  <conditionalFormatting sqref="K48:K57">
    <cfRule type="cellIs" dxfId="7" priority="2" operator="greaterThan">
      <formula>0</formula>
    </cfRule>
  </conditionalFormatting>
  <conditionalFormatting sqref="K48:K57">
    <cfRule type="cellIs" dxfId="6"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8"/>
  <sheetViews>
    <sheetView zoomScale="130" zoomScaleNormal="130" workbookViewId="0">
      <selection activeCell="K5" sqref="K5"/>
    </sheetView>
  </sheetViews>
  <sheetFormatPr defaultColWidth="11.42578125" defaultRowHeight="15" x14ac:dyDescent="0.25"/>
  <cols>
    <col min="2" max="2" width="59.140625" customWidth="1"/>
    <col min="3" max="10" width="15.28515625" customWidth="1"/>
    <col min="11" max="11" width="2" customWidth="1"/>
    <col min="12" max="17" width="14.140625" customWidth="1"/>
    <col min="18" max="18" width="2" bestFit="1" customWidth="1"/>
    <col min="19" max="22" width="14.28515625" customWidth="1"/>
    <col min="23" max="23" width="13.85546875" bestFit="1" customWidth="1"/>
    <col min="25" max="25" width="3.85546875" customWidth="1"/>
  </cols>
  <sheetData>
    <row r="1" spans="1:25" ht="28.5" x14ac:dyDescent="0.45">
      <c r="A1" s="126" t="s">
        <v>62</v>
      </c>
      <c r="B1" s="126"/>
      <c r="C1" s="126"/>
      <c r="D1" s="126"/>
      <c r="E1" s="126"/>
      <c r="F1" s="126"/>
      <c r="G1" s="126"/>
      <c r="H1" s="126"/>
      <c r="I1" s="126"/>
      <c r="J1" s="126"/>
      <c r="K1" s="126"/>
      <c r="L1" s="126"/>
      <c r="M1" s="126"/>
      <c r="N1" s="126"/>
      <c r="O1" s="126"/>
      <c r="P1" s="126"/>
      <c r="Q1" s="126"/>
      <c r="R1" s="126"/>
      <c r="S1" s="126"/>
      <c r="T1" s="126"/>
      <c r="U1" s="126"/>
      <c r="V1" s="126"/>
      <c r="Y1" s="63"/>
    </row>
    <row r="2" spans="1:25" ht="19.5" thickBot="1" x14ac:dyDescent="0.35">
      <c r="A2" s="137" t="s">
        <v>72</v>
      </c>
      <c r="B2" s="137"/>
      <c r="C2" s="137"/>
      <c r="D2" s="137"/>
      <c r="E2" s="137"/>
      <c r="F2" s="137"/>
      <c r="G2" s="137"/>
      <c r="H2" s="137"/>
      <c r="I2" s="137"/>
      <c r="J2" s="137"/>
      <c r="K2" s="137"/>
      <c r="L2" s="137"/>
      <c r="M2" s="137"/>
      <c r="N2" s="137"/>
      <c r="O2" s="137"/>
      <c r="P2" s="137"/>
      <c r="Q2" s="137"/>
      <c r="R2" s="137"/>
      <c r="S2" s="137"/>
      <c r="T2" s="137"/>
      <c r="U2" s="137"/>
      <c r="V2" s="137"/>
      <c r="Y2" s="63"/>
    </row>
    <row r="3" spans="1:25" ht="26.25" x14ac:dyDescent="0.4">
      <c r="A3" s="58"/>
      <c r="B3" s="58"/>
      <c r="C3" s="127" t="s">
        <v>64</v>
      </c>
      <c r="D3" s="128"/>
      <c r="E3" s="128"/>
      <c r="F3" s="128"/>
      <c r="G3" s="128"/>
      <c r="H3" s="128"/>
      <c r="I3" s="128"/>
      <c r="J3" s="128"/>
      <c r="K3" s="128"/>
      <c r="L3" s="128"/>
      <c r="M3" s="128"/>
      <c r="N3" s="128"/>
      <c r="O3" s="128"/>
      <c r="P3" s="128"/>
      <c r="Q3" s="128"/>
      <c r="R3" s="128"/>
      <c r="S3" s="128"/>
      <c r="T3" s="128"/>
      <c r="U3" s="128"/>
      <c r="V3" s="129"/>
      <c r="Y3" s="63"/>
    </row>
    <row r="4" spans="1:25" ht="15.75" thickBot="1" x14ac:dyDescent="0.3">
      <c r="C4" s="122" t="s">
        <v>0</v>
      </c>
      <c r="D4" s="123"/>
      <c r="E4" s="123"/>
      <c r="F4" s="123"/>
      <c r="G4" s="123"/>
      <c r="H4" s="123"/>
      <c r="I4" s="123"/>
      <c r="J4" s="123"/>
      <c r="K4" s="59" t="s">
        <v>5</v>
      </c>
      <c r="L4" s="124" t="s">
        <v>3</v>
      </c>
      <c r="M4" s="124"/>
      <c r="N4" s="124"/>
      <c r="O4" s="124"/>
      <c r="P4" s="124"/>
      <c r="Q4" s="124"/>
      <c r="R4" s="59" t="s">
        <v>6</v>
      </c>
      <c r="S4" s="123" t="s">
        <v>4</v>
      </c>
      <c r="T4" s="123"/>
      <c r="U4" s="123"/>
      <c r="V4" s="125"/>
      <c r="Y4" s="63"/>
    </row>
    <row r="5" spans="1:25" x14ac:dyDescent="0.25">
      <c r="C5" s="132" t="s">
        <v>8</v>
      </c>
      <c r="D5" s="133"/>
      <c r="E5" s="132" t="s">
        <v>9</v>
      </c>
      <c r="F5" s="133"/>
      <c r="G5" s="132" t="s">
        <v>10</v>
      </c>
      <c r="H5" s="133"/>
      <c r="I5" s="132" t="s">
        <v>35</v>
      </c>
      <c r="J5" s="133"/>
      <c r="K5" s="7" t="e">
        <f>'General Ledger'!W7=IF(AND(ISBLANK(C5),ISBLANK(F5),ISBLANK(I5)),"",IF(C5-F5-I5=0,"YES","NO"))</f>
        <v>#VALUE!</v>
      </c>
      <c r="L5" s="132" t="s">
        <v>11</v>
      </c>
      <c r="M5" s="133"/>
      <c r="N5" s="132" t="s">
        <v>32</v>
      </c>
      <c r="O5" s="133"/>
      <c r="P5" s="132" t="s">
        <v>29</v>
      </c>
      <c r="Q5" s="133"/>
      <c r="R5" s="7"/>
      <c r="S5" s="132" t="s">
        <v>30</v>
      </c>
      <c r="T5" s="133"/>
      <c r="U5" s="132" t="s">
        <v>31</v>
      </c>
      <c r="V5" s="133"/>
      <c r="W5" s="20" t="s">
        <v>55</v>
      </c>
      <c r="Y5" s="63"/>
    </row>
    <row r="6" spans="1:25" ht="15.75" thickBot="1" x14ac:dyDescent="0.3">
      <c r="C6" s="14" t="s">
        <v>33</v>
      </c>
      <c r="D6" s="15" t="s">
        <v>34</v>
      </c>
      <c r="E6" s="14" t="s">
        <v>33</v>
      </c>
      <c r="F6" s="15" t="s">
        <v>34</v>
      </c>
      <c r="G6" s="14" t="s">
        <v>33</v>
      </c>
      <c r="H6" s="15" t="s">
        <v>34</v>
      </c>
      <c r="I6" s="14" t="s">
        <v>33</v>
      </c>
      <c r="J6" s="15" t="s">
        <v>34</v>
      </c>
      <c r="K6" s="12"/>
      <c r="L6" s="14" t="s">
        <v>33</v>
      </c>
      <c r="M6" s="15" t="s">
        <v>34</v>
      </c>
      <c r="N6" s="14" t="s">
        <v>33</v>
      </c>
      <c r="O6" s="15" t="s">
        <v>34</v>
      </c>
      <c r="P6" s="14" t="s">
        <v>33</v>
      </c>
      <c r="Q6" s="15" t="s">
        <v>34</v>
      </c>
      <c r="R6" s="12"/>
      <c r="S6" s="14" t="s">
        <v>33</v>
      </c>
      <c r="T6" s="15" t="s">
        <v>34</v>
      </c>
      <c r="U6" s="14" t="s">
        <v>33</v>
      </c>
      <c r="V6" s="15" t="s">
        <v>34</v>
      </c>
      <c r="W6" s="2"/>
      <c r="Y6" s="63"/>
    </row>
    <row r="7" spans="1:25" x14ac:dyDescent="0.25">
      <c r="A7" s="1" t="s">
        <v>16</v>
      </c>
      <c r="B7" s="3" t="s">
        <v>15</v>
      </c>
      <c r="C7" s="16">
        <v>20</v>
      </c>
      <c r="D7" s="38"/>
      <c r="E7" s="16"/>
      <c r="F7" s="38"/>
      <c r="G7" s="16"/>
      <c r="H7" s="38"/>
      <c r="I7" s="16"/>
      <c r="J7" s="38"/>
      <c r="K7" s="7"/>
      <c r="L7" s="16"/>
      <c r="M7" s="38"/>
      <c r="N7" s="16"/>
      <c r="O7" s="38"/>
      <c r="P7" s="16"/>
      <c r="Q7" s="38"/>
      <c r="R7" s="7"/>
      <c r="S7" s="16"/>
      <c r="T7" s="38">
        <v>20</v>
      </c>
      <c r="U7" s="16"/>
      <c r="V7" s="38"/>
      <c r="W7" s="19">
        <f>C7+E7+G7+I7+L7+N7+P7+S7+U7-V7-T7-Q7-O7-M7-J7-H7-F7-D7</f>
        <v>0</v>
      </c>
      <c r="Y7" s="63"/>
    </row>
    <row r="8" spans="1:25" x14ac:dyDescent="0.25">
      <c r="A8" s="1" t="s">
        <v>17</v>
      </c>
      <c r="B8" s="3" t="s">
        <v>14</v>
      </c>
      <c r="C8" s="71"/>
      <c r="D8" s="72"/>
      <c r="E8" s="71"/>
      <c r="F8" s="72"/>
      <c r="G8" s="71"/>
      <c r="H8" s="72"/>
      <c r="I8" s="71"/>
      <c r="J8" s="72"/>
      <c r="K8" s="7"/>
      <c r="L8" s="71"/>
      <c r="M8" s="72"/>
      <c r="N8" s="71"/>
      <c r="O8" s="72"/>
      <c r="P8" s="71"/>
      <c r="Q8" s="72"/>
      <c r="R8" s="7"/>
      <c r="S8" s="71"/>
      <c r="T8" s="72"/>
      <c r="U8" s="71"/>
      <c r="V8" s="72"/>
      <c r="W8" s="19">
        <f t="shared" ref="W8:W15" si="0">C8+E8+G8+I8+L8+N8+P8+S8+U8-V8-T8-Q8-O8-M8-J8-H8-F8-D8</f>
        <v>0</v>
      </c>
      <c r="Y8" s="63"/>
    </row>
    <row r="9" spans="1:25" x14ac:dyDescent="0.25">
      <c r="A9" s="1" t="s">
        <v>18</v>
      </c>
      <c r="B9" s="3" t="s">
        <v>13</v>
      </c>
      <c r="C9" s="71"/>
      <c r="D9" s="72"/>
      <c r="E9" s="71"/>
      <c r="F9" s="72"/>
      <c r="G9" s="71"/>
      <c r="H9" s="72"/>
      <c r="I9" s="71"/>
      <c r="J9" s="72"/>
      <c r="K9" s="7"/>
      <c r="L9" s="71"/>
      <c r="M9" s="72"/>
      <c r="N9" s="71"/>
      <c r="O9" s="72"/>
      <c r="P9" s="71"/>
      <c r="Q9" s="72"/>
      <c r="R9" s="7"/>
      <c r="S9" s="71"/>
      <c r="T9" s="72"/>
      <c r="U9" s="71"/>
      <c r="V9" s="72"/>
      <c r="W9" s="19">
        <f t="shared" si="0"/>
        <v>0</v>
      </c>
      <c r="Y9" s="63"/>
    </row>
    <row r="10" spans="1:25" x14ac:dyDescent="0.25">
      <c r="A10" s="1" t="s">
        <v>19</v>
      </c>
      <c r="B10" s="3" t="s">
        <v>38</v>
      </c>
      <c r="C10" s="71"/>
      <c r="D10" s="72"/>
      <c r="E10" s="71"/>
      <c r="F10" s="72"/>
      <c r="G10" s="71"/>
      <c r="H10" s="72"/>
      <c r="I10" s="71"/>
      <c r="J10" s="72"/>
      <c r="K10" s="7"/>
      <c r="L10" s="71"/>
      <c r="M10" s="72"/>
      <c r="N10" s="71"/>
      <c r="O10" s="72"/>
      <c r="P10" s="71"/>
      <c r="Q10" s="72"/>
      <c r="R10" s="7"/>
      <c r="S10" s="71"/>
      <c r="T10" s="72"/>
      <c r="U10" s="71"/>
      <c r="V10" s="72"/>
      <c r="W10" s="19">
        <f t="shared" si="0"/>
        <v>0</v>
      </c>
      <c r="Y10" s="63"/>
    </row>
    <row r="11" spans="1:25" x14ac:dyDescent="0.25">
      <c r="A11" s="1" t="s">
        <v>21</v>
      </c>
      <c r="B11" s="3" t="s">
        <v>75</v>
      </c>
      <c r="C11" s="71"/>
      <c r="D11" s="72"/>
      <c r="E11" s="71"/>
      <c r="F11" s="72"/>
      <c r="G11" s="71"/>
      <c r="H11" s="72"/>
      <c r="I11" s="71"/>
      <c r="J11" s="72"/>
      <c r="K11" s="7"/>
      <c r="L11" s="71"/>
      <c r="M11" s="72"/>
      <c r="N11" s="71"/>
      <c r="O11" s="72"/>
      <c r="P11" s="71"/>
      <c r="Q11" s="72"/>
      <c r="R11" s="7"/>
      <c r="S11" s="71"/>
      <c r="T11" s="72"/>
      <c r="U11" s="71"/>
      <c r="V11" s="72"/>
      <c r="W11" s="19">
        <f t="shared" si="0"/>
        <v>0</v>
      </c>
      <c r="Y11" s="63"/>
    </row>
    <row r="12" spans="1:25" x14ac:dyDescent="0.25">
      <c r="A12" s="1" t="s">
        <v>24</v>
      </c>
      <c r="B12" s="3" t="s">
        <v>41</v>
      </c>
      <c r="C12" s="71"/>
      <c r="D12" s="72"/>
      <c r="E12" s="71"/>
      <c r="F12" s="72"/>
      <c r="G12" s="71"/>
      <c r="H12" s="72"/>
      <c r="I12" s="71"/>
      <c r="J12" s="72"/>
      <c r="K12" s="7"/>
      <c r="L12" s="71"/>
      <c r="M12" s="72"/>
      <c r="N12" s="71"/>
      <c r="O12" s="72"/>
      <c r="P12" s="71"/>
      <c r="Q12" s="72"/>
      <c r="R12" s="7"/>
      <c r="S12" s="71"/>
      <c r="T12" s="72"/>
      <c r="U12" s="71"/>
      <c r="V12" s="72"/>
      <c r="W12" s="19">
        <f t="shared" si="0"/>
        <v>0</v>
      </c>
      <c r="Y12" s="63"/>
    </row>
    <row r="13" spans="1:25" x14ac:dyDescent="0.25">
      <c r="A13" s="1" t="s">
        <v>25</v>
      </c>
      <c r="B13" s="3" t="s">
        <v>39</v>
      </c>
      <c r="C13" s="71"/>
      <c r="D13" s="72"/>
      <c r="E13" s="71"/>
      <c r="F13" s="72"/>
      <c r="G13" s="71"/>
      <c r="H13" s="72"/>
      <c r="I13" s="71"/>
      <c r="J13" s="72"/>
      <c r="K13" s="7"/>
      <c r="L13" s="71"/>
      <c r="M13" s="72"/>
      <c r="N13" s="71"/>
      <c r="O13" s="72"/>
      <c r="P13" s="71"/>
      <c r="Q13" s="72"/>
      <c r="R13" s="7"/>
      <c r="S13" s="71"/>
      <c r="T13" s="72"/>
      <c r="U13" s="71"/>
      <c r="V13" s="72"/>
      <c r="W13" s="19">
        <f t="shared" si="0"/>
        <v>0</v>
      </c>
      <c r="Y13" s="63"/>
    </row>
    <row r="14" spans="1:25" x14ac:dyDescent="0.25">
      <c r="A14" s="1" t="s">
        <v>26</v>
      </c>
      <c r="B14" s="3" t="s">
        <v>40</v>
      </c>
      <c r="C14" s="71"/>
      <c r="D14" s="72"/>
      <c r="E14" s="71"/>
      <c r="F14" s="72"/>
      <c r="G14" s="71"/>
      <c r="H14" s="72"/>
      <c r="I14" s="71"/>
      <c r="J14" s="72"/>
      <c r="K14" s="8"/>
      <c r="L14" s="71"/>
      <c r="M14" s="72"/>
      <c r="N14" s="71"/>
      <c r="O14" s="72"/>
      <c r="P14" s="71"/>
      <c r="Q14" s="72"/>
      <c r="R14" s="8"/>
      <c r="S14" s="71"/>
      <c r="T14" s="72"/>
      <c r="U14" s="71"/>
      <c r="V14" s="72"/>
      <c r="W14" s="19">
        <f t="shared" si="0"/>
        <v>0</v>
      </c>
      <c r="Y14" s="63"/>
    </row>
    <row r="15" spans="1:25" x14ac:dyDescent="0.25">
      <c r="B15" t="s">
        <v>27</v>
      </c>
      <c r="C15" s="17">
        <f t="shared" ref="C15:J15" si="1">SUM(C7:C14)</f>
        <v>20</v>
      </c>
      <c r="D15" s="18">
        <f t="shared" si="1"/>
        <v>0</v>
      </c>
      <c r="E15" s="17">
        <f t="shared" si="1"/>
        <v>0</v>
      </c>
      <c r="F15" s="18">
        <f t="shared" si="1"/>
        <v>0</v>
      </c>
      <c r="G15" s="17">
        <f t="shared" si="1"/>
        <v>0</v>
      </c>
      <c r="H15" s="18">
        <f t="shared" si="1"/>
        <v>0</v>
      </c>
      <c r="I15" s="17">
        <f t="shared" si="1"/>
        <v>0</v>
      </c>
      <c r="J15" s="18">
        <f t="shared" si="1"/>
        <v>0</v>
      </c>
      <c r="K15" s="10"/>
      <c r="L15" s="17">
        <f t="shared" ref="L15:Q15" si="2">SUM(L7:L14)</f>
        <v>0</v>
      </c>
      <c r="M15" s="18">
        <f t="shared" si="2"/>
        <v>0</v>
      </c>
      <c r="N15" s="17">
        <f t="shared" si="2"/>
        <v>0</v>
      </c>
      <c r="O15" s="18">
        <f t="shared" si="2"/>
        <v>0</v>
      </c>
      <c r="P15" s="17">
        <f t="shared" si="2"/>
        <v>0</v>
      </c>
      <c r="Q15" s="18">
        <f t="shared" si="2"/>
        <v>0</v>
      </c>
      <c r="R15" s="10"/>
      <c r="S15" s="17">
        <f>SUM(S7:S14)</f>
        <v>0</v>
      </c>
      <c r="T15" s="18">
        <f>SUM(T7:T14)</f>
        <v>20</v>
      </c>
      <c r="U15" s="17">
        <f>SUM(U7:U14)</f>
        <v>0</v>
      </c>
      <c r="V15" s="18">
        <f>SUM(V7:V14)</f>
        <v>0</v>
      </c>
      <c r="W15" s="19">
        <f t="shared" si="0"/>
        <v>0</v>
      </c>
      <c r="Y15" s="63"/>
    </row>
    <row r="16" spans="1:25" ht="15.75" thickBot="1" x14ac:dyDescent="0.3">
      <c r="B16" s="3" t="s">
        <v>67</v>
      </c>
      <c r="C16" s="130">
        <f>C15-D15</f>
        <v>20</v>
      </c>
      <c r="D16" s="131"/>
      <c r="E16" s="130">
        <f>E15-F15</f>
        <v>0</v>
      </c>
      <c r="F16" s="131"/>
      <c r="G16" s="130">
        <f>G15-H15</f>
        <v>0</v>
      </c>
      <c r="H16" s="131"/>
      <c r="I16" s="130">
        <f>I15-J15</f>
        <v>0</v>
      </c>
      <c r="J16" s="131"/>
      <c r="K16" s="7"/>
      <c r="L16" s="130">
        <f>-L15+M15</f>
        <v>0</v>
      </c>
      <c r="M16" s="131"/>
      <c r="N16" s="130">
        <f>-N15+O15</f>
        <v>0</v>
      </c>
      <c r="O16" s="131"/>
      <c r="P16" s="130">
        <f>-P15+Q15</f>
        <v>0</v>
      </c>
      <c r="Q16" s="131"/>
      <c r="R16" s="7"/>
      <c r="S16" s="130">
        <f>-S15+T15</f>
        <v>20</v>
      </c>
      <c r="T16" s="131"/>
      <c r="U16" s="130">
        <f>-U15+V15</f>
        <v>0</v>
      </c>
      <c r="V16" s="131"/>
      <c r="W16" s="4"/>
      <c r="Y16" s="63"/>
    </row>
    <row r="17" spans="1:25" ht="15.75" thickBot="1" x14ac:dyDescent="0.3">
      <c r="B17" s="3" t="s">
        <v>68</v>
      </c>
      <c r="C17" s="134">
        <f>C16+E16+G16+I16</f>
        <v>20</v>
      </c>
      <c r="D17" s="135"/>
      <c r="E17" s="135"/>
      <c r="F17" s="135"/>
      <c r="G17" s="135"/>
      <c r="H17" s="135"/>
      <c r="I17" s="135"/>
      <c r="J17" s="136"/>
      <c r="K17" s="26"/>
      <c r="L17" s="134">
        <f>L16+N16+P16</f>
        <v>0</v>
      </c>
      <c r="M17" s="135"/>
      <c r="N17" s="135"/>
      <c r="O17" s="135"/>
      <c r="P17" s="135"/>
      <c r="Q17" s="136"/>
      <c r="R17" s="26"/>
      <c r="S17" s="134">
        <f>S16+U16</f>
        <v>20</v>
      </c>
      <c r="T17" s="135"/>
      <c r="U17" s="135"/>
      <c r="V17" s="136"/>
      <c r="W17" s="4">
        <f>C17-L17-S17</f>
        <v>0</v>
      </c>
      <c r="Y17" s="63"/>
    </row>
    <row r="18" spans="1:25" x14ac:dyDescent="0.25">
      <c r="Y18" s="63"/>
    </row>
    <row r="19" spans="1:25" ht="28.5" x14ac:dyDescent="0.45">
      <c r="A19" s="126" t="s">
        <v>63</v>
      </c>
      <c r="B19" s="126"/>
      <c r="C19" s="126"/>
      <c r="D19" s="126"/>
      <c r="E19" s="126"/>
      <c r="F19" s="126"/>
      <c r="G19" s="126"/>
      <c r="H19" s="126"/>
      <c r="I19" s="126"/>
      <c r="J19" s="126"/>
      <c r="K19" s="126"/>
      <c r="L19" s="126"/>
      <c r="M19" s="126"/>
      <c r="N19" s="126"/>
      <c r="O19" s="126"/>
      <c r="P19" s="126"/>
      <c r="Q19" s="126"/>
      <c r="R19" s="126"/>
      <c r="S19" s="126"/>
      <c r="T19" s="126"/>
      <c r="U19" s="126"/>
      <c r="V19" s="126"/>
      <c r="Y19" s="63"/>
    </row>
    <row r="20" spans="1:25" ht="19.5" thickBot="1" x14ac:dyDescent="0.35">
      <c r="A20" s="137" t="s">
        <v>73</v>
      </c>
      <c r="B20" s="137"/>
      <c r="C20" s="137"/>
      <c r="D20" s="137"/>
      <c r="E20" s="137"/>
      <c r="F20" s="137"/>
      <c r="G20" s="137"/>
      <c r="H20" s="137"/>
      <c r="I20" s="137"/>
      <c r="J20" s="137"/>
      <c r="K20" s="137"/>
      <c r="L20" s="137"/>
      <c r="M20" s="137"/>
      <c r="N20" s="137"/>
      <c r="O20" s="137"/>
      <c r="P20" s="137"/>
      <c r="Q20" s="137"/>
      <c r="R20" s="137"/>
      <c r="S20" s="137"/>
      <c r="T20" s="137"/>
      <c r="U20" s="137"/>
      <c r="V20" s="137"/>
      <c r="Y20" s="63"/>
    </row>
    <row r="21" spans="1:25" ht="26.25" x14ac:dyDescent="0.4">
      <c r="A21" s="58"/>
      <c r="B21" s="58"/>
      <c r="C21" s="127" t="s">
        <v>64</v>
      </c>
      <c r="D21" s="128"/>
      <c r="E21" s="128"/>
      <c r="F21" s="128"/>
      <c r="G21" s="128"/>
      <c r="H21" s="128"/>
      <c r="I21" s="128"/>
      <c r="J21" s="128"/>
      <c r="K21" s="128"/>
      <c r="L21" s="128"/>
      <c r="M21" s="128"/>
      <c r="N21" s="128"/>
      <c r="O21" s="128"/>
      <c r="P21" s="128"/>
      <c r="Q21" s="128"/>
      <c r="R21" s="128"/>
      <c r="S21" s="128"/>
      <c r="T21" s="128"/>
      <c r="U21" s="128"/>
      <c r="V21" s="129"/>
      <c r="Y21" s="63"/>
    </row>
    <row r="22" spans="1:25" x14ac:dyDescent="0.25">
      <c r="C22" s="60"/>
      <c r="D22" s="7"/>
      <c r="E22" s="7"/>
      <c r="F22" s="7"/>
      <c r="G22" s="7"/>
      <c r="H22" s="7"/>
      <c r="I22" s="7"/>
      <c r="J22" s="7"/>
      <c r="K22" s="7"/>
      <c r="L22" s="7"/>
      <c r="M22" s="7"/>
      <c r="N22" s="7"/>
      <c r="O22" s="7"/>
      <c r="P22" s="7"/>
      <c r="Q22" s="7"/>
      <c r="R22" s="7"/>
      <c r="S22" s="7"/>
      <c r="T22" s="7"/>
      <c r="U22" s="7"/>
      <c r="V22" s="61"/>
      <c r="Y22" s="63"/>
    </row>
    <row r="23" spans="1:25" ht="15.75" thickBot="1" x14ac:dyDescent="0.3">
      <c r="C23" s="122" t="s">
        <v>0</v>
      </c>
      <c r="D23" s="123"/>
      <c r="E23" s="123"/>
      <c r="F23" s="123"/>
      <c r="G23" s="123"/>
      <c r="H23" s="123"/>
      <c r="I23" s="123"/>
      <c r="J23" s="123"/>
      <c r="K23" s="59" t="s">
        <v>5</v>
      </c>
      <c r="L23" s="124" t="s">
        <v>3</v>
      </c>
      <c r="M23" s="124"/>
      <c r="N23" s="124"/>
      <c r="O23" s="124"/>
      <c r="P23" s="124"/>
      <c r="Q23" s="124"/>
      <c r="R23" s="59" t="s">
        <v>6</v>
      </c>
      <c r="S23" s="123" t="s">
        <v>43</v>
      </c>
      <c r="T23" s="123"/>
      <c r="U23" s="123"/>
      <c r="V23" s="125"/>
      <c r="Y23" s="63"/>
    </row>
    <row r="24" spans="1:25" x14ac:dyDescent="0.25">
      <c r="C24" s="132" t="s">
        <v>8</v>
      </c>
      <c r="D24" s="133"/>
      <c r="E24" s="132" t="s">
        <v>9</v>
      </c>
      <c r="F24" s="133"/>
      <c r="G24" s="132" t="s">
        <v>10</v>
      </c>
      <c r="H24" s="133"/>
      <c r="I24" s="132" t="s">
        <v>35</v>
      </c>
      <c r="J24" s="133"/>
      <c r="K24" s="7"/>
      <c r="L24" s="132" t="s">
        <v>11</v>
      </c>
      <c r="M24" s="133"/>
      <c r="N24" s="132"/>
      <c r="O24" s="133"/>
      <c r="P24" s="132" t="s">
        <v>29</v>
      </c>
      <c r="Q24" s="133"/>
      <c r="R24" s="7"/>
      <c r="S24" s="132" t="s">
        <v>36</v>
      </c>
      <c r="T24" s="133"/>
      <c r="U24" s="132" t="s">
        <v>37</v>
      </c>
      <c r="V24" s="133"/>
      <c r="W24" s="20" t="s">
        <v>55</v>
      </c>
      <c r="Y24" s="63"/>
    </row>
    <row r="25" spans="1:25" ht="15.75" thickBot="1" x14ac:dyDescent="0.3">
      <c r="C25" s="14" t="s">
        <v>33</v>
      </c>
      <c r="D25" s="15" t="s">
        <v>34</v>
      </c>
      <c r="E25" s="14" t="s">
        <v>33</v>
      </c>
      <c r="F25" s="15" t="s">
        <v>34</v>
      </c>
      <c r="G25" s="14" t="s">
        <v>33</v>
      </c>
      <c r="H25" s="15" t="s">
        <v>34</v>
      </c>
      <c r="I25" s="14" t="s">
        <v>33</v>
      </c>
      <c r="J25" s="15" t="s">
        <v>34</v>
      </c>
      <c r="K25" s="12"/>
      <c r="L25" s="14" t="s">
        <v>33</v>
      </c>
      <c r="M25" s="15" t="s">
        <v>34</v>
      </c>
      <c r="N25" s="14" t="s">
        <v>33</v>
      </c>
      <c r="O25" s="15" t="s">
        <v>34</v>
      </c>
      <c r="P25" s="14" t="s">
        <v>33</v>
      </c>
      <c r="Q25" s="15" t="s">
        <v>34</v>
      </c>
      <c r="R25" s="12"/>
      <c r="S25" s="14" t="s">
        <v>33</v>
      </c>
      <c r="T25" s="15" t="s">
        <v>34</v>
      </c>
      <c r="U25" s="14" t="s">
        <v>33</v>
      </c>
      <c r="V25" s="15" t="s">
        <v>34</v>
      </c>
      <c r="W25" s="2"/>
      <c r="Y25" s="63"/>
    </row>
    <row r="26" spans="1:25" ht="16.5" customHeight="1" x14ac:dyDescent="0.25">
      <c r="A26" s="1" t="s">
        <v>16</v>
      </c>
      <c r="B26" s="3" t="s">
        <v>45</v>
      </c>
      <c r="C26" s="16">
        <v>20</v>
      </c>
      <c r="D26" s="38"/>
      <c r="E26" s="16"/>
      <c r="F26" s="38"/>
      <c r="G26" s="16"/>
      <c r="H26" s="38"/>
      <c r="I26" s="16"/>
      <c r="J26" s="38"/>
      <c r="K26" s="7"/>
      <c r="L26" s="16"/>
      <c r="M26" s="38"/>
      <c r="N26" s="16"/>
      <c r="O26" s="38"/>
      <c r="P26" s="16"/>
      <c r="Q26" s="38"/>
      <c r="R26" s="7"/>
      <c r="S26" s="16"/>
      <c r="T26" s="38">
        <v>15</v>
      </c>
      <c r="U26" s="16"/>
      <c r="V26" s="38">
        <v>5</v>
      </c>
      <c r="W26" s="19">
        <f>C26+E26+G26+I26+L26+N26+P26+S26+U26-V26-T26-Q26-O26-M26-J26-H26-F26-D26</f>
        <v>0</v>
      </c>
      <c r="Y26" s="63"/>
    </row>
    <row r="27" spans="1:25" x14ac:dyDescent="0.25">
      <c r="A27" s="5" t="s">
        <v>17</v>
      </c>
      <c r="B27" s="3" t="s">
        <v>14</v>
      </c>
      <c r="C27" s="71"/>
      <c r="D27" s="72"/>
      <c r="E27" s="71"/>
      <c r="F27" s="72"/>
      <c r="G27" s="71"/>
      <c r="H27" s="72"/>
      <c r="I27" s="71"/>
      <c r="J27" s="72"/>
      <c r="K27" s="7"/>
      <c r="L27" s="71"/>
      <c r="M27" s="72"/>
      <c r="N27" s="71"/>
      <c r="O27" s="72"/>
      <c r="P27" s="71"/>
      <c r="Q27" s="72"/>
      <c r="R27" s="7"/>
      <c r="S27" s="71"/>
      <c r="T27" s="72"/>
      <c r="U27" s="71"/>
      <c r="V27" s="72"/>
      <c r="W27" s="19">
        <f t="shared" ref="W27:W34" si="3">C27+E27+G27+I27+L27+N27+P27+S27+U27-V27-T27-Q27-O27-M27-J27-H27-F27-D27</f>
        <v>0</v>
      </c>
      <c r="Y27" s="63"/>
    </row>
    <row r="28" spans="1:25" x14ac:dyDescent="0.25">
      <c r="A28" s="5" t="s">
        <v>18</v>
      </c>
      <c r="B28" s="3" t="s">
        <v>13</v>
      </c>
      <c r="C28" s="71"/>
      <c r="D28" s="72"/>
      <c r="E28" s="71"/>
      <c r="F28" s="72"/>
      <c r="G28" s="71"/>
      <c r="H28" s="72"/>
      <c r="I28" s="71"/>
      <c r="J28" s="72"/>
      <c r="K28" s="7"/>
      <c r="L28" s="71"/>
      <c r="M28" s="72"/>
      <c r="N28" s="71"/>
      <c r="O28" s="72"/>
      <c r="P28" s="71"/>
      <c r="Q28" s="72"/>
      <c r="R28" s="7"/>
      <c r="S28" s="71"/>
      <c r="T28" s="72"/>
      <c r="U28" s="71"/>
      <c r="V28" s="72"/>
      <c r="W28" s="19">
        <f t="shared" si="3"/>
        <v>0</v>
      </c>
      <c r="Y28" s="63"/>
    </row>
    <row r="29" spans="1:25" x14ac:dyDescent="0.25">
      <c r="A29" s="5" t="s">
        <v>19</v>
      </c>
      <c r="B29" s="3" t="s">
        <v>38</v>
      </c>
      <c r="C29" s="71"/>
      <c r="D29" s="72"/>
      <c r="E29" s="71"/>
      <c r="F29" s="72"/>
      <c r="G29" s="71"/>
      <c r="H29" s="72"/>
      <c r="I29" s="71"/>
      <c r="J29" s="72"/>
      <c r="K29" s="7"/>
      <c r="L29" s="71"/>
      <c r="M29" s="72"/>
      <c r="N29" s="71"/>
      <c r="O29" s="72"/>
      <c r="P29" s="71"/>
      <c r="Q29" s="72"/>
      <c r="R29" s="7"/>
      <c r="S29" s="71"/>
      <c r="T29" s="72"/>
      <c r="U29" s="71"/>
      <c r="V29" s="72"/>
      <c r="W29" s="19">
        <f t="shared" si="3"/>
        <v>0</v>
      </c>
      <c r="Y29" s="63"/>
    </row>
    <row r="30" spans="1:25" x14ac:dyDescent="0.25">
      <c r="A30" s="5" t="s">
        <v>20</v>
      </c>
      <c r="B30" s="3" t="s">
        <v>75</v>
      </c>
      <c r="C30" s="71"/>
      <c r="D30" s="72"/>
      <c r="E30" s="71"/>
      <c r="F30" s="72"/>
      <c r="G30" s="71"/>
      <c r="H30" s="72"/>
      <c r="I30" s="71"/>
      <c r="J30" s="72"/>
      <c r="K30" s="7"/>
      <c r="L30" s="71"/>
      <c r="M30" s="72"/>
      <c r="N30" s="71"/>
      <c r="O30" s="72"/>
      <c r="P30" s="71"/>
      <c r="Q30" s="72"/>
      <c r="R30" s="7"/>
      <c r="S30" s="71"/>
      <c r="T30" s="72"/>
      <c r="U30" s="71"/>
      <c r="V30" s="72"/>
      <c r="W30" s="19">
        <f t="shared" si="3"/>
        <v>0</v>
      </c>
      <c r="Y30" s="63"/>
    </row>
    <row r="31" spans="1:25" x14ac:dyDescent="0.25">
      <c r="A31" s="5" t="s">
        <v>21</v>
      </c>
      <c r="B31" s="3" t="s">
        <v>41</v>
      </c>
      <c r="C31" s="71"/>
      <c r="D31" s="72"/>
      <c r="E31" s="71"/>
      <c r="F31" s="72"/>
      <c r="G31" s="71"/>
      <c r="H31" s="72"/>
      <c r="I31" s="71"/>
      <c r="J31" s="72"/>
      <c r="K31" s="7"/>
      <c r="L31" s="71"/>
      <c r="M31" s="72"/>
      <c r="N31" s="71"/>
      <c r="O31" s="72"/>
      <c r="P31" s="71"/>
      <c r="Q31" s="72"/>
      <c r="R31" s="7"/>
      <c r="S31" s="71"/>
      <c r="T31" s="72"/>
      <c r="U31" s="71"/>
      <c r="V31" s="72"/>
      <c r="W31" s="19">
        <f t="shared" si="3"/>
        <v>0</v>
      </c>
      <c r="Y31" s="63"/>
    </row>
    <row r="32" spans="1:25" x14ac:dyDescent="0.25">
      <c r="A32" s="5" t="s">
        <v>22</v>
      </c>
      <c r="B32" s="3" t="s">
        <v>39</v>
      </c>
      <c r="C32" s="71"/>
      <c r="D32" s="72"/>
      <c r="E32" s="71"/>
      <c r="F32" s="72"/>
      <c r="G32" s="71"/>
      <c r="H32" s="72"/>
      <c r="I32" s="71"/>
      <c r="J32" s="72"/>
      <c r="K32" s="7"/>
      <c r="L32" s="71"/>
      <c r="M32" s="72"/>
      <c r="N32" s="71"/>
      <c r="O32" s="72"/>
      <c r="P32" s="71"/>
      <c r="Q32" s="72"/>
      <c r="R32" s="7"/>
      <c r="S32" s="71"/>
      <c r="T32" s="72"/>
      <c r="U32" s="71"/>
      <c r="V32" s="72"/>
      <c r="W32" s="19">
        <f t="shared" si="3"/>
        <v>0</v>
      </c>
      <c r="Y32" s="63"/>
    </row>
    <row r="33" spans="1:25" ht="17.25" customHeight="1" x14ac:dyDescent="0.25">
      <c r="A33" s="5" t="s">
        <v>23</v>
      </c>
      <c r="B33" s="3" t="s">
        <v>57</v>
      </c>
      <c r="C33" s="71"/>
      <c r="D33" s="72"/>
      <c r="E33" s="71"/>
      <c r="F33" s="72"/>
      <c r="G33" s="71"/>
      <c r="H33" s="72"/>
      <c r="I33" s="71"/>
      <c r="J33" s="72"/>
      <c r="K33" s="8"/>
      <c r="L33" s="71"/>
      <c r="M33" s="72"/>
      <c r="N33" s="71"/>
      <c r="O33" s="72"/>
      <c r="P33" s="71"/>
      <c r="Q33" s="72"/>
      <c r="R33" s="8"/>
      <c r="S33" s="71"/>
      <c r="T33" s="72"/>
      <c r="U33" s="71"/>
      <c r="V33" s="72"/>
      <c r="W33" s="19">
        <f t="shared" si="3"/>
        <v>0</v>
      </c>
      <c r="Y33" s="63"/>
    </row>
    <row r="34" spans="1:25" x14ac:dyDescent="0.25">
      <c r="B34" t="s">
        <v>27</v>
      </c>
      <c r="C34" s="17">
        <f t="shared" ref="C34:J34" si="4">SUM(C26:C33)</f>
        <v>20</v>
      </c>
      <c r="D34" s="18">
        <f t="shared" si="4"/>
        <v>0</v>
      </c>
      <c r="E34" s="17">
        <f t="shared" si="4"/>
        <v>0</v>
      </c>
      <c r="F34" s="18">
        <f t="shared" si="4"/>
        <v>0</v>
      </c>
      <c r="G34" s="17">
        <f t="shared" si="4"/>
        <v>0</v>
      </c>
      <c r="H34" s="18">
        <f t="shared" si="4"/>
        <v>0</v>
      </c>
      <c r="I34" s="17">
        <f t="shared" si="4"/>
        <v>0</v>
      </c>
      <c r="J34" s="18">
        <f t="shared" si="4"/>
        <v>0</v>
      </c>
      <c r="K34" s="10"/>
      <c r="L34" s="17">
        <f t="shared" ref="L34:Q34" si="5">SUM(L26:L33)</f>
        <v>0</v>
      </c>
      <c r="M34" s="18">
        <f t="shared" si="5"/>
        <v>0</v>
      </c>
      <c r="N34" s="17">
        <f t="shared" si="5"/>
        <v>0</v>
      </c>
      <c r="O34" s="18">
        <f t="shared" si="5"/>
        <v>0</v>
      </c>
      <c r="P34" s="17">
        <f t="shared" si="5"/>
        <v>0</v>
      </c>
      <c r="Q34" s="18">
        <f t="shared" si="5"/>
        <v>0</v>
      </c>
      <c r="R34" s="10"/>
      <c r="S34" s="17">
        <f>SUM(S26:S33)</f>
        <v>0</v>
      </c>
      <c r="T34" s="18">
        <f>SUM(T26:T33)</f>
        <v>15</v>
      </c>
      <c r="U34" s="17">
        <f>SUM(U26:U33)</f>
        <v>0</v>
      </c>
      <c r="V34" s="18">
        <f>SUM(V26:V33)</f>
        <v>5</v>
      </c>
      <c r="W34" s="19">
        <f t="shared" si="3"/>
        <v>0</v>
      </c>
      <c r="Y34" s="63"/>
    </row>
    <row r="35" spans="1:25" ht="15.75" thickBot="1" x14ac:dyDescent="0.3">
      <c r="B35" s="3" t="s">
        <v>67</v>
      </c>
      <c r="C35" s="130">
        <f>C34-D34</f>
        <v>20</v>
      </c>
      <c r="D35" s="131"/>
      <c r="E35" s="130">
        <f>E34-F34</f>
        <v>0</v>
      </c>
      <c r="F35" s="131"/>
      <c r="G35" s="130">
        <f>G34-H34</f>
        <v>0</v>
      </c>
      <c r="H35" s="131"/>
      <c r="I35" s="130">
        <f>I34-J34</f>
        <v>0</v>
      </c>
      <c r="J35" s="131"/>
      <c r="K35" s="7"/>
      <c r="L35" s="130">
        <f>-L34+M34</f>
        <v>0</v>
      </c>
      <c r="M35" s="131"/>
      <c r="N35" s="130">
        <f>-N34+O34</f>
        <v>0</v>
      </c>
      <c r="O35" s="131"/>
      <c r="P35" s="130">
        <f>-P34+Q34</f>
        <v>0</v>
      </c>
      <c r="Q35" s="131"/>
      <c r="R35" s="7"/>
      <c r="S35" s="130">
        <f>-S34+T34</f>
        <v>15</v>
      </c>
      <c r="T35" s="131"/>
      <c r="U35" s="130">
        <f>-U34+V34</f>
        <v>5</v>
      </c>
      <c r="V35" s="131"/>
      <c r="W35" s="4"/>
      <c r="Y35" s="63"/>
    </row>
    <row r="36" spans="1:25" ht="15.75" thickBot="1" x14ac:dyDescent="0.3">
      <c r="B36" s="3" t="s">
        <v>68</v>
      </c>
      <c r="C36" s="134">
        <f>C35+E35+G35+I35</f>
        <v>20</v>
      </c>
      <c r="D36" s="135"/>
      <c r="E36" s="135"/>
      <c r="F36" s="135"/>
      <c r="G36" s="135"/>
      <c r="H36" s="135"/>
      <c r="I36" s="135"/>
      <c r="J36" s="136"/>
      <c r="K36" s="26"/>
      <c r="L36" s="134">
        <f>L35+N35+P35</f>
        <v>0</v>
      </c>
      <c r="M36" s="135"/>
      <c r="N36" s="135"/>
      <c r="O36" s="135"/>
      <c r="P36" s="135"/>
      <c r="Q36" s="136"/>
      <c r="R36" s="26"/>
      <c r="S36" s="134">
        <f>S35+U35</f>
        <v>20</v>
      </c>
      <c r="T36" s="135"/>
      <c r="U36" s="135"/>
      <c r="V36" s="136"/>
      <c r="W36" s="4">
        <f>C36-L36-S36</f>
        <v>0</v>
      </c>
      <c r="Y36" s="63"/>
    </row>
    <row r="37" spans="1:25" x14ac:dyDescent="0.25">
      <c r="Y37" s="63"/>
    </row>
    <row r="38" spans="1:25" x14ac:dyDescent="0.25">
      <c r="A38" s="63"/>
      <c r="B38" s="63"/>
      <c r="C38" s="63"/>
      <c r="D38" s="63"/>
      <c r="E38" s="63"/>
      <c r="F38" s="63"/>
      <c r="G38" s="63"/>
      <c r="H38" s="63"/>
      <c r="I38" s="63"/>
      <c r="J38" s="63"/>
      <c r="K38" s="63"/>
      <c r="L38" s="63"/>
      <c r="M38" s="63"/>
      <c r="N38" s="63"/>
      <c r="O38" s="63"/>
      <c r="P38" s="63"/>
      <c r="Q38" s="63"/>
      <c r="R38" s="63"/>
      <c r="S38" s="63"/>
      <c r="T38" s="63"/>
      <c r="U38" s="63"/>
      <c r="V38" s="63"/>
      <c r="W38" s="63"/>
      <c r="X38" s="63"/>
      <c r="Y38" s="63"/>
    </row>
  </sheetData>
  <sheetProtection algorithmName="SHA-512" hashValue="BwH9MuvkaQrmNtL0v8CzC7U8dGge1qMMsAeBsstmpcl7zoVOjGhGplXehh9tPVzwoqNMJpcpiRAw0VFOlJVckw==" saltValue="2sld9CXUUucREw8fXQ/Tmg==" spinCount="100000" sheet="1" objects="1" scenarios="1"/>
  <mergeCells count="54">
    <mergeCell ref="C36:J36"/>
    <mergeCell ref="L36:Q36"/>
    <mergeCell ref="S36:V36"/>
    <mergeCell ref="A2:V2"/>
    <mergeCell ref="A20:V20"/>
    <mergeCell ref="U35:V35"/>
    <mergeCell ref="N24:O24"/>
    <mergeCell ref="P24:Q24"/>
    <mergeCell ref="S24:T24"/>
    <mergeCell ref="U24:V24"/>
    <mergeCell ref="N35:O35"/>
    <mergeCell ref="S5:T5"/>
    <mergeCell ref="C16:D16"/>
    <mergeCell ref="L16:M16"/>
    <mergeCell ref="C35:D35"/>
    <mergeCell ref="E35:F35"/>
    <mergeCell ref="G35:H35"/>
    <mergeCell ref="I35:J35"/>
    <mergeCell ref="L35:M35"/>
    <mergeCell ref="P35:Q35"/>
    <mergeCell ref="S35:T35"/>
    <mergeCell ref="C17:J17"/>
    <mergeCell ref="L17:Q17"/>
    <mergeCell ref="S17:V17"/>
    <mergeCell ref="C4:J4"/>
    <mergeCell ref="E16:F16"/>
    <mergeCell ref="G16:H16"/>
    <mergeCell ref="N5:O5"/>
    <mergeCell ref="P5:Q5"/>
    <mergeCell ref="L4:Q4"/>
    <mergeCell ref="N16:O16"/>
    <mergeCell ref="C5:D5"/>
    <mergeCell ref="L5:M5"/>
    <mergeCell ref="C24:D24"/>
    <mergeCell ref="E24:F24"/>
    <mergeCell ref="G24:H24"/>
    <mergeCell ref="I24:J24"/>
    <mergeCell ref="L24:M24"/>
    <mergeCell ref="C23:J23"/>
    <mergeCell ref="L23:Q23"/>
    <mergeCell ref="S23:V23"/>
    <mergeCell ref="A1:V1"/>
    <mergeCell ref="C3:V3"/>
    <mergeCell ref="A19:V19"/>
    <mergeCell ref="C21:V21"/>
    <mergeCell ref="S16:T16"/>
    <mergeCell ref="E5:F5"/>
    <mergeCell ref="G5:H5"/>
    <mergeCell ref="P16:Q16"/>
    <mergeCell ref="S4:V4"/>
    <mergeCell ref="U5:V5"/>
    <mergeCell ref="U16:V16"/>
    <mergeCell ref="I5:J5"/>
    <mergeCell ref="I16:J16"/>
  </mergeCells>
  <conditionalFormatting sqref="W36">
    <cfRule type="cellIs" dxfId="5" priority="2" operator="greaterThan">
      <formula>0</formula>
    </cfRule>
  </conditionalFormatting>
  <conditionalFormatting sqref="W36">
    <cfRule type="cellIs" dxfId="4" priority="1" operator="lessThan">
      <formula>0</formula>
    </cfRule>
  </conditionalFormatting>
  <conditionalFormatting sqref="W26:W35 W7:W17">
    <cfRule type="cellIs" dxfId="3" priority="4" operator="greaterThan">
      <formula>0</formula>
    </cfRule>
  </conditionalFormatting>
  <conditionalFormatting sqref="W26:W35 W7:W17">
    <cfRule type="cellIs" dxfId="2" priority="3" operator="less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8"/>
  <sheetViews>
    <sheetView tabSelected="1" topLeftCell="A4" zoomScale="145" zoomScaleNormal="145" workbookViewId="0">
      <selection activeCell="E29" sqref="E29"/>
    </sheetView>
  </sheetViews>
  <sheetFormatPr defaultColWidth="11.42578125" defaultRowHeight="15" x14ac:dyDescent="0.25"/>
  <cols>
    <col min="2" max="2" width="53.42578125" bestFit="1"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 min="10" max="10" width="3.42578125" customWidth="1"/>
  </cols>
  <sheetData>
    <row r="1" spans="1:10" ht="28.5" x14ac:dyDescent="0.45">
      <c r="A1" s="144" t="s">
        <v>65</v>
      </c>
      <c r="B1" s="145"/>
      <c r="C1" s="145"/>
      <c r="D1" s="145"/>
      <c r="E1" s="145"/>
      <c r="F1" s="145"/>
      <c r="G1" s="145"/>
      <c r="H1" s="146"/>
      <c r="J1" s="62"/>
    </row>
    <row r="2" spans="1:10" ht="55.5" customHeight="1" thickBot="1" x14ac:dyDescent="0.35">
      <c r="A2" s="147" t="s">
        <v>76</v>
      </c>
      <c r="B2" s="148"/>
      <c r="C2" s="148"/>
      <c r="D2" s="148"/>
      <c r="E2" s="148"/>
      <c r="F2" s="148"/>
      <c r="G2" s="148"/>
      <c r="H2" s="149"/>
      <c r="J2" s="62"/>
    </row>
    <row r="3" spans="1:10" ht="21.75" thickBot="1" x14ac:dyDescent="0.4">
      <c r="A3" s="49"/>
      <c r="B3" s="50"/>
      <c r="C3" s="141" t="s">
        <v>59</v>
      </c>
      <c r="D3" s="142"/>
      <c r="E3" s="142"/>
      <c r="F3" s="142"/>
      <c r="G3" s="143"/>
      <c r="H3" s="51"/>
      <c r="J3" s="62"/>
    </row>
    <row r="4" spans="1:10" ht="15.75" thickBot="1" x14ac:dyDescent="0.3">
      <c r="A4" s="41" t="s">
        <v>46</v>
      </c>
      <c r="B4" s="25"/>
      <c r="C4" s="46" t="s">
        <v>47</v>
      </c>
      <c r="D4" s="47" t="s">
        <v>52</v>
      </c>
      <c r="E4" s="47" t="s">
        <v>51</v>
      </c>
      <c r="F4" s="47" t="s">
        <v>53</v>
      </c>
      <c r="G4" s="48" t="s">
        <v>54</v>
      </c>
      <c r="H4" s="42" t="s">
        <v>55</v>
      </c>
      <c r="J4" s="62"/>
    </row>
    <row r="5" spans="1:10" x14ac:dyDescent="0.25">
      <c r="A5" s="139" t="s">
        <v>16</v>
      </c>
      <c r="B5" s="140" t="s">
        <v>15</v>
      </c>
      <c r="C5" s="99" t="s">
        <v>49</v>
      </c>
      <c r="D5" s="100" t="s">
        <v>8</v>
      </c>
      <c r="E5" s="101"/>
      <c r="F5" s="102">
        <v>20</v>
      </c>
      <c r="G5" s="103"/>
      <c r="H5" s="138">
        <f>(F5+F6-G5-G6)</f>
        <v>0</v>
      </c>
      <c r="J5" s="62"/>
    </row>
    <row r="6" spans="1:10" ht="15.75" thickBot="1" x14ac:dyDescent="0.3">
      <c r="A6" s="139"/>
      <c r="B6" s="140"/>
      <c r="C6" s="104" t="s">
        <v>50</v>
      </c>
      <c r="D6" s="105"/>
      <c r="E6" s="106" t="s">
        <v>30</v>
      </c>
      <c r="F6" s="107"/>
      <c r="G6" s="108">
        <v>20</v>
      </c>
      <c r="H6" s="138"/>
      <c r="J6" s="62"/>
    </row>
    <row r="7" spans="1:10" x14ac:dyDescent="0.25">
      <c r="A7" s="139" t="s">
        <v>17</v>
      </c>
      <c r="B7" s="140" t="s">
        <v>14</v>
      </c>
      <c r="C7" s="83"/>
      <c r="D7" s="84"/>
      <c r="E7" s="85"/>
      <c r="F7" s="86"/>
      <c r="G7" s="87"/>
      <c r="H7" s="138">
        <f t="shared" ref="H7" si="0">(F7+F8-G7-G8)</f>
        <v>0</v>
      </c>
      <c r="J7" s="62"/>
    </row>
    <row r="8" spans="1:10" ht="15.75" thickBot="1" x14ac:dyDescent="0.3">
      <c r="A8" s="139" t="s">
        <v>18</v>
      </c>
      <c r="B8" s="140" t="s">
        <v>13</v>
      </c>
      <c r="C8" s="83"/>
      <c r="D8" s="88"/>
      <c r="E8" s="89"/>
      <c r="F8" s="90"/>
      <c r="G8" s="91"/>
      <c r="H8" s="138"/>
      <c r="J8" s="62"/>
    </row>
    <row r="9" spans="1:10" x14ac:dyDescent="0.25">
      <c r="A9" s="139" t="s">
        <v>18</v>
      </c>
      <c r="B9" s="140" t="s">
        <v>13</v>
      </c>
      <c r="C9" s="73"/>
      <c r="D9" s="92"/>
      <c r="E9" s="93"/>
      <c r="F9" s="94"/>
      <c r="G9" s="95"/>
      <c r="H9" s="138">
        <f t="shared" ref="H9" si="1">(F9+F10-G9-G10)</f>
        <v>0</v>
      </c>
      <c r="J9" s="62"/>
    </row>
    <row r="10" spans="1:10" ht="15.75" thickBot="1" x14ac:dyDescent="0.3">
      <c r="A10" s="139" t="s">
        <v>19</v>
      </c>
      <c r="B10" s="140" t="s">
        <v>38</v>
      </c>
      <c r="C10" s="78"/>
      <c r="D10" s="79"/>
      <c r="E10" s="80"/>
      <c r="F10" s="81"/>
      <c r="G10" s="82"/>
      <c r="H10" s="138"/>
      <c r="J10" s="62"/>
    </row>
    <row r="11" spans="1:10" x14ac:dyDescent="0.25">
      <c r="A11" s="139" t="s">
        <v>19</v>
      </c>
      <c r="B11" s="140" t="s">
        <v>38</v>
      </c>
      <c r="C11" s="83"/>
      <c r="D11" s="84"/>
      <c r="E11" s="85"/>
      <c r="F11" s="86"/>
      <c r="G11" s="87"/>
      <c r="H11" s="138">
        <f t="shared" ref="H11" si="2">(F11+F12-G11-G12)</f>
        <v>0</v>
      </c>
      <c r="J11" s="62"/>
    </row>
    <row r="12" spans="1:10" ht="15.75" thickBot="1" x14ac:dyDescent="0.3">
      <c r="A12" s="139" t="s">
        <v>20</v>
      </c>
      <c r="B12" s="140"/>
      <c r="C12" s="83"/>
      <c r="D12" s="88"/>
      <c r="E12" s="89"/>
      <c r="F12" s="90"/>
      <c r="G12" s="91"/>
      <c r="H12" s="138"/>
      <c r="J12" s="62"/>
    </row>
    <row r="13" spans="1:10" x14ac:dyDescent="0.25">
      <c r="A13" s="139" t="s">
        <v>20</v>
      </c>
      <c r="B13" s="140" t="s">
        <v>75</v>
      </c>
      <c r="C13" s="73"/>
      <c r="D13" s="92"/>
      <c r="E13" s="93"/>
      <c r="F13" s="94"/>
      <c r="G13" s="95"/>
      <c r="H13" s="138">
        <f>F14+F15-G14-G15+F13-G13</f>
        <v>0</v>
      </c>
      <c r="J13" s="62"/>
    </row>
    <row r="14" spans="1:10" x14ac:dyDescent="0.25">
      <c r="A14" s="139"/>
      <c r="B14" s="140"/>
      <c r="C14" s="96"/>
      <c r="D14" s="92"/>
      <c r="E14" s="93"/>
      <c r="F14" s="94"/>
      <c r="G14" s="95"/>
      <c r="H14" s="138"/>
      <c r="J14" s="62"/>
    </row>
    <row r="15" spans="1:10" ht="15.75" thickBot="1" x14ac:dyDescent="0.3">
      <c r="A15" s="139" t="s">
        <v>21</v>
      </c>
      <c r="B15" s="140"/>
      <c r="C15" s="78"/>
      <c r="D15" s="79"/>
      <c r="E15" s="80"/>
      <c r="F15" s="81"/>
      <c r="G15" s="82"/>
      <c r="H15" s="138"/>
      <c r="J15" s="62"/>
    </row>
    <row r="16" spans="1:10" x14ac:dyDescent="0.25">
      <c r="A16" s="139" t="s">
        <v>21</v>
      </c>
      <c r="B16" s="140" t="s">
        <v>41</v>
      </c>
      <c r="C16" s="83"/>
      <c r="D16" s="84"/>
      <c r="E16" s="85"/>
      <c r="F16" s="86"/>
      <c r="G16" s="87"/>
      <c r="H16" s="138">
        <f t="shared" ref="H16:H20" si="3">(F16+F17-G16-G17)</f>
        <v>0</v>
      </c>
      <c r="J16" s="62"/>
    </row>
    <row r="17" spans="1:10" ht="15.75" thickBot="1" x14ac:dyDescent="0.3">
      <c r="A17" s="139" t="s">
        <v>22</v>
      </c>
      <c r="B17" s="140"/>
      <c r="C17" s="83"/>
      <c r="D17" s="88"/>
      <c r="E17" s="89"/>
      <c r="F17" s="90"/>
      <c r="G17" s="91"/>
      <c r="H17" s="138"/>
      <c r="J17" s="62"/>
    </row>
    <row r="18" spans="1:10" x14ac:dyDescent="0.25">
      <c r="A18" s="139" t="s">
        <v>22</v>
      </c>
      <c r="B18" s="140" t="s">
        <v>39</v>
      </c>
      <c r="C18" s="73"/>
      <c r="D18" s="92"/>
      <c r="E18" s="93"/>
      <c r="F18" s="94"/>
      <c r="G18" s="95"/>
      <c r="H18" s="138">
        <f t="shared" si="3"/>
        <v>0</v>
      </c>
      <c r="J18" s="62"/>
    </row>
    <row r="19" spans="1:10" ht="15.75" thickBot="1" x14ac:dyDescent="0.3">
      <c r="A19" s="139" t="s">
        <v>23</v>
      </c>
      <c r="B19" s="140"/>
      <c r="C19" s="78"/>
      <c r="D19" s="79"/>
      <c r="E19" s="80"/>
      <c r="F19" s="81"/>
      <c r="G19" s="82"/>
      <c r="H19" s="138"/>
      <c r="J19" s="62"/>
    </row>
    <row r="20" spans="1:10" x14ac:dyDescent="0.25">
      <c r="A20" s="139" t="s">
        <v>23</v>
      </c>
      <c r="B20" s="140" t="s">
        <v>61</v>
      </c>
      <c r="C20" s="83"/>
      <c r="D20" s="84"/>
      <c r="E20" s="85"/>
      <c r="F20" s="86"/>
      <c r="G20" s="87"/>
      <c r="H20" s="138">
        <f t="shared" si="3"/>
        <v>0</v>
      </c>
      <c r="J20" s="62"/>
    </row>
    <row r="21" spans="1:10" ht="15.75" thickBot="1" x14ac:dyDescent="0.3">
      <c r="A21" s="139"/>
      <c r="B21" s="140"/>
      <c r="C21" s="97"/>
      <c r="D21" s="88"/>
      <c r="E21" s="89"/>
      <c r="F21" s="90"/>
      <c r="G21" s="91"/>
      <c r="H21" s="138"/>
      <c r="J21" s="62"/>
    </row>
    <row r="22" spans="1:10" ht="15.75" thickBot="1" x14ac:dyDescent="0.3">
      <c r="A22" s="40"/>
      <c r="B22" s="39"/>
      <c r="C22" s="52"/>
      <c r="D22" s="53"/>
      <c r="E22" s="54"/>
      <c r="F22" s="54"/>
      <c r="G22" s="54"/>
      <c r="H22" s="55"/>
      <c r="J22" s="62"/>
    </row>
    <row r="23" spans="1:10" ht="15.75" thickBot="1" x14ac:dyDescent="0.3">
      <c r="J23" s="62"/>
    </row>
    <row r="24" spans="1:10" ht="28.5" x14ac:dyDescent="0.45">
      <c r="A24" s="144" t="s">
        <v>66</v>
      </c>
      <c r="B24" s="145"/>
      <c r="C24" s="145"/>
      <c r="D24" s="145"/>
      <c r="E24" s="145"/>
      <c r="F24" s="145"/>
      <c r="G24" s="145"/>
      <c r="H24" s="146"/>
      <c r="J24" s="62"/>
    </row>
    <row r="25" spans="1:10" ht="57" customHeight="1" thickBot="1" x14ac:dyDescent="0.35">
      <c r="A25" s="147" t="s">
        <v>77</v>
      </c>
      <c r="B25" s="148"/>
      <c r="C25" s="148"/>
      <c r="D25" s="148"/>
      <c r="E25" s="148"/>
      <c r="F25" s="148"/>
      <c r="G25" s="148"/>
      <c r="H25" s="149"/>
      <c r="J25" s="62"/>
    </row>
    <row r="26" spans="1:10" ht="21" x14ac:dyDescent="0.35">
      <c r="A26" s="49"/>
      <c r="B26" s="50"/>
      <c r="C26" s="141" t="s">
        <v>59</v>
      </c>
      <c r="D26" s="142"/>
      <c r="E26" s="142"/>
      <c r="F26" s="142"/>
      <c r="G26" s="143"/>
      <c r="H26" s="51"/>
      <c r="J26" s="62"/>
    </row>
    <row r="27" spans="1:10" ht="15.75" thickBot="1" x14ac:dyDescent="0.3">
      <c r="A27" s="41" t="s">
        <v>46</v>
      </c>
      <c r="B27" s="25" t="s">
        <v>58</v>
      </c>
      <c r="C27" s="43" t="s">
        <v>47</v>
      </c>
      <c r="D27" s="44" t="s">
        <v>52</v>
      </c>
      <c r="E27" s="44" t="s">
        <v>51</v>
      </c>
      <c r="F27" s="44" t="s">
        <v>53</v>
      </c>
      <c r="G27" s="45" t="s">
        <v>54</v>
      </c>
      <c r="H27" s="42" t="s">
        <v>55</v>
      </c>
      <c r="J27" s="62"/>
    </row>
    <row r="28" spans="1:10" x14ac:dyDescent="0.25">
      <c r="A28" s="139" t="s">
        <v>16</v>
      </c>
      <c r="B28" s="140" t="s">
        <v>60</v>
      </c>
      <c r="C28" s="99" t="s">
        <v>49</v>
      </c>
      <c r="D28" s="100" t="s">
        <v>8</v>
      </c>
      <c r="E28" s="102"/>
      <c r="F28" s="101">
        <v>20</v>
      </c>
      <c r="G28" s="109"/>
      <c r="H28" s="138">
        <f>(F28+F30+F29-G28-G30-G29)</f>
        <v>0</v>
      </c>
      <c r="J28" s="62"/>
    </row>
    <row r="29" spans="1:10" x14ac:dyDescent="0.25">
      <c r="A29" s="139"/>
      <c r="B29" s="140"/>
      <c r="C29" s="110" t="s">
        <v>56</v>
      </c>
      <c r="D29" s="111"/>
      <c r="E29" s="112" t="s">
        <v>36</v>
      </c>
      <c r="F29" s="113"/>
      <c r="G29" s="109">
        <v>15</v>
      </c>
      <c r="H29" s="138"/>
      <c r="J29" s="62"/>
    </row>
    <row r="30" spans="1:10" ht="15.75" thickBot="1" x14ac:dyDescent="0.3">
      <c r="A30" s="139"/>
      <c r="B30" s="140"/>
      <c r="C30" s="104" t="s">
        <v>56</v>
      </c>
      <c r="D30" s="105"/>
      <c r="E30" s="107" t="s">
        <v>37</v>
      </c>
      <c r="F30" s="106"/>
      <c r="G30" s="108">
        <v>5</v>
      </c>
      <c r="H30" s="138"/>
      <c r="J30" s="62"/>
    </row>
    <row r="31" spans="1:10" x14ac:dyDescent="0.25">
      <c r="A31" s="139" t="s">
        <v>17</v>
      </c>
      <c r="B31" s="140" t="s">
        <v>14</v>
      </c>
      <c r="C31" s="83"/>
      <c r="D31" s="84"/>
      <c r="E31" s="85"/>
      <c r="F31" s="86"/>
      <c r="G31" s="87"/>
      <c r="H31" s="138">
        <f t="shared" ref="H31" si="4">(F31+F32-G31-G32)</f>
        <v>0</v>
      </c>
      <c r="J31" s="62"/>
    </row>
    <row r="32" spans="1:10" ht="15.75" thickBot="1" x14ac:dyDescent="0.3">
      <c r="A32" s="139"/>
      <c r="B32" s="140"/>
      <c r="C32" s="83"/>
      <c r="D32" s="88"/>
      <c r="E32" s="89"/>
      <c r="F32" s="90"/>
      <c r="G32" s="91"/>
      <c r="H32" s="138"/>
      <c r="J32" s="62"/>
    </row>
    <row r="33" spans="1:10" x14ac:dyDescent="0.25">
      <c r="A33" s="139" t="s">
        <v>18</v>
      </c>
      <c r="B33" s="140" t="s">
        <v>13</v>
      </c>
      <c r="C33" s="73"/>
      <c r="D33" s="74"/>
      <c r="E33" s="75"/>
      <c r="F33" s="76"/>
      <c r="G33" s="77"/>
      <c r="H33" s="138">
        <f t="shared" ref="H33" si="5">(F33+F34-G33-G34)</f>
        <v>0</v>
      </c>
      <c r="J33" s="62"/>
    </row>
    <row r="34" spans="1:10" ht="15.75" thickBot="1" x14ac:dyDescent="0.3">
      <c r="A34" s="139"/>
      <c r="B34" s="140"/>
      <c r="C34" s="78"/>
      <c r="D34" s="79"/>
      <c r="E34" s="80"/>
      <c r="F34" s="81"/>
      <c r="G34" s="82"/>
      <c r="H34" s="138"/>
      <c r="J34" s="62"/>
    </row>
    <row r="35" spans="1:10" x14ac:dyDescent="0.25">
      <c r="A35" s="139" t="s">
        <v>19</v>
      </c>
      <c r="B35" s="140" t="s">
        <v>38</v>
      </c>
      <c r="C35" s="83"/>
      <c r="D35" s="84"/>
      <c r="E35" s="85"/>
      <c r="F35" s="86"/>
      <c r="G35" s="87"/>
      <c r="H35" s="138">
        <f t="shared" ref="H35" si="6">(F35+F36-G35-G36)</f>
        <v>0</v>
      </c>
      <c r="J35" s="62"/>
    </row>
    <row r="36" spans="1:10" ht="15.75" thickBot="1" x14ac:dyDescent="0.3">
      <c r="A36" s="139"/>
      <c r="B36" s="140"/>
      <c r="C36" s="83"/>
      <c r="D36" s="88"/>
      <c r="E36" s="89"/>
      <c r="F36" s="90"/>
      <c r="G36" s="91"/>
      <c r="H36" s="138"/>
      <c r="J36" s="62"/>
    </row>
    <row r="37" spans="1:10" x14ac:dyDescent="0.25">
      <c r="A37" s="139" t="s">
        <v>20</v>
      </c>
      <c r="B37" s="140" t="s">
        <v>75</v>
      </c>
      <c r="C37" s="73"/>
      <c r="D37" s="74"/>
      <c r="E37" s="76"/>
      <c r="F37" s="76"/>
      <c r="G37" s="95"/>
      <c r="H37" s="138">
        <f>F38+F39-G38-G39+F37-G37</f>
        <v>0</v>
      </c>
      <c r="J37" s="62"/>
    </row>
    <row r="38" spans="1:10" x14ac:dyDescent="0.25">
      <c r="A38" s="139"/>
      <c r="B38" s="140"/>
      <c r="C38" s="96"/>
      <c r="D38" s="92"/>
      <c r="E38" s="94"/>
      <c r="F38" s="94"/>
      <c r="G38" s="95"/>
      <c r="H38" s="138"/>
      <c r="J38" s="62"/>
    </row>
    <row r="39" spans="1:10" ht="15.75" thickBot="1" x14ac:dyDescent="0.3">
      <c r="A39" s="139"/>
      <c r="B39" s="140"/>
      <c r="C39" s="78"/>
      <c r="D39" s="79"/>
      <c r="E39" s="81"/>
      <c r="F39" s="81"/>
      <c r="G39" s="82"/>
      <c r="H39" s="138"/>
      <c r="J39" s="62"/>
    </row>
    <row r="40" spans="1:10" x14ac:dyDescent="0.25">
      <c r="A40" s="139" t="s">
        <v>21</v>
      </c>
      <c r="B40" s="140" t="s">
        <v>41</v>
      </c>
      <c r="C40" s="83"/>
      <c r="D40" s="84"/>
      <c r="E40" s="85"/>
      <c r="F40" s="86"/>
      <c r="G40" s="87"/>
      <c r="H40" s="138">
        <f>F40+F41-G40-G41</f>
        <v>0</v>
      </c>
      <c r="J40" s="62"/>
    </row>
    <row r="41" spans="1:10" ht="15.75" thickBot="1" x14ac:dyDescent="0.3">
      <c r="A41" s="139"/>
      <c r="B41" s="140"/>
      <c r="C41" s="83"/>
      <c r="D41" s="88"/>
      <c r="E41" s="89"/>
      <c r="F41" s="90"/>
      <c r="G41" s="91"/>
      <c r="H41" s="138"/>
      <c r="J41" s="62"/>
    </row>
    <row r="42" spans="1:10" x14ac:dyDescent="0.25">
      <c r="A42" s="139" t="s">
        <v>22</v>
      </c>
      <c r="B42" s="140" t="s">
        <v>39</v>
      </c>
      <c r="C42" s="73"/>
      <c r="D42" s="74"/>
      <c r="E42" s="75"/>
      <c r="F42" s="76"/>
      <c r="G42" s="77"/>
      <c r="H42" s="138">
        <f t="shared" ref="H42" si="7">F42+F43-G42-G43</f>
        <v>0</v>
      </c>
      <c r="J42" s="62"/>
    </row>
    <row r="43" spans="1:10" ht="15.75" thickBot="1" x14ac:dyDescent="0.3">
      <c r="A43" s="139"/>
      <c r="B43" s="140"/>
      <c r="C43" s="78"/>
      <c r="D43" s="79"/>
      <c r="E43" s="80"/>
      <c r="F43" s="81"/>
      <c r="G43" s="82"/>
      <c r="H43" s="138"/>
      <c r="J43" s="62"/>
    </row>
    <row r="44" spans="1:10" x14ac:dyDescent="0.25">
      <c r="A44" s="139" t="s">
        <v>23</v>
      </c>
      <c r="B44" s="140" t="s">
        <v>57</v>
      </c>
      <c r="C44" s="83"/>
      <c r="D44" s="84"/>
      <c r="E44" s="85"/>
      <c r="F44" s="86"/>
      <c r="G44" s="87"/>
      <c r="H44" s="138">
        <f t="shared" ref="H44" si="8">F44+F45-G44-G45</f>
        <v>0</v>
      </c>
      <c r="J44" s="62"/>
    </row>
    <row r="45" spans="1:10" ht="15.75" thickBot="1" x14ac:dyDescent="0.3">
      <c r="A45" s="139"/>
      <c r="B45" s="140"/>
      <c r="C45" s="97"/>
      <c r="D45" s="88"/>
      <c r="E45" s="89"/>
      <c r="F45" s="90"/>
      <c r="G45" s="91"/>
      <c r="H45" s="138"/>
      <c r="J45" s="62"/>
    </row>
    <row r="46" spans="1:10" ht="15.75" thickBot="1" x14ac:dyDescent="0.3">
      <c r="A46" s="56"/>
      <c r="B46" s="26"/>
      <c r="C46" s="26"/>
      <c r="D46" s="26"/>
      <c r="E46" s="26"/>
      <c r="F46" s="26"/>
      <c r="G46" s="26"/>
      <c r="H46" s="57"/>
      <c r="J46" s="62"/>
    </row>
    <row r="47" spans="1:10" x14ac:dyDescent="0.25">
      <c r="J47" s="62"/>
    </row>
    <row r="48" spans="1:10" x14ac:dyDescent="0.25">
      <c r="A48" s="63"/>
      <c r="B48" s="63"/>
      <c r="C48" s="63"/>
      <c r="D48" s="63"/>
      <c r="E48" s="63"/>
      <c r="F48" s="63"/>
      <c r="G48" s="63"/>
      <c r="H48" s="63"/>
      <c r="I48" s="63"/>
      <c r="J48" s="62"/>
    </row>
  </sheetData>
  <mergeCells count="54">
    <mergeCell ref="A1:H1"/>
    <mergeCell ref="A9:A10"/>
    <mergeCell ref="A11:A12"/>
    <mergeCell ref="A2:H2"/>
    <mergeCell ref="A25:H25"/>
    <mergeCell ref="A24:H24"/>
    <mergeCell ref="C3:G3"/>
    <mergeCell ref="A5:A6"/>
    <mergeCell ref="B5:B6"/>
    <mergeCell ref="H5:H6"/>
    <mergeCell ref="A7:A8"/>
    <mergeCell ref="B7:B8"/>
    <mergeCell ref="H7:H8"/>
    <mergeCell ref="B9:B10"/>
    <mergeCell ref="H9:H10"/>
    <mergeCell ref="B11:B12"/>
    <mergeCell ref="A28:A30"/>
    <mergeCell ref="B28:B30"/>
    <mergeCell ref="H28:H30"/>
    <mergeCell ref="A16:A17"/>
    <mergeCell ref="B16:B17"/>
    <mergeCell ref="H16:H17"/>
    <mergeCell ref="A18:A19"/>
    <mergeCell ref="A20:A21"/>
    <mergeCell ref="B20:B21"/>
    <mergeCell ref="H20:H21"/>
    <mergeCell ref="A31:A32"/>
    <mergeCell ref="B31:B32"/>
    <mergeCell ref="H31:H32"/>
    <mergeCell ref="A33:A34"/>
    <mergeCell ref="B33:B34"/>
    <mergeCell ref="H33:H34"/>
    <mergeCell ref="A44:A45"/>
    <mergeCell ref="B44:B45"/>
    <mergeCell ref="H44:H45"/>
    <mergeCell ref="C26:G26"/>
    <mergeCell ref="A40:A41"/>
    <mergeCell ref="B40:B41"/>
    <mergeCell ref="H40:H41"/>
    <mergeCell ref="A42:A43"/>
    <mergeCell ref="B42:B43"/>
    <mergeCell ref="H42:H43"/>
    <mergeCell ref="A35:A36"/>
    <mergeCell ref="B35:B36"/>
    <mergeCell ref="H35:H36"/>
    <mergeCell ref="A37:A39"/>
    <mergeCell ref="B37:B39"/>
    <mergeCell ref="H37:H39"/>
    <mergeCell ref="H11:H12"/>
    <mergeCell ref="A13:A15"/>
    <mergeCell ref="B13:B15"/>
    <mergeCell ref="H13:H15"/>
    <mergeCell ref="B18:B19"/>
    <mergeCell ref="H18:H19"/>
  </mergeCells>
  <conditionalFormatting sqref="H28:H45 H5:H22">
    <cfRule type="cellIs" dxfId="1" priority="3" operator="greaterThan">
      <formula>0</formula>
    </cfRule>
    <cfRule type="cellIs" dxfId="0" priority="4" operator="lessThan">
      <formula>0</formula>
    </cfRule>
  </conditionalFormatting>
  <dataValidations count="3">
    <dataValidation type="list" allowBlank="1" showInputMessage="1" showErrorMessage="1" sqref="D5:E21 D28:D45 E28 E30:E45 E29" xr:uid="{00000000-0002-0000-0400-000000000000}">
      <formula1>INDIRECT($C5)</formula1>
    </dataValidation>
    <dataValidation type="list" allowBlank="1" showInputMessage="1" showErrorMessage="1" sqref="C28 C30:C45 C29" xr:uid="{00000000-0002-0000-0400-000001000000}">
      <formula1>"Asset,Liability,Net_Asset"</formula1>
    </dataValidation>
    <dataValidation type="list" allowBlank="1" showInputMessage="1" showErrorMessage="1" sqref="C5:C21" xr:uid="{00000000-0002-0000-0400-000002000000}">
      <formula1>"Asset,Liability,Equity"</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heetViews>
  <sheetFormatPr defaultColWidth="8.85546875" defaultRowHeight="15" x14ac:dyDescent="0.25"/>
  <cols>
    <col min="2" max="2" width="26.85546875" bestFit="1" customWidth="1"/>
    <col min="3" max="3" width="17.42578125" bestFit="1" customWidth="1"/>
    <col min="4" max="4" width="17" bestFit="1" customWidth="1"/>
    <col min="5" max="5" width="22.28515625" bestFit="1" customWidth="1"/>
  </cols>
  <sheetData>
    <row r="1" spans="1:5" x14ac:dyDescent="0.25">
      <c r="A1" t="s">
        <v>48</v>
      </c>
    </row>
    <row r="2" spans="1:5" x14ac:dyDescent="0.25">
      <c r="B2" t="s">
        <v>8</v>
      </c>
      <c r="C2" t="s">
        <v>11</v>
      </c>
      <c r="D2" t="s">
        <v>30</v>
      </c>
      <c r="E2" t="s">
        <v>36</v>
      </c>
    </row>
    <row r="3" spans="1:5" x14ac:dyDescent="0.25">
      <c r="B3" t="s">
        <v>9</v>
      </c>
      <c r="C3" t="s">
        <v>32</v>
      </c>
      <c r="D3" t="s">
        <v>31</v>
      </c>
      <c r="E3" t="s">
        <v>37</v>
      </c>
    </row>
    <row r="4" spans="1:5" x14ac:dyDescent="0.25">
      <c r="B4" t="s">
        <v>10</v>
      </c>
      <c r="C4" t="s">
        <v>29</v>
      </c>
    </row>
    <row r="5" spans="1:5" x14ac:dyDescent="0.25">
      <c r="B5"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Instructions</vt:lpstr>
      <vt:lpstr>For-Profit</vt:lpstr>
      <vt:lpstr>Not-for-Profit</vt:lpstr>
      <vt:lpstr>General Ledger</vt:lpstr>
      <vt:lpstr>Journal</vt:lpstr>
      <vt:lpstr>Account Names</vt:lpstr>
      <vt:lpstr>Asset</vt:lpstr>
      <vt:lpstr>Equity</vt:lpstr>
      <vt:lpstr>Liability</vt:lpstr>
      <vt:lpstr>Net_Asset</vt:lpstr>
    </vt:vector>
  </TitlesOfParts>
  <Company>Yale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Antle, Rick</dc:creator>
  <cp:lastModifiedBy>Antle, Rick</cp:lastModifiedBy>
  <dcterms:created xsi:type="dcterms:W3CDTF">2019-04-30T21:02:47Z</dcterms:created>
  <dcterms:modified xsi:type="dcterms:W3CDTF">2020-02-28T21:28:53Z</dcterms:modified>
</cp:coreProperties>
</file>