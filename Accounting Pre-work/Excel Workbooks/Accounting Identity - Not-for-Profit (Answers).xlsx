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3" documentId="8_{F35DF876-E8FB-4F7B-86D3-AC321709B685}" xr6:coauthVersionLast="45" xr6:coauthVersionMax="45" xr10:uidLastSave="{B81395E6-681A-4DA4-BE0F-481FA6E6EF17}"/>
  <bookViews>
    <workbookView xWindow="25545" yWindow="2955" windowWidth="30510" windowHeight="19080" xr2:uid="{1E23A63B-3FB0-FA44-9559-22C7EE651829}"/>
  </bookViews>
  <sheets>
    <sheet name="Answers Acctg Identity NFP" sheetId="3" r:id="rId1"/>
    <sheet name="Accounting Identity NFP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1" i="2" l="1"/>
  <c r="D19" i="3"/>
  <c r="D13" i="3"/>
  <c r="D11" i="3"/>
  <c r="D7" i="3"/>
  <c r="D21" i="3"/>
  <c r="G21" i="3"/>
  <c r="J21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10" i="2"/>
  <c r="L9" i="2"/>
  <c r="L5" i="2"/>
  <c r="G21" i="2"/>
  <c r="D21" i="2"/>
  <c r="L14" i="2"/>
  <c r="L15" i="2"/>
  <c r="L16" i="2"/>
  <c r="L17" i="2"/>
  <c r="L18" i="2"/>
  <c r="L19" i="2"/>
  <c r="L20" i="2"/>
  <c r="L13" i="2"/>
  <c r="L12" i="2"/>
  <c r="L11" i="2"/>
  <c r="L8" i="2"/>
  <c r="L7" i="2"/>
  <c r="L6" i="2"/>
  <c r="L4" i="2"/>
  <c r="L21" i="2"/>
</calcChain>
</file>

<file path=xl/sharedStrings.xml><?xml version="1.0" encoding="utf-8"?>
<sst xmlns="http://schemas.openxmlformats.org/spreadsheetml/2006/main" count="105" uniqueCount="48">
  <si>
    <t>Assets</t>
  </si>
  <si>
    <t>=</t>
  </si>
  <si>
    <t>Liabilities</t>
  </si>
  <si>
    <t>a</t>
  </si>
  <si>
    <t>b</t>
  </si>
  <si>
    <t>c</t>
  </si>
  <si>
    <t>d</t>
  </si>
  <si>
    <t>e</t>
  </si>
  <si>
    <t>f</t>
  </si>
  <si>
    <t>Received $6k cash from customers</t>
  </si>
  <si>
    <t>g</t>
  </si>
  <si>
    <t>Total</t>
  </si>
  <si>
    <t>Recognize?</t>
  </si>
  <si>
    <t>YES</t>
  </si>
  <si>
    <t>h</t>
  </si>
  <si>
    <t>Put in a $15k bid to do work</t>
  </si>
  <si>
    <t>j</t>
  </si>
  <si>
    <t>k</t>
  </si>
  <si>
    <t>l</t>
  </si>
  <si>
    <t>m</t>
  </si>
  <si>
    <t>NO</t>
  </si>
  <si>
    <t>Select Yes or No in Column C. If Yes, the insert numbers into the blue areas that both capture the transaction and preserve the Accounting Indentity.</t>
  </si>
  <si>
    <t>Declared the intention to spend $2k.</t>
  </si>
  <si>
    <t>Identity Preserved?</t>
  </si>
  <si>
    <t>Borrowed $50k from a bank</t>
  </si>
  <si>
    <t>Purchased equipment paying $15k in cash</t>
  </si>
  <si>
    <t>Purchased $18k of inventory on credit</t>
  </si>
  <si>
    <t>SOM NfP - Not-for-Profit Problem</t>
  </si>
  <si>
    <t>n</t>
  </si>
  <si>
    <t>o</t>
  </si>
  <si>
    <t>p</t>
  </si>
  <si>
    <t>q</t>
  </si>
  <si>
    <t>Received a contribution of $50k cash. The donor placed no restictions on its use.</t>
  </si>
  <si>
    <t>Received a contribution of $50k. The donor placed restrictions on its use.</t>
  </si>
  <si>
    <t>Sold for cash of $8k some of the inventory purchased in e</t>
  </si>
  <si>
    <t>Was informed that your bid in l made it to the final round of consideration.</t>
  </si>
  <si>
    <t>Was informed that your bid in l was accepted.</t>
  </si>
  <si>
    <t>Performed the work in l and billed the buyer $15k</t>
  </si>
  <si>
    <t>Collected the $15k for the work in l.</t>
  </si>
  <si>
    <t>Spent $2k fulfilling requirements of the donation in b.</t>
  </si>
  <si>
    <t>r</t>
  </si>
  <si>
    <t>Paid $7k cash to suppliers of inventory purchased in e</t>
  </si>
  <si>
    <t>Paid $7k cash to suppliers of inventory purchased in g</t>
  </si>
  <si>
    <t>Net Assets</t>
  </si>
  <si>
    <t>-</t>
  </si>
  <si>
    <t>Determined that the inventory sold in f had cost SOM NfP $6k</t>
  </si>
  <si>
    <t>Sold some of the inventory purchased in e for promises to pay $8k in 30 days. The inventory sold cost SOM NfP $6k</t>
  </si>
  <si>
    <t>Sold some of the inventory purchased in e for promises to pay $6\8k in 30 days. The inventory sold cost SOM NfP $6k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</si>
</sst>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4" fillId="4" borderId="0" xfId="0" applyFont="1" applyFill="1" applyAlignment="1" applyProtection="1">
      <alignment horizontal="center" wrapText="1"/>
      <protection locked="0"/>
    </xf>
    <xf numFmtId="164" fontId="0" fillId="3" borderId="0" xfId="1" applyNumberFormat="1" applyFont="1" applyFill="1" applyBorder="1" applyAlignment="1" applyProtection="1">
      <alignment horizontal="center"/>
      <protection locked="0"/>
    </xf>
    <xf numFmtId="164" fontId="0" fillId="3" borderId="0" xfId="1" applyNumberFormat="1" applyFont="1" applyFill="1" applyAlignment="1" applyProtection="1">
      <alignment horizontal="center"/>
      <protection locked="0"/>
    </xf>
    <xf numFmtId="164" fontId="0" fillId="3" borderId="4" xfId="1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165" fontId="4" fillId="5" borderId="2" xfId="2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 applyProtection="1">
      <alignment horizontal="center"/>
      <protection locked="0"/>
    </xf>
    <xf numFmtId="164" fontId="0" fillId="3" borderId="0" xfId="1" applyNumberFormat="1" applyFont="1" applyFill="1" applyBorder="1" applyAlignment="1" applyProtection="1">
      <alignment horizontal="center"/>
    </xf>
    <xf numFmtId="164" fontId="0" fillId="3" borderId="0" xfId="1" applyNumberFormat="1" applyFont="1" applyFill="1" applyAlignment="1" applyProtection="1">
      <alignment horizontal="center"/>
    </xf>
    <xf numFmtId="164" fontId="0" fillId="3" borderId="4" xfId="1" applyNumberFormat="1" applyFont="1" applyFill="1" applyBorder="1" applyAlignment="1" applyProtection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7"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22"/>
  <sheetViews>
    <sheetView tabSelected="1" zoomScale="160" zoomScaleNormal="160" workbookViewId="0">
      <selection sqref="A1:L1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  <col min="12" max="12" width="18.7109375" bestFit="1" customWidth="1"/>
  </cols>
  <sheetData>
    <row r="1" spans="1:12" ht="26.25" x14ac:dyDescent="0.4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75" x14ac:dyDescent="0.25">
      <c r="A2" s="15" t="s">
        <v>21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5.75" thickBot="1" x14ac:dyDescent="0.3">
      <c r="C3" s="6" t="s">
        <v>12</v>
      </c>
      <c r="D3" s="16" t="s">
        <v>0</v>
      </c>
      <c r="E3" s="16"/>
      <c r="F3" s="1" t="s">
        <v>44</v>
      </c>
      <c r="G3" s="16" t="s">
        <v>2</v>
      </c>
      <c r="H3" s="16"/>
      <c r="I3" s="1" t="s">
        <v>1</v>
      </c>
      <c r="J3" s="16" t="s">
        <v>43</v>
      </c>
      <c r="K3" s="16"/>
      <c r="L3" s="2" t="s">
        <v>23</v>
      </c>
    </row>
    <row r="4" spans="1:12" ht="45" x14ac:dyDescent="0.25">
      <c r="A4" s="3" t="s">
        <v>3</v>
      </c>
      <c r="B4" s="4" t="s">
        <v>32</v>
      </c>
      <c r="C4" s="7" t="s">
        <v>13</v>
      </c>
      <c r="D4" s="21">
        <v>50</v>
      </c>
      <c r="E4" s="21"/>
      <c r="G4" s="21"/>
      <c r="H4" s="21"/>
      <c r="J4" s="20">
        <v>50</v>
      </c>
      <c r="K4" s="20"/>
      <c r="L4" s="3" t="str">
        <f t="shared" ref="L4:L20" si="0">IF(AND(ISBLANK(D4),ISBLANK(G4),ISBLANK(J4)),"",IF(D4-G4-J4=0,"YES","NO"))</f>
        <v>YES</v>
      </c>
    </row>
    <row r="5" spans="1:12" ht="30" x14ac:dyDescent="0.25">
      <c r="A5" s="3" t="s">
        <v>4</v>
      </c>
      <c r="B5" s="4" t="s">
        <v>33</v>
      </c>
      <c r="C5" s="7" t="s">
        <v>13</v>
      </c>
      <c r="D5" s="19">
        <v>50</v>
      </c>
      <c r="E5" s="19"/>
      <c r="G5" s="19"/>
      <c r="H5" s="19"/>
      <c r="J5" s="20">
        <v>50</v>
      </c>
      <c r="K5" s="20"/>
      <c r="L5" s="3" t="str">
        <f t="shared" si="0"/>
        <v>YES</v>
      </c>
    </row>
    <row r="6" spans="1:12" ht="14.25" customHeight="1" x14ac:dyDescent="0.25">
      <c r="A6" s="3" t="s">
        <v>5</v>
      </c>
      <c r="B6" s="4" t="s">
        <v>24</v>
      </c>
      <c r="C6" s="7" t="s">
        <v>13</v>
      </c>
      <c r="D6" s="12">
        <v>50</v>
      </c>
      <c r="E6" s="12"/>
      <c r="G6" s="12">
        <v>50</v>
      </c>
      <c r="H6" s="12"/>
      <c r="J6" s="12"/>
      <c r="K6" s="12"/>
      <c r="L6" s="3" t="str">
        <f t="shared" si="0"/>
        <v>YES</v>
      </c>
    </row>
    <row r="7" spans="1:12" ht="15" customHeight="1" x14ac:dyDescent="0.25">
      <c r="A7" s="3" t="s">
        <v>6</v>
      </c>
      <c r="B7" s="4" t="s">
        <v>25</v>
      </c>
      <c r="C7" s="7" t="s">
        <v>13</v>
      </c>
      <c r="D7" s="12">
        <f>15-15</f>
        <v>0</v>
      </c>
      <c r="E7" s="12"/>
      <c r="G7" s="12"/>
      <c r="H7" s="12"/>
      <c r="J7" s="12"/>
      <c r="K7" s="12"/>
      <c r="L7" s="3" t="str">
        <f t="shared" si="0"/>
        <v>YES</v>
      </c>
    </row>
    <row r="8" spans="1:12" x14ac:dyDescent="0.25">
      <c r="A8" s="3" t="s">
        <v>7</v>
      </c>
      <c r="B8" s="4" t="s">
        <v>26</v>
      </c>
      <c r="C8" s="7" t="s">
        <v>13</v>
      </c>
      <c r="D8" s="12">
        <v>18</v>
      </c>
      <c r="E8" s="12"/>
      <c r="G8" s="12">
        <v>18</v>
      </c>
      <c r="H8" s="12"/>
      <c r="J8" s="12"/>
      <c r="K8" s="12"/>
      <c r="L8" s="3" t="str">
        <f t="shared" si="0"/>
        <v>YES</v>
      </c>
    </row>
    <row r="9" spans="1:12" ht="30" x14ac:dyDescent="0.25">
      <c r="A9" s="3" t="s">
        <v>8</v>
      </c>
      <c r="B9" s="4" t="s">
        <v>34</v>
      </c>
      <c r="C9" s="7" t="s">
        <v>13</v>
      </c>
      <c r="D9" s="12">
        <v>8</v>
      </c>
      <c r="E9" s="12"/>
      <c r="G9" s="12"/>
      <c r="H9" s="12"/>
      <c r="J9" s="12">
        <v>8</v>
      </c>
      <c r="K9" s="12"/>
      <c r="L9" s="3" t="str">
        <f t="shared" si="0"/>
        <v>YES</v>
      </c>
    </row>
    <row r="10" spans="1:12" ht="30" x14ac:dyDescent="0.25">
      <c r="A10" s="3" t="s">
        <v>10</v>
      </c>
      <c r="B10" s="4" t="s">
        <v>45</v>
      </c>
      <c r="C10" s="7" t="s">
        <v>13</v>
      </c>
      <c r="D10" s="12">
        <v>-6</v>
      </c>
      <c r="E10" s="12"/>
      <c r="G10" s="12"/>
      <c r="H10" s="12"/>
      <c r="J10" s="12">
        <v>-6</v>
      </c>
      <c r="K10" s="12"/>
      <c r="L10" s="3" t="str">
        <f t="shared" si="0"/>
        <v>YES</v>
      </c>
    </row>
    <row r="11" spans="1:12" ht="45" x14ac:dyDescent="0.25">
      <c r="A11" s="3" t="s">
        <v>14</v>
      </c>
      <c r="B11" s="4" t="s">
        <v>47</v>
      </c>
      <c r="C11" s="7" t="s">
        <v>13</v>
      </c>
      <c r="D11" s="12">
        <f>8-6</f>
        <v>2</v>
      </c>
      <c r="E11" s="12"/>
      <c r="G11" s="12"/>
      <c r="H11" s="12"/>
      <c r="J11" s="12">
        <v>2</v>
      </c>
      <c r="K11" s="12"/>
      <c r="L11" s="3" t="str">
        <f t="shared" si="0"/>
        <v>YES</v>
      </c>
    </row>
    <row r="12" spans="1:12" ht="30" x14ac:dyDescent="0.25">
      <c r="A12" s="3" t="s">
        <v>16</v>
      </c>
      <c r="B12" s="4" t="s">
        <v>41</v>
      </c>
      <c r="C12" s="7" t="s">
        <v>13</v>
      </c>
      <c r="D12" s="12">
        <v>-7</v>
      </c>
      <c r="E12" s="12"/>
      <c r="G12" s="12">
        <v>-7</v>
      </c>
      <c r="H12" s="12"/>
      <c r="J12" s="12"/>
      <c r="K12" s="12"/>
      <c r="L12" s="3" t="str">
        <f t="shared" si="0"/>
        <v>YES</v>
      </c>
    </row>
    <row r="13" spans="1:12" x14ac:dyDescent="0.25">
      <c r="A13" s="3" t="s">
        <v>17</v>
      </c>
      <c r="B13" s="4" t="s">
        <v>9</v>
      </c>
      <c r="C13" s="7" t="s">
        <v>13</v>
      </c>
      <c r="D13" s="12">
        <f>6-6</f>
        <v>0</v>
      </c>
      <c r="E13" s="12"/>
      <c r="G13" s="12"/>
      <c r="H13" s="12"/>
      <c r="J13" s="12"/>
      <c r="K13" s="12"/>
      <c r="L13" s="3" t="str">
        <f t="shared" si="0"/>
        <v>YES</v>
      </c>
    </row>
    <row r="14" spans="1:12" x14ac:dyDescent="0.25">
      <c r="A14" s="3" t="s">
        <v>18</v>
      </c>
      <c r="B14" s="4" t="s">
        <v>15</v>
      </c>
      <c r="C14" s="7" t="s">
        <v>20</v>
      </c>
      <c r="D14" s="12"/>
      <c r="E14" s="12"/>
      <c r="G14" s="12"/>
      <c r="H14" s="12"/>
      <c r="J14" s="12"/>
      <c r="K14" s="12"/>
      <c r="L14" s="3" t="str">
        <f t="shared" si="0"/>
        <v/>
      </c>
    </row>
    <row r="15" spans="1:12" x14ac:dyDescent="0.25">
      <c r="A15" s="3" t="s">
        <v>19</v>
      </c>
      <c r="B15" s="4" t="s">
        <v>22</v>
      </c>
      <c r="C15" s="7" t="s">
        <v>20</v>
      </c>
      <c r="D15" s="12"/>
      <c r="E15" s="12"/>
      <c r="G15" s="12"/>
      <c r="H15" s="12"/>
      <c r="J15" s="12"/>
      <c r="K15" s="12"/>
      <c r="L15" s="3" t="str">
        <f t="shared" si="0"/>
        <v/>
      </c>
    </row>
    <row r="16" spans="1:12" ht="30" x14ac:dyDescent="0.25">
      <c r="A16" s="3" t="s">
        <v>28</v>
      </c>
      <c r="B16" s="4" t="s">
        <v>35</v>
      </c>
      <c r="C16" s="7" t="s">
        <v>20</v>
      </c>
      <c r="D16" s="12"/>
      <c r="E16" s="12"/>
      <c r="G16" s="12"/>
      <c r="H16" s="12"/>
      <c r="J16" s="12"/>
      <c r="K16" s="12"/>
      <c r="L16" s="3" t="str">
        <f t="shared" si="0"/>
        <v/>
      </c>
    </row>
    <row r="17" spans="1:12" ht="30" x14ac:dyDescent="0.25">
      <c r="A17" s="3" t="s">
        <v>29</v>
      </c>
      <c r="B17" s="4" t="s">
        <v>36</v>
      </c>
      <c r="C17" s="7" t="s">
        <v>20</v>
      </c>
      <c r="D17" s="12"/>
      <c r="E17" s="12"/>
      <c r="G17" s="12"/>
      <c r="H17" s="12"/>
      <c r="J17" s="12"/>
      <c r="K17" s="12"/>
      <c r="L17" s="3" t="str">
        <f t="shared" si="0"/>
        <v/>
      </c>
    </row>
    <row r="18" spans="1:12" ht="30" x14ac:dyDescent="0.25">
      <c r="A18" s="3" t="s">
        <v>30</v>
      </c>
      <c r="B18" s="4" t="s">
        <v>37</v>
      </c>
      <c r="C18" s="7" t="s">
        <v>13</v>
      </c>
      <c r="D18" s="12">
        <v>15</v>
      </c>
      <c r="E18" s="12"/>
      <c r="G18" s="12"/>
      <c r="H18" s="12"/>
      <c r="J18" s="12">
        <v>15</v>
      </c>
      <c r="K18" s="12"/>
      <c r="L18" s="3" t="str">
        <f t="shared" si="0"/>
        <v>YES</v>
      </c>
    </row>
    <row r="19" spans="1:12" x14ac:dyDescent="0.25">
      <c r="A19" s="3" t="s">
        <v>31</v>
      </c>
      <c r="B19" s="4" t="s">
        <v>38</v>
      </c>
      <c r="C19" s="7" t="s">
        <v>13</v>
      </c>
      <c r="D19" s="12">
        <f>15-15</f>
        <v>0</v>
      </c>
      <c r="E19" s="12"/>
      <c r="G19" s="12"/>
      <c r="H19" s="12"/>
      <c r="J19" s="12"/>
      <c r="K19" s="12"/>
      <c r="L19" s="3" t="str">
        <f t="shared" si="0"/>
        <v>YES</v>
      </c>
    </row>
    <row r="20" spans="1:12" ht="30" x14ac:dyDescent="0.25">
      <c r="A20" s="3" t="s">
        <v>40</v>
      </c>
      <c r="B20" s="4" t="s">
        <v>39</v>
      </c>
      <c r="C20" s="7" t="s">
        <v>13</v>
      </c>
      <c r="D20" s="18">
        <v>-2</v>
      </c>
      <c r="E20" s="18"/>
      <c r="G20" s="18"/>
      <c r="H20" s="18"/>
      <c r="J20" s="18">
        <v>-2</v>
      </c>
      <c r="K20" s="18"/>
      <c r="L20" s="3" t="str">
        <f t="shared" si="0"/>
        <v>YES</v>
      </c>
    </row>
    <row r="21" spans="1:12" ht="15.75" thickBot="1" x14ac:dyDescent="0.3">
      <c r="B21" t="s">
        <v>11</v>
      </c>
      <c r="D21" s="17">
        <f>SUM(D4:D20)</f>
        <v>178</v>
      </c>
      <c r="E21" s="17"/>
      <c r="G21" s="17">
        <f>SUM(G4:G20)</f>
        <v>61</v>
      </c>
      <c r="H21" s="17"/>
      <c r="J21" s="17">
        <f>SUM(J4:J20)</f>
        <v>117</v>
      </c>
      <c r="K21" s="17"/>
      <c r="L21" s="5" t="str">
        <f>IF(D21-G21-J21=0,"YES","NO")</f>
        <v>YES</v>
      </c>
    </row>
    <row r="22" spans="1:12" ht="15.75" thickTop="1" x14ac:dyDescent="0.25"/>
  </sheetData>
  <mergeCells count="59">
    <mergeCell ref="D20:E20"/>
    <mergeCell ref="G20:H20"/>
    <mergeCell ref="J20:K20"/>
    <mergeCell ref="D21:E21"/>
    <mergeCell ref="G21:H21"/>
    <mergeCell ref="J21:K21"/>
    <mergeCell ref="D4:E4"/>
    <mergeCell ref="G4:H4"/>
    <mergeCell ref="J4:K4"/>
    <mergeCell ref="A1:L1"/>
    <mergeCell ref="A2:L2"/>
    <mergeCell ref="D3:E3"/>
    <mergeCell ref="G3:H3"/>
    <mergeCell ref="J3:K3"/>
    <mergeCell ref="D9:E9"/>
    <mergeCell ref="G9:H9"/>
    <mergeCell ref="J9:K9"/>
    <mergeCell ref="D6:E6"/>
    <mergeCell ref="G6:H6"/>
    <mergeCell ref="J6:K6"/>
    <mergeCell ref="D7:E7"/>
    <mergeCell ref="G7:H7"/>
    <mergeCell ref="J7:K7"/>
    <mergeCell ref="D19:E19"/>
    <mergeCell ref="G19:H19"/>
    <mergeCell ref="J19:K19"/>
    <mergeCell ref="J18:K18"/>
    <mergeCell ref="G18:H18"/>
    <mergeCell ref="D15:E15"/>
    <mergeCell ref="D16:E16"/>
    <mergeCell ref="D17:E17"/>
    <mergeCell ref="D18:E18"/>
    <mergeCell ref="D13:E13"/>
    <mergeCell ref="J15:K15"/>
    <mergeCell ref="J16:K16"/>
    <mergeCell ref="J17:K17"/>
    <mergeCell ref="G12:H12"/>
    <mergeCell ref="G14:H14"/>
    <mergeCell ref="G15:H15"/>
    <mergeCell ref="G16:H16"/>
    <mergeCell ref="G17:H17"/>
    <mergeCell ref="G13:H13"/>
    <mergeCell ref="J13:K13"/>
    <mergeCell ref="D5:E5"/>
    <mergeCell ref="G5:H5"/>
    <mergeCell ref="J5:K5"/>
    <mergeCell ref="J12:K12"/>
    <mergeCell ref="J14:K14"/>
    <mergeCell ref="D12:E12"/>
    <mergeCell ref="D14:E14"/>
    <mergeCell ref="D10:E10"/>
    <mergeCell ref="G10:H10"/>
    <mergeCell ref="J10:K10"/>
    <mergeCell ref="D11:E11"/>
    <mergeCell ref="G11:H11"/>
    <mergeCell ref="J11:K11"/>
    <mergeCell ref="D8:E8"/>
    <mergeCell ref="G8:H8"/>
    <mergeCell ref="J8:K8"/>
  </mergeCells>
  <conditionalFormatting sqref="L4:L21">
    <cfRule type="cellIs" dxfId="2" priority="3" operator="equal">
      <formula>"NO"</formula>
    </cfRule>
    <cfRule type="cellIs" dxfId="1" priority="4" operator="equal">
      <formula>"YES"</formula>
    </cfRule>
    <cfRule type="expression" dxfId="0" priority="1">
      <formula>AND($C4&lt;&gt;"",$C4="NO")</formula>
    </cfRule>
  </conditionalFormatting>
  <dataValidations disablePrompts="1" count="1">
    <dataValidation type="list" allowBlank="1" showInputMessage="1" showErrorMessage="1" sqref="C4:C20" xr:uid="{235F8619-673B-43AB-A082-469F87466074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L22"/>
  <sheetViews>
    <sheetView zoomScale="130" zoomScaleNormal="130" workbookViewId="0">
      <selection activeCell="F26" sqref="F26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  <col min="12" max="12" width="18.7109375" bestFit="1" customWidth="1"/>
  </cols>
  <sheetData>
    <row r="1" spans="1:12" ht="26.25" x14ac:dyDescent="0.4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75" x14ac:dyDescent="0.25">
      <c r="A2" s="15" t="s">
        <v>21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5.75" thickBot="1" x14ac:dyDescent="0.3">
      <c r="C3" s="6" t="s">
        <v>12</v>
      </c>
      <c r="D3" s="16" t="s">
        <v>0</v>
      </c>
      <c r="E3" s="16"/>
      <c r="F3" s="1" t="s">
        <v>44</v>
      </c>
      <c r="G3" s="16" t="s">
        <v>2</v>
      </c>
      <c r="H3" s="16"/>
      <c r="I3" s="1" t="s">
        <v>1</v>
      </c>
      <c r="J3" s="16" t="s">
        <v>43</v>
      </c>
      <c r="K3" s="16"/>
      <c r="L3" s="2" t="s">
        <v>23</v>
      </c>
    </row>
    <row r="4" spans="1:12" ht="36.75" customHeight="1" x14ac:dyDescent="0.25">
      <c r="A4" s="8" t="s">
        <v>3</v>
      </c>
      <c r="B4" s="4" t="s">
        <v>32</v>
      </c>
      <c r="C4" s="10"/>
      <c r="D4" s="13"/>
      <c r="E4" s="13"/>
      <c r="G4" s="13"/>
      <c r="H4" s="13"/>
      <c r="J4" s="12"/>
      <c r="K4" s="12"/>
      <c r="L4" s="3" t="str">
        <f t="shared" ref="L4:L20" si="0">IF(AND(ISBLANK(D4),ISBLANK(G4),ISBLANK(J4)),"",IF(D4-G4-J4=0,"YES","NO"))</f>
        <v/>
      </c>
    </row>
    <row r="5" spans="1:12" ht="30" x14ac:dyDescent="0.25">
      <c r="A5" s="8" t="s">
        <v>4</v>
      </c>
      <c r="B5" s="4" t="s">
        <v>33</v>
      </c>
      <c r="C5" s="10"/>
      <c r="D5" s="11"/>
      <c r="E5" s="11"/>
      <c r="G5" s="11"/>
      <c r="H5" s="11"/>
      <c r="J5" s="12"/>
      <c r="K5" s="12"/>
      <c r="L5" s="3" t="str">
        <f t="shared" si="0"/>
        <v/>
      </c>
    </row>
    <row r="6" spans="1:12" ht="14.25" customHeight="1" x14ac:dyDescent="0.25">
      <c r="A6" s="8" t="s">
        <v>5</v>
      </c>
      <c r="B6" s="4" t="s">
        <v>24</v>
      </c>
      <c r="C6" s="7"/>
      <c r="D6" s="12"/>
      <c r="E6" s="12"/>
      <c r="G6" s="12"/>
      <c r="H6" s="12"/>
      <c r="J6" s="12"/>
      <c r="K6" s="12"/>
      <c r="L6" s="3" t="str">
        <f t="shared" si="0"/>
        <v/>
      </c>
    </row>
    <row r="7" spans="1:12" ht="15" customHeight="1" x14ac:dyDescent="0.25">
      <c r="A7" s="3" t="s">
        <v>6</v>
      </c>
      <c r="B7" s="4" t="s">
        <v>25</v>
      </c>
      <c r="C7" s="7"/>
      <c r="D7" s="12"/>
      <c r="E7" s="12"/>
      <c r="G7" s="12"/>
      <c r="H7" s="12"/>
      <c r="J7" s="12"/>
      <c r="K7" s="12"/>
      <c r="L7" s="3" t="str">
        <f t="shared" si="0"/>
        <v/>
      </c>
    </row>
    <row r="8" spans="1:12" x14ac:dyDescent="0.25">
      <c r="A8" s="3" t="s">
        <v>7</v>
      </c>
      <c r="B8" s="4" t="s">
        <v>26</v>
      </c>
      <c r="C8" s="7"/>
      <c r="D8" s="12"/>
      <c r="E8" s="12"/>
      <c r="G8" s="12"/>
      <c r="H8" s="12"/>
      <c r="J8" s="12"/>
      <c r="K8" s="12"/>
      <c r="L8" s="3" t="str">
        <f t="shared" si="0"/>
        <v/>
      </c>
    </row>
    <row r="9" spans="1:12" ht="30" x14ac:dyDescent="0.25">
      <c r="A9" s="3" t="s">
        <v>8</v>
      </c>
      <c r="B9" s="4" t="s">
        <v>34</v>
      </c>
      <c r="C9" s="7"/>
      <c r="D9" s="12"/>
      <c r="E9" s="12"/>
      <c r="G9" s="12"/>
      <c r="H9" s="12"/>
      <c r="J9" s="12"/>
      <c r="K9" s="12"/>
      <c r="L9" s="3" t="str">
        <f t="shared" ref="L9:L10" si="1">IF(AND(ISBLANK(D9),ISBLANK(G9),ISBLANK(J9)),"",IF(D9-G9-J9=0,"YES","NO"))</f>
        <v/>
      </c>
    </row>
    <row r="10" spans="1:12" ht="30" x14ac:dyDescent="0.25">
      <c r="A10" s="3" t="s">
        <v>10</v>
      </c>
      <c r="B10" s="4" t="s">
        <v>45</v>
      </c>
      <c r="C10" s="7"/>
      <c r="D10" s="12"/>
      <c r="E10" s="12"/>
      <c r="G10" s="12"/>
      <c r="H10" s="12"/>
      <c r="J10" s="12"/>
      <c r="K10" s="12"/>
      <c r="L10" s="3" t="str">
        <f t="shared" si="1"/>
        <v/>
      </c>
    </row>
    <row r="11" spans="1:12" ht="45" x14ac:dyDescent="0.25">
      <c r="A11" s="8" t="s">
        <v>14</v>
      </c>
      <c r="B11" s="4" t="s">
        <v>46</v>
      </c>
      <c r="C11" s="7"/>
      <c r="D11" s="12"/>
      <c r="E11" s="12"/>
      <c r="G11" s="12"/>
      <c r="H11" s="12"/>
      <c r="J11" s="12"/>
      <c r="K11" s="12"/>
      <c r="L11" s="3" t="str">
        <f t="shared" si="0"/>
        <v/>
      </c>
    </row>
    <row r="12" spans="1:12" ht="30" x14ac:dyDescent="0.25">
      <c r="A12" s="3" t="s">
        <v>16</v>
      </c>
      <c r="B12" s="4" t="s">
        <v>42</v>
      </c>
      <c r="C12" s="7"/>
      <c r="D12" s="12"/>
      <c r="E12" s="12"/>
      <c r="G12" s="12"/>
      <c r="H12" s="12"/>
      <c r="J12" s="12"/>
      <c r="K12" s="12"/>
      <c r="L12" s="3" t="str">
        <f t="shared" si="0"/>
        <v/>
      </c>
    </row>
    <row r="13" spans="1:12" x14ac:dyDescent="0.25">
      <c r="A13" s="8" t="s">
        <v>17</v>
      </c>
      <c r="B13" s="4" t="s">
        <v>9</v>
      </c>
      <c r="C13" s="7"/>
      <c r="D13" s="12"/>
      <c r="E13" s="12"/>
      <c r="G13" s="12"/>
      <c r="H13" s="12"/>
      <c r="J13" s="12"/>
      <c r="K13" s="12"/>
      <c r="L13" s="3" t="str">
        <f t="shared" si="0"/>
        <v/>
      </c>
    </row>
    <row r="14" spans="1:12" x14ac:dyDescent="0.25">
      <c r="A14" s="3" t="s">
        <v>18</v>
      </c>
      <c r="B14" s="4" t="s">
        <v>15</v>
      </c>
      <c r="C14" s="7"/>
      <c r="D14" s="12"/>
      <c r="E14" s="12"/>
      <c r="G14" s="12"/>
      <c r="H14" s="12"/>
      <c r="J14" s="12"/>
      <c r="K14" s="12"/>
      <c r="L14" s="3" t="str">
        <f t="shared" si="0"/>
        <v/>
      </c>
    </row>
    <row r="15" spans="1:12" x14ac:dyDescent="0.25">
      <c r="A15" s="3" t="s">
        <v>19</v>
      </c>
      <c r="B15" s="4" t="s">
        <v>22</v>
      </c>
      <c r="C15" s="7"/>
      <c r="D15" s="12"/>
      <c r="E15" s="12"/>
      <c r="G15" s="12"/>
      <c r="H15" s="12"/>
      <c r="J15" s="12"/>
      <c r="K15" s="12"/>
      <c r="L15" s="3" t="str">
        <f t="shared" si="0"/>
        <v/>
      </c>
    </row>
    <row r="16" spans="1:12" ht="30" x14ac:dyDescent="0.25">
      <c r="A16" s="3" t="s">
        <v>28</v>
      </c>
      <c r="B16" s="4" t="s">
        <v>35</v>
      </c>
      <c r="C16" s="7"/>
      <c r="D16" s="12"/>
      <c r="E16" s="12"/>
      <c r="G16" s="12"/>
      <c r="H16" s="12"/>
      <c r="J16" s="12"/>
      <c r="K16" s="12"/>
      <c r="L16" s="3" t="str">
        <f t="shared" si="0"/>
        <v/>
      </c>
    </row>
    <row r="17" spans="1:12" ht="30" x14ac:dyDescent="0.25">
      <c r="A17" s="3" t="s">
        <v>29</v>
      </c>
      <c r="B17" s="4" t="s">
        <v>36</v>
      </c>
      <c r="C17" s="7"/>
      <c r="D17" s="12"/>
      <c r="E17" s="12"/>
      <c r="G17" s="12"/>
      <c r="H17" s="12"/>
      <c r="J17" s="12"/>
      <c r="K17" s="12"/>
      <c r="L17" s="3" t="str">
        <f t="shared" si="0"/>
        <v/>
      </c>
    </row>
    <row r="18" spans="1:12" ht="30" x14ac:dyDescent="0.25">
      <c r="A18" s="9" t="s">
        <v>30</v>
      </c>
      <c r="B18" s="4" t="s">
        <v>37</v>
      </c>
      <c r="C18" s="7"/>
      <c r="D18" s="12"/>
      <c r="E18" s="12"/>
      <c r="G18" s="12"/>
      <c r="H18" s="12"/>
      <c r="J18" s="12"/>
      <c r="K18" s="12"/>
      <c r="L18" s="3" t="str">
        <f t="shared" si="0"/>
        <v/>
      </c>
    </row>
    <row r="19" spans="1:12" x14ac:dyDescent="0.25">
      <c r="A19" s="9" t="s">
        <v>31</v>
      </c>
      <c r="B19" s="4" t="s">
        <v>38</v>
      </c>
      <c r="C19" s="7"/>
      <c r="D19" s="12"/>
      <c r="E19" s="12"/>
      <c r="G19" s="12"/>
      <c r="H19" s="12"/>
      <c r="J19" s="12"/>
      <c r="K19" s="12"/>
      <c r="L19" s="3" t="str">
        <f t="shared" si="0"/>
        <v/>
      </c>
    </row>
    <row r="20" spans="1:12" ht="30" x14ac:dyDescent="0.25">
      <c r="A20" s="8" t="s">
        <v>40</v>
      </c>
      <c r="B20" s="4" t="s">
        <v>39</v>
      </c>
      <c r="C20" s="7"/>
      <c r="D20" s="18"/>
      <c r="E20" s="18"/>
      <c r="G20" s="18"/>
      <c r="H20" s="18"/>
      <c r="J20" s="18"/>
      <c r="K20" s="18"/>
      <c r="L20" s="3" t="str">
        <f t="shared" si="0"/>
        <v/>
      </c>
    </row>
    <row r="21" spans="1:12" ht="15.75" thickBot="1" x14ac:dyDescent="0.3">
      <c r="B21" t="s">
        <v>11</v>
      </c>
      <c r="D21" s="17">
        <f>SUM(D4:D20)</f>
        <v>0</v>
      </c>
      <c r="E21" s="17"/>
      <c r="G21" s="17">
        <f>SUM(G4:G20)</f>
        <v>0</v>
      </c>
      <c r="H21" s="17"/>
      <c r="J21" s="17">
        <f>SUM(J4:J20)</f>
        <v>0</v>
      </c>
      <c r="K21" s="17"/>
      <c r="L21" s="5" t="str">
        <f>IF(D21-G21-J21=0,"YES","NO")</f>
        <v>YES</v>
      </c>
    </row>
    <row r="22" spans="1:12" ht="15.75" thickTop="1" x14ac:dyDescent="0.25"/>
  </sheetData>
  <sheetProtection algorithmName="SHA-512" hashValue="77UsVrm/k+nGheHkapPiB4tG0TB7JhV6+KHCZ461VYpI3Lq9Pewxk1c1+ZES9vO1EpsXpU9+HewTSJ0TYtt+jQ==" saltValue="GfsfkviGoj6dUhxL9yYfUg==" spinCount="100000" sheet="1" objects="1" scenarios="1"/>
  <mergeCells count="59">
    <mergeCell ref="D10:E10"/>
    <mergeCell ref="G10:H10"/>
    <mergeCell ref="J10:K10"/>
    <mergeCell ref="J15:K15"/>
    <mergeCell ref="J17:K17"/>
    <mergeCell ref="J16:K16"/>
    <mergeCell ref="G16:H16"/>
    <mergeCell ref="G14:H14"/>
    <mergeCell ref="D14:E14"/>
    <mergeCell ref="D16:E16"/>
    <mergeCell ref="D17:E17"/>
    <mergeCell ref="D15:E15"/>
    <mergeCell ref="G15:H15"/>
    <mergeCell ref="G17:H17"/>
    <mergeCell ref="D21:E21"/>
    <mergeCell ref="G21:H21"/>
    <mergeCell ref="J21:K21"/>
    <mergeCell ref="J19:K19"/>
    <mergeCell ref="J18:K18"/>
    <mergeCell ref="J20:K20"/>
    <mergeCell ref="D20:E20"/>
    <mergeCell ref="G20:H20"/>
    <mergeCell ref="G19:H19"/>
    <mergeCell ref="G18:H18"/>
    <mergeCell ref="D18:E18"/>
    <mergeCell ref="D19:E19"/>
    <mergeCell ref="A1:L1"/>
    <mergeCell ref="A2:L2"/>
    <mergeCell ref="D3:E3"/>
    <mergeCell ref="G3:H3"/>
    <mergeCell ref="J3:K3"/>
    <mergeCell ref="D6:E6"/>
    <mergeCell ref="G6:H6"/>
    <mergeCell ref="J6:K6"/>
    <mergeCell ref="D7:E7"/>
    <mergeCell ref="G7:H7"/>
    <mergeCell ref="J7:K7"/>
    <mergeCell ref="D8:E8"/>
    <mergeCell ref="G8:H8"/>
    <mergeCell ref="J8:K8"/>
    <mergeCell ref="D11:E11"/>
    <mergeCell ref="J14:K14"/>
    <mergeCell ref="G11:H11"/>
    <mergeCell ref="J11:K11"/>
    <mergeCell ref="D12:E12"/>
    <mergeCell ref="G12:H12"/>
    <mergeCell ref="J12:K12"/>
    <mergeCell ref="D13:E13"/>
    <mergeCell ref="G13:H13"/>
    <mergeCell ref="J13:K13"/>
    <mergeCell ref="D9:E9"/>
    <mergeCell ref="G9:H9"/>
    <mergeCell ref="J9:K9"/>
    <mergeCell ref="G5:H5"/>
    <mergeCell ref="J5:K5"/>
    <mergeCell ref="D4:E4"/>
    <mergeCell ref="G4:H4"/>
    <mergeCell ref="J4:K4"/>
    <mergeCell ref="D5:E5"/>
  </mergeCells>
  <conditionalFormatting sqref="L4:L21">
    <cfRule type="expression" dxfId="6" priority="1">
      <formula>AND($C4&lt;&gt;"",$C4="NO")</formula>
    </cfRule>
    <cfRule type="cellIs" dxfId="5" priority="4" operator="equal">
      <formula>"NO"</formula>
    </cfRule>
    <cfRule type="cellIs" dxfId="4" priority="5" operator="equal">
      <formula>"YES"</formula>
    </cfRule>
  </conditionalFormatting>
  <dataValidations count="1">
    <dataValidation type="list" allowBlank="1" showInputMessage="1" showErrorMessage="1" sqref="C4:C20" xr:uid="{DCB9E847-9E04-4809-870B-701F20325BB1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DF597C8-356B-40B8-A754-C44A6FFD2141}">
            <xm:f>AND(C4&lt;&gt;"",C4&lt;&gt;'Answers Acctg Identity NFP'!C4)</xm:f>
            <x14:dxf>
              <fill>
                <patternFill>
                  <bgColor rgb="FFFF0000"/>
                </patternFill>
              </fill>
            </x14:dxf>
          </x14:cfRule>
          <xm:sqref>C4:K20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C700C3C22764281B606E6BB0BE512" ma:contentTypeVersion="12" ma:contentTypeDescription="Create a new document." ma:contentTypeScope="" ma:versionID="f0c030a73415d636e5a46183f50c7c24">
  <xsd:schema xmlns:xsd="http://www.w3.org/2001/XMLSchema" xmlns:xs="http://www.w3.org/2001/XMLSchema" xmlns:p="http://schemas.microsoft.com/office/2006/metadata/properties" xmlns:ns3="7d9b4326-e95a-4a9d-acda-83174bf33825" xmlns:ns4="ec22c7d8-208f-4baf-a907-919315f360ac" targetNamespace="http://schemas.microsoft.com/office/2006/metadata/properties" ma:root="true" ma:fieldsID="0a459a437de2d6b79143fa2b36596490" ns3:_="" ns4:_="">
    <xsd:import namespace="7d9b4326-e95a-4a9d-acda-83174bf33825"/>
    <xsd:import namespace="ec22c7d8-208f-4baf-a907-919315f360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b4326-e95a-4a9d-acda-83174bf33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2c7d8-208f-4baf-a907-919315f360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A82BEB-D211-43A2-AA0C-DDC53AAC0B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9b4326-e95a-4a9d-acda-83174bf33825"/>
    <ds:schemaRef ds:uri="ec22c7d8-208f-4baf-a907-919315f360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0C60BB-371F-4D79-BBBC-0139C33417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595078-E210-48A1-A1D2-BB2FB78F78C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Answers Acctg Identity NFP</vt:lpstr>
      <vt:lpstr>Accounting Identity NFP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Antle</dc:creator>
  <cp:lastModifiedBy>Antle, Rick</cp:lastModifiedBy>
  <dcterms:created xsi:type="dcterms:W3CDTF">2020-02-07T01:46:37Z</dcterms:created>
  <dcterms:modified xsi:type="dcterms:W3CDTF">2020-04-30T21:18:06Z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0x010100A84C700C3C22764281B606E6BB0BE512</vt:lpwstr>
  </property>
</Properties>
</file>