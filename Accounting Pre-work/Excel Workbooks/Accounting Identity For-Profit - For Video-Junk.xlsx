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15" documentId="8_{3D7053A9-498A-4F98-A6B0-9CFC6FEE6CDF}" xr6:coauthVersionLast="45" xr6:coauthVersionMax="45" xr10:uidLastSave="{9BB846C5-FC29-4B81-A07C-F4BA699B6201}"/>
  <bookViews>
    <workbookView xWindow="-108" yWindow="-108" windowWidth="46296" windowHeight="19416" xr2:uid="{1E23A63B-3FB0-FA44-9559-22C7EE651829}"/>
  </bookViews>
  <sheets>
    <sheet name="Accounting Identity FP" sheetId="2" r:id="rId1"/>
    <sheet name="Grading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2" l="1"/>
  <c r="L9" i="2"/>
  <c r="D18" i="3"/>
  <c r="L18" i="3"/>
  <c r="D12" i="3"/>
  <c r="L12" i="3"/>
  <c r="D10" i="3"/>
  <c r="L8" i="3"/>
  <c r="L4" i="3"/>
  <c r="L9" i="3"/>
  <c r="L10" i="3"/>
  <c r="L11" i="3"/>
  <c r="L13" i="3"/>
  <c r="L14" i="3"/>
  <c r="L15" i="3"/>
  <c r="L16" i="3"/>
  <c r="L17" i="3"/>
  <c r="D6" i="3"/>
  <c r="D20" i="3"/>
  <c r="G20" i="3"/>
  <c r="J20" i="3"/>
  <c r="L19" i="3"/>
  <c r="L7" i="3"/>
  <c r="L6" i="3"/>
  <c r="L5" i="3"/>
  <c r="J20" i="2"/>
  <c r="G20" i="2"/>
  <c r="D20" i="2"/>
  <c r="L13" i="2"/>
  <c r="L14" i="2"/>
  <c r="L15" i="2"/>
  <c r="L16" i="2"/>
  <c r="L17" i="2"/>
  <c r="L18" i="2"/>
  <c r="L19" i="2"/>
  <c r="L12" i="2"/>
  <c r="L11" i="2"/>
  <c r="L10" i="2"/>
  <c r="L7" i="2"/>
  <c r="L6" i="2"/>
  <c r="L5" i="2"/>
  <c r="L4" i="2"/>
  <c r="L20" i="3"/>
  <c r="L20" i="2" l="1"/>
</calcChain>
</file>

<file path=xl/sharedStrings.xml><?xml version="1.0" encoding="utf-8"?>
<sst xmlns="http://schemas.openxmlformats.org/spreadsheetml/2006/main" count="102" uniqueCount="46">
  <si>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</si>
  <si>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</si>
  <si>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</si>
  <si>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</si>
  <si>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</si>
  <si>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</si>
  <si>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</si>
  <si>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</si>
  <si>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</si>
  <si>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YES</t>
  </si>
  <si>
    <t>a</t>
  </si>
  <si>
    <t>b</t>
  </si>
  <si>
    <t>c</t>
  </si>
  <si>
    <t>d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</si>
  <si>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</si>
  <si>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</si>
  <si>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</si>
  <si>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</si>
  <si>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</si>
  <si>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</si>
  <si>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</si>
  <si>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</si>
  <si>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</si>
  <si>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j</t>
  </si>
  <si>
    <t>k</t>
  </si>
  <si>
    <t>l</t>
  </si>
  <si>
    <t>m</t>
  </si>
  <si>
    <t>Paid the $2k dividend</t>
  </si>
  <si>
    <t>Total</t>
  </si>
  <si>
    <t>NO</t>
  </si>
  <si>
    <t>Issued common stock for $50k cash</t>
  </si>
  <si>
    <t>Borrowed $50k from a bank</t>
  </si>
  <si>
    <t>Purchased equipment paying $15k in cash</t>
  </si>
  <si>
    <t>Purchased $18k of inventory on credit</t>
  </si>
  <si>
    <t>Sold for cash of $8k some of inventory</t>
  </si>
  <si>
    <t>Determined that the inventory sold in d had cost you $6k</t>
  </si>
  <si>
    <t>n</t>
  </si>
  <si>
    <t>o</t>
  </si>
  <si>
    <t>p</t>
  </si>
  <si>
    <t>SOM Corp. - For-Profit Example</t>
  </si>
  <si>
    <t>Sold inventory that cost $6k for promises to pay $8k in 30 days.</t>
  </si>
  <si>
    <t>Was informed that your bid in j made it to the final round of consideration.</t>
  </si>
  <si>
    <t>Was informed that your bid in j was accepted.</t>
  </si>
  <si>
    <t>Performed the work in j and billed the buyer.</t>
  </si>
  <si>
    <t>Collected the $15k for the work in j.</t>
  </si>
  <si>
    <t>Identity Preserved?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</si>
</sst>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164" fontId="0" fillId="3" borderId="0" xfId="1" applyNumberFormat="1" applyFont="1" applyFill="1" applyAlignment="1" applyProtection="1">
      <alignment horizontal="right"/>
      <protection locked="0"/>
    </xf>
    <xf numFmtId="165" fontId="5" fillId="5" borderId="2" xfId="2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right"/>
      <protection locked="0"/>
    </xf>
    <xf numFmtId="164" fontId="0" fillId="3" borderId="0" xfId="1" applyNumberFormat="1" applyFont="1" applyFill="1" applyAlignment="1" applyProtection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9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21"/>
  <sheetViews>
    <sheetView tabSelected="1" topLeftCell="B1" zoomScale="160" zoomScaleNormal="160" workbookViewId="0">
      <selection activeCell="G6" sqref="G6:H6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12" max="12" width="18.6640625" bestFit="1" customWidth="1"/>
  </cols>
  <sheetData>
    <row r="1" spans="1:12" ht="25.8" x14ac:dyDescent="0.5">
      <c r="A1" s="13" t="s">
        <v>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6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" thickBot="1" x14ac:dyDescent="0.35">
      <c r="C3" s="6" t="s">
        <v>2</v>
      </c>
      <c r="D3" s="15" t="s">
        <v>3</v>
      </c>
      <c r="E3" s="15"/>
      <c r="F3" s="1" t="s">
        <v>4</v>
      </c>
      <c r="G3" s="15" t="s">
        <v>5</v>
      </c>
      <c r="H3" s="15"/>
      <c r="I3" s="1" t="s">
        <v>6</v>
      </c>
      <c r="J3" s="15" t="s">
        <v>7</v>
      </c>
      <c r="K3" s="15"/>
      <c r="L3" s="2" t="s">
        <v>45</v>
      </c>
    </row>
    <row r="4" spans="1:12" x14ac:dyDescent="0.3">
      <c r="A4" s="3" t="s">
        <v>10</v>
      </c>
      <c r="B4" s="4" t="s">
        <v>30</v>
      </c>
      <c r="C4" s="7" t="s">
        <v>9</v>
      </c>
      <c r="D4" s="12">
        <v>50</v>
      </c>
      <c r="E4" s="12"/>
      <c r="G4" s="12"/>
      <c r="H4" s="12"/>
      <c r="J4" s="12">
        <v>50</v>
      </c>
      <c r="K4" s="12"/>
      <c r="L4" s="6" t="str">
        <f t="shared" ref="L4:L19" si="0">IF(AND(ISBLANK(D4),ISBLANK(G4),ISBLANK(J4)),"",IF(D4-G4-J4=0,"YES","NO"))</f>
        <v>YES</v>
      </c>
    </row>
    <row r="5" spans="1:12" ht="14.25" customHeight="1" x14ac:dyDescent="0.3">
      <c r="A5" s="3" t="s">
        <v>11</v>
      </c>
      <c r="B5" s="4" t="s">
        <v>31</v>
      </c>
      <c r="C5" s="7" t="s">
        <v>9</v>
      </c>
      <c r="D5" s="9">
        <v>50</v>
      </c>
      <c r="E5" s="9"/>
      <c r="G5" s="9">
        <v>50</v>
      </c>
      <c r="H5" s="9"/>
      <c r="J5" s="9"/>
      <c r="K5" s="9"/>
      <c r="L5" s="6" t="str">
        <f t="shared" si="0"/>
        <v>YES</v>
      </c>
    </row>
    <row r="6" spans="1:12" ht="15" customHeight="1" x14ac:dyDescent="0.3">
      <c r="A6" s="3" t="s">
        <v>12</v>
      </c>
      <c r="B6" s="4" t="s">
        <v>32</v>
      </c>
      <c r="C6" s="7"/>
      <c r="D6" s="9"/>
      <c r="E6" s="9"/>
      <c r="G6" s="9"/>
      <c r="H6" s="9"/>
      <c r="J6" s="9"/>
      <c r="K6" s="9"/>
      <c r="L6" s="6" t="str">
        <f t="shared" si="0"/>
        <v/>
      </c>
    </row>
    <row r="7" spans="1:12" x14ac:dyDescent="0.3">
      <c r="A7" s="3" t="s">
        <v>13</v>
      </c>
      <c r="B7" s="4" t="s">
        <v>33</v>
      </c>
      <c r="C7" s="7"/>
      <c r="D7" s="9"/>
      <c r="E7" s="9"/>
      <c r="G7" s="9"/>
      <c r="H7" s="9"/>
      <c r="J7" s="9"/>
      <c r="K7" s="9"/>
      <c r="L7" s="6" t="str">
        <f t="shared" si="0"/>
        <v/>
      </c>
    </row>
    <row r="8" spans="1:12" x14ac:dyDescent="0.3">
      <c r="A8" s="3" t="s">
        <v>14</v>
      </c>
      <c r="B8" s="4" t="s">
        <v>34</v>
      </c>
      <c r="C8" s="7"/>
      <c r="D8" s="9"/>
      <c r="E8" s="9"/>
      <c r="G8" s="9"/>
      <c r="H8" s="9"/>
      <c r="J8" s="9"/>
      <c r="K8" s="9"/>
      <c r="L8" s="6" t="str">
        <f t="shared" si="0"/>
        <v/>
      </c>
    </row>
    <row r="9" spans="1:12" ht="28.8" x14ac:dyDescent="0.3">
      <c r="A9" s="3" t="s">
        <v>16</v>
      </c>
      <c r="B9" s="4" t="s">
        <v>35</v>
      </c>
      <c r="C9" s="7"/>
      <c r="D9" s="9"/>
      <c r="E9" s="9"/>
      <c r="G9" s="9"/>
      <c r="H9" s="9"/>
      <c r="J9" s="9"/>
      <c r="K9" s="9"/>
      <c r="L9" s="6" t="str">
        <f t="shared" si="0"/>
        <v/>
      </c>
    </row>
    <row r="10" spans="1:12" ht="28.8" x14ac:dyDescent="0.3">
      <c r="A10" s="3" t="s">
        <v>18</v>
      </c>
      <c r="B10" s="4" t="s">
        <v>40</v>
      </c>
      <c r="C10" s="7"/>
      <c r="D10" s="9"/>
      <c r="E10" s="9"/>
      <c r="G10" s="9"/>
      <c r="H10" s="9"/>
      <c r="J10" s="9"/>
      <c r="K10" s="9"/>
      <c r="L10" s="6" t="str">
        <f t="shared" si="0"/>
        <v/>
      </c>
    </row>
    <row r="11" spans="1:12" x14ac:dyDescent="0.3">
      <c r="A11" s="3" t="s">
        <v>20</v>
      </c>
      <c r="B11" s="4" t="s">
        <v>15</v>
      </c>
      <c r="C11" s="7"/>
      <c r="D11" s="9"/>
      <c r="E11" s="9"/>
      <c r="G11" s="9"/>
      <c r="H11" s="9"/>
      <c r="J11" s="9"/>
      <c r="K11" s="9"/>
      <c r="L11" s="6" t="str">
        <f t="shared" si="0"/>
        <v/>
      </c>
    </row>
    <row r="12" spans="1:12" x14ac:dyDescent="0.3">
      <c r="A12" s="3" t="s">
        <v>22</v>
      </c>
      <c r="B12" s="4" t="s">
        <v>17</v>
      </c>
      <c r="C12" s="7"/>
      <c r="D12" s="9"/>
      <c r="E12" s="9"/>
      <c r="G12" s="9"/>
      <c r="H12" s="9"/>
      <c r="J12" s="9"/>
      <c r="K12" s="9"/>
      <c r="L12" s="6" t="str">
        <f t="shared" si="0"/>
        <v/>
      </c>
    </row>
    <row r="13" spans="1:12" x14ac:dyDescent="0.3">
      <c r="A13" s="3" t="s">
        <v>23</v>
      </c>
      <c r="B13" s="4" t="s">
        <v>19</v>
      </c>
      <c r="C13" s="7"/>
      <c r="D13" s="9"/>
      <c r="E13" s="9"/>
      <c r="G13" s="9"/>
      <c r="H13" s="9"/>
      <c r="J13" s="9"/>
      <c r="K13" s="9"/>
      <c r="L13" s="6" t="str">
        <f t="shared" si="0"/>
        <v/>
      </c>
    </row>
    <row r="14" spans="1:12" x14ac:dyDescent="0.3">
      <c r="A14" s="3" t="s">
        <v>24</v>
      </c>
      <c r="B14" s="4" t="s">
        <v>21</v>
      </c>
      <c r="C14" s="7"/>
      <c r="D14" s="9"/>
      <c r="E14" s="9"/>
      <c r="G14" s="9"/>
      <c r="H14" s="9"/>
      <c r="J14" s="9"/>
      <c r="K14" s="9"/>
      <c r="L14" s="6" t="str">
        <f t="shared" si="0"/>
        <v/>
      </c>
    </row>
    <row r="15" spans="1:12" ht="28.8" x14ac:dyDescent="0.3">
      <c r="A15" s="3" t="s">
        <v>25</v>
      </c>
      <c r="B15" s="4" t="s">
        <v>41</v>
      </c>
      <c r="C15" s="7"/>
      <c r="D15" s="9"/>
      <c r="E15" s="9"/>
      <c r="G15" s="9"/>
      <c r="H15" s="9"/>
      <c r="J15" s="9"/>
      <c r="K15" s="9"/>
      <c r="L15" s="6" t="str">
        <f t="shared" si="0"/>
        <v/>
      </c>
    </row>
    <row r="16" spans="1:12" ht="28.8" x14ac:dyDescent="0.3">
      <c r="A16" s="3" t="s">
        <v>26</v>
      </c>
      <c r="B16" s="4" t="s">
        <v>42</v>
      </c>
      <c r="C16" s="7"/>
      <c r="D16" s="9"/>
      <c r="E16" s="9"/>
      <c r="G16" s="9"/>
      <c r="H16" s="9"/>
      <c r="J16" s="9"/>
      <c r="K16" s="9"/>
      <c r="L16" s="6" t="str">
        <f t="shared" si="0"/>
        <v/>
      </c>
    </row>
    <row r="17" spans="1:12" ht="28.8" x14ac:dyDescent="0.3">
      <c r="A17" s="3" t="s">
        <v>36</v>
      </c>
      <c r="B17" s="4" t="s">
        <v>43</v>
      </c>
      <c r="C17" s="7"/>
      <c r="D17" s="9"/>
      <c r="E17" s="9"/>
      <c r="G17" s="9"/>
      <c r="H17" s="9"/>
      <c r="J17" s="9"/>
      <c r="K17" s="9"/>
      <c r="L17" s="6" t="str">
        <f t="shared" si="0"/>
        <v/>
      </c>
    </row>
    <row r="18" spans="1:12" x14ac:dyDescent="0.3">
      <c r="A18" s="3" t="s">
        <v>37</v>
      </c>
      <c r="B18" s="4" t="s">
        <v>44</v>
      </c>
      <c r="C18" s="7"/>
      <c r="D18" s="9"/>
      <c r="E18" s="9"/>
      <c r="G18" s="9"/>
      <c r="H18" s="9"/>
      <c r="J18" s="9"/>
      <c r="K18" s="9"/>
      <c r="L18" s="6" t="str">
        <f t="shared" si="0"/>
        <v/>
      </c>
    </row>
    <row r="19" spans="1:12" x14ac:dyDescent="0.3">
      <c r="A19" s="3" t="s">
        <v>38</v>
      </c>
      <c r="B19" s="4" t="s">
        <v>27</v>
      </c>
      <c r="C19" s="7"/>
      <c r="D19" s="11"/>
      <c r="E19" s="11"/>
      <c r="G19" s="11"/>
      <c r="H19" s="11"/>
      <c r="J19" s="11"/>
      <c r="K19" s="11"/>
      <c r="L19" s="6" t="str">
        <f t="shared" si="0"/>
        <v/>
      </c>
    </row>
    <row r="20" spans="1:12" ht="15" thickBot="1" x14ac:dyDescent="0.35">
      <c r="B20" t="s">
        <v>28</v>
      </c>
      <c r="D20" s="10">
        <f>SUM(D4:D19)</f>
        <v>100</v>
      </c>
      <c r="E20" s="10"/>
      <c r="G20" s="10">
        <f>SUM(G4:G19)</f>
        <v>50</v>
      </c>
      <c r="H20" s="10"/>
      <c r="J20" s="10">
        <f>SUM(J4:J19)</f>
        <v>50</v>
      </c>
      <c r="K20" s="10"/>
      <c r="L20" s="8" t="str">
        <f>IF(D20-G20-J20=0,"YES","NO")</f>
        <v>YES</v>
      </c>
    </row>
    <row r="21" spans="1:12" ht="15" thickTop="1" x14ac:dyDescent="0.3"/>
  </sheetData>
  <mergeCells count="56"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10:E10"/>
    <mergeCell ref="G10:H10"/>
    <mergeCell ref="J10:K10"/>
    <mergeCell ref="D8:E8"/>
    <mergeCell ref="G8:H8"/>
    <mergeCell ref="J8:K8"/>
    <mergeCell ref="J9:K9"/>
    <mergeCell ref="G9:H9"/>
    <mergeCell ref="D9:E9"/>
    <mergeCell ref="D11:E11"/>
    <mergeCell ref="G11:H11"/>
    <mergeCell ref="J11:K11"/>
    <mergeCell ref="D12:E12"/>
    <mergeCell ref="G12:H12"/>
    <mergeCell ref="J12:K12"/>
    <mergeCell ref="D20:E20"/>
    <mergeCell ref="G20:H20"/>
    <mergeCell ref="J20:K20"/>
    <mergeCell ref="D19:E19"/>
    <mergeCell ref="G19:H19"/>
    <mergeCell ref="J19:K19"/>
    <mergeCell ref="D13:E13"/>
    <mergeCell ref="D15:E15"/>
    <mergeCell ref="D16:E16"/>
    <mergeCell ref="D17:E17"/>
    <mergeCell ref="D18:E18"/>
    <mergeCell ref="D14:E14"/>
    <mergeCell ref="G13:H13"/>
    <mergeCell ref="G15:H15"/>
    <mergeCell ref="G16:H16"/>
    <mergeCell ref="G17:H17"/>
    <mergeCell ref="G18:H18"/>
    <mergeCell ref="G14:H14"/>
    <mergeCell ref="J13:K13"/>
    <mergeCell ref="J15:K15"/>
    <mergeCell ref="J16:K16"/>
    <mergeCell ref="J17:K17"/>
    <mergeCell ref="J18:K18"/>
    <mergeCell ref="J14:K14"/>
  </mergeCells>
  <conditionalFormatting sqref="L4:L20">
    <cfRule type="cellIs" dxfId="8" priority="6" operator="equal">
      <formula>"NO"</formula>
    </cfRule>
    <cfRule type="cellIs" dxfId="7" priority="7" operator="equal">
      <formula>"YES"</formula>
    </cfRule>
  </conditionalFormatting>
  <conditionalFormatting sqref="L4:L19">
    <cfRule type="expression" dxfId="6" priority="1">
      <formula>AND($C4&lt;&gt;"",$C4="NO")</formula>
    </cfRule>
  </conditionalFormatting>
  <dataValidations count="1">
    <dataValidation type="list" allowBlank="1" showInputMessage="1" showErrorMessage="1" sqref="C4:C19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C724093-4C05-4903-B595-52C0724678F5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1"/>
  <sheetViews>
    <sheetView zoomScale="160" zoomScaleNormal="160" workbookViewId="0">
      <selection activeCell="B18" sqref="B18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</cols>
  <sheetData>
    <row r="1" spans="1:12" ht="25.8" x14ac:dyDescent="0.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6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" thickBot="1" x14ac:dyDescent="0.35">
      <c r="C3" s="6" t="s">
        <v>2</v>
      </c>
      <c r="D3" s="16" t="s">
        <v>3</v>
      </c>
      <c r="E3" s="16"/>
      <c r="F3" s="1" t="s">
        <v>4</v>
      </c>
      <c r="G3" s="16" t="s">
        <v>5</v>
      </c>
      <c r="H3" s="16"/>
      <c r="I3" s="1" t="s">
        <v>6</v>
      </c>
      <c r="J3" s="16" t="s">
        <v>7</v>
      </c>
      <c r="K3" s="16"/>
      <c r="L3" s="2" t="s">
        <v>8</v>
      </c>
    </row>
    <row r="4" spans="1:12" x14ac:dyDescent="0.3">
      <c r="A4" s="3" t="s">
        <v>10</v>
      </c>
      <c r="B4" s="4" t="s">
        <v>30</v>
      </c>
      <c r="C4" s="7" t="s">
        <v>9</v>
      </c>
      <c r="D4" s="12">
        <v>50</v>
      </c>
      <c r="E4" s="12"/>
      <c r="G4" s="12"/>
      <c r="H4" s="12"/>
      <c r="J4" s="12">
        <v>50</v>
      </c>
      <c r="K4" s="12"/>
      <c r="L4" s="3" t="str">
        <f t="shared" ref="L4" si="0">IF(AND(ISBLANK(D4),ISBLANK(G4),ISBLANK(J4)),"",IF(D4-G4-J4=0,"YES","NO"))</f>
        <v>YES</v>
      </c>
    </row>
    <row r="5" spans="1:12" ht="14.25" customHeight="1" x14ac:dyDescent="0.3">
      <c r="A5" s="3" t="s">
        <v>11</v>
      </c>
      <c r="B5" s="4" t="s">
        <v>31</v>
      </c>
      <c r="C5" s="7" t="s">
        <v>9</v>
      </c>
      <c r="D5" s="9">
        <v>50</v>
      </c>
      <c r="E5" s="9"/>
      <c r="G5" s="9">
        <v>50</v>
      </c>
      <c r="H5" s="9"/>
      <c r="J5" s="9"/>
      <c r="K5" s="9"/>
      <c r="L5" s="3" t="str">
        <f t="shared" ref="L5:L19" si="1">IF(AND(ISBLANK(D5),ISBLANK(G5),ISBLANK(J5)),"",IF(D5-G5-J5=0,"YES","NO"))</f>
        <v>YES</v>
      </c>
    </row>
    <row r="6" spans="1:12" ht="15" customHeight="1" x14ac:dyDescent="0.3">
      <c r="A6" s="3" t="s">
        <v>12</v>
      </c>
      <c r="B6" s="4" t="s">
        <v>32</v>
      </c>
      <c r="C6" s="7" t="s">
        <v>9</v>
      </c>
      <c r="D6" s="9">
        <f>15-15</f>
        <v>0</v>
      </c>
      <c r="E6" s="9"/>
      <c r="G6" s="9"/>
      <c r="H6" s="9"/>
      <c r="J6" s="9"/>
      <c r="K6" s="9"/>
      <c r="L6" s="3" t="str">
        <f t="shared" si="1"/>
        <v>YES</v>
      </c>
    </row>
    <row r="7" spans="1:12" x14ac:dyDescent="0.3">
      <c r="A7" s="3" t="s">
        <v>13</v>
      </c>
      <c r="B7" s="4" t="s">
        <v>33</v>
      </c>
      <c r="C7" s="7" t="s">
        <v>9</v>
      </c>
      <c r="D7" s="9">
        <v>18</v>
      </c>
      <c r="E7" s="9"/>
      <c r="G7" s="9">
        <v>18</v>
      </c>
      <c r="H7" s="9"/>
      <c r="J7" s="9"/>
      <c r="K7" s="9"/>
      <c r="L7" s="3" t="str">
        <f t="shared" si="1"/>
        <v>YES</v>
      </c>
    </row>
    <row r="8" spans="1:12" x14ac:dyDescent="0.3">
      <c r="A8" s="3" t="s">
        <v>14</v>
      </c>
      <c r="B8" s="4" t="s">
        <v>34</v>
      </c>
      <c r="C8" s="7" t="s">
        <v>9</v>
      </c>
      <c r="D8" s="9">
        <v>8</v>
      </c>
      <c r="E8" s="9"/>
      <c r="G8" s="9"/>
      <c r="H8" s="9"/>
      <c r="J8" s="9">
        <v>8</v>
      </c>
      <c r="K8" s="9"/>
      <c r="L8" s="3" t="str">
        <f t="shared" si="1"/>
        <v>YES</v>
      </c>
    </row>
    <row r="9" spans="1:12" ht="28.8" x14ac:dyDescent="0.3">
      <c r="A9" s="3" t="s">
        <v>16</v>
      </c>
      <c r="B9" s="4" t="s">
        <v>35</v>
      </c>
      <c r="C9" s="7" t="s">
        <v>9</v>
      </c>
      <c r="D9" s="9">
        <v>-6</v>
      </c>
      <c r="E9" s="9"/>
      <c r="G9" s="9"/>
      <c r="H9" s="9"/>
      <c r="J9" s="9">
        <v>-6</v>
      </c>
      <c r="K9" s="9"/>
      <c r="L9" s="3" t="str">
        <f t="shared" si="1"/>
        <v>YES</v>
      </c>
    </row>
    <row r="10" spans="1:12" ht="28.8" x14ac:dyDescent="0.3">
      <c r="A10" s="3" t="s">
        <v>18</v>
      </c>
      <c r="B10" s="4" t="s">
        <v>40</v>
      </c>
      <c r="C10" s="7" t="s">
        <v>9</v>
      </c>
      <c r="D10" s="9">
        <f>8-6</f>
        <v>2</v>
      </c>
      <c r="E10" s="9"/>
      <c r="G10" s="9"/>
      <c r="H10" s="9"/>
      <c r="J10" s="9">
        <v>2</v>
      </c>
      <c r="K10" s="9"/>
      <c r="L10" s="3" t="str">
        <f t="shared" si="1"/>
        <v>YES</v>
      </c>
    </row>
    <row r="11" spans="1:12" x14ac:dyDescent="0.3">
      <c r="A11" s="3" t="s">
        <v>20</v>
      </c>
      <c r="B11" s="4" t="s">
        <v>15</v>
      </c>
      <c r="C11" s="7" t="s">
        <v>9</v>
      </c>
      <c r="D11" s="9">
        <v>-7</v>
      </c>
      <c r="E11" s="9"/>
      <c r="G11" s="9">
        <v>-7</v>
      </c>
      <c r="H11" s="9"/>
      <c r="J11" s="9"/>
      <c r="K11" s="9"/>
      <c r="L11" s="3" t="str">
        <f t="shared" si="1"/>
        <v>YES</v>
      </c>
    </row>
    <row r="12" spans="1:12" x14ac:dyDescent="0.3">
      <c r="A12" s="3" t="s">
        <v>22</v>
      </c>
      <c r="B12" s="4" t="s">
        <v>17</v>
      </c>
      <c r="C12" s="7" t="s">
        <v>9</v>
      </c>
      <c r="D12" s="9">
        <f>6-6</f>
        <v>0</v>
      </c>
      <c r="E12" s="9"/>
      <c r="G12" s="9"/>
      <c r="H12" s="9"/>
      <c r="J12" s="9"/>
      <c r="K12" s="9"/>
      <c r="L12" s="3" t="str">
        <f t="shared" si="1"/>
        <v>YES</v>
      </c>
    </row>
    <row r="13" spans="1:12" x14ac:dyDescent="0.3">
      <c r="A13" s="3" t="s">
        <v>23</v>
      </c>
      <c r="B13" s="4" t="s">
        <v>19</v>
      </c>
      <c r="C13" s="7" t="s">
        <v>29</v>
      </c>
      <c r="D13" s="9"/>
      <c r="E13" s="9"/>
      <c r="G13" s="9"/>
      <c r="H13" s="9"/>
      <c r="J13" s="9"/>
      <c r="K13" s="9"/>
      <c r="L13" s="3" t="str">
        <f t="shared" si="1"/>
        <v/>
      </c>
    </row>
    <row r="14" spans="1:12" x14ac:dyDescent="0.3">
      <c r="A14" s="3" t="s">
        <v>24</v>
      </c>
      <c r="B14" s="4" t="s">
        <v>21</v>
      </c>
      <c r="C14" s="7" t="s">
        <v>9</v>
      </c>
      <c r="D14" s="9"/>
      <c r="E14" s="9"/>
      <c r="G14" s="9">
        <v>2</v>
      </c>
      <c r="H14" s="9"/>
      <c r="J14" s="9">
        <v>-2</v>
      </c>
      <c r="K14" s="9"/>
      <c r="L14" s="3" t="str">
        <f t="shared" si="1"/>
        <v>YES</v>
      </c>
    </row>
    <row r="15" spans="1:12" ht="28.8" x14ac:dyDescent="0.3">
      <c r="A15" s="3" t="s">
        <v>25</v>
      </c>
      <c r="B15" s="4" t="s">
        <v>41</v>
      </c>
      <c r="C15" s="7" t="s">
        <v>29</v>
      </c>
      <c r="D15" s="9"/>
      <c r="E15" s="9"/>
      <c r="G15" s="9"/>
      <c r="H15" s="9"/>
      <c r="J15" s="9"/>
      <c r="K15" s="9"/>
      <c r="L15" s="3" t="str">
        <f t="shared" si="1"/>
        <v/>
      </c>
    </row>
    <row r="16" spans="1:12" ht="28.8" x14ac:dyDescent="0.3">
      <c r="A16" s="3" t="s">
        <v>26</v>
      </c>
      <c r="B16" s="4" t="s">
        <v>42</v>
      </c>
      <c r="C16" s="7" t="s">
        <v>29</v>
      </c>
      <c r="D16" s="9"/>
      <c r="E16" s="9"/>
      <c r="G16" s="9"/>
      <c r="H16" s="9"/>
      <c r="J16" s="9"/>
      <c r="K16" s="9"/>
      <c r="L16" s="3" t="str">
        <f t="shared" si="1"/>
        <v/>
      </c>
    </row>
    <row r="17" spans="1:12" ht="28.8" x14ac:dyDescent="0.3">
      <c r="A17" s="3" t="s">
        <v>36</v>
      </c>
      <c r="B17" s="4" t="s">
        <v>43</v>
      </c>
      <c r="C17" s="7" t="s">
        <v>9</v>
      </c>
      <c r="D17" s="9">
        <v>15</v>
      </c>
      <c r="E17" s="9"/>
      <c r="G17" s="9"/>
      <c r="H17" s="9"/>
      <c r="J17" s="9">
        <v>15</v>
      </c>
      <c r="K17" s="9"/>
      <c r="L17" s="3" t="str">
        <f t="shared" si="1"/>
        <v>YES</v>
      </c>
    </row>
    <row r="18" spans="1:12" x14ac:dyDescent="0.3">
      <c r="A18" s="3" t="s">
        <v>37</v>
      </c>
      <c r="B18" s="4" t="s">
        <v>44</v>
      </c>
      <c r="C18" s="7" t="s">
        <v>9</v>
      </c>
      <c r="D18" s="9">
        <f>15-15</f>
        <v>0</v>
      </c>
      <c r="E18" s="9"/>
      <c r="G18" s="9"/>
      <c r="H18" s="9"/>
      <c r="J18" s="9"/>
      <c r="K18" s="9"/>
      <c r="L18" s="3" t="str">
        <f t="shared" si="1"/>
        <v>YES</v>
      </c>
    </row>
    <row r="19" spans="1:12" x14ac:dyDescent="0.3">
      <c r="A19" s="3" t="s">
        <v>38</v>
      </c>
      <c r="B19" s="4" t="s">
        <v>27</v>
      </c>
      <c r="C19" s="7" t="s">
        <v>9</v>
      </c>
      <c r="D19" s="11">
        <v>-2</v>
      </c>
      <c r="E19" s="11"/>
      <c r="G19" s="11">
        <v>-2</v>
      </c>
      <c r="H19" s="11"/>
      <c r="J19" s="11"/>
      <c r="K19" s="11"/>
      <c r="L19" s="3" t="str">
        <f t="shared" si="1"/>
        <v>YES</v>
      </c>
    </row>
    <row r="20" spans="1:12" ht="15" thickBot="1" x14ac:dyDescent="0.35">
      <c r="B20" t="s">
        <v>28</v>
      </c>
      <c r="D20" s="17">
        <f>SUM(D4:D19)</f>
        <v>128</v>
      </c>
      <c r="E20" s="17"/>
      <c r="G20" s="17">
        <f>SUM(G4:G19)</f>
        <v>61</v>
      </c>
      <c r="H20" s="17"/>
      <c r="J20" s="17">
        <f>SUM(J4:J19)</f>
        <v>67</v>
      </c>
      <c r="K20" s="17"/>
      <c r="L20" s="5" t="str">
        <f>IF(D20-G20-J20=0,"YES","NO")</f>
        <v>YES</v>
      </c>
    </row>
    <row r="21" spans="1:12" ht="15" thickTop="1" x14ac:dyDescent="0.3"/>
  </sheetData>
  <mergeCells count="56">
    <mergeCell ref="D19:E19"/>
    <mergeCell ref="G19:H19"/>
    <mergeCell ref="J19:K19"/>
    <mergeCell ref="D20:E20"/>
    <mergeCell ref="G20:H20"/>
    <mergeCell ref="J20:K20"/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J17:K17"/>
    <mergeCell ref="G17:H17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20">
    <cfRule type="cellIs" dxfId="4" priority="7" operator="equal">
      <formula>"NO"</formula>
    </cfRule>
    <cfRule type="cellIs" dxfId="3" priority="8" operator="equal">
      <formula>"YES"</formula>
    </cfRule>
  </conditionalFormatting>
  <conditionalFormatting sqref="L4:L19">
    <cfRule type="cellIs" dxfId="2" priority="2" operator="equal">
      <formula>"NO"</formula>
    </cfRule>
    <cfRule type="cellIs" dxfId="1" priority="3" operator="equal">
      <formula>"YES"</formula>
    </cfRule>
  </conditionalFormatting>
  <conditionalFormatting sqref="L4:L19">
    <cfRule type="expression" dxfId="0" priority="1">
      <formula>AND($C4&lt;&gt;"",$C4="NO")</formula>
    </cfRule>
  </conditionalFormatting>
  <dataValidations count="1">
    <dataValidation type="list" allowBlank="1" showInputMessage="1" showErrorMessage="1" sqref="C4:C19" xr:uid="{4EFE9CA0-7D09-4DBA-ADC4-BCC8ABEA837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2020-07-17T19:53:54Z</dcterms:modified>
  <cp:category/>
  <cp:contentStatus/>
</cp:coreProperties>
</file>