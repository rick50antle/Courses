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Accounting Pre-work/Excel Workbooks/"/>
    </mc:Choice>
  </mc:AlternateContent>
  <xr:revisionPtr revIDLastSave="535" documentId="8_{AA4CB012-E276-46F3-A023-82924801997B}" xr6:coauthVersionLast="47" xr6:coauthVersionMax="47" xr10:uidLastSave="{135E759E-91B0-4459-9623-027E919ADC4A}"/>
  <bookViews>
    <workbookView xWindow="5796" yWindow="24" windowWidth="26340" windowHeight="18156" xr2:uid="{1E23A63B-3FB0-FA44-9559-22C7EE651829}"/>
  </bookViews>
  <sheets>
    <sheet name="Accounting Identity NFP" sheetId="2" r:id="rId1"/>
    <sheet name="Grading" sheetId="3" state="hidden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1" i="2" l="1"/>
  <c r="D19" i="3"/>
  <c r="D13" i="3"/>
  <c r="D11" i="3"/>
  <c r="D7" i="3"/>
  <c r="D21" i="3"/>
  <c r="G21" i="3"/>
  <c r="J21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10" i="2"/>
  <c r="L9" i="2"/>
  <c r="L5" i="2"/>
  <c r="G21" i="2"/>
  <c r="D21" i="2"/>
  <c r="L14" i="2"/>
  <c r="L15" i="2"/>
  <c r="L16" i="2"/>
  <c r="L17" i="2"/>
  <c r="L18" i="2"/>
  <c r="L19" i="2"/>
  <c r="L20" i="2"/>
  <c r="L13" i="2"/>
  <c r="L12" i="2"/>
  <c r="L11" i="2"/>
  <c r="L8" i="2"/>
  <c r="L7" i="2"/>
  <c r="L6" i="2"/>
  <c r="L4" i="2"/>
  <c r="L21" i="2"/>
</calcChain>
</file>

<file path=xl/sharedStrings.xml><?xml version="1.0" encoding="utf-8"?>
<sst xmlns="http://schemas.openxmlformats.org/spreadsheetml/2006/main" count="106" uniqueCount="47">
  <si>
    <t>Assets</t>
  </si>
  <si>
    <t>=</t>
  </si>
  <si>
    <t>Liabilities</t>
  </si>
  <si>
    <t>a</t>
  </si>
  <si>
    <t>b</t>
  </si>
  <si>
    <t>c</t>
  </si>
  <si>
    <t>d</t>
  </si>
  <si>
    <t>e</t>
  </si>
  <si>
    <t>f</t>
  </si>
  <si>
    <t>Received $6k cash from customers</t>
  </si>
  <si>
    <t>g</t>
  </si>
  <si>
    <t>Total</t>
  </si>
  <si>
    <t>Recognize?</t>
  </si>
  <si>
    <t>YES</t>
  </si>
  <si>
    <t>h</t>
  </si>
  <si>
    <t>Put in a $15k bid to do work</t>
  </si>
  <si>
    <t>j</t>
  </si>
  <si>
    <t>k</t>
  </si>
  <si>
    <t>l</t>
  </si>
  <si>
    <t>m</t>
  </si>
  <si>
    <t>NO</t>
  </si>
  <si>
    <t>Select Yes or No in Column C. If Yes, the insert numbers into the blue areas that both capture the transaction and preserve the Accounting Indentity.</t>
  </si>
  <si>
    <t>Declared the intention to spend $2k.</t>
  </si>
  <si>
    <t>Identity Preserved?</t>
  </si>
  <si>
    <t>Borrowed $50k from a bank</t>
  </si>
  <si>
    <t>Purchased equipment paying $15k in cash</t>
  </si>
  <si>
    <t>Purchased $18k of inventory on credit</t>
  </si>
  <si>
    <t>SOM NfP - Not-for-Profit Problem</t>
  </si>
  <si>
    <t>n</t>
  </si>
  <si>
    <t>o</t>
  </si>
  <si>
    <t>p</t>
  </si>
  <si>
    <t>q</t>
  </si>
  <si>
    <t>Received a contribution of $50k cash. The donor placed no restictions on its use.</t>
  </si>
  <si>
    <t>Received a contribution of $50k. The donor placed restrictions on its use.</t>
  </si>
  <si>
    <t>Sold for cash of $8k some of the inventory purchased in e</t>
  </si>
  <si>
    <t>Sold some of the inventory purchased in e for promises to pay $6k in 30 days. The inventory sold cost SOM NfP $6k</t>
  </si>
  <si>
    <t>Was informed that your bid in l made it to the final round of consideration.</t>
  </si>
  <si>
    <t>Was informed that your bid in l was accepted.</t>
  </si>
  <si>
    <t>Performed the work in l and billed the buyer $15k</t>
  </si>
  <si>
    <t>Collected the $15k for the work in l.</t>
  </si>
  <si>
    <t>Spent $2k fulfilling requirements of the donation in b.</t>
  </si>
  <si>
    <t>r</t>
  </si>
  <si>
    <t>Paid $7k cash to suppliers of inventory purchased in e</t>
  </si>
  <si>
    <t>Paid $7k cash to suppliers of inventory purchased in g</t>
  </si>
  <si>
    <t>Net Assets</t>
  </si>
  <si>
    <t>-</t>
  </si>
  <si>
    <t>Determined that the inventory sold in f had cost SOM NfP $6k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</si>
</sst>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 wrapText="1"/>
    </xf>
    <xf numFmtId="164" fontId="0" fillId="3" borderId="0" xfId="1" applyNumberFormat="1" applyFont="1" applyFill="1" applyAlignment="1" applyProtection="1">
      <alignment horizontal="center"/>
      <protection locked="0"/>
    </xf>
    <xf numFmtId="165" fontId="4" fillId="5" borderId="2" xfId="2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4" fillId="5" borderId="1" xfId="0" applyFont="1" applyFill="1" applyBorder="1" applyAlignment="1">
      <alignment horizontal="center" vertical="center"/>
    </xf>
    <xf numFmtId="164" fontId="0" fillId="3" borderId="0" xfId="1" applyNumberFormat="1" applyFont="1" applyFill="1" applyBorder="1" applyAlignment="1" applyProtection="1">
      <alignment horizontal="center"/>
    </xf>
    <xf numFmtId="164" fontId="0" fillId="3" borderId="0" xfId="1" applyNumberFormat="1" applyFont="1" applyFill="1" applyAlignment="1" applyProtection="1">
      <alignment horizontal="center"/>
    </xf>
    <xf numFmtId="164" fontId="0" fillId="3" borderId="4" xfId="1" applyNumberFormat="1" applyFont="1" applyFill="1" applyBorder="1" applyAlignment="1" applyProtection="1">
      <alignment horizontal="center"/>
    </xf>
    <xf numFmtId="0" fontId="0" fillId="0" borderId="0" xfId="0" applyFill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7"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90FE-2635-B24E-9B10-2EC6B1CBCB1B}">
  <dimension ref="A1:L22"/>
  <sheetViews>
    <sheetView tabSelected="1" zoomScale="130" zoomScaleNormal="130" workbookViewId="0">
      <selection activeCell="J27" sqref="J27"/>
    </sheetView>
  </sheetViews>
  <sheetFormatPr defaultColWidth="11.44140625" defaultRowHeight="14.4" x14ac:dyDescent="0.3"/>
  <cols>
    <col min="2" max="2" width="37.44140625" bestFit="1" customWidth="1"/>
    <col min="3" max="3" width="13.88671875" customWidth="1"/>
    <col min="12" max="12" width="18.6640625" bestFit="1" customWidth="1"/>
  </cols>
  <sheetData>
    <row r="1" spans="1:12" ht="25.8" x14ac:dyDescent="0.5">
      <c r="A1" s="11" t="s">
        <v>27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5.6" x14ac:dyDescent="0.3">
      <c r="A2" s="12" t="s">
        <v>21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5" thickBot="1" x14ac:dyDescent="0.35">
      <c r="C3" s="6" t="s">
        <v>12</v>
      </c>
      <c r="D3" s="13" t="s">
        <v>0</v>
      </c>
      <c r="E3" s="13"/>
      <c r="F3" s="1" t="s">
        <v>45</v>
      </c>
      <c r="G3" s="13" t="s">
        <v>2</v>
      </c>
      <c r="H3" s="13"/>
      <c r="I3" s="1" t="s">
        <v>1</v>
      </c>
      <c r="J3" s="13" t="s">
        <v>44</v>
      </c>
      <c r="K3" s="13"/>
      <c r="L3" s="2" t="s">
        <v>23</v>
      </c>
    </row>
    <row r="4" spans="1:12" ht="36.75" customHeight="1" x14ac:dyDescent="0.3">
      <c r="A4" s="17" t="s">
        <v>3</v>
      </c>
      <c r="B4" s="4" t="s">
        <v>32</v>
      </c>
      <c r="C4" s="7" t="s">
        <v>13</v>
      </c>
      <c r="D4" s="16"/>
      <c r="E4" s="16"/>
      <c r="G4" s="16"/>
      <c r="H4" s="16"/>
      <c r="J4" s="15"/>
      <c r="K4" s="15"/>
      <c r="L4" s="3" t="str">
        <f t="shared" ref="L4:L20" si="0">IF(AND(ISBLANK(D4),ISBLANK(G4),ISBLANK(J4)),"",IF(D4-G4-J4=0,"YES","NO"))</f>
        <v/>
      </c>
    </row>
    <row r="5" spans="1:12" ht="28.8" x14ac:dyDescent="0.3">
      <c r="A5" s="17" t="s">
        <v>4</v>
      </c>
      <c r="B5" s="4" t="s">
        <v>33</v>
      </c>
      <c r="C5" s="7"/>
      <c r="D5" s="14"/>
      <c r="E5" s="14"/>
      <c r="G5" s="14"/>
      <c r="H5" s="14"/>
      <c r="J5" s="15"/>
      <c r="K5" s="15"/>
      <c r="L5" s="3" t="str">
        <f t="shared" si="0"/>
        <v/>
      </c>
    </row>
    <row r="6" spans="1:12" ht="14.25" customHeight="1" x14ac:dyDescent="0.3">
      <c r="A6" s="17" t="s">
        <v>5</v>
      </c>
      <c r="B6" s="4" t="s">
        <v>24</v>
      </c>
      <c r="C6" s="7"/>
      <c r="D6" s="8"/>
      <c r="E6" s="8"/>
      <c r="G6" s="8"/>
      <c r="H6" s="8"/>
      <c r="J6" s="8"/>
      <c r="K6" s="8"/>
      <c r="L6" s="3" t="str">
        <f t="shared" si="0"/>
        <v/>
      </c>
    </row>
    <row r="7" spans="1:12" ht="15" customHeight="1" x14ac:dyDescent="0.3">
      <c r="A7" s="17" t="s">
        <v>6</v>
      </c>
      <c r="B7" s="4" t="s">
        <v>25</v>
      </c>
      <c r="C7" s="7"/>
      <c r="D7" s="8"/>
      <c r="E7" s="8"/>
      <c r="G7" s="8"/>
      <c r="H7" s="8"/>
      <c r="J7" s="8"/>
      <c r="K7" s="8"/>
      <c r="L7" s="3" t="str">
        <f t="shared" si="0"/>
        <v/>
      </c>
    </row>
    <row r="8" spans="1:12" x14ac:dyDescent="0.3">
      <c r="A8" s="17" t="s">
        <v>7</v>
      </c>
      <c r="B8" s="4" t="s">
        <v>26</v>
      </c>
      <c r="C8" s="7"/>
      <c r="D8" s="8"/>
      <c r="E8" s="8"/>
      <c r="G8" s="8"/>
      <c r="H8" s="8"/>
      <c r="J8" s="8"/>
      <c r="K8" s="8"/>
      <c r="L8" s="3" t="str">
        <f t="shared" si="0"/>
        <v/>
      </c>
    </row>
    <row r="9" spans="1:12" ht="28.8" x14ac:dyDescent="0.3">
      <c r="A9" s="17" t="s">
        <v>8</v>
      </c>
      <c r="B9" s="4" t="s">
        <v>34</v>
      </c>
      <c r="C9" s="7"/>
      <c r="D9" s="8"/>
      <c r="E9" s="8"/>
      <c r="G9" s="8"/>
      <c r="H9" s="8"/>
      <c r="J9" s="8"/>
      <c r="K9" s="8"/>
      <c r="L9" s="3" t="str">
        <f t="shared" ref="L9:L10" si="1">IF(AND(ISBLANK(D9),ISBLANK(G9),ISBLANK(J9)),"",IF(D9-G9-J9=0,"YES","NO"))</f>
        <v/>
      </c>
    </row>
    <row r="10" spans="1:12" ht="28.8" x14ac:dyDescent="0.3">
      <c r="A10" s="17" t="s">
        <v>10</v>
      </c>
      <c r="B10" s="4" t="s">
        <v>46</v>
      </c>
      <c r="C10" s="7"/>
      <c r="D10" s="8"/>
      <c r="E10" s="8"/>
      <c r="G10" s="8"/>
      <c r="H10" s="8"/>
      <c r="J10" s="8"/>
      <c r="K10" s="8"/>
      <c r="L10" s="3" t="str">
        <f t="shared" si="1"/>
        <v/>
      </c>
    </row>
    <row r="11" spans="1:12" ht="43.2" x14ac:dyDescent="0.3">
      <c r="A11" s="17" t="s">
        <v>14</v>
      </c>
      <c r="B11" s="4" t="s">
        <v>35</v>
      </c>
      <c r="C11" s="7"/>
      <c r="D11" s="8"/>
      <c r="E11" s="8"/>
      <c r="G11" s="8"/>
      <c r="H11" s="8"/>
      <c r="J11" s="8"/>
      <c r="K11" s="8"/>
      <c r="L11" s="3" t="str">
        <f t="shared" si="0"/>
        <v/>
      </c>
    </row>
    <row r="12" spans="1:12" ht="28.8" x14ac:dyDescent="0.3">
      <c r="A12" s="17" t="s">
        <v>16</v>
      </c>
      <c r="B12" s="4" t="s">
        <v>43</v>
      </c>
      <c r="C12" s="7"/>
      <c r="D12" s="8"/>
      <c r="E12" s="8"/>
      <c r="G12" s="8"/>
      <c r="H12" s="8"/>
      <c r="J12" s="8"/>
      <c r="K12" s="8"/>
      <c r="L12" s="3" t="str">
        <f t="shared" si="0"/>
        <v/>
      </c>
    </row>
    <row r="13" spans="1:12" x14ac:dyDescent="0.3">
      <c r="A13" s="17" t="s">
        <v>17</v>
      </c>
      <c r="B13" s="4" t="s">
        <v>9</v>
      </c>
      <c r="C13" s="7"/>
      <c r="D13" s="8"/>
      <c r="E13" s="8"/>
      <c r="G13" s="8"/>
      <c r="H13" s="8"/>
      <c r="J13" s="8"/>
      <c r="K13" s="8"/>
      <c r="L13" s="3" t="str">
        <f t="shared" si="0"/>
        <v/>
      </c>
    </row>
    <row r="14" spans="1:12" x14ac:dyDescent="0.3">
      <c r="A14" s="17" t="s">
        <v>18</v>
      </c>
      <c r="B14" s="4" t="s">
        <v>15</v>
      </c>
      <c r="C14" s="7"/>
      <c r="D14" s="8"/>
      <c r="E14" s="8"/>
      <c r="G14" s="8"/>
      <c r="H14" s="8"/>
      <c r="J14" s="8"/>
      <c r="K14" s="8"/>
      <c r="L14" s="3" t="str">
        <f t="shared" si="0"/>
        <v/>
      </c>
    </row>
    <row r="15" spans="1:12" x14ac:dyDescent="0.3">
      <c r="A15" s="17" t="s">
        <v>19</v>
      </c>
      <c r="B15" s="4" t="s">
        <v>22</v>
      </c>
      <c r="C15" s="7"/>
      <c r="D15" s="8"/>
      <c r="E15" s="8"/>
      <c r="G15" s="8"/>
      <c r="H15" s="8"/>
      <c r="J15" s="8"/>
      <c r="K15" s="8"/>
      <c r="L15" s="3" t="str">
        <f t="shared" si="0"/>
        <v/>
      </c>
    </row>
    <row r="16" spans="1:12" ht="28.8" x14ac:dyDescent="0.3">
      <c r="A16" s="17" t="s">
        <v>28</v>
      </c>
      <c r="B16" s="4" t="s">
        <v>36</v>
      </c>
      <c r="C16" s="7"/>
      <c r="D16" s="8"/>
      <c r="E16" s="8"/>
      <c r="G16" s="8"/>
      <c r="H16" s="8"/>
      <c r="J16" s="8"/>
      <c r="K16" s="8"/>
      <c r="L16" s="3" t="str">
        <f t="shared" si="0"/>
        <v/>
      </c>
    </row>
    <row r="17" spans="1:12" ht="28.8" x14ac:dyDescent="0.3">
      <c r="A17" s="17" t="s">
        <v>29</v>
      </c>
      <c r="B17" s="4" t="s">
        <v>37</v>
      </c>
      <c r="C17" s="7"/>
      <c r="D17" s="8"/>
      <c r="E17" s="8"/>
      <c r="G17" s="8"/>
      <c r="H17" s="8"/>
      <c r="J17" s="8"/>
      <c r="K17" s="8"/>
      <c r="L17" s="3" t="str">
        <f t="shared" si="0"/>
        <v/>
      </c>
    </row>
    <row r="18" spans="1:12" ht="28.8" x14ac:dyDescent="0.3">
      <c r="A18" s="17" t="s">
        <v>30</v>
      </c>
      <c r="B18" s="4" t="s">
        <v>38</v>
      </c>
      <c r="C18" s="7"/>
      <c r="D18" s="8"/>
      <c r="E18" s="8"/>
      <c r="G18" s="8"/>
      <c r="H18" s="8"/>
      <c r="J18" s="8"/>
      <c r="K18" s="8"/>
      <c r="L18" s="3" t="str">
        <f t="shared" si="0"/>
        <v/>
      </c>
    </row>
    <row r="19" spans="1:12" x14ac:dyDescent="0.3">
      <c r="A19" s="17" t="s">
        <v>31</v>
      </c>
      <c r="B19" s="4" t="s">
        <v>39</v>
      </c>
      <c r="C19" s="7"/>
      <c r="D19" s="8"/>
      <c r="E19" s="8"/>
      <c r="G19" s="8"/>
      <c r="H19" s="8"/>
      <c r="J19" s="8"/>
      <c r="K19" s="8"/>
      <c r="L19" s="3" t="str">
        <f t="shared" si="0"/>
        <v/>
      </c>
    </row>
    <row r="20" spans="1:12" ht="28.8" x14ac:dyDescent="0.3">
      <c r="A20" s="17" t="s">
        <v>41</v>
      </c>
      <c r="B20" s="4" t="s">
        <v>40</v>
      </c>
      <c r="C20" s="7"/>
      <c r="D20" s="10"/>
      <c r="E20" s="10"/>
      <c r="G20" s="10"/>
      <c r="H20" s="10"/>
      <c r="J20" s="10"/>
      <c r="K20" s="10"/>
      <c r="L20" s="3" t="str">
        <f t="shared" si="0"/>
        <v/>
      </c>
    </row>
    <row r="21" spans="1:12" ht="15" thickBot="1" x14ac:dyDescent="0.35">
      <c r="B21" t="s">
        <v>11</v>
      </c>
      <c r="D21" s="9">
        <f>SUM(D4:D20)</f>
        <v>0</v>
      </c>
      <c r="E21" s="9"/>
      <c r="G21" s="9">
        <f>SUM(G4:G20)</f>
        <v>0</v>
      </c>
      <c r="H21" s="9"/>
      <c r="J21" s="9">
        <f>SUM(J4:J20)</f>
        <v>0</v>
      </c>
      <c r="K21" s="9"/>
      <c r="L21" s="5" t="str">
        <f>IF(D21-G21-J21=0,"YES","NO")</f>
        <v>YES</v>
      </c>
    </row>
    <row r="22" spans="1:12" ht="15" thickTop="1" x14ac:dyDescent="0.3"/>
  </sheetData>
  <mergeCells count="59">
    <mergeCell ref="G5:H5"/>
    <mergeCell ref="J5:K5"/>
    <mergeCell ref="D4:E4"/>
    <mergeCell ref="G4:H4"/>
    <mergeCell ref="J4:K4"/>
    <mergeCell ref="D5:E5"/>
    <mergeCell ref="D8:E8"/>
    <mergeCell ref="G8:H8"/>
    <mergeCell ref="J8:K8"/>
    <mergeCell ref="D11:E11"/>
    <mergeCell ref="J14:K14"/>
    <mergeCell ref="G11:H11"/>
    <mergeCell ref="J11:K11"/>
    <mergeCell ref="D12:E12"/>
    <mergeCell ref="G12:H12"/>
    <mergeCell ref="J12:K12"/>
    <mergeCell ref="D13:E13"/>
    <mergeCell ref="G13:H13"/>
    <mergeCell ref="J13:K13"/>
    <mergeCell ref="D9:E9"/>
    <mergeCell ref="G9:H9"/>
    <mergeCell ref="J9:K9"/>
    <mergeCell ref="D6:E6"/>
    <mergeCell ref="G6:H6"/>
    <mergeCell ref="J6:K6"/>
    <mergeCell ref="D7:E7"/>
    <mergeCell ref="G7:H7"/>
    <mergeCell ref="J7:K7"/>
    <mergeCell ref="A1:L1"/>
    <mergeCell ref="A2:L2"/>
    <mergeCell ref="D3:E3"/>
    <mergeCell ref="G3:H3"/>
    <mergeCell ref="J3:K3"/>
    <mergeCell ref="D21:E21"/>
    <mergeCell ref="G21:H21"/>
    <mergeCell ref="J21:K21"/>
    <mergeCell ref="J19:K19"/>
    <mergeCell ref="J18:K18"/>
    <mergeCell ref="J20:K20"/>
    <mergeCell ref="D20:E20"/>
    <mergeCell ref="G20:H20"/>
    <mergeCell ref="G19:H19"/>
    <mergeCell ref="G18:H18"/>
    <mergeCell ref="D18:E18"/>
    <mergeCell ref="D19:E19"/>
    <mergeCell ref="D10:E10"/>
    <mergeCell ref="G10:H10"/>
    <mergeCell ref="J10:K10"/>
    <mergeCell ref="J15:K15"/>
    <mergeCell ref="J17:K17"/>
    <mergeCell ref="J16:K16"/>
    <mergeCell ref="G16:H16"/>
    <mergeCell ref="G14:H14"/>
    <mergeCell ref="D14:E14"/>
    <mergeCell ref="D16:E16"/>
    <mergeCell ref="D17:E17"/>
    <mergeCell ref="D15:E15"/>
    <mergeCell ref="G15:H15"/>
    <mergeCell ref="G17:H17"/>
  </mergeCells>
  <conditionalFormatting sqref="L4:L21">
    <cfRule type="expression" dxfId="6" priority="1">
      <formula>AND($C4&lt;&gt;"",$C4="NO")</formula>
    </cfRule>
    <cfRule type="cellIs" dxfId="5" priority="4" operator="equal">
      <formula>"NO"</formula>
    </cfRule>
    <cfRule type="cellIs" dxfId="4" priority="5" operator="equal">
      <formula>"YES"</formula>
    </cfRule>
  </conditionalFormatting>
  <dataValidations disablePrompts="1" count="1">
    <dataValidation type="list" allowBlank="1" showInputMessage="1" showErrorMessage="1" sqref="C4:C20" xr:uid="{DCB9E847-9E04-4809-870B-701F20325BB1}">
      <formula1>"YES,NO"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DF597C8-356B-40B8-A754-C44A6FFD2141}">
            <xm:f>AND(C4&lt;&gt;"",C4&lt;&gt;Grading!C4)</xm:f>
            <x14:dxf>
              <fill>
                <patternFill>
                  <bgColor rgb="FFFF0000"/>
                </patternFill>
              </fill>
            </x14:dxf>
          </x14:cfRule>
          <xm:sqref>C4:K20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AFD0-1643-43CA-BA80-94646B78904B}">
  <dimension ref="A1:L22"/>
  <sheetViews>
    <sheetView zoomScale="160" zoomScaleNormal="160" workbookViewId="0">
      <selection activeCell="B11" sqref="B11"/>
    </sheetView>
  </sheetViews>
  <sheetFormatPr defaultColWidth="11.44140625" defaultRowHeight="14.4" x14ac:dyDescent="0.3"/>
  <cols>
    <col min="2" max="2" width="37.44140625" bestFit="1" customWidth="1"/>
    <col min="3" max="3" width="13.88671875" customWidth="1"/>
    <col min="12" max="12" width="18.6640625" bestFit="1" customWidth="1"/>
  </cols>
  <sheetData>
    <row r="1" spans="1:12" ht="25.8" x14ac:dyDescent="0.5">
      <c r="A1" s="11" t="s">
        <v>27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5.6" x14ac:dyDescent="0.3">
      <c r="A2" s="12" t="s">
        <v>21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5" thickBot="1" x14ac:dyDescent="0.35">
      <c r="C3" s="6" t="s">
        <v>12</v>
      </c>
      <c r="D3" s="13" t="s">
        <v>0</v>
      </c>
      <c r="E3" s="13"/>
      <c r="F3" s="1" t="s">
        <v>45</v>
      </c>
      <c r="G3" s="13" t="s">
        <v>2</v>
      </c>
      <c r="H3" s="13"/>
      <c r="I3" s="1" t="s">
        <v>1</v>
      </c>
      <c r="J3" s="13" t="s">
        <v>44</v>
      </c>
      <c r="K3" s="13"/>
      <c r="L3" s="2" t="s">
        <v>23</v>
      </c>
    </row>
    <row r="4" spans="1:12" ht="28.8" x14ac:dyDescent="0.3">
      <c r="A4" s="3" t="s">
        <v>3</v>
      </c>
      <c r="B4" s="4" t="s">
        <v>32</v>
      </c>
      <c r="C4" s="7" t="s">
        <v>13</v>
      </c>
      <c r="D4" s="16">
        <v>50</v>
      </c>
      <c r="E4" s="16"/>
      <c r="G4" s="16"/>
      <c r="H4" s="16"/>
      <c r="J4" s="15">
        <v>50</v>
      </c>
      <c r="K4" s="15"/>
      <c r="L4" s="3" t="str">
        <f t="shared" ref="L4:L20" si="0">IF(AND(ISBLANK(D4),ISBLANK(G4),ISBLANK(J4)),"",IF(D4-G4-J4=0,"YES","NO"))</f>
        <v>YES</v>
      </c>
    </row>
    <row r="5" spans="1:12" ht="28.8" x14ac:dyDescent="0.3">
      <c r="A5" s="3" t="s">
        <v>4</v>
      </c>
      <c r="B5" s="4" t="s">
        <v>33</v>
      </c>
      <c r="C5" s="7" t="s">
        <v>13</v>
      </c>
      <c r="D5" s="14">
        <v>50</v>
      </c>
      <c r="E5" s="14"/>
      <c r="G5" s="14"/>
      <c r="H5" s="14"/>
      <c r="J5" s="15">
        <v>50</v>
      </c>
      <c r="K5" s="15"/>
      <c r="L5" s="3" t="str">
        <f t="shared" si="0"/>
        <v>YES</v>
      </c>
    </row>
    <row r="6" spans="1:12" ht="14.25" customHeight="1" x14ac:dyDescent="0.3">
      <c r="A6" s="3" t="s">
        <v>5</v>
      </c>
      <c r="B6" s="4" t="s">
        <v>24</v>
      </c>
      <c r="C6" s="7" t="s">
        <v>13</v>
      </c>
      <c r="D6" s="8">
        <v>50</v>
      </c>
      <c r="E6" s="8"/>
      <c r="G6" s="8">
        <v>50</v>
      </c>
      <c r="H6" s="8"/>
      <c r="J6" s="8"/>
      <c r="K6" s="8"/>
      <c r="L6" s="3" t="str">
        <f t="shared" si="0"/>
        <v>YES</v>
      </c>
    </row>
    <row r="7" spans="1:12" ht="15" customHeight="1" x14ac:dyDescent="0.3">
      <c r="A7" s="3" t="s">
        <v>6</v>
      </c>
      <c r="B7" s="4" t="s">
        <v>25</v>
      </c>
      <c r="C7" s="7" t="s">
        <v>13</v>
      </c>
      <c r="D7" s="8">
        <f>15-15</f>
        <v>0</v>
      </c>
      <c r="E7" s="8"/>
      <c r="G7" s="8"/>
      <c r="H7" s="8"/>
      <c r="J7" s="8"/>
      <c r="K7" s="8"/>
      <c r="L7" s="3" t="str">
        <f t="shared" si="0"/>
        <v>YES</v>
      </c>
    </row>
    <row r="8" spans="1:12" x14ac:dyDescent="0.3">
      <c r="A8" s="3" t="s">
        <v>7</v>
      </c>
      <c r="B8" s="4" t="s">
        <v>26</v>
      </c>
      <c r="C8" s="7" t="s">
        <v>13</v>
      </c>
      <c r="D8" s="8">
        <v>18</v>
      </c>
      <c r="E8" s="8"/>
      <c r="G8" s="8">
        <v>18</v>
      </c>
      <c r="H8" s="8"/>
      <c r="J8" s="8"/>
      <c r="K8" s="8"/>
      <c r="L8" s="3" t="str">
        <f t="shared" si="0"/>
        <v>YES</v>
      </c>
    </row>
    <row r="9" spans="1:12" ht="28.8" x14ac:dyDescent="0.3">
      <c r="A9" s="3" t="s">
        <v>8</v>
      </c>
      <c r="B9" s="4" t="s">
        <v>34</v>
      </c>
      <c r="C9" s="7" t="s">
        <v>13</v>
      </c>
      <c r="D9" s="8">
        <v>8</v>
      </c>
      <c r="E9" s="8"/>
      <c r="G9" s="8"/>
      <c r="H9" s="8"/>
      <c r="J9" s="8">
        <v>8</v>
      </c>
      <c r="K9" s="8"/>
      <c r="L9" s="3" t="str">
        <f t="shared" si="0"/>
        <v>YES</v>
      </c>
    </row>
    <row r="10" spans="1:12" ht="28.8" x14ac:dyDescent="0.3">
      <c r="A10" s="3" t="s">
        <v>10</v>
      </c>
      <c r="B10" s="4" t="s">
        <v>46</v>
      </c>
      <c r="C10" s="7" t="s">
        <v>13</v>
      </c>
      <c r="D10" s="8">
        <v>-6</v>
      </c>
      <c r="E10" s="8"/>
      <c r="G10" s="8"/>
      <c r="H10" s="8"/>
      <c r="J10" s="8">
        <v>-6</v>
      </c>
      <c r="K10" s="8"/>
      <c r="L10" s="3" t="str">
        <f t="shared" si="0"/>
        <v>YES</v>
      </c>
    </row>
    <row r="11" spans="1:12" ht="43.2" x14ac:dyDescent="0.3">
      <c r="A11" s="3" t="s">
        <v>14</v>
      </c>
      <c r="B11" s="4" t="s">
        <v>35</v>
      </c>
      <c r="C11" s="7" t="s">
        <v>13</v>
      </c>
      <c r="D11" s="8">
        <f>8-6</f>
        <v>2</v>
      </c>
      <c r="E11" s="8"/>
      <c r="G11" s="8"/>
      <c r="H11" s="8"/>
      <c r="J11" s="8">
        <v>2</v>
      </c>
      <c r="K11" s="8"/>
      <c r="L11" s="3" t="str">
        <f t="shared" si="0"/>
        <v>YES</v>
      </c>
    </row>
    <row r="12" spans="1:12" ht="28.8" x14ac:dyDescent="0.3">
      <c r="A12" s="3" t="s">
        <v>16</v>
      </c>
      <c r="B12" s="4" t="s">
        <v>42</v>
      </c>
      <c r="C12" s="7" t="s">
        <v>13</v>
      </c>
      <c r="D12" s="8">
        <v>-7</v>
      </c>
      <c r="E12" s="8"/>
      <c r="G12" s="8">
        <v>-7</v>
      </c>
      <c r="H12" s="8"/>
      <c r="J12" s="8"/>
      <c r="K12" s="8"/>
      <c r="L12" s="3" t="str">
        <f t="shared" si="0"/>
        <v>YES</v>
      </c>
    </row>
    <row r="13" spans="1:12" x14ac:dyDescent="0.3">
      <c r="A13" s="3" t="s">
        <v>17</v>
      </c>
      <c r="B13" s="4" t="s">
        <v>9</v>
      </c>
      <c r="C13" s="7" t="s">
        <v>13</v>
      </c>
      <c r="D13" s="8">
        <f>6-6</f>
        <v>0</v>
      </c>
      <c r="E13" s="8"/>
      <c r="G13" s="8"/>
      <c r="H13" s="8"/>
      <c r="J13" s="8"/>
      <c r="K13" s="8"/>
      <c r="L13" s="3" t="str">
        <f t="shared" si="0"/>
        <v>YES</v>
      </c>
    </row>
    <row r="14" spans="1:12" x14ac:dyDescent="0.3">
      <c r="A14" s="3" t="s">
        <v>18</v>
      </c>
      <c r="B14" s="4" t="s">
        <v>15</v>
      </c>
      <c r="C14" s="7" t="s">
        <v>20</v>
      </c>
      <c r="D14" s="8"/>
      <c r="E14" s="8"/>
      <c r="G14" s="8"/>
      <c r="H14" s="8"/>
      <c r="J14" s="8"/>
      <c r="K14" s="8"/>
      <c r="L14" s="3" t="str">
        <f t="shared" si="0"/>
        <v/>
      </c>
    </row>
    <row r="15" spans="1:12" x14ac:dyDescent="0.3">
      <c r="A15" s="3" t="s">
        <v>19</v>
      </c>
      <c r="B15" s="4" t="s">
        <v>22</v>
      </c>
      <c r="C15" s="7" t="s">
        <v>20</v>
      </c>
      <c r="D15" s="8"/>
      <c r="E15" s="8"/>
      <c r="G15" s="8"/>
      <c r="H15" s="8"/>
      <c r="J15" s="8"/>
      <c r="K15" s="8"/>
      <c r="L15" s="3" t="str">
        <f t="shared" si="0"/>
        <v/>
      </c>
    </row>
    <row r="16" spans="1:12" ht="28.8" x14ac:dyDescent="0.3">
      <c r="A16" s="3" t="s">
        <v>28</v>
      </c>
      <c r="B16" s="4" t="s">
        <v>36</v>
      </c>
      <c r="C16" s="7" t="s">
        <v>20</v>
      </c>
      <c r="D16" s="8"/>
      <c r="E16" s="8"/>
      <c r="G16" s="8"/>
      <c r="H16" s="8"/>
      <c r="J16" s="8"/>
      <c r="K16" s="8"/>
      <c r="L16" s="3" t="str">
        <f t="shared" si="0"/>
        <v/>
      </c>
    </row>
    <row r="17" spans="1:12" ht="28.8" x14ac:dyDescent="0.3">
      <c r="A17" s="3" t="s">
        <v>29</v>
      </c>
      <c r="B17" s="4" t="s">
        <v>37</v>
      </c>
      <c r="C17" s="7" t="s">
        <v>20</v>
      </c>
      <c r="D17" s="8"/>
      <c r="E17" s="8"/>
      <c r="G17" s="8"/>
      <c r="H17" s="8"/>
      <c r="J17" s="8"/>
      <c r="K17" s="8"/>
      <c r="L17" s="3" t="str">
        <f t="shared" si="0"/>
        <v/>
      </c>
    </row>
    <row r="18" spans="1:12" ht="28.8" x14ac:dyDescent="0.3">
      <c r="A18" s="3" t="s">
        <v>30</v>
      </c>
      <c r="B18" s="4" t="s">
        <v>38</v>
      </c>
      <c r="C18" s="7" t="s">
        <v>13</v>
      </c>
      <c r="D18" s="8">
        <v>15</v>
      </c>
      <c r="E18" s="8"/>
      <c r="G18" s="8"/>
      <c r="H18" s="8"/>
      <c r="J18" s="8">
        <v>15</v>
      </c>
      <c r="K18" s="8"/>
      <c r="L18" s="3" t="str">
        <f t="shared" si="0"/>
        <v>YES</v>
      </c>
    </row>
    <row r="19" spans="1:12" x14ac:dyDescent="0.3">
      <c r="A19" s="3" t="s">
        <v>31</v>
      </c>
      <c r="B19" s="4" t="s">
        <v>39</v>
      </c>
      <c r="C19" s="7" t="s">
        <v>13</v>
      </c>
      <c r="D19" s="8">
        <f>15-15</f>
        <v>0</v>
      </c>
      <c r="E19" s="8"/>
      <c r="G19" s="8"/>
      <c r="H19" s="8"/>
      <c r="J19" s="8"/>
      <c r="K19" s="8"/>
      <c r="L19" s="3" t="str">
        <f t="shared" si="0"/>
        <v>YES</v>
      </c>
    </row>
    <row r="20" spans="1:12" ht="28.8" x14ac:dyDescent="0.3">
      <c r="A20" s="3" t="s">
        <v>41</v>
      </c>
      <c r="B20" s="4" t="s">
        <v>40</v>
      </c>
      <c r="C20" s="7" t="s">
        <v>13</v>
      </c>
      <c r="D20" s="10">
        <v>-2</v>
      </c>
      <c r="E20" s="10"/>
      <c r="G20" s="10"/>
      <c r="H20" s="10"/>
      <c r="J20" s="10">
        <v>-2</v>
      </c>
      <c r="K20" s="10"/>
      <c r="L20" s="3" t="str">
        <f t="shared" si="0"/>
        <v>YES</v>
      </c>
    </row>
    <row r="21" spans="1:12" ht="15" thickBot="1" x14ac:dyDescent="0.35">
      <c r="B21" t="s">
        <v>11</v>
      </c>
      <c r="D21" s="9">
        <f>SUM(D4:D20)</f>
        <v>178</v>
      </c>
      <c r="E21" s="9"/>
      <c r="G21" s="9">
        <f>SUM(G4:G20)</f>
        <v>61</v>
      </c>
      <c r="H21" s="9"/>
      <c r="J21" s="9">
        <f>SUM(J4:J20)</f>
        <v>117</v>
      </c>
      <c r="K21" s="9"/>
      <c r="L21" s="5" t="str">
        <f>IF(D21-G21-J21=0,"YES","NO")</f>
        <v>YES</v>
      </c>
    </row>
    <row r="22" spans="1:12" ht="15" thickTop="1" x14ac:dyDescent="0.3"/>
  </sheetData>
  <mergeCells count="59">
    <mergeCell ref="D5:E5"/>
    <mergeCell ref="G5:H5"/>
    <mergeCell ref="J5:K5"/>
    <mergeCell ref="J12:K12"/>
    <mergeCell ref="J14:K14"/>
    <mergeCell ref="D12:E12"/>
    <mergeCell ref="D14:E14"/>
    <mergeCell ref="D10:E10"/>
    <mergeCell ref="G10:H10"/>
    <mergeCell ref="J10:K10"/>
    <mergeCell ref="D11:E11"/>
    <mergeCell ref="G11:H11"/>
    <mergeCell ref="J11:K11"/>
    <mergeCell ref="D8:E8"/>
    <mergeCell ref="G8:H8"/>
    <mergeCell ref="J8:K8"/>
    <mergeCell ref="J15:K15"/>
    <mergeCell ref="J16:K16"/>
    <mergeCell ref="J17:K17"/>
    <mergeCell ref="G12:H12"/>
    <mergeCell ref="G14:H14"/>
    <mergeCell ref="G15:H15"/>
    <mergeCell ref="G16:H16"/>
    <mergeCell ref="G17:H17"/>
    <mergeCell ref="G13:H13"/>
    <mergeCell ref="J13:K13"/>
    <mergeCell ref="D15:E15"/>
    <mergeCell ref="D16:E16"/>
    <mergeCell ref="D17:E17"/>
    <mergeCell ref="D18:E18"/>
    <mergeCell ref="D13:E13"/>
    <mergeCell ref="D19:E19"/>
    <mergeCell ref="G19:H19"/>
    <mergeCell ref="J19:K19"/>
    <mergeCell ref="J18:K18"/>
    <mergeCell ref="G18:H18"/>
    <mergeCell ref="D9:E9"/>
    <mergeCell ref="G9:H9"/>
    <mergeCell ref="J9:K9"/>
    <mergeCell ref="D6:E6"/>
    <mergeCell ref="G6:H6"/>
    <mergeCell ref="J6:K6"/>
    <mergeCell ref="D7:E7"/>
    <mergeCell ref="G7:H7"/>
    <mergeCell ref="J7:K7"/>
    <mergeCell ref="D4:E4"/>
    <mergeCell ref="G4:H4"/>
    <mergeCell ref="J4:K4"/>
    <mergeCell ref="A1:L1"/>
    <mergeCell ref="A2:L2"/>
    <mergeCell ref="D3:E3"/>
    <mergeCell ref="G3:H3"/>
    <mergeCell ref="J3:K3"/>
    <mergeCell ref="D20:E20"/>
    <mergeCell ref="G20:H20"/>
    <mergeCell ref="J20:K20"/>
    <mergeCell ref="D21:E21"/>
    <mergeCell ref="G21:H21"/>
    <mergeCell ref="J21:K21"/>
  </mergeCells>
  <conditionalFormatting sqref="L4:L21">
    <cfRule type="cellIs" dxfId="2" priority="3" operator="equal">
      <formula>"NO"</formula>
    </cfRule>
    <cfRule type="cellIs" dxfId="1" priority="4" operator="equal">
      <formula>"YES"</formula>
    </cfRule>
    <cfRule type="expression" dxfId="0" priority="1">
      <formula>AND($C4&lt;&gt;"",$C4="NO")</formula>
    </cfRule>
  </conditionalFormatting>
  <dataValidations disablePrompts="1" count="1">
    <dataValidation type="list" allowBlank="1" showInputMessage="1" showErrorMessage="1" sqref="C4:C20" xr:uid="{235F8619-673B-43AB-A082-469F87466074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Identity NFP</vt:lpstr>
      <vt:lpstr>Grading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Antle</dc:creator>
  <cp:lastModifiedBy>Antle, Rick</cp:lastModifiedBy>
  <dcterms:created xsi:type="dcterms:W3CDTF">2020-02-07T01:46:37Z</dcterms:created>
  <dcterms:modified xsi:type="dcterms:W3CDTF">2021-10-01T16:08:17Z</dcterms:modified>
</cp:coreProperties>
</file>