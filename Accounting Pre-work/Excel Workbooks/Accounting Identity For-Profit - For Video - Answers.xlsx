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305" documentId="114_{7280450F-4D69-4814-8D8B-C157375948BC}" xr6:coauthVersionLast="45" xr6:coauthVersionMax="45" xr10:uidLastSave="{94DCBD41-1C44-4E1C-9075-6FA365C0D0A2}"/>
  <bookViews>
    <workbookView xWindow="11715" yWindow="420" windowWidth="29745" windowHeight="21840" xr2:uid="{1E23A63B-3FB0-FA44-9559-22C7EE651829}"/>
  </bookViews>
  <sheets>
    <sheet name="Accounting Identity FP" sheetId="2" r:id="rId1"/>
    <sheet name="Grad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4" i="2" l="1"/>
  <c r="G54" i="2"/>
  <c r="D54" i="2"/>
  <c r="L42" i="2"/>
  <c r="L43" i="2"/>
  <c r="L44" i="2"/>
  <c r="L45" i="2"/>
  <c r="L46" i="2"/>
  <c r="L47" i="2"/>
  <c r="L48" i="2"/>
  <c r="L49" i="2"/>
  <c r="L50" i="2"/>
  <c r="L51" i="2"/>
  <c r="L52" i="2"/>
  <c r="L53" i="2"/>
  <c r="L41" i="2"/>
  <c r="L54" i="2"/>
  <c r="D37" i="2"/>
  <c r="G37" i="2"/>
  <c r="J37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D18" i="2"/>
  <c r="D12" i="2"/>
  <c r="D10" i="2"/>
  <c r="D6" i="2"/>
  <c r="L8" i="2"/>
  <c r="L9" i="2"/>
  <c r="D18" i="3"/>
  <c r="L18" i="3"/>
  <c r="D12" i="3"/>
  <c r="L12" i="3"/>
  <c r="D10" i="3"/>
  <c r="L8" i="3"/>
  <c r="L4" i="3"/>
  <c r="L9" i="3"/>
  <c r="L10" i="3"/>
  <c r="L11" i="3"/>
  <c r="L13" i="3"/>
  <c r="L14" i="3"/>
  <c r="L15" i="3"/>
  <c r="L16" i="3"/>
  <c r="L17" i="3"/>
  <c r="D6" i="3"/>
  <c r="D20" i="3"/>
  <c r="G20" i="3"/>
  <c r="J20" i="3"/>
  <c r="L19" i="3"/>
  <c r="L7" i="3"/>
  <c r="L6" i="3"/>
  <c r="L5" i="3"/>
  <c r="J20" i="2"/>
  <c r="G20" i="2"/>
  <c r="D20" i="2"/>
  <c r="L13" i="2"/>
  <c r="L14" i="2"/>
  <c r="L15" i="2"/>
  <c r="L16" i="2"/>
  <c r="L17" i="2"/>
  <c r="L18" i="2"/>
  <c r="L19" i="2"/>
  <c r="L12" i="2"/>
  <c r="L11" i="2"/>
  <c r="L10" i="2"/>
  <c r="L7" i="2"/>
  <c r="L6" i="2"/>
  <c r="L5" i="2"/>
  <c r="L4" i="2"/>
  <c r="L20" i="2"/>
  <c r="L20" i="3"/>
</calcChain>
</file>

<file path=xl/sharedStrings.xml><?xml version="1.0" encoding="utf-8"?>
<sst xmlns="http://schemas.openxmlformats.org/spreadsheetml/2006/main" count="224" uniqueCount="49">
  <si>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</si>
  <si>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</si>
  <si>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</si>
  <si>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</si>
  <si>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</si>
  <si>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</si>
  <si>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</si>
  <si>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</si>
  <si>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</si>
  <si>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YES</t>
  </si>
  <si>
    <t>a</t>
  </si>
  <si>
    <t>b</t>
  </si>
  <si>
    <t>c</t>
  </si>
  <si>
    <t>d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</si>
  <si>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</si>
  <si>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</si>
  <si>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</si>
  <si>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</si>
  <si>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</si>
  <si>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</si>
  <si>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</si>
  <si>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</si>
  <si>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</si>
  <si>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j</t>
  </si>
  <si>
    <t>k</t>
  </si>
  <si>
    <t>l</t>
  </si>
  <si>
    <t>m</t>
  </si>
  <si>
    <t>Paid the $2k dividend</t>
  </si>
  <si>
    <t>Total</t>
  </si>
  <si>
    <t>NO</t>
  </si>
  <si>
    <t>Issued common stock for $50k cash</t>
  </si>
  <si>
    <t>Borrowed $50k from a bank</t>
  </si>
  <si>
    <t>Purchased equipment paying $15k in cash</t>
  </si>
  <si>
    <t>Purchased $18k of inventory on credit</t>
  </si>
  <si>
    <t>Sold for cash of $8k some of inventory</t>
  </si>
  <si>
    <t>Determined that the inventory sold in d had cost you $6k</t>
  </si>
  <si>
    <t>n</t>
  </si>
  <si>
    <t>o</t>
  </si>
  <si>
    <t>p</t>
  </si>
  <si>
    <t>SOM Corp. - For-Profit Example</t>
  </si>
  <si>
    <t>Sold inventory that cost $6k for promises to pay $8k in 30 days.</t>
  </si>
  <si>
    <t>Was informed that your bid in j made it to the final round of consideration.</t>
  </si>
  <si>
    <t>Was informed that your bid in j was accepted.</t>
  </si>
  <si>
    <t>Performed the work in j and billed the buyer.</t>
  </si>
  <si>
    <t>Collected the $15k for the work in j.</t>
  </si>
  <si>
    <t>Increase</t>
  </si>
  <si>
    <t>Decrease</t>
  </si>
  <si>
    <t>Total Lefts</t>
  </si>
  <si>
    <t>Total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</si>
</sst>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6" borderId="0" xfId="0" applyFill="1"/>
    <xf numFmtId="0" fontId="0" fillId="0" borderId="0" xfId="0" quotePrefix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5" xfId="0" applyFill="1" applyBorder="1"/>
    <xf numFmtId="0" fontId="0" fillId="8" borderId="0" xfId="0" applyFill="1" applyBorder="1"/>
    <xf numFmtId="0" fontId="0" fillId="8" borderId="3" xfId="0" applyFill="1" applyBorder="1"/>
    <xf numFmtId="0" fontId="0" fillId="0" borderId="0" xfId="0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4" fillId="9" borderId="1" xfId="0" applyFont="1" applyFill="1" applyBorder="1" applyAlignment="1">
      <alignment horizontal="center"/>
    </xf>
    <xf numFmtId="0" fontId="0" fillId="9" borderId="0" xfId="0" applyFill="1"/>
    <xf numFmtId="0" fontId="4" fillId="7" borderId="1" xfId="0" applyFont="1" applyFill="1" applyBorder="1" applyAlignment="1">
      <alignment horizontal="center"/>
    </xf>
    <xf numFmtId="0" fontId="0" fillId="7" borderId="0" xfId="0" applyFill="1"/>
    <xf numFmtId="0" fontId="4" fillId="10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4" fontId="0" fillId="3" borderId="3" xfId="1" applyNumberFormat="1" applyFont="1" applyFill="1" applyBorder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N55"/>
  <sheetViews>
    <sheetView tabSelected="1" topLeftCell="A11" zoomScale="160" zoomScaleNormal="160" workbookViewId="0">
      <selection activeCell="E24" sqref="E24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75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5.75" thickBot="1" x14ac:dyDescent="0.3">
      <c r="C3" s="6" t="s">
        <v>2</v>
      </c>
      <c r="D3" s="26" t="s">
        <v>3</v>
      </c>
      <c r="E3" s="26"/>
      <c r="F3" s="1" t="s">
        <v>4</v>
      </c>
      <c r="G3" s="26" t="s">
        <v>5</v>
      </c>
      <c r="H3" s="26"/>
      <c r="I3" s="1" t="s">
        <v>6</v>
      </c>
      <c r="J3" s="26" t="s">
        <v>7</v>
      </c>
      <c r="K3" s="26"/>
      <c r="L3" s="2" t="s">
        <v>8</v>
      </c>
    </row>
    <row r="4" spans="1:12" x14ac:dyDescent="0.25">
      <c r="A4" s="3" t="s">
        <v>10</v>
      </c>
      <c r="B4" s="4" t="s">
        <v>30</v>
      </c>
      <c r="C4" s="7" t="s">
        <v>9</v>
      </c>
      <c r="D4" s="30">
        <v>50</v>
      </c>
      <c r="E4" s="30"/>
      <c r="G4" s="30"/>
      <c r="H4" s="30"/>
      <c r="J4" s="30">
        <v>50</v>
      </c>
      <c r="K4" s="30"/>
      <c r="L4" s="6" t="str">
        <f t="shared" ref="L4:L19" si="0">IF(AND(ISBLANK(D4),ISBLANK(G4),ISBLANK(J4)),"",IF(D4-G4-J4=0,"YES","NO"))</f>
        <v>YES</v>
      </c>
    </row>
    <row r="5" spans="1:12" ht="14.25" customHeight="1" x14ac:dyDescent="0.25">
      <c r="A5" s="3" t="s">
        <v>11</v>
      </c>
      <c r="B5" s="4" t="s">
        <v>31</v>
      </c>
      <c r="C5" s="7" t="s">
        <v>9</v>
      </c>
      <c r="D5" s="28">
        <v>50</v>
      </c>
      <c r="E5" s="28"/>
      <c r="G5" s="28">
        <v>50</v>
      </c>
      <c r="H5" s="28"/>
      <c r="J5" s="28"/>
      <c r="K5" s="28"/>
      <c r="L5" s="6" t="str">
        <f t="shared" si="0"/>
        <v>YES</v>
      </c>
    </row>
    <row r="6" spans="1:12" ht="15" customHeight="1" x14ac:dyDescent="0.25">
      <c r="A6" s="3" t="s">
        <v>12</v>
      </c>
      <c r="B6" s="4" t="s">
        <v>32</v>
      </c>
      <c r="C6" s="7" t="s">
        <v>9</v>
      </c>
      <c r="D6" s="28">
        <f>-15+15</f>
        <v>0</v>
      </c>
      <c r="E6" s="28"/>
      <c r="G6" s="28"/>
      <c r="H6" s="28"/>
      <c r="J6" s="28"/>
      <c r="K6" s="28"/>
      <c r="L6" s="6" t="str">
        <f t="shared" si="0"/>
        <v>YES</v>
      </c>
    </row>
    <row r="7" spans="1:12" x14ac:dyDescent="0.25">
      <c r="A7" s="3" t="s">
        <v>13</v>
      </c>
      <c r="B7" s="4" t="s">
        <v>33</v>
      </c>
      <c r="C7" s="7" t="s">
        <v>9</v>
      </c>
      <c r="D7" s="28">
        <v>18</v>
      </c>
      <c r="E7" s="28"/>
      <c r="G7" s="28">
        <v>18</v>
      </c>
      <c r="H7" s="28"/>
      <c r="J7" s="28"/>
      <c r="K7" s="28"/>
      <c r="L7" s="6" t="str">
        <f t="shared" si="0"/>
        <v>YES</v>
      </c>
    </row>
    <row r="8" spans="1:12" x14ac:dyDescent="0.25">
      <c r="A8" s="3" t="s">
        <v>14</v>
      </c>
      <c r="B8" s="4" t="s">
        <v>34</v>
      </c>
      <c r="C8" s="7" t="s">
        <v>9</v>
      </c>
      <c r="D8" s="28">
        <v>8</v>
      </c>
      <c r="E8" s="28"/>
      <c r="G8" s="28"/>
      <c r="H8" s="28"/>
      <c r="J8" s="28">
        <v>8</v>
      </c>
      <c r="K8" s="28"/>
      <c r="L8" s="6" t="str">
        <f t="shared" si="0"/>
        <v>YES</v>
      </c>
    </row>
    <row r="9" spans="1:12" ht="30" x14ac:dyDescent="0.25">
      <c r="A9" s="3" t="s">
        <v>16</v>
      </c>
      <c r="B9" s="4" t="s">
        <v>35</v>
      </c>
      <c r="C9" s="7" t="s">
        <v>9</v>
      </c>
      <c r="D9" s="28">
        <v>-6</v>
      </c>
      <c r="E9" s="28"/>
      <c r="G9" s="28"/>
      <c r="H9" s="28"/>
      <c r="J9" s="28">
        <v>-6</v>
      </c>
      <c r="K9" s="28"/>
      <c r="L9" s="6" t="str">
        <f t="shared" si="0"/>
        <v>YES</v>
      </c>
    </row>
    <row r="10" spans="1:12" ht="30" x14ac:dyDescent="0.25">
      <c r="A10" s="3" t="s">
        <v>18</v>
      </c>
      <c r="B10" s="4" t="s">
        <v>40</v>
      </c>
      <c r="C10" s="7" t="s">
        <v>9</v>
      </c>
      <c r="D10" s="28">
        <f>8-6</f>
        <v>2</v>
      </c>
      <c r="E10" s="28"/>
      <c r="G10" s="28"/>
      <c r="H10" s="28"/>
      <c r="J10" s="28">
        <v>2</v>
      </c>
      <c r="K10" s="28"/>
      <c r="L10" s="6" t="str">
        <f t="shared" si="0"/>
        <v>YES</v>
      </c>
    </row>
    <row r="11" spans="1:12" x14ac:dyDescent="0.25">
      <c r="A11" s="3" t="s">
        <v>20</v>
      </c>
      <c r="B11" s="4" t="s">
        <v>15</v>
      </c>
      <c r="C11" s="7" t="s">
        <v>9</v>
      </c>
      <c r="D11" s="28">
        <v>-7</v>
      </c>
      <c r="E11" s="28"/>
      <c r="G11" s="28">
        <v>-7</v>
      </c>
      <c r="H11" s="28"/>
      <c r="J11" s="28"/>
      <c r="K11" s="28"/>
      <c r="L11" s="6" t="str">
        <f t="shared" si="0"/>
        <v>YES</v>
      </c>
    </row>
    <row r="12" spans="1:12" x14ac:dyDescent="0.25">
      <c r="A12" s="3" t="s">
        <v>22</v>
      </c>
      <c r="B12" s="4" t="s">
        <v>17</v>
      </c>
      <c r="C12" s="7" t="s">
        <v>9</v>
      </c>
      <c r="D12" s="28">
        <f>6-6</f>
        <v>0</v>
      </c>
      <c r="E12" s="28"/>
      <c r="G12" s="28"/>
      <c r="H12" s="28"/>
      <c r="J12" s="28"/>
      <c r="K12" s="28"/>
      <c r="L12" s="6" t="str">
        <f t="shared" si="0"/>
        <v>YES</v>
      </c>
    </row>
    <row r="13" spans="1:12" x14ac:dyDescent="0.25">
      <c r="A13" s="3" t="s">
        <v>23</v>
      </c>
      <c r="B13" s="4" t="s">
        <v>19</v>
      </c>
      <c r="C13" s="7" t="s">
        <v>29</v>
      </c>
      <c r="D13" s="28"/>
      <c r="E13" s="28"/>
      <c r="G13" s="28"/>
      <c r="H13" s="28"/>
      <c r="J13" s="28"/>
      <c r="K13" s="28"/>
      <c r="L13" s="6" t="str">
        <f t="shared" si="0"/>
        <v/>
      </c>
    </row>
    <row r="14" spans="1:12" x14ac:dyDescent="0.25">
      <c r="A14" s="3" t="s">
        <v>24</v>
      </c>
      <c r="B14" s="4" t="s">
        <v>21</v>
      </c>
      <c r="C14" s="7" t="s">
        <v>9</v>
      </c>
      <c r="D14" s="28"/>
      <c r="E14" s="28"/>
      <c r="G14" s="28">
        <v>2</v>
      </c>
      <c r="H14" s="28"/>
      <c r="J14" s="28">
        <v>-2</v>
      </c>
      <c r="K14" s="28"/>
      <c r="L14" s="6" t="str">
        <f t="shared" si="0"/>
        <v>YES</v>
      </c>
    </row>
    <row r="15" spans="1:12" ht="30" x14ac:dyDescent="0.25">
      <c r="A15" s="3" t="s">
        <v>25</v>
      </c>
      <c r="B15" s="4" t="s">
        <v>41</v>
      </c>
      <c r="C15" s="7" t="s">
        <v>29</v>
      </c>
      <c r="D15" s="28"/>
      <c r="E15" s="28"/>
      <c r="G15" s="28"/>
      <c r="H15" s="28"/>
      <c r="J15" s="28"/>
      <c r="K15" s="28"/>
      <c r="L15" s="6" t="str">
        <f t="shared" si="0"/>
        <v/>
      </c>
    </row>
    <row r="16" spans="1:12" ht="30" x14ac:dyDescent="0.25">
      <c r="A16" s="3" t="s">
        <v>26</v>
      </c>
      <c r="B16" s="4" t="s">
        <v>42</v>
      </c>
      <c r="C16" s="7" t="s">
        <v>29</v>
      </c>
      <c r="D16" s="28"/>
      <c r="E16" s="28"/>
      <c r="G16" s="28"/>
      <c r="H16" s="28"/>
      <c r="J16" s="28"/>
      <c r="K16" s="28"/>
      <c r="L16" s="6" t="str">
        <f t="shared" si="0"/>
        <v/>
      </c>
    </row>
    <row r="17" spans="1:12" ht="30" x14ac:dyDescent="0.25">
      <c r="A17" s="3" t="s">
        <v>36</v>
      </c>
      <c r="B17" s="4" t="s">
        <v>43</v>
      </c>
      <c r="C17" s="7" t="s">
        <v>9</v>
      </c>
      <c r="D17" s="28">
        <v>15</v>
      </c>
      <c r="E17" s="28"/>
      <c r="G17" s="28"/>
      <c r="H17" s="28"/>
      <c r="J17" s="28">
        <v>15</v>
      </c>
      <c r="K17" s="28"/>
      <c r="L17" s="6" t="str">
        <f t="shared" si="0"/>
        <v>YES</v>
      </c>
    </row>
    <row r="18" spans="1:12" x14ac:dyDescent="0.25">
      <c r="A18" s="3" t="s">
        <v>37</v>
      </c>
      <c r="B18" s="4" t="s">
        <v>44</v>
      </c>
      <c r="C18" s="7" t="s">
        <v>9</v>
      </c>
      <c r="D18" s="28">
        <f>15-15</f>
        <v>0</v>
      </c>
      <c r="E18" s="28"/>
      <c r="G18" s="28"/>
      <c r="H18" s="28"/>
      <c r="J18" s="28"/>
      <c r="K18" s="28"/>
      <c r="L18" s="6" t="str">
        <f t="shared" si="0"/>
        <v>YES</v>
      </c>
    </row>
    <row r="19" spans="1:12" x14ac:dyDescent="0.25">
      <c r="A19" s="3" t="s">
        <v>38</v>
      </c>
      <c r="B19" s="4" t="s">
        <v>27</v>
      </c>
      <c r="C19" s="7" t="s">
        <v>9</v>
      </c>
      <c r="D19" s="29">
        <v>-2</v>
      </c>
      <c r="E19" s="29"/>
      <c r="G19" s="29">
        <v>-2</v>
      </c>
      <c r="H19" s="29"/>
      <c r="J19" s="29"/>
      <c r="K19" s="29"/>
      <c r="L19" s="6" t="str">
        <f t="shared" si="0"/>
        <v>YES</v>
      </c>
    </row>
    <row r="20" spans="1:12" ht="15.75" thickBot="1" x14ac:dyDescent="0.3">
      <c r="B20" t="s">
        <v>28</v>
      </c>
      <c r="D20" s="27">
        <f>SUM(D4:D19)</f>
        <v>128</v>
      </c>
      <c r="E20" s="27"/>
      <c r="G20" s="27">
        <f>SUM(G4:G19)</f>
        <v>61</v>
      </c>
      <c r="H20" s="27"/>
      <c r="J20" s="27">
        <f>SUM(J4:J19)</f>
        <v>67</v>
      </c>
      <c r="K20" s="27"/>
      <c r="L20" s="8" t="str">
        <f>IF(D20-G20-J20=0,"YES","NO")</f>
        <v>YES</v>
      </c>
    </row>
    <row r="21" spans="1:12" ht="15.75" thickTop="1" x14ac:dyDescent="0.25"/>
    <row r="22" spans="1:12" ht="15.75" thickBot="1" x14ac:dyDescent="0.3">
      <c r="C22" s="6" t="s">
        <v>2</v>
      </c>
      <c r="D22" s="26" t="s">
        <v>3</v>
      </c>
      <c r="E22" s="26"/>
      <c r="F22" s="1" t="s">
        <v>4</v>
      </c>
      <c r="G22" s="26" t="s">
        <v>5</v>
      </c>
      <c r="H22" s="26"/>
      <c r="I22" s="1" t="s">
        <v>6</v>
      </c>
      <c r="J22" s="26" t="s">
        <v>7</v>
      </c>
      <c r="K22" s="26"/>
      <c r="L22" s="2" t="s">
        <v>8</v>
      </c>
    </row>
    <row r="23" spans="1:12" ht="15.75" thickBot="1" x14ac:dyDescent="0.3">
      <c r="C23" s="6"/>
      <c r="D23" s="25" t="s">
        <v>45</v>
      </c>
      <c r="E23" s="25" t="s">
        <v>46</v>
      </c>
      <c r="F23" s="10"/>
      <c r="G23" s="25" t="s">
        <v>45</v>
      </c>
      <c r="H23" s="25" t="s">
        <v>46</v>
      </c>
      <c r="I23" s="10"/>
      <c r="J23" s="25" t="s">
        <v>45</v>
      </c>
      <c r="K23" s="25" t="s">
        <v>46</v>
      </c>
      <c r="L23" s="2"/>
    </row>
    <row r="24" spans="1:12" x14ac:dyDescent="0.25">
      <c r="A24" s="3" t="s">
        <v>10</v>
      </c>
      <c r="B24" s="4" t="s">
        <v>30</v>
      </c>
      <c r="C24" s="7" t="s">
        <v>9</v>
      </c>
      <c r="D24" s="18"/>
      <c r="E24" s="14"/>
      <c r="G24" s="18"/>
      <c r="H24" s="14"/>
      <c r="J24" s="18"/>
      <c r="K24" s="14"/>
      <c r="L24" s="6" t="str">
        <f t="shared" ref="L24:L36" si="1">IF(AND(ISBLANK(D24),ISBLANK(G24),ISBLANK(J24)),"",IF(D24-G24-J24=0,"YES","NO"))</f>
        <v/>
      </c>
    </row>
    <row r="25" spans="1:12" x14ac:dyDescent="0.25">
      <c r="A25" s="3" t="s">
        <v>11</v>
      </c>
      <c r="B25" s="4" t="s">
        <v>31</v>
      </c>
      <c r="C25" s="7" t="s">
        <v>9</v>
      </c>
      <c r="D25" s="19"/>
      <c r="E25" s="15"/>
      <c r="G25" s="19"/>
      <c r="H25" s="15"/>
      <c r="J25" s="19"/>
      <c r="K25" s="15"/>
      <c r="L25" s="6" t="str">
        <f t="shared" si="1"/>
        <v/>
      </c>
    </row>
    <row r="26" spans="1:12" ht="15.75" customHeight="1" x14ac:dyDescent="0.25">
      <c r="A26" s="3" t="s">
        <v>12</v>
      </c>
      <c r="B26" s="4" t="s">
        <v>32</v>
      </c>
      <c r="C26" s="7" t="s">
        <v>9</v>
      </c>
      <c r="D26" s="19"/>
      <c r="E26" s="15"/>
      <c r="G26" s="19"/>
      <c r="H26" s="15"/>
      <c r="J26" s="19"/>
      <c r="K26" s="15"/>
      <c r="L26" s="6" t="str">
        <f t="shared" si="1"/>
        <v/>
      </c>
    </row>
    <row r="27" spans="1:12" x14ac:dyDescent="0.25">
      <c r="A27" s="3" t="s">
        <v>13</v>
      </c>
      <c r="B27" s="4" t="s">
        <v>33</v>
      </c>
      <c r="C27" s="7" t="s">
        <v>9</v>
      </c>
      <c r="D27" s="19"/>
      <c r="E27" s="15"/>
      <c r="G27" s="19"/>
      <c r="H27" s="15"/>
      <c r="J27" s="19"/>
      <c r="K27" s="15"/>
      <c r="L27" s="6" t="str">
        <f t="shared" si="1"/>
        <v/>
      </c>
    </row>
    <row r="28" spans="1:12" x14ac:dyDescent="0.25">
      <c r="A28" s="3" t="s">
        <v>14</v>
      </c>
      <c r="B28" s="4" t="s">
        <v>34</v>
      </c>
      <c r="C28" s="7" t="s">
        <v>9</v>
      </c>
      <c r="D28" s="19"/>
      <c r="E28" s="15"/>
      <c r="G28" s="19"/>
      <c r="H28" s="15"/>
      <c r="J28" s="19"/>
      <c r="K28" s="15"/>
      <c r="L28" s="6" t="str">
        <f t="shared" si="1"/>
        <v/>
      </c>
    </row>
    <row r="29" spans="1:12" ht="30" x14ac:dyDescent="0.25">
      <c r="A29" s="3" t="s">
        <v>16</v>
      </c>
      <c r="B29" s="4" t="s">
        <v>35</v>
      </c>
      <c r="C29" s="7" t="s">
        <v>9</v>
      </c>
      <c r="D29" s="19"/>
      <c r="E29" s="15"/>
      <c r="G29" s="19"/>
      <c r="H29" s="15"/>
      <c r="J29" s="19"/>
      <c r="K29" s="15"/>
      <c r="L29" s="6" t="str">
        <f t="shared" si="1"/>
        <v/>
      </c>
    </row>
    <row r="30" spans="1:12" ht="30" x14ac:dyDescent="0.25">
      <c r="A30" s="3" t="s">
        <v>18</v>
      </c>
      <c r="B30" s="4" t="s">
        <v>40</v>
      </c>
      <c r="C30" s="7" t="s">
        <v>9</v>
      </c>
      <c r="D30" s="19"/>
      <c r="E30" s="15"/>
      <c r="G30" s="19"/>
      <c r="H30" s="15"/>
      <c r="J30" s="19"/>
      <c r="K30" s="15"/>
      <c r="L30" s="6" t="str">
        <f t="shared" si="1"/>
        <v/>
      </c>
    </row>
    <row r="31" spans="1:12" x14ac:dyDescent="0.25">
      <c r="A31" s="3" t="s">
        <v>20</v>
      </c>
      <c r="B31" s="4" t="s">
        <v>15</v>
      </c>
      <c r="C31" s="7" t="s">
        <v>9</v>
      </c>
      <c r="D31" s="19"/>
      <c r="E31" s="15"/>
      <c r="G31" s="19"/>
      <c r="H31" s="15"/>
      <c r="J31" s="19"/>
      <c r="K31" s="15"/>
      <c r="L31" s="6" t="str">
        <f t="shared" si="1"/>
        <v/>
      </c>
    </row>
    <row r="32" spans="1:12" x14ac:dyDescent="0.25">
      <c r="A32" s="3" t="s">
        <v>22</v>
      </c>
      <c r="B32" s="4" t="s">
        <v>17</v>
      </c>
      <c r="C32" s="7" t="s">
        <v>9</v>
      </c>
      <c r="D32" s="19"/>
      <c r="E32" s="15"/>
      <c r="G32" s="19"/>
      <c r="H32" s="15"/>
      <c r="J32" s="19"/>
      <c r="K32" s="15"/>
      <c r="L32" s="6" t="str">
        <f t="shared" si="1"/>
        <v/>
      </c>
    </row>
    <row r="33" spans="1:14" x14ac:dyDescent="0.25">
      <c r="A33" s="3" t="s">
        <v>24</v>
      </c>
      <c r="B33" s="4" t="s">
        <v>21</v>
      </c>
      <c r="C33" s="7" t="s">
        <v>9</v>
      </c>
      <c r="D33" s="19"/>
      <c r="E33" s="15"/>
      <c r="G33" s="19"/>
      <c r="H33" s="15"/>
      <c r="J33" s="19"/>
      <c r="K33" s="15"/>
      <c r="L33" s="6" t="str">
        <f t="shared" si="1"/>
        <v/>
      </c>
    </row>
    <row r="34" spans="1:14" ht="30" x14ac:dyDescent="0.25">
      <c r="A34" s="3" t="s">
        <v>36</v>
      </c>
      <c r="B34" s="4" t="s">
        <v>43</v>
      </c>
      <c r="C34" s="7" t="s">
        <v>9</v>
      </c>
      <c r="D34" s="19"/>
      <c r="E34" s="15"/>
      <c r="G34" s="19"/>
      <c r="H34" s="15"/>
      <c r="J34" s="19"/>
      <c r="K34" s="15"/>
      <c r="L34" s="6" t="str">
        <f t="shared" si="1"/>
        <v/>
      </c>
    </row>
    <row r="35" spans="1:14" x14ac:dyDescent="0.25">
      <c r="A35" s="3" t="s">
        <v>37</v>
      </c>
      <c r="B35" s="4" t="s">
        <v>44</v>
      </c>
      <c r="C35" s="7" t="s">
        <v>9</v>
      </c>
      <c r="D35" s="19"/>
      <c r="E35" s="15"/>
      <c r="G35" s="19"/>
      <c r="H35" s="15"/>
      <c r="J35" s="19"/>
      <c r="K35" s="15"/>
      <c r="L35" s="6" t="str">
        <f t="shared" si="1"/>
        <v/>
      </c>
    </row>
    <row r="36" spans="1:14" x14ac:dyDescent="0.25">
      <c r="A36" s="3" t="s">
        <v>38</v>
      </c>
      <c r="B36" s="4" t="s">
        <v>27</v>
      </c>
      <c r="C36" s="7" t="s">
        <v>9</v>
      </c>
      <c r="D36" s="20"/>
      <c r="E36" s="16"/>
      <c r="G36" s="20"/>
      <c r="H36" s="16"/>
      <c r="J36" s="20"/>
      <c r="K36" s="16"/>
      <c r="L36" s="6" t="str">
        <f t="shared" si="1"/>
        <v/>
      </c>
    </row>
    <row r="37" spans="1:14" ht="15.75" thickBot="1" x14ac:dyDescent="0.3">
      <c r="B37" t="s">
        <v>28</v>
      </c>
      <c r="D37" s="27">
        <f>SUM(D24:D36)</f>
        <v>0</v>
      </c>
      <c r="E37" s="27"/>
      <c r="G37" s="27">
        <f>SUM(G24:G36)</f>
        <v>0</v>
      </c>
      <c r="H37" s="27"/>
      <c r="J37" s="27">
        <f>SUM(J24:J36)</f>
        <v>0</v>
      </c>
      <c r="K37" s="27"/>
      <c r="L37" s="8" t="str">
        <f>IF(D37-G37-J37=0,"YES","NO")</f>
        <v>YES</v>
      </c>
    </row>
    <row r="38" spans="1:14" ht="15.75" thickTop="1" x14ac:dyDescent="0.25"/>
    <row r="39" spans="1:14" ht="15.75" thickBot="1" x14ac:dyDescent="0.3">
      <c r="C39" s="6" t="s">
        <v>2</v>
      </c>
      <c r="D39" s="26" t="s">
        <v>3</v>
      </c>
      <c r="E39" s="26"/>
      <c r="F39" s="1" t="s">
        <v>4</v>
      </c>
      <c r="G39" s="26" t="s">
        <v>5</v>
      </c>
      <c r="H39" s="26"/>
      <c r="I39" s="1" t="s">
        <v>6</v>
      </c>
      <c r="J39" s="26" t="s">
        <v>7</v>
      </c>
      <c r="K39" s="26"/>
      <c r="L39" s="2" t="s">
        <v>8</v>
      </c>
    </row>
    <row r="40" spans="1:14" ht="15.75" thickBot="1" x14ac:dyDescent="0.3">
      <c r="C40" s="6"/>
      <c r="D40" s="25" t="s">
        <v>45</v>
      </c>
      <c r="E40" s="25" t="s">
        <v>46</v>
      </c>
      <c r="F40" s="10"/>
      <c r="G40" s="25" t="s">
        <v>46</v>
      </c>
      <c r="H40" s="25" t="s">
        <v>45</v>
      </c>
      <c r="I40" s="10"/>
      <c r="J40" s="25" t="s">
        <v>46</v>
      </c>
      <c r="K40" s="25" t="s">
        <v>45</v>
      </c>
      <c r="L40" s="2"/>
      <c r="M40" s="21" t="s">
        <v>47</v>
      </c>
      <c r="N40" s="23" t="s">
        <v>48</v>
      </c>
    </row>
    <row r="41" spans="1:14" x14ac:dyDescent="0.25">
      <c r="A41" s="3" t="s">
        <v>10</v>
      </c>
      <c r="B41" s="4" t="s">
        <v>30</v>
      </c>
      <c r="C41" s="7" t="s">
        <v>9</v>
      </c>
      <c r="D41" s="18"/>
      <c r="E41" s="14"/>
      <c r="G41" s="11"/>
      <c r="H41" s="9"/>
      <c r="I41" s="17"/>
      <c r="J41" s="11"/>
      <c r="K41" s="9"/>
      <c r="L41" s="6" t="str">
        <f>IF(AND(ISBLANK(D41),ISBLANK(E41),ISBLANK(G41),ISBLANK(H41),ISBLANK(J41),ISBLANK(K41)),"",IF(D41-E41-G41+H41-J41+K41=0,"YES","NO"))</f>
        <v/>
      </c>
      <c r="M41" s="22"/>
      <c r="N41" s="24"/>
    </row>
    <row r="42" spans="1:14" x14ac:dyDescent="0.25">
      <c r="A42" s="3" t="s">
        <v>11</v>
      </c>
      <c r="B42" s="4" t="s">
        <v>31</v>
      </c>
      <c r="C42" s="7" t="s">
        <v>9</v>
      </c>
      <c r="D42" s="19"/>
      <c r="E42" s="15"/>
      <c r="G42" s="12"/>
      <c r="H42" s="9"/>
      <c r="I42" s="17"/>
      <c r="J42" s="12"/>
      <c r="K42" s="9"/>
      <c r="L42" s="6" t="str">
        <f t="shared" ref="L42:L53" si="2">IF(AND(ISBLANK(D42),ISBLANK(E42),ISBLANK(G42),ISBLANK(H42),ISBLANK(J42),ISBLANK(K42)),"",IF(D42-E42-G42+H42-J42+K42=0,"YES","NO"))</f>
        <v/>
      </c>
      <c r="M42" s="22"/>
      <c r="N42" s="24"/>
    </row>
    <row r="43" spans="1:14" ht="30" x14ac:dyDescent="0.25">
      <c r="A43" s="3" t="s">
        <v>12</v>
      </c>
      <c r="B43" s="4" t="s">
        <v>32</v>
      </c>
      <c r="C43" s="7" t="s">
        <v>9</v>
      </c>
      <c r="D43" s="19"/>
      <c r="E43" s="15"/>
      <c r="G43" s="12"/>
      <c r="H43" s="9"/>
      <c r="I43" s="17"/>
      <c r="J43" s="12"/>
      <c r="K43" s="9"/>
      <c r="L43" s="6" t="str">
        <f t="shared" si="2"/>
        <v/>
      </c>
      <c r="M43" s="22"/>
      <c r="N43" s="24"/>
    </row>
    <row r="44" spans="1:14" x14ac:dyDescent="0.25">
      <c r="A44" s="3" t="s">
        <v>13</v>
      </c>
      <c r="B44" s="4" t="s">
        <v>33</v>
      </c>
      <c r="C44" s="7" t="s">
        <v>9</v>
      </c>
      <c r="D44" s="19"/>
      <c r="E44" s="15"/>
      <c r="G44" s="12"/>
      <c r="H44" s="9"/>
      <c r="I44" s="17"/>
      <c r="J44" s="12"/>
      <c r="K44" s="9"/>
      <c r="L44" s="6" t="str">
        <f t="shared" si="2"/>
        <v/>
      </c>
      <c r="M44" s="22"/>
      <c r="N44" s="24"/>
    </row>
    <row r="45" spans="1:14" x14ac:dyDescent="0.25">
      <c r="A45" s="3" t="s">
        <v>14</v>
      </c>
      <c r="B45" s="4" t="s">
        <v>34</v>
      </c>
      <c r="C45" s="7" t="s">
        <v>9</v>
      </c>
      <c r="D45" s="19"/>
      <c r="E45" s="15"/>
      <c r="G45" s="12"/>
      <c r="H45" s="9"/>
      <c r="I45" s="17"/>
      <c r="J45" s="12"/>
      <c r="K45" s="9"/>
      <c r="L45" s="6" t="str">
        <f t="shared" si="2"/>
        <v/>
      </c>
      <c r="M45" s="22"/>
      <c r="N45" s="24"/>
    </row>
    <row r="46" spans="1:14" ht="30" x14ac:dyDescent="0.25">
      <c r="A46" s="3" t="s">
        <v>16</v>
      </c>
      <c r="B46" s="4" t="s">
        <v>35</v>
      </c>
      <c r="C46" s="7" t="s">
        <v>9</v>
      </c>
      <c r="D46" s="19"/>
      <c r="E46" s="15"/>
      <c r="G46" s="12"/>
      <c r="H46" s="9"/>
      <c r="I46" s="17"/>
      <c r="J46" s="12"/>
      <c r="K46" s="9"/>
      <c r="L46" s="6" t="str">
        <f t="shared" si="2"/>
        <v/>
      </c>
      <c r="M46" s="22"/>
      <c r="N46" s="24"/>
    </row>
    <row r="47" spans="1:14" ht="30" x14ac:dyDescent="0.25">
      <c r="A47" s="3" t="s">
        <v>18</v>
      </c>
      <c r="B47" s="4" t="s">
        <v>40</v>
      </c>
      <c r="C47" s="7" t="s">
        <v>9</v>
      </c>
      <c r="D47" s="19"/>
      <c r="E47" s="15"/>
      <c r="G47" s="12"/>
      <c r="H47" s="9"/>
      <c r="I47" s="17"/>
      <c r="J47" s="12"/>
      <c r="K47" s="9"/>
      <c r="L47" s="6" t="str">
        <f t="shared" si="2"/>
        <v/>
      </c>
      <c r="M47" s="22"/>
      <c r="N47" s="24"/>
    </row>
    <row r="48" spans="1:14" x14ac:dyDescent="0.25">
      <c r="A48" s="3" t="s">
        <v>20</v>
      </c>
      <c r="B48" s="4" t="s">
        <v>15</v>
      </c>
      <c r="C48" s="7" t="s">
        <v>9</v>
      </c>
      <c r="D48" s="19"/>
      <c r="E48" s="15"/>
      <c r="G48" s="12"/>
      <c r="H48" s="9"/>
      <c r="I48" s="17"/>
      <c r="J48" s="12"/>
      <c r="K48" s="9"/>
      <c r="L48" s="6" t="str">
        <f t="shared" si="2"/>
        <v/>
      </c>
      <c r="M48" s="22"/>
      <c r="N48" s="24"/>
    </row>
    <row r="49" spans="1:14" x14ac:dyDescent="0.25">
      <c r="A49" s="3" t="s">
        <v>22</v>
      </c>
      <c r="B49" s="4" t="s">
        <v>17</v>
      </c>
      <c r="C49" s="7" t="s">
        <v>9</v>
      </c>
      <c r="D49" s="19"/>
      <c r="E49" s="15"/>
      <c r="G49" s="12"/>
      <c r="H49" s="9"/>
      <c r="I49" s="17"/>
      <c r="J49" s="12"/>
      <c r="K49" s="9"/>
      <c r="L49" s="6" t="str">
        <f t="shared" si="2"/>
        <v/>
      </c>
      <c r="M49" s="22"/>
      <c r="N49" s="24"/>
    </row>
    <row r="50" spans="1:14" x14ac:dyDescent="0.25">
      <c r="A50" s="3" t="s">
        <v>24</v>
      </c>
      <c r="B50" s="4" t="s">
        <v>21</v>
      </c>
      <c r="C50" s="7" t="s">
        <v>9</v>
      </c>
      <c r="D50" s="19"/>
      <c r="E50" s="15"/>
      <c r="G50" s="12"/>
      <c r="H50" s="9"/>
      <c r="I50" s="17"/>
      <c r="J50" s="12"/>
      <c r="K50" s="9"/>
      <c r="L50" s="6" t="str">
        <f t="shared" si="2"/>
        <v/>
      </c>
      <c r="M50" s="22"/>
      <c r="N50" s="24"/>
    </row>
    <row r="51" spans="1:14" ht="30" x14ac:dyDescent="0.25">
      <c r="A51" s="3" t="s">
        <v>36</v>
      </c>
      <c r="B51" s="4" t="s">
        <v>43</v>
      </c>
      <c r="C51" s="7" t="s">
        <v>9</v>
      </c>
      <c r="D51" s="19"/>
      <c r="E51" s="15"/>
      <c r="G51" s="12"/>
      <c r="H51" s="9"/>
      <c r="I51" s="17"/>
      <c r="J51" s="12"/>
      <c r="K51" s="9"/>
      <c r="L51" s="6" t="str">
        <f t="shared" si="2"/>
        <v/>
      </c>
      <c r="M51" s="22"/>
      <c r="N51" s="24"/>
    </row>
    <row r="52" spans="1:14" x14ac:dyDescent="0.25">
      <c r="A52" s="3" t="s">
        <v>37</v>
      </c>
      <c r="B52" s="4" t="s">
        <v>44</v>
      </c>
      <c r="C52" s="7" t="s">
        <v>9</v>
      </c>
      <c r="D52" s="19"/>
      <c r="E52" s="15"/>
      <c r="G52" s="12"/>
      <c r="H52" s="9"/>
      <c r="I52" s="17"/>
      <c r="J52" s="12"/>
      <c r="K52" s="9"/>
      <c r="L52" s="6" t="str">
        <f t="shared" si="2"/>
        <v/>
      </c>
      <c r="M52" s="22"/>
      <c r="N52" s="24"/>
    </row>
    <row r="53" spans="1:14" x14ac:dyDescent="0.25">
      <c r="A53" s="3" t="s">
        <v>38</v>
      </c>
      <c r="B53" s="4" t="s">
        <v>27</v>
      </c>
      <c r="C53" s="7" t="s">
        <v>9</v>
      </c>
      <c r="D53" s="20"/>
      <c r="E53" s="16"/>
      <c r="G53" s="13"/>
      <c r="H53" s="9"/>
      <c r="I53" s="17"/>
      <c r="J53" s="13"/>
      <c r="K53" s="9"/>
      <c r="L53" s="6" t="str">
        <f t="shared" si="2"/>
        <v/>
      </c>
      <c r="M53" s="22"/>
      <c r="N53" s="24"/>
    </row>
    <row r="54" spans="1:14" ht="15.75" thickBot="1" x14ac:dyDescent="0.3">
      <c r="B54" t="s">
        <v>28</v>
      </c>
      <c r="D54" s="27">
        <f>SUM(D41:D53)-SUM(E41:E53)</f>
        <v>0</v>
      </c>
      <c r="E54" s="27"/>
      <c r="G54" s="27">
        <f>SUM(H41:H53)-SUM(G41:G53)</f>
        <v>0</v>
      </c>
      <c r="H54" s="27"/>
      <c r="J54" s="27">
        <f>SUM(K41:K53)-SUM(J41:J53)</f>
        <v>0</v>
      </c>
      <c r="K54" s="27"/>
      <c r="L54" s="8" t="str">
        <f>IF(D54-G54-J54=0,"YES","NO")</f>
        <v>YES</v>
      </c>
    </row>
    <row r="55" spans="1:14" ht="15.75" thickTop="1" x14ac:dyDescent="0.25"/>
  </sheetData>
  <mergeCells count="68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10:E10"/>
    <mergeCell ref="G10:H10"/>
    <mergeCell ref="J10:K10"/>
    <mergeCell ref="D8:E8"/>
    <mergeCell ref="G8:H8"/>
    <mergeCell ref="J8:K8"/>
    <mergeCell ref="J9:K9"/>
    <mergeCell ref="G9:H9"/>
    <mergeCell ref="D9:E9"/>
    <mergeCell ref="D11:E11"/>
    <mergeCell ref="G11:H11"/>
    <mergeCell ref="J11:K11"/>
    <mergeCell ref="D12:E12"/>
    <mergeCell ref="G12:H12"/>
    <mergeCell ref="J12:K12"/>
    <mergeCell ref="D20:E20"/>
    <mergeCell ref="G20:H20"/>
    <mergeCell ref="J20:K20"/>
    <mergeCell ref="D19:E19"/>
    <mergeCell ref="G19:H19"/>
    <mergeCell ref="J19:K19"/>
    <mergeCell ref="D13:E13"/>
    <mergeCell ref="D15:E15"/>
    <mergeCell ref="D16:E16"/>
    <mergeCell ref="D17:E17"/>
    <mergeCell ref="D18:E18"/>
    <mergeCell ref="D14:E14"/>
    <mergeCell ref="G13:H13"/>
    <mergeCell ref="G15:H15"/>
    <mergeCell ref="G16:H16"/>
    <mergeCell ref="G17:H17"/>
    <mergeCell ref="G18:H18"/>
    <mergeCell ref="G14:H14"/>
    <mergeCell ref="J13:K13"/>
    <mergeCell ref="J15:K15"/>
    <mergeCell ref="J16:K16"/>
    <mergeCell ref="J17:K17"/>
    <mergeCell ref="J18:K18"/>
    <mergeCell ref="J14:K14"/>
    <mergeCell ref="D37:E37"/>
    <mergeCell ref="G37:H37"/>
    <mergeCell ref="J37:K37"/>
    <mergeCell ref="D22:E22"/>
    <mergeCell ref="G22:H22"/>
    <mergeCell ref="J22:K22"/>
    <mergeCell ref="D39:E39"/>
    <mergeCell ref="G39:H39"/>
    <mergeCell ref="J39:K39"/>
    <mergeCell ref="D54:E54"/>
    <mergeCell ref="G54:H54"/>
    <mergeCell ref="J54:K54"/>
  </mergeCells>
  <conditionalFormatting sqref="L4:L20 L41:L54 L24:L37">
    <cfRule type="cellIs" dxfId="8" priority="13" operator="equal">
      <formula>"NO"</formula>
    </cfRule>
    <cfRule type="cellIs" dxfId="7" priority="14" operator="equal">
      <formula>"YES"</formula>
    </cfRule>
  </conditionalFormatting>
  <conditionalFormatting sqref="L4:L19 L41:L53 L24:L36">
    <cfRule type="expression" dxfId="6" priority="8">
      <formula>AND($C4&lt;&gt;"",$C4="NO")</formula>
    </cfRule>
  </conditionalFormatting>
  <dataValidations count="1">
    <dataValidation type="list" allowBlank="1" showInputMessage="1" showErrorMessage="1" sqref="C4:C19 C41:C53 C24:C36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EC724093-4C05-4903-B595-52C0724678F5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1"/>
  <sheetViews>
    <sheetView zoomScale="160" zoomScaleNormal="160" workbookViewId="0">
      <selection activeCell="B18" sqref="B18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75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5.75" thickBot="1" x14ac:dyDescent="0.3">
      <c r="C3" s="6" t="s">
        <v>2</v>
      </c>
      <c r="D3" s="33" t="s">
        <v>3</v>
      </c>
      <c r="E3" s="33"/>
      <c r="F3" s="1" t="s">
        <v>4</v>
      </c>
      <c r="G3" s="33" t="s">
        <v>5</v>
      </c>
      <c r="H3" s="33"/>
      <c r="I3" s="1" t="s">
        <v>6</v>
      </c>
      <c r="J3" s="33" t="s">
        <v>7</v>
      </c>
      <c r="K3" s="33"/>
      <c r="L3" s="2" t="s">
        <v>8</v>
      </c>
    </row>
    <row r="4" spans="1:12" x14ac:dyDescent="0.25">
      <c r="A4" s="3" t="s">
        <v>10</v>
      </c>
      <c r="B4" s="4" t="s">
        <v>30</v>
      </c>
      <c r="C4" s="7" t="s">
        <v>9</v>
      </c>
      <c r="D4" s="30">
        <v>50</v>
      </c>
      <c r="E4" s="30"/>
      <c r="G4" s="30"/>
      <c r="H4" s="30"/>
      <c r="J4" s="30">
        <v>50</v>
      </c>
      <c r="K4" s="30"/>
      <c r="L4" s="3" t="str">
        <f t="shared" ref="L4" si="0">IF(AND(ISBLANK(D4),ISBLANK(G4),ISBLANK(J4)),"",IF(D4-G4-J4=0,"YES","NO"))</f>
        <v>YES</v>
      </c>
    </row>
    <row r="5" spans="1:12" ht="14.25" customHeight="1" x14ac:dyDescent="0.25">
      <c r="A5" s="3" t="s">
        <v>11</v>
      </c>
      <c r="B5" s="4" t="s">
        <v>31</v>
      </c>
      <c r="C5" s="7" t="s">
        <v>9</v>
      </c>
      <c r="D5" s="28">
        <v>50</v>
      </c>
      <c r="E5" s="28"/>
      <c r="G5" s="28">
        <v>50</v>
      </c>
      <c r="H5" s="28"/>
      <c r="J5" s="28"/>
      <c r="K5" s="28"/>
      <c r="L5" s="3" t="str">
        <f t="shared" ref="L5:L19" si="1">IF(AND(ISBLANK(D5),ISBLANK(G5),ISBLANK(J5)),"",IF(D5-G5-J5=0,"YES","NO"))</f>
        <v>YES</v>
      </c>
    </row>
    <row r="6" spans="1:12" ht="15" customHeight="1" x14ac:dyDescent="0.25">
      <c r="A6" s="3" t="s">
        <v>12</v>
      </c>
      <c r="B6" s="4" t="s">
        <v>32</v>
      </c>
      <c r="C6" s="7" t="s">
        <v>9</v>
      </c>
      <c r="D6" s="28">
        <f>15-15</f>
        <v>0</v>
      </c>
      <c r="E6" s="28"/>
      <c r="G6" s="28"/>
      <c r="H6" s="28"/>
      <c r="J6" s="28"/>
      <c r="K6" s="28"/>
      <c r="L6" s="3" t="str">
        <f t="shared" si="1"/>
        <v>YES</v>
      </c>
    </row>
    <row r="7" spans="1:12" x14ac:dyDescent="0.25">
      <c r="A7" s="3" t="s">
        <v>13</v>
      </c>
      <c r="B7" s="4" t="s">
        <v>33</v>
      </c>
      <c r="C7" s="7" t="s">
        <v>9</v>
      </c>
      <c r="D7" s="28">
        <v>18</v>
      </c>
      <c r="E7" s="28"/>
      <c r="G7" s="28">
        <v>18</v>
      </c>
      <c r="H7" s="28"/>
      <c r="J7" s="28"/>
      <c r="K7" s="28"/>
      <c r="L7" s="3" t="str">
        <f t="shared" si="1"/>
        <v>YES</v>
      </c>
    </row>
    <row r="8" spans="1:12" x14ac:dyDescent="0.25">
      <c r="A8" s="3" t="s">
        <v>14</v>
      </c>
      <c r="B8" s="4" t="s">
        <v>34</v>
      </c>
      <c r="C8" s="7" t="s">
        <v>9</v>
      </c>
      <c r="D8" s="28">
        <v>8</v>
      </c>
      <c r="E8" s="28"/>
      <c r="G8" s="28"/>
      <c r="H8" s="28"/>
      <c r="J8" s="28">
        <v>8</v>
      </c>
      <c r="K8" s="28"/>
      <c r="L8" s="3" t="str">
        <f t="shared" si="1"/>
        <v>YES</v>
      </c>
    </row>
    <row r="9" spans="1:12" ht="30" x14ac:dyDescent="0.25">
      <c r="A9" s="3" t="s">
        <v>16</v>
      </c>
      <c r="B9" s="4" t="s">
        <v>35</v>
      </c>
      <c r="C9" s="7" t="s">
        <v>9</v>
      </c>
      <c r="D9" s="28">
        <v>-6</v>
      </c>
      <c r="E9" s="28"/>
      <c r="G9" s="28"/>
      <c r="H9" s="28"/>
      <c r="J9" s="28">
        <v>-6</v>
      </c>
      <c r="K9" s="28"/>
      <c r="L9" s="3" t="str">
        <f t="shared" si="1"/>
        <v>YES</v>
      </c>
    </row>
    <row r="10" spans="1:12" ht="30" x14ac:dyDescent="0.25">
      <c r="A10" s="3" t="s">
        <v>18</v>
      </c>
      <c r="B10" s="4" t="s">
        <v>40</v>
      </c>
      <c r="C10" s="7" t="s">
        <v>9</v>
      </c>
      <c r="D10" s="28">
        <f>8-6</f>
        <v>2</v>
      </c>
      <c r="E10" s="28"/>
      <c r="G10" s="28"/>
      <c r="H10" s="28"/>
      <c r="J10" s="28">
        <v>2</v>
      </c>
      <c r="K10" s="28"/>
      <c r="L10" s="3" t="str">
        <f t="shared" si="1"/>
        <v>YES</v>
      </c>
    </row>
    <row r="11" spans="1:12" x14ac:dyDescent="0.25">
      <c r="A11" s="3" t="s">
        <v>20</v>
      </c>
      <c r="B11" s="4" t="s">
        <v>15</v>
      </c>
      <c r="C11" s="7" t="s">
        <v>9</v>
      </c>
      <c r="D11" s="28">
        <v>-7</v>
      </c>
      <c r="E11" s="28"/>
      <c r="G11" s="28">
        <v>-7</v>
      </c>
      <c r="H11" s="28"/>
      <c r="J11" s="28"/>
      <c r="K11" s="28"/>
      <c r="L11" s="3" t="str">
        <f t="shared" si="1"/>
        <v>YES</v>
      </c>
    </row>
    <row r="12" spans="1:12" x14ac:dyDescent="0.25">
      <c r="A12" s="3" t="s">
        <v>22</v>
      </c>
      <c r="B12" s="4" t="s">
        <v>17</v>
      </c>
      <c r="C12" s="7" t="s">
        <v>9</v>
      </c>
      <c r="D12" s="28">
        <f>6-6</f>
        <v>0</v>
      </c>
      <c r="E12" s="28"/>
      <c r="G12" s="28"/>
      <c r="H12" s="28"/>
      <c r="J12" s="28"/>
      <c r="K12" s="28"/>
      <c r="L12" s="3" t="str">
        <f t="shared" si="1"/>
        <v>YES</v>
      </c>
    </row>
    <row r="13" spans="1:12" x14ac:dyDescent="0.25">
      <c r="A13" s="3" t="s">
        <v>23</v>
      </c>
      <c r="B13" s="4" t="s">
        <v>19</v>
      </c>
      <c r="C13" s="7" t="s">
        <v>29</v>
      </c>
      <c r="D13" s="28"/>
      <c r="E13" s="28"/>
      <c r="G13" s="28"/>
      <c r="H13" s="28"/>
      <c r="J13" s="28"/>
      <c r="K13" s="28"/>
      <c r="L13" s="3" t="str">
        <f t="shared" si="1"/>
        <v/>
      </c>
    </row>
    <row r="14" spans="1:12" x14ac:dyDescent="0.25">
      <c r="A14" s="3" t="s">
        <v>24</v>
      </c>
      <c r="B14" s="4" t="s">
        <v>21</v>
      </c>
      <c r="C14" s="7" t="s">
        <v>9</v>
      </c>
      <c r="D14" s="28"/>
      <c r="E14" s="28"/>
      <c r="G14" s="28">
        <v>2</v>
      </c>
      <c r="H14" s="28"/>
      <c r="J14" s="28">
        <v>-2</v>
      </c>
      <c r="K14" s="28"/>
      <c r="L14" s="3" t="str">
        <f t="shared" si="1"/>
        <v>YES</v>
      </c>
    </row>
    <row r="15" spans="1:12" ht="30" x14ac:dyDescent="0.25">
      <c r="A15" s="3" t="s">
        <v>25</v>
      </c>
      <c r="B15" s="4" t="s">
        <v>41</v>
      </c>
      <c r="C15" s="7" t="s">
        <v>29</v>
      </c>
      <c r="D15" s="28"/>
      <c r="E15" s="28"/>
      <c r="G15" s="28"/>
      <c r="H15" s="28"/>
      <c r="J15" s="28"/>
      <c r="K15" s="28"/>
      <c r="L15" s="3" t="str">
        <f t="shared" si="1"/>
        <v/>
      </c>
    </row>
    <row r="16" spans="1:12" ht="30" x14ac:dyDescent="0.25">
      <c r="A16" s="3" t="s">
        <v>26</v>
      </c>
      <c r="B16" s="4" t="s">
        <v>42</v>
      </c>
      <c r="C16" s="7" t="s">
        <v>29</v>
      </c>
      <c r="D16" s="28"/>
      <c r="E16" s="28"/>
      <c r="G16" s="28"/>
      <c r="H16" s="28"/>
      <c r="J16" s="28"/>
      <c r="K16" s="28"/>
      <c r="L16" s="3" t="str">
        <f t="shared" si="1"/>
        <v/>
      </c>
    </row>
    <row r="17" spans="1:12" ht="30" x14ac:dyDescent="0.25">
      <c r="A17" s="3" t="s">
        <v>36</v>
      </c>
      <c r="B17" s="4" t="s">
        <v>43</v>
      </c>
      <c r="C17" s="7" t="s">
        <v>9</v>
      </c>
      <c r="D17" s="28">
        <v>15</v>
      </c>
      <c r="E17" s="28"/>
      <c r="G17" s="28"/>
      <c r="H17" s="28"/>
      <c r="J17" s="28">
        <v>15</v>
      </c>
      <c r="K17" s="28"/>
      <c r="L17" s="3" t="str">
        <f t="shared" si="1"/>
        <v>YES</v>
      </c>
    </row>
    <row r="18" spans="1:12" x14ac:dyDescent="0.25">
      <c r="A18" s="3" t="s">
        <v>37</v>
      </c>
      <c r="B18" s="4" t="s">
        <v>44</v>
      </c>
      <c r="C18" s="7" t="s">
        <v>9</v>
      </c>
      <c r="D18" s="28">
        <f>15-15</f>
        <v>0</v>
      </c>
      <c r="E18" s="28"/>
      <c r="G18" s="28"/>
      <c r="H18" s="28"/>
      <c r="J18" s="28"/>
      <c r="K18" s="28"/>
      <c r="L18" s="3" t="str">
        <f t="shared" si="1"/>
        <v>YES</v>
      </c>
    </row>
    <row r="19" spans="1:12" x14ac:dyDescent="0.25">
      <c r="A19" s="3" t="s">
        <v>38</v>
      </c>
      <c r="B19" s="4" t="s">
        <v>27</v>
      </c>
      <c r="C19" s="7" t="s">
        <v>9</v>
      </c>
      <c r="D19" s="29">
        <v>-2</v>
      </c>
      <c r="E19" s="29"/>
      <c r="G19" s="29">
        <v>-2</v>
      </c>
      <c r="H19" s="29"/>
      <c r="J19" s="29"/>
      <c r="K19" s="29"/>
      <c r="L19" s="3" t="str">
        <f t="shared" si="1"/>
        <v>YES</v>
      </c>
    </row>
    <row r="20" spans="1:12" ht="15.75" thickBot="1" x14ac:dyDescent="0.3">
      <c r="B20" t="s">
        <v>28</v>
      </c>
      <c r="D20" s="34">
        <f>SUM(D4:D19)</f>
        <v>128</v>
      </c>
      <c r="E20" s="34"/>
      <c r="G20" s="34">
        <f>SUM(G4:G19)</f>
        <v>61</v>
      </c>
      <c r="H20" s="34"/>
      <c r="J20" s="34">
        <f>SUM(J4:J19)</f>
        <v>67</v>
      </c>
      <c r="K20" s="34"/>
      <c r="L20" s="5" t="str">
        <f>IF(D20-G20-J20=0,"YES","NO")</f>
        <v>YES</v>
      </c>
    </row>
    <row r="21" spans="1:12" ht="15.75" thickTop="1" x14ac:dyDescent="0.25"/>
  </sheetData>
  <mergeCells count="56">
    <mergeCell ref="D19:E19"/>
    <mergeCell ref="G19:H19"/>
    <mergeCell ref="J19:K19"/>
    <mergeCell ref="D20:E20"/>
    <mergeCell ref="G20:H20"/>
    <mergeCell ref="J20:K20"/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J17:K17"/>
    <mergeCell ref="G17:H17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20">
    <cfRule type="cellIs" dxfId="4" priority="7" operator="equal">
      <formula>"NO"</formula>
    </cfRule>
    <cfRule type="cellIs" dxfId="3" priority="8" operator="equal">
      <formula>"YES"</formula>
    </cfRule>
  </conditionalFormatting>
  <conditionalFormatting sqref="L4:L19">
    <cfRule type="cellIs" dxfId="2" priority="2" operator="equal">
      <formula>"NO"</formula>
    </cfRule>
    <cfRule type="cellIs" dxfId="1" priority="3" operator="equal">
      <formula>"YES"</formula>
    </cfRule>
  </conditionalFormatting>
  <conditionalFormatting sqref="L4:L19">
    <cfRule type="expression" dxfId="0" priority="1">
      <formula>AND($C4&lt;&gt;"",$C4="NO")</formula>
    </cfRule>
  </conditionalFormatting>
  <dataValidations count="1">
    <dataValidation type="list" allowBlank="1" showInputMessage="1" showErrorMessage="1" sqref="C4:C19" xr:uid="{4EFE9CA0-7D09-4DBA-ADC4-BCC8ABEA837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2020-05-29T15:28:34Z</dcterms:modified>
  <cp:category/>
  <cp:contentStatus/>
</cp:coreProperties>
</file>