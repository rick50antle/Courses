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Accounting Pre-work/Excel Workbooks/"/>
    </mc:Choice>
  </mc:AlternateContent>
  <xr:revisionPtr revIDLastSave="571" documentId="8_{40A7BCEC-3C82-E441-97D8-8D73C674C662}" xr6:coauthVersionLast="45" xr6:coauthVersionMax="45" xr10:uidLastSave="{AEDB658A-5D14-1B41-BA7E-FABFC81EC672}"/>
  <bookViews>
    <workbookView xWindow="0" yWindow="0" windowWidth="25600" windowHeight="14980" xr2:uid="{1E23A63B-3FB0-FA44-9559-22C7EE651829}"/>
  </bookViews>
  <sheets>
    <sheet name="Debits &amp; Credits NFP" sheetId="2" r:id="rId1"/>
    <sheet name="Debits &amp; Credits NFP Answers" sheetId="4" state="hidden" r:id="rId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4" i="2" l="1"/>
  <c r="G19" i="2"/>
  <c r="J19" i="4"/>
  <c r="G19" i="4"/>
  <c r="D19" i="4"/>
  <c r="L44" i="4"/>
  <c r="L26" i="4"/>
  <c r="L5" i="4"/>
  <c r="L26" i="2"/>
  <c r="L5" i="2"/>
  <c r="J19" i="2"/>
  <c r="D19" i="2"/>
  <c r="K54" i="4"/>
  <c r="J54" i="4"/>
  <c r="H54" i="4"/>
  <c r="G54" i="4"/>
  <c r="G55" i="4"/>
  <c r="E54" i="4"/>
  <c r="D54" i="4"/>
  <c r="D55" i="4"/>
  <c r="L53" i="4"/>
  <c r="L52" i="4"/>
  <c r="L51" i="4"/>
  <c r="L50" i="4"/>
  <c r="L49" i="4"/>
  <c r="L48" i="4"/>
  <c r="L47" i="4"/>
  <c r="L46" i="4"/>
  <c r="L45" i="4"/>
  <c r="L43" i="4"/>
  <c r="K54" i="2"/>
  <c r="J54" i="2"/>
  <c r="J55" i="2"/>
  <c r="H54" i="2"/>
  <c r="G54" i="2"/>
  <c r="E54" i="2"/>
  <c r="D54" i="2"/>
  <c r="L53" i="2"/>
  <c r="L52" i="2"/>
  <c r="L51" i="2"/>
  <c r="L50" i="2"/>
  <c r="L49" i="2"/>
  <c r="L48" i="2"/>
  <c r="L47" i="2"/>
  <c r="L46" i="2"/>
  <c r="L45" i="2"/>
  <c r="L43" i="2"/>
  <c r="K36" i="4"/>
  <c r="J36" i="4"/>
  <c r="H36" i="4"/>
  <c r="G36" i="4"/>
  <c r="E36" i="4"/>
  <c r="D36" i="4"/>
  <c r="D37" i="4"/>
  <c r="L35" i="4"/>
  <c r="L34" i="4"/>
  <c r="L33" i="4"/>
  <c r="L32" i="4"/>
  <c r="L31" i="4"/>
  <c r="L30" i="4"/>
  <c r="L29" i="4"/>
  <c r="L28" i="4"/>
  <c r="L27" i="4"/>
  <c r="L25" i="4"/>
  <c r="L18" i="4"/>
  <c r="D17" i="4"/>
  <c r="L17" i="4"/>
  <c r="L16" i="4"/>
  <c r="L15" i="4"/>
  <c r="L14" i="4"/>
  <c r="L13" i="4"/>
  <c r="L12" i="4"/>
  <c r="D11" i="4"/>
  <c r="L11" i="4"/>
  <c r="L10" i="4"/>
  <c r="D9" i="4"/>
  <c r="L9" i="4"/>
  <c r="L8" i="4"/>
  <c r="D7" i="4"/>
  <c r="L7" i="4"/>
  <c r="L6" i="4"/>
  <c r="L4" i="4"/>
  <c r="L34" i="2"/>
  <c r="L33" i="2"/>
  <c r="L35" i="2"/>
  <c r="L32" i="2"/>
  <c r="L31" i="2"/>
  <c r="L30" i="2"/>
  <c r="L29" i="2"/>
  <c r="L28" i="2"/>
  <c r="E36" i="2"/>
  <c r="D36" i="2"/>
  <c r="K36" i="2"/>
  <c r="J36" i="2"/>
  <c r="H36" i="2"/>
  <c r="G36" i="2"/>
  <c r="G55" i="2"/>
  <c r="D37" i="2"/>
  <c r="L19" i="4"/>
  <c r="G37" i="4"/>
  <c r="L54" i="2"/>
  <c r="J37" i="4"/>
  <c r="L37" i="4"/>
  <c r="J55" i="4"/>
  <c r="L55" i="4"/>
  <c r="L54" i="4"/>
  <c r="D55" i="2"/>
  <c r="L55" i="2"/>
  <c r="L36" i="4"/>
  <c r="L36" i="2"/>
  <c r="G37" i="2"/>
  <c r="J37" i="2"/>
  <c r="L27" i="2"/>
  <c r="L25" i="2"/>
  <c r="L37" i="2"/>
  <c r="D17" i="2"/>
  <c r="D11" i="2"/>
  <c r="D9" i="2"/>
  <c r="D7" i="2"/>
  <c r="L12" i="2"/>
  <c r="L13" i="2"/>
  <c r="L14" i="2"/>
  <c r="L15" i="2"/>
  <c r="L16" i="2"/>
  <c r="L17" i="2"/>
  <c r="L18" i="2"/>
  <c r="L11" i="2"/>
  <c r="L10" i="2"/>
  <c r="L9" i="2"/>
  <c r="L8" i="2"/>
  <c r="L7" i="2"/>
  <c r="L6" i="2"/>
  <c r="L4" i="2"/>
  <c r="L19" i="2"/>
</calcChain>
</file>

<file path=xl/sharedStrings.xml><?xml version="1.0" encoding="utf-8"?>
<sst xmlns="http://schemas.openxmlformats.org/spreadsheetml/2006/main" count="317" uniqueCount="61">
  <si>
    <t>Debits and Credits: For-Profit</t>
  </si>
  <si>
    <t>The following table reproduces the Accounting Identity For-Profit:</t>
  </si>
  <si>
    <t>Recognize?</t>
  </si>
  <si>
    <t>Assets</t>
  </si>
  <si>
    <t>=</t>
  </si>
  <si>
    <t>Liabilities</t>
  </si>
  <si>
    <t>+</t>
  </si>
  <si>
    <t>Identity Preserved?</t>
  </si>
  <si>
    <t>YES</t>
  </si>
  <si>
    <t>a</t>
  </si>
  <si>
    <t>Borrowed $5k from a bank</t>
  </si>
  <si>
    <t>b</t>
  </si>
  <si>
    <t>Purchased equipment paying $3k in cash</t>
  </si>
  <si>
    <t>c</t>
  </si>
  <si>
    <t>Purchased $8k of inventory on credit</t>
  </si>
  <si>
    <t>d</t>
  </si>
  <si>
    <t>Sold inventory that cost $4k for promises to pay $6k in 30 days.</t>
  </si>
  <si>
    <t>e</t>
  </si>
  <si>
    <t>Paid $7k cash to suppliers</t>
  </si>
  <si>
    <t>f</t>
  </si>
  <si>
    <t>Received $6k cash from customers</t>
  </si>
  <si>
    <t>g</t>
  </si>
  <si>
    <t>Put in a $15k bid to do work</t>
  </si>
  <si>
    <t>NO</t>
  </si>
  <si>
    <t>h</t>
  </si>
  <si>
    <t>i</t>
  </si>
  <si>
    <t>Was informed that your bid in g made it to the final round of consideration.</t>
  </si>
  <si>
    <t>j</t>
  </si>
  <si>
    <t>Was informed that your bid in g was accepted.</t>
  </si>
  <si>
    <t>k</t>
  </si>
  <si>
    <t>l</t>
  </si>
  <si>
    <t>Collected the $15k for the work in g.</t>
  </si>
  <si>
    <t>m</t>
  </si>
  <si>
    <t>Total</t>
  </si>
  <si>
    <t>(Items that are not recognized are omitted.)</t>
  </si>
  <si>
    <t>Increase</t>
  </si>
  <si>
    <t>Decrease</t>
  </si>
  <si>
    <t>Total increases and decreases</t>
  </si>
  <si>
    <t>Total by category</t>
  </si>
  <si>
    <t xml:space="preserve">Now label every left column DEBIT (abbreviated dr for some reason) and every right column CREDIT (cr). Notice that for each item, the sum of numbers in the left </t>
  </si>
  <si>
    <r>
      <t xml:space="preserve">column (debits) = the sum of numbers in the right column (credits). With these conventions, </t>
    </r>
    <r>
      <rPr>
        <b/>
        <i/>
        <sz val="12"/>
        <color theme="1"/>
        <rFont val="Calibri"/>
        <family val="2"/>
        <scheme val="minor"/>
      </rPr>
      <t>any entry that has debits = credits will maintain the accounting identity.</t>
    </r>
  </si>
  <si>
    <t>Dr</t>
  </si>
  <si>
    <t>Cr</t>
  </si>
  <si>
    <t>Drs=Crs?</t>
  </si>
  <si>
    <t>the types of accounts involved.</t>
  </si>
  <si>
    <t>(We omit all items that were not recognized.)</t>
  </si>
  <si>
    <t>Drs = Crs?</t>
  </si>
  <si>
    <t>Declared the intention to spend $2k.</t>
  </si>
  <si>
    <t>Performed the work in g and billed the buyer $15k</t>
  </si>
  <si>
    <t>Spent $2k fulfilling requirements of intial $20k donation</t>
  </si>
  <si>
    <t>Debits and Credits: Not-For-Profit</t>
  </si>
  <si>
    <t>Net Assets</t>
  </si>
  <si>
    <t xml:space="preserve">That's it! That's the "trick" that has been used in accounting for the last 500 years. Define the debits as increasing Assets and decreasing Liabilities and Net Assets. Define the credits as </t>
  </si>
  <si>
    <t>decreasing Assets and increasing Liabilities and Neet Assets. Write the debits on the left and the credits on the right. Any entry with debits = credits will preserve the accounting identity</t>
  </si>
  <si>
    <t>Separate the increases and decreases into separate columns. Write the increases in Assets in the left column and the decreases in the right. Switch it for Liabilities &amp; Net Assets.</t>
  </si>
  <si>
    <t>decreasing Assets and increasing Liabilities and Net Assets. Write the debits on the left and the credits on the right. Any entry with debits = credits will preserve the accounting identity</t>
  </si>
  <si>
    <t>Example 1</t>
  </si>
  <si>
    <t>Received a contribution of $20k cash. The donor placed restictions on its use.</t>
  </si>
  <si>
    <t>Example 2</t>
  </si>
  <si>
    <t>Received a contribution of $15k. There are no restrictions on its use.</t>
  </si>
  <si>
    <t>regardless of the types of accounts involved.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</si>
</sst>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_(&quot;$&quot;* #,##0_);_(&quot;$&quot;* \(#,##0\);_(&quot;$&quot;* &quot;-&quot;??_);_(@_)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B050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6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5" fillId="4" borderId="0" xfId="0" applyFont="1" applyFill="1" applyAlignment="1">
      <alignment horizontal="center" wrapText="1"/>
    </xf>
    <xf numFmtId="0" fontId="5" fillId="4" borderId="0" xfId="0" applyFont="1" applyFill="1" applyAlignment="1" applyProtection="1">
      <alignment horizontal="center" wrapText="1"/>
      <protection locked="0"/>
    </xf>
    <xf numFmtId="0" fontId="5" fillId="0" borderId="0" xfId="0" quotePrefix="1" applyFont="1" applyAlignment="1">
      <alignment horizontal="center" vertical="center"/>
    </xf>
    <xf numFmtId="164" fontId="0" fillId="5" borderId="4" xfId="1" applyNumberFormat="1" applyFont="1" applyFill="1" applyBorder="1"/>
    <xf numFmtId="164" fontId="0" fillId="6" borderId="0" xfId="1" applyNumberFormat="1" applyFont="1" applyFill="1"/>
    <xf numFmtId="164" fontId="0" fillId="6" borderId="4" xfId="1" applyNumberFormat="1" applyFont="1" applyFill="1" applyBorder="1"/>
    <xf numFmtId="164" fontId="0" fillId="5" borderId="0" xfId="1" applyNumberFormat="1" applyFont="1" applyFill="1"/>
    <xf numFmtId="164" fontId="0" fillId="5" borderId="5" xfId="1" applyNumberFormat="1" applyFont="1" applyFill="1" applyBorder="1"/>
    <xf numFmtId="164" fontId="0" fillId="6" borderId="5" xfId="1" applyNumberFormat="1" applyFont="1" applyFill="1" applyBorder="1"/>
    <xf numFmtId="166" fontId="0" fillId="0" borderId="6" xfId="2" applyNumberFormat="1" applyFont="1" applyBorder="1"/>
    <xf numFmtId="0" fontId="0" fillId="0" borderId="6" xfId="0" applyBorder="1"/>
    <xf numFmtId="0" fontId="5" fillId="0" borderId="1" xfId="0" applyFont="1" applyBorder="1" applyAlignment="1">
      <alignment horizontal="center" vertical="center"/>
    </xf>
    <xf numFmtId="164" fontId="0" fillId="7" borderId="4" xfId="1" applyNumberFormat="1" applyFont="1" applyFill="1" applyBorder="1"/>
    <xf numFmtId="164" fontId="0" fillId="7" borderId="5" xfId="1" applyNumberFormat="1" applyFont="1" applyFill="1" applyBorder="1"/>
    <xf numFmtId="164" fontId="0" fillId="8" borderId="0" xfId="1" applyNumberFormat="1" applyFont="1" applyFill="1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164" fontId="0" fillId="3" borderId="0" xfId="1" applyNumberFormat="1" applyFont="1" applyFill="1" applyAlignment="1" applyProtection="1">
      <alignment horizontal="center"/>
      <protection locked="0"/>
    </xf>
    <xf numFmtId="165" fontId="5" fillId="0" borderId="2" xfId="2" applyNumberFormat="1" applyFont="1" applyBorder="1" applyAlignment="1">
      <alignment horizontal="center" vertical="center"/>
    </xf>
    <xf numFmtId="164" fontId="0" fillId="3" borderId="3" xfId="1" applyNumberFormat="1" applyFont="1" applyFill="1" applyBorder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164" fontId="0" fillId="3" borderId="0" xfId="1" applyNumberFormat="1" applyFont="1" applyFill="1" applyAlignment="1" applyProtection="1">
      <alignment horizontal="center"/>
    </xf>
    <xf numFmtId="0" fontId="7" fillId="9" borderId="0" xfId="0" applyFont="1" applyFill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6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90FE-2635-B24E-9B10-2EC6B1CBCB1B}">
  <sheetPr codeName="Sheet1"/>
  <dimension ref="A1:L59"/>
  <sheetViews>
    <sheetView tabSelected="1" topLeftCell="A43" zoomScale="107" zoomScaleNormal="160" workbookViewId="0">
      <selection activeCell="A61" sqref="A61"/>
    </sheetView>
  </sheetViews>
  <sheetFormatPr baseColWidth="10" defaultColWidth="11.5" defaultRowHeight="15" x14ac:dyDescent="0.2"/>
  <cols>
    <col min="2" max="2" width="37.5" bestFit="1" customWidth="1"/>
    <col min="3" max="3" width="13.83203125" customWidth="1"/>
    <col min="11" max="11" width="8.5" bestFit="1" customWidth="1"/>
    <col min="12" max="12" width="18.1640625" customWidth="1"/>
  </cols>
  <sheetData>
    <row r="1" spans="1:12" ht="26" x14ac:dyDescent="0.3">
      <c r="A1" s="28" t="s">
        <v>50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16" x14ac:dyDescent="0.2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6" thickBot="1" x14ac:dyDescent="0.25">
      <c r="C3" s="6" t="s">
        <v>2</v>
      </c>
      <c r="D3" s="29" t="s">
        <v>3</v>
      </c>
      <c r="E3" s="29"/>
      <c r="F3" s="1" t="s">
        <v>4</v>
      </c>
      <c r="G3" s="29" t="s">
        <v>5</v>
      </c>
      <c r="H3" s="29"/>
      <c r="I3" s="1" t="s">
        <v>6</v>
      </c>
      <c r="J3" s="29" t="s">
        <v>51</v>
      </c>
      <c r="K3" s="29"/>
      <c r="L3" s="2" t="s">
        <v>7</v>
      </c>
    </row>
    <row r="4" spans="1:12" ht="32" x14ac:dyDescent="0.2">
      <c r="A4" s="3" t="s">
        <v>56</v>
      </c>
      <c r="B4" s="4" t="s">
        <v>57</v>
      </c>
      <c r="C4" s="7" t="s">
        <v>8</v>
      </c>
      <c r="D4" s="30">
        <v>20</v>
      </c>
      <c r="E4" s="30"/>
      <c r="G4" s="30"/>
      <c r="H4" s="30"/>
      <c r="J4" s="30">
        <v>20</v>
      </c>
      <c r="K4" s="30"/>
      <c r="L4" s="3" t="str">
        <f t="shared" ref="L4:L18" si="0">IF(AND(ISBLANK(D4),ISBLANK(G4),ISBLANK(J4)),"",IF(D4-G4-J4=0,"YES","NO"))</f>
        <v>YES</v>
      </c>
    </row>
    <row r="5" spans="1:12" ht="32" x14ac:dyDescent="0.2">
      <c r="A5" s="3" t="s">
        <v>58</v>
      </c>
      <c r="B5" s="4" t="s">
        <v>59</v>
      </c>
      <c r="C5" s="7" t="s">
        <v>8</v>
      </c>
      <c r="D5" s="30">
        <v>15</v>
      </c>
      <c r="E5" s="30"/>
      <c r="G5" s="30"/>
      <c r="H5" s="30"/>
      <c r="J5" s="30">
        <v>15</v>
      </c>
      <c r="K5" s="30"/>
      <c r="L5" s="3" t="str">
        <f t="shared" si="0"/>
        <v>YES</v>
      </c>
    </row>
    <row r="6" spans="1:12" ht="14.25" customHeight="1" x14ac:dyDescent="0.2">
      <c r="A6" s="3" t="s">
        <v>9</v>
      </c>
      <c r="B6" s="4" t="s">
        <v>10</v>
      </c>
      <c r="C6" s="8" t="s">
        <v>8</v>
      </c>
      <c r="D6" s="25">
        <v>5</v>
      </c>
      <c r="E6" s="25"/>
      <c r="G6" s="25">
        <v>5</v>
      </c>
      <c r="H6" s="25"/>
      <c r="J6" s="25"/>
      <c r="K6" s="25"/>
      <c r="L6" s="3" t="str">
        <f t="shared" si="0"/>
        <v>YES</v>
      </c>
    </row>
    <row r="7" spans="1:12" ht="15" customHeight="1" x14ac:dyDescent="0.2">
      <c r="A7" s="3" t="s">
        <v>11</v>
      </c>
      <c r="B7" s="4" t="s">
        <v>12</v>
      </c>
      <c r="C7" s="8" t="s">
        <v>8</v>
      </c>
      <c r="D7" s="25">
        <f>3-3</f>
        <v>0</v>
      </c>
      <c r="E7" s="25"/>
      <c r="G7" s="25"/>
      <c r="H7" s="25"/>
      <c r="J7" s="25"/>
      <c r="K7" s="25"/>
      <c r="L7" s="3" t="str">
        <f t="shared" si="0"/>
        <v>YES</v>
      </c>
    </row>
    <row r="8" spans="1:12" ht="16" x14ac:dyDescent="0.2">
      <c r="A8" s="3" t="s">
        <v>13</v>
      </c>
      <c r="B8" s="4" t="s">
        <v>14</v>
      </c>
      <c r="C8" s="8" t="s">
        <v>8</v>
      </c>
      <c r="D8" s="25">
        <v>8</v>
      </c>
      <c r="E8" s="25"/>
      <c r="G8" s="25">
        <v>8</v>
      </c>
      <c r="H8" s="25"/>
      <c r="J8" s="25"/>
      <c r="K8" s="25"/>
      <c r="L8" s="3" t="str">
        <f t="shared" si="0"/>
        <v>YES</v>
      </c>
    </row>
    <row r="9" spans="1:12" ht="32" x14ac:dyDescent="0.2">
      <c r="A9" s="3" t="s">
        <v>15</v>
      </c>
      <c r="B9" s="4" t="s">
        <v>16</v>
      </c>
      <c r="C9" s="8" t="s">
        <v>8</v>
      </c>
      <c r="D9" s="25">
        <f>6-4</f>
        <v>2</v>
      </c>
      <c r="E9" s="25"/>
      <c r="G9" s="25"/>
      <c r="H9" s="25"/>
      <c r="J9" s="25">
        <v>2</v>
      </c>
      <c r="K9" s="25"/>
      <c r="L9" s="3" t="str">
        <f t="shared" si="0"/>
        <v>YES</v>
      </c>
    </row>
    <row r="10" spans="1:12" ht="16" x14ac:dyDescent="0.2">
      <c r="A10" s="3" t="s">
        <v>17</v>
      </c>
      <c r="B10" s="4" t="s">
        <v>18</v>
      </c>
      <c r="C10" s="8" t="s">
        <v>8</v>
      </c>
      <c r="D10" s="25">
        <v>-7</v>
      </c>
      <c r="E10" s="25"/>
      <c r="G10" s="25">
        <v>-7</v>
      </c>
      <c r="H10" s="25"/>
      <c r="J10" s="25"/>
      <c r="K10" s="25"/>
      <c r="L10" s="3" t="str">
        <f t="shared" si="0"/>
        <v>YES</v>
      </c>
    </row>
    <row r="11" spans="1:12" ht="16" x14ac:dyDescent="0.2">
      <c r="A11" s="3" t="s">
        <v>19</v>
      </c>
      <c r="B11" s="4" t="s">
        <v>20</v>
      </c>
      <c r="C11" s="8" t="s">
        <v>8</v>
      </c>
      <c r="D11" s="25">
        <f>6-6</f>
        <v>0</v>
      </c>
      <c r="E11" s="25"/>
      <c r="G11" s="25"/>
      <c r="H11" s="25"/>
      <c r="J11" s="25"/>
      <c r="K11" s="25"/>
      <c r="L11" s="3" t="str">
        <f t="shared" si="0"/>
        <v>YES</v>
      </c>
    </row>
    <row r="12" spans="1:12" ht="16" x14ac:dyDescent="0.2">
      <c r="A12" s="3" t="s">
        <v>21</v>
      </c>
      <c r="B12" s="4" t="s">
        <v>22</v>
      </c>
      <c r="C12" s="8" t="s">
        <v>23</v>
      </c>
      <c r="D12" s="25"/>
      <c r="E12" s="25"/>
      <c r="G12" s="25"/>
      <c r="H12" s="25"/>
      <c r="J12" s="25"/>
      <c r="K12" s="25"/>
      <c r="L12" s="3" t="str">
        <f t="shared" si="0"/>
        <v/>
      </c>
    </row>
    <row r="13" spans="1:12" ht="16" x14ac:dyDescent="0.2">
      <c r="A13" s="3" t="s">
        <v>24</v>
      </c>
      <c r="B13" s="4" t="s">
        <v>47</v>
      </c>
      <c r="C13" s="8" t="s">
        <v>23</v>
      </c>
      <c r="D13" s="25"/>
      <c r="E13" s="25"/>
      <c r="G13" s="25"/>
      <c r="H13" s="25"/>
      <c r="J13" s="25"/>
      <c r="K13" s="25"/>
      <c r="L13" s="3" t="str">
        <f t="shared" si="0"/>
        <v/>
      </c>
    </row>
    <row r="14" spans="1:12" ht="32" x14ac:dyDescent="0.2">
      <c r="A14" s="3" t="s">
        <v>25</v>
      </c>
      <c r="B14" s="4" t="s">
        <v>26</v>
      </c>
      <c r="C14" s="8" t="s">
        <v>23</v>
      </c>
      <c r="D14" s="25"/>
      <c r="E14" s="25"/>
      <c r="G14" s="25"/>
      <c r="H14" s="25"/>
      <c r="J14" s="25"/>
      <c r="K14" s="25"/>
      <c r="L14" s="3" t="str">
        <f t="shared" si="0"/>
        <v/>
      </c>
    </row>
    <row r="15" spans="1:12" ht="16" x14ac:dyDescent="0.2">
      <c r="A15" s="3" t="s">
        <v>27</v>
      </c>
      <c r="B15" s="4" t="s">
        <v>28</v>
      </c>
      <c r="C15" s="8" t="s">
        <v>23</v>
      </c>
      <c r="D15" s="25"/>
      <c r="E15" s="25"/>
      <c r="G15" s="25"/>
      <c r="H15" s="25"/>
      <c r="J15" s="25"/>
      <c r="K15" s="25"/>
      <c r="L15" s="3" t="str">
        <f t="shared" si="0"/>
        <v/>
      </c>
    </row>
    <row r="16" spans="1:12" ht="32" x14ac:dyDescent="0.2">
      <c r="A16" s="3" t="s">
        <v>29</v>
      </c>
      <c r="B16" s="4" t="s">
        <v>48</v>
      </c>
      <c r="C16" s="8" t="s">
        <v>8</v>
      </c>
      <c r="D16" s="25">
        <v>15</v>
      </c>
      <c r="E16" s="25"/>
      <c r="G16" s="25"/>
      <c r="H16" s="25"/>
      <c r="J16" s="25">
        <v>15</v>
      </c>
      <c r="K16" s="25"/>
      <c r="L16" s="3" t="str">
        <f t="shared" si="0"/>
        <v>YES</v>
      </c>
    </row>
    <row r="17" spans="1:12" ht="16" x14ac:dyDescent="0.2">
      <c r="A17" s="3" t="s">
        <v>30</v>
      </c>
      <c r="B17" s="4" t="s">
        <v>31</v>
      </c>
      <c r="C17" s="8" t="s">
        <v>8</v>
      </c>
      <c r="D17" s="25">
        <f>15-15</f>
        <v>0</v>
      </c>
      <c r="E17" s="25"/>
      <c r="G17" s="25"/>
      <c r="H17" s="25"/>
      <c r="J17" s="25"/>
      <c r="K17" s="25"/>
      <c r="L17" s="3" t="str">
        <f t="shared" si="0"/>
        <v>YES</v>
      </c>
    </row>
    <row r="18" spans="1:12" ht="32" x14ac:dyDescent="0.2">
      <c r="A18" s="3" t="s">
        <v>32</v>
      </c>
      <c r="B18" s="4" t="s">
        <v>49</v>
      </c>
      <c r="C18" s="8" t="s">
        <v>8</v>
      </c>
      <c r="D18" s="27">
        <v>-2</v>
      </c>
      <c r="E18" s="27"/>
      <c r="G18" s="27">
        <v>-2</v>
      </c>
      <c r="H18" s="27"/>
      <c r="J18" s="27"/>
      <c r="K18" s="27"/>
      <c r="L18" s="3" t="str">
        <f t="shared" si="0"/>
        <v>YES</v>
      </c>
    </row>
    <row r="19" spans="1:12" ht="16" thickBot="1" x14ac:dyDescent="0.25">
      <c r="B19" t="s">
        <v>33</v>
      </c>
      <c r="D19" s="26">
        <f>SUM(D4:D18)</f>
        <v>56</v>
      </c>
      <c r="E19" s="26"/>
      <c r="G19" s="26">
        <f>SUM(G4:G18)</f>
        <v>4</v>
      </c>
      <c r="H19" s="26"/>
      <c r="I19" s="31" t="s">
        <v>8</v>
      </c>
      <c r="J19" s="26">
        <f>SUM(J4:J18)</f>
        <v>52</v>
      </c>
      <c r="K19" s="26"/>
      <c r="L19" s="5" t="str">
        <f>IF(D19-G19-J19=0,"YES","NO")</f>
        <v>YES</v>
      </c>
    </row>
    <row r="20" spans="1:12" ht="16" thickTop="1" x14ac:dyDescent="0.2"/>
    <row r="21" spans="1:12" ht="16" x14ac:dyDescent="0.2">
      <c r="A21" s="22" t="s">
        <v>54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2" ht="16" x14ac:dyDescent="0.2">
      <c r="A22" s="23" t="s">
        <v>34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1:12" ht="16" thickBot="1" x14ac:dyDescent="0.25">
      <c r="D23" s="29" t="s">
        <v>3</v>
      </c>
      <c r="E23" s="29"/>
      <c r="F23" s="9" t="s">
        <v>4</v>
      </c>
      <c r="G23" s="29" t="s">
        <v>5</v>
      </c>
      <c r="H23" s="29"/>
      <c r="I23" s="9" t="s">
        <v>6</v>
      </c>
      <c r="J23" s="29" t="s">
        <v>51</v>
      </c>
      <c r="K23" s="29"/>
    </row>
    <row r="24" spans="1:12" ht="16" thickBot="1" x14ac:dyDescent="0.25">
      <c r="C24" s="6" t="s">
        <v>2</v>
      </c>
      <c r="D24" s="18" t="s">
        <v>35</v>
      </c>
      <c r="E24" s="18" t="s">
        <v>36</v>
      </c>
      <c r="F24" s="1"/>
      <c r="G24" s="18" t="s">
        <v>36</v>
      </c>
      <c r="H24" s="18" t="s">
        <v>35</v>
      </c>
      <c r="I24" s="1"/>
      <c r="J24" s="18" t="s">
        <v>36</v>
      </c>
      <c r="K24" s="18" t="s">
        <v>35</v>
      </c>
      <c r="L24" s="2" t="s">
        <v>7</v>
      </c>
    </row>
    <row r="25" spans="1:12" ht="32" x14ac:dyDescent="0.2">
      <c r="A25" s="3" t="s">
        <v>56</v>
      </c>
      <c r="B25" s="4" t="s">
        <v>57</v>
      </c>
      <c r="C25" s="7" t="s">
        <v>8</v>
      </c>
      <c r="D25" s="10">
        <v>20</v>
      </c>
      <c r="E25" s="11"/>
      <c r="G25" s="12"/>
      <c r="H25" s="13"/>
      <c r="J25" s="12"/>
      <c r="K25" s="13">
        <v>20</v>
      </c>
      <c r="L25" s="3" t="str">
        <f t="shared" ref="L25:L36" si="1">IF(AND(ISBLANK(D25),ISBLANK(E25),ISBLANK(G25),ISBLANK(J25),ISBLANK(H25),ISBLANK(K25)),"",IF(D25-E25-H25+G25-K25+J25=0,"YES","NO"))</f>
        <v>YES</v>
      </c>
    </row>
    <row r="26" spans="1:12" ht="32" x14ac:dyDescent="0.2">
      <c r="A26" s="3" t="s">
        <v>58</v>
      </c>
      <c r="B26" s="4" t="s">
        <v>59</v>
      </c>
      <c r="C26" s="7" t="s">
        <v>8</v>
      </c>
      <c r="D26" s="14"/>
      <c r="E26" s="11"/>
      <c r="G26" s="15"/>
      <c r="H26" s="13"/>
      <c r="J26" s="15"/>
      <c r="K26" s="13"/>
      <c r="L26" s="3" t="str">
        <f t="shared" si="1"/>
        <v/>
      </c>
    </row>
    <row r="27" spans="1:12" ht="16" x14ac:dyDescent="0.2">
      <c r="A27" s="3" t="s">
        <v>9</v>
      </c>
      <c r="B27" s="4" t="s">
        <v>10</v>
      </c>
      <c r="C27" s="8" t="s">
        <v>8</v>
      </c>
      <c r="D27" s="14"/>
      <c r="E27" s="11"/>
      <c r="G27" s="15"/>
      <c r="H27" s="13"/>
      <c r="J27" s="15"/>
      <c r="K27" s="13"/>
      <c r="L27" s="3" t="str">
        <f t="shared" si="1"/>
        <v/>
      </c>
    </row>
    <row r="28" spans="1:12" ht="16" x14ac:dyDescent="0.2">
      <c r="A28" s="3" t="s">
        <v>11</v>
      </c>
      <c r="B28" s="4" t="s">
        <v>12</v>
      </c>
      <c r="C28" s="8" t="s">
        <v>8</v>
      </c>
      <c r="D28" s="14"/>
      <c r="E28" s="11"/>
      <c r="G28" s="15"/>
      <c r="H28" s="13"/>
      <c r="J28" s="15"/>
      <c r="K28" s="13"/>
      <c r="L28" s="3" t="str">
        <f t="shared" si="1"/>
        <v/>
      </c>
    </row>
    <row r="29" spans="1:12" ht="16" x14ac:dyDescent="0.2">
      <c r="A29" s="3" t="s">
        <v>13</v>
      </c>
      <c r="B29" s="4" t="s">
        <v>14</v>
      </c>
      <c r="C29" s="8" t="s">
        <v>8</v>
      </c>
      <c r="D29" s="14"/>
      <c r="E29" s="11"/>
      <c r="G29" s="15"/>
      <c r="H29" s="13"/>
      <c r="J29" s="15"/>
      <c r="K29" s="13"/>
      <c r="L29" s="3" t="str">
        <f t="shared" ref="L29:L31" si="2">IF(AND(ISBLANK(D29),ISBLANK(E29),ISBLANK(G29),ISBLANK(J29),ISBLANK(H29),ISBLANK(K29)),"",IF(D29-E29-H29+G29-K29+J29=0,"YES","NO"))</f>
        <v/>
      </c>
    </row>
    <row r="30" spans="1:12" ht="32" x14ac:dyDescent="0.2">
      <c r="A30" s="3" t="s">
        <v>15</v>
      </c>
      <c r="B30" s="4" t="s">
        <v>16</v>
      </c>
      <c r="C30" s="8" t="s">
        <v>8</v>
      </c>
      <c r="D30" s="14"/>
      <c r="E30" s="11"/>
      <c r="G30" s="15"/>
      <c r="H30" s="13"/>
      <c r="J30" s="15"/>
      <c r="K30" s="13"/>
      <c r="L30" s="3" t="str">
        <f t="shared" si="2"/>
        <v/>
      </c>
    </row>
    <row r="31" spans="1:12" ht="16" x14ac:dyDescent="0.2">
      <c r="A31" s="3" t="s">
        <v>17</v>
      </c>
      <c r="B31" s="4" t="s">
        <v>18</v>
      </c>
      <c r="C31" s="8" t="s">
        <v>8</v>
      </c>
      <c r="D31" s="14"/>
      <c r="E31" s="11"/>
      <c r="G31" s="15"/>
      <c r="H31" s="13"/>
      <c r="J31" s="15"/>
      <c r="K31" s="13"/>
      <c r="L31" s="3" t="str">
        <f t="shared" si="2"/>
        <v/>
      </c>
    </row>
    <row r="32" spans="1:12" ht="16" x14ac:dyDescent="0.2">
      <c r="A32" s="3" t="s">
        <v>19</v>
      </c>
      <c r="B32" s="4" t="s">
        <v>20</v>
      </c>
      <c r="C32" s="8" t="s">
        <v>8</v>
      </c>
      <c r="D32" s="14"/>
      <c r="E32" s="11"/>
      <c r="G32" s="15"/>
      <c r="H32" s="13"/>
      <c r="J32" s="15"/>
      <c r="K32" s="13"/>
      <c r="L32" s="3" t="str">
        <f t="shared" ref="L32" si="3">IF(AND(ISBLANK(D32),ISBLANK(E32),ISBLANK(G32),ISBLANK(J32),ISBLANK(H32),ISBLANK(K32)),"",IF(D32-E32-H32+G32-K32+J32=0,"YES","NO"))</f>
        <v/>
      </c>
    </row>
    <row r="33" spans="1:12" ht="32" x14ac:dyDescent="0.2">
      <c r="A33" s="3" t="s">
        <v>29</v>
      </c>
      <c r="B33" s="4" t="s">
        <v>48</v>
      </c>
      <c r="C33" s="8" t="s">
        <v>8</v>
      </c>
      <c r="D33" s="14"/>
      <c r="E33" s="11"/>
      <c r="G33" s="15"/>
      <c r="H33" s="13"/>
      <c r="J33" s="15"/>
      <c r="K33" s="13"/>
      <c r="L33" s="3" t="str">
        <f t="shared" si="1"/>
        <v/>
      </c>
    </row>
    <row r="34" spans="1:12" ht="16" x14ac:dyDescent="0.2">
      <c r="A34" s="3" t="s">
        <v>30</v>
      </c>
      <c r="B34" s="4" t="s">
        <v>31</v>
      </c>
      <c r="C34" s="8" t="s">
        <v>8</v>
      </c>
      <c r="D34" s="14"/>
      <c r="E34" s="11"/>
      <c r="G34" s="15"/>
      <c r="H34" s="13"/>
      <c r="J34" s="15"/>
      <c r="K34" s="13"/>
      <c r="L34" s="3" t="str">
        <f t="shared" ref="L34" si="4">IF(AND(ISBLANK(D34),ISBLANK(E34),ISBLANK(G34),ISBLANK(J34),ISBLANK(H34),ISBLANK(K34)),"",IF(D34-E34-H34+G34-K34+J34=0,"YES","NO"))</f>
        <v/>
      </c>
    </row>
    <row r="35" spans="1:12" ht="32" x14ac:dyDescent="0.2">
      <c r="A35" s="3" t="s">
        <v>32</v>
      </c>
      <c r="B35" s="4" t="s">
        <v>49</v>
      </c>
      <c r="C35" s="8" t="s">
        <v>8</v>
      </c>
      <c r="D35" s="14"/>
      <c r="E35" s="11"/>
      <c r="G35" s="15"/>
      <c r="H35" s="13"/>
      <c r="J35" s="15"/>
      <c r="K35" s="13"/>
      <c r="L35" s="3" t="str">
        <f t="shared" si="1"/>
        <v/>
      </c>
    </row>
    <row r="36" spans="1:12" x14ac:dyDescent="0.2">
      <c r="B36" t="s">
        <v>37</v>
      </c>
      <c r="D36" s="16">
        <f>SUM(D25:D35)</f>
        <v>20</v>
      </c>
      <c r="E36" s="16">
        <f>SUM(E25:E35)</f>
        <v>0</v>
      </c>
      <c r="F36" s="17"/>
      <c r="G36" s="16">
        <f>SUM(G25:G35)</f>
        <v>0</v>
      </c>
      <c r="H36" s="16">
        <f>SUM(H25:H35)</f>
        <v>0</v>
      </c>
      <c r="I36" s="17"/>
      <c r="J36" s="16">
        <f>SUM(J25:J35)</f>
        <v>0</v>
      </c>
      <c r="K36" s="16">
        <f>SUM(K25:K35)</f>
        <v>20</v>
      </c>
      <c r="L36" s="3" t="str">
        <f t="shared" si="1"/>
        <v>YES</v>
      </c>
    </row>
    <row r="37" spans="1:12" ht="17" thickBot="1" x14ac:dyDescent="0.25">
      <c r="B37" s="4" t="s">
        <v>38</v>
      </c>
      <c r="D37" s="26">
        <f>D36-E36</f>
        <v>20</v>
      </c>
      <c r="E37" s="26"/>
      <c r="G37" s="26">
        <f>-G36+H36</f>
        <v>0</v>
      </c>
      <c r="H37" s="26"/>
      <c r="J37" s="26">
        <f>K36-J36</f>
        <v>20</v>
      </c>
      <c r="K37" s="26"/>
      <c r="L37" s="5" t="str">
        <f>IF(D37-G37-J37=0,"YES","NO")</f>
        <v>YES</v>
      </c>
    </row>
    <row r="38" spans="1:12" ht="16" thickTop="1" x14ac:dyDescent="0.2"/>
    <row r="39" spans="1:12" ht="16" x14ac:dyDescent="0.2">
      <c r="A39" s="23" t="s">
        <v>39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</row>
    <row r="40" spans="1:12" ht="16" x14ac:dyDescent="0.2">
      <c r="A40" s="23" t="s">
        <v>40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</row>
    <row r="41" spans="1:12" ht="16" thickBot="1" x14ac:dyDescent="0.25">
      <c r="D41" s="29" t="s">
        <v>3</v>
      </c>
      <c r="E41" s="29"/>
      <c r="F41" s="9" t="s">
        <v>4</v>
      </c>
      <c r="G41" s="29" t="s">
        <v>5</v>
      </c>
      <c r="H41" s="29"/>
      <c r="I41" s="9" t="s">
        <v>6</v>
      </c>
      <c r="J41" s="29" t="s">
        <v>51</v>
      </c>
      <c r="K41" s="29"/>
    </row>
    <row r="42" spans="1:12" ht="16" thickBot="1" x14ac:dyDescent="0.25">
      <c r="C42" s="6" t="s">
        <v>2</v>
      </c>
      <c r="D42" s="18" t="s">
        <v>41</v>
      </c>
      <c r="E42" s="18" t="s">
        <v>42</v>
      </c>
      <c r="F42" s="1"/>
      <c r="G42" s="18" t="s">
        <v>41</v>
      </c>
      <c r="H42" s="18" t="s">
        <v>42</v>
      </c>
      <c r="I42" s="1"/>
      <c r="J42" s="18" t="s">
        <v>41</v>
      </c>
      <c r="K42" s="18" t="s">
        <v>42</v>
      </c>
      <c r="L42" s="2" t="s">
        <v>43</v>
      </c>
    </row>
    <row r="43" spans="1:12" ht="32" x14ac:dyDescent="0.2">
      <c r="A43" s="3" t="s">
        <v>56</v>
      </c>
      <c r="B43" s="4" t="s">
        <v>57</v>
      </c>
      <c r="C43" s="7" t="s">
        <v>8</v>
      </c>
      <c r="D43" s="19">
        <v>20</v>
      </c>
      <c r="E43" s="21"/>
      <c r="G43" s="19"/>
      <c r="H43" s="21"/>
      <c r="J43" s="19"/>
      <c r="K43" s="21">
        <v>20</v>
      </c>
      <c r="L43" s="3" t="str">
        <f t="shared" ref="L43:L54" si="5">IF(AND(ISBLANK(D43),ISBLANK(E43),ISBLANK(G43),ISBLANK(J43),ISBLANK(H43),ISBLANK(K43)),"",IF(D43-E43-H43+G43-K43+J43=0,"YES","NO"))</f>
        <v>YES</v>
      </c>
    </row>
    <row r="44" spans="1:12" ht="32" x14ac:dyDescent="0.2">
      <c r="A44" s="3" t="s">
        <v>58</v>
      </c>
      <c r="B44" s="4" t="s">
        <v>59</v>
      </c>
      <c r="C44" s="7" t="s">
        <v>8</v>
      </c>
      <c r="D44" s="20">
        <v>15</v>
      </c>
      <c r="E44" s="21"/>
      <c r="G44" s="20"/>
      <c r="H44" s="21"/>
      <c r="J44" s="20"/>
      <c r="K44" s="21">
        <v>15</v>
      </c>
      <c r="L44" s="3" t="str">
        <f t="shared" si="5"/>
        <v>YES</v>
      </c>
    </row>
    <row r="45" spans="1:12" ht="16" x14ac:dyDescent="0.2">
      <c r="A45" s="3" t="s">
        <v>9</v>
      </c>
      <c r="B45" s="4" t="s">
        <v>10</v>
      </c>
      <c r="C45" s="8" t="s">
        <v>8</v>
      </c>
      <c r="D45" s="20"/>
      <c r="E45" s="21"/>
      <c r="G45" s="20"/>
      <c r="H45" s="21"/>
      <c r="J45" s="20"/>
      <c r="K45" s="21"/>
      <c r="L45" s="3" t="str">
        <f t="shared" si="5"/>
        <v/>
      </c>
    </row>
    <row r="46" spans="1:12" ht="16" x14ac:dyDescent="0.2">
      <c r="A46" s="3" t="s">
        <v>11</v>
      </c>
      <c r="B46" s="4" t="s">
        <v>12</v>
      </c>
      <c r="C46" s="8" t="s">
        <v>8</v>
      </c>
      <c r="D46" s="20"/>
      <c r="E46" s="21"/>
      <c r="G46" s="20"/>
      <c r="H46" s="21"/>
      <c r="J46" s="20"/>
      <c r="K46" s="21"/>
      <c r="L46" s="3" t="str">
        <f t="shared" si="5"/>
        <v/>
      </c>
    </row>
    <row r="47" spans="1:12" ht="16" x14ac:dyDescent="0.2">
      <c r="A47" s="3" t="s">
        <v>13</v>
      </c>
      <c r="B47" s="4" t="s">
        <v>14</v>
      </c>
      <c r="C47" s="8" t="s">
        <v>8</v>
      </c>
      <c r="D47" s="20"/>
      <c r="E47" s="21"/>
      <c r="G47" s="20"/>
      <c r="H47" s="21"/>
      <c r="J47" s="20"/>
      <c r="K47" s="21"/>
      <c r="L47" s="3" t="str">
        <f t="shared" si="5"/>
        <v/>
      </c>
    </row>
    <row r="48" spans="1:12" ht="32" x14ac:dyDescent="0.2">
      <c r="A48" s="3" t="s">
        <v>15</v>
      </c>
      <c r="B48" s="4" t="s">
        <v>16</v>
      </c>
      <c r="C48" s="8" t="s">
        <v>8</v>
      </c>
      <c r="D48" s="20"/>
      <c r="E48" s="21"/>
      <c r="G48" s="20"/>
      <c r="H48" s="21"/>
      <c r="J48" s="20"/>
      <c r="K48" s="21"/>
      <c r="L48" s="3" t="str">
        <f t="shared" si="5"/>
        <v/>
      </c>
    </row>
    <row r="49" spans="1:12" ht="16" x14ac:dyDescent="0.2">
      <c r="A49" s="3" t="s">
        <v>17</v>
      </c>
      <c r="B49" s="4" t="s">
        <v>18</v>
      </c>
      <c r="C49" s="8" t="s">
        <v>8</v>
      </c>
      <c r="D49" s="20"/>
      <c r="E49" s="21"/>
      <c r="G49" s="20"/>
      <c r="H49" s="21"/>
      <c r="J49" s="20"/>
      <c r="K49" s="21"/>
      <c r="L49" s="3" t="str">
        <f t="shared" si="5"/>
        <v/>
      </c>
    </row>
    <row r="50" spans="1:12" ht="16" x14ac:dyDescent="0.2">
      <c r="A50" s="3" t="s">
        <v>19</v>
      </c>
      <c r="B50" s="4" t="s">
        <v>20</v>
      </c>
      <c r="C50" s="8" t="s">
        <v>8</v>
      </c>
      <c r="D50" s="20"/>
      <c r="E50" s="21"/>
      <c r="G50" s="20"/>
      <c r="H50" s="21"/>
      <c r="J50" s="20"/>
      <c r="K50" s="21"/>
      <c r="L50" s="3" t="str">
        <f t="shared" si="5"/>
        <v/>
      </c>
    </row>
    <row r="51" spans="1:12" ht="32" x14ac:dyDescent="0.2">
      <c r="A51" s="3" t="s">
        <v>29</v>
      </c>
      <c r="B51" s="4" t="s">
        <v>48</v>
      </c>
      <c r="C51" s="8" t="s">
        <v>8</v>
      </c>
      <c r="D51" s="20"/>
      <c r="E51" s="21"/>
      <c r="G51" s="20"/>
      <c r="H51" s="21"/>
      <c r="J51" s="20"/>
      <c r="K51" s="21"/>
      <c r="L51" s="3" t="str">
        <f t="shared" si="5"/>
        <v/>
      </c>
    </row>
    <row r="52" spans="1:12" ht="16" x14ac:dyDescent="0.2">
      <c r="A52" s="3" t="s">
        <v>30</v>
      </c>
      <c r="B52" s="4" t="s">
        <v>31</v>
      </c>
      <c r="C52" s="8" t="s">
        <v>8</v>
      </c>
      <c r="D52" s="20"/>
      <c r="E52" s="21"/>
      <c r="G52" s="20"/>
      <c r="H52" s="21"/>
      <c r="J52" s="20"/>
      <c r="K52" s="21"/>
      <c r="L52" s="3" t="str">
        <f t="shared" si="5"/>
        <v/>
      </c>
    </row>
    <row r="53" spans="1:12" ht="32" x14ac:dyDescent="0.2">
      <c r="A53" s="3" t="s">
        <v>32</v>
      </c>
      <c r="B53" s="4" t="s">
        <v>49</v>
      </c>
      <c r="C53" s="8" t="s">
        <v>8</v>
      </c>
      <c r="D53" s="20"/>
      <c r="E53" s="21"/>
      <c r="G53" s="20"/>
      <c r="H53" s="21"/>
      <c r="J53" s="20"/>
      <c r="K53" s="21"/>
      <c r="L53" s="3" t="str">
        <f t="shared" si="5"/>
        <v/>
      </c>
    </row>
    <row r="54" spans="1:12" x14ac:dyDescent="0.2">
      <c r="B54" t="s">
        <v>37</v>
      </c>
      <c r="D54" s="16">
        <f>SUM(D43:D53)</f>
        <v>35</v>
      </c>
      <c r="E54" s="16">
        <f>SUM(E43:E53)</f>
        <v>0</v>
      </c>
      <c r="F54" s="17"/>
      <c r="G54" s="16">
        <f>SUM(G43:G53)</f>
        <v>0</v>
      </c>
      <c r="H54" s="16">
        <f>SUM(H43:H53)</f>
        <v>0</v>
      </c>
      <c r="I54" s="17"/>
      <c r="J54" s="16">
        <f>SUM(J43:J53)</f>
        <v>0</v>
      </c>
      <c r="K54" s="16">
        <f>SUM(K43:K53)</f>
        <v>35</v>
      </c>
      <c r="L54" s="3" t="str">
        <f t="shared" si="5"/>
        <v>YES</v>
      </c>
    </row>
    <row r="55" spans="1:12" ht="17" thickBot="1" x14ac:dyDescent="0.25">
      <c r="B55" s="4" t="s">
        <v>38</v>
      </c>
      <c r="D55" s="26">
        <f>D54-E54</f>
        <v>35</v>
      </c>
      <c r="E55" s="26"/>
      <c r="G55" s="26">
        <f>-G54+H54</f>
        <v>0</v>
      </c>
      <c r="H55" s="26"/>
      <c r="J55" s="26">
        <f>K54-J54</f>
        <v>35</v>
      </c>
      <c r="K55" s="26"/>
      <c r="L55" s="5" t="str">
        <f>IF(D55-G55-J55=0,"YES","NO")</f>
        <v>YES</v>
      </c>
    </row>
    <row r="56" spans="1:12" ht="16" thickTop="1" x14ac:dyDescent="0.2"/>
    <row r="57" spans="1:12" ht="16" x14ac:dyDescent="0.2">
      <c r="A57" s="22" t="s">
        <v>52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</row>
    <row r="58" spans="1:12" ht="16" x14ac:dyDescent="0.2">
      <c r="A58" s="22" t="s">
        <v>53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</row>
    <row r="59" spans="1:12" ht="16" x14ac:dyDescent="0.2">
      <c r="A59" s="24" t="s">
        <v>60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</row>
  </sheetData>
  <sheetProtection algorithmName="SHA-512" hashValue="6YcE727ZlnovN9ZdUXADu/ITfBESayQaeb8u9F1b5s9SPxM7npWagd5fySccGvccFEl7w+VWNilK0Eigr7TGPQ==" saltValue="s53mTJCDh7iq8FzCnmxKsw==" spinCount="100000" sheet="1" objects="1" scenarios="1"/>
  <mergeCells count="72">
    <mergeCell ref="J5:K5"/>
    <mergeCell ref="G5:H5"/>
    <mergeCell ref="D5:E5"/>
    <mergeCell ref="D55:E55"/>
    <mergeCell ref="G55:H55"/>
    <mergeCell ref="J55:K55"/>
    <mergeCell ref="D37:E37"/>
    <mergeCell ref="G37:H37"/>
    <mergeCell ref="J37:K37"/>
    <mergeCell ref="A39:L39"/>
    <mergeCell ref="A40:L40"/>
    <mergeCell ref="D41:E41"/>
    <mergeCell ref="G41:H41"/>
    <mergeCell ref="J41:K41"/>
    <mergeCell ref="A21:L21"/>
    <mergeCell ref="D23:E23"/>
    <mergeCell ref="G23:H23"/>
    <mergeCell ref="J23:K23"/>
    <mergeCell ref="A22:L22"/>
    <mergeCell ref="D4:E4"/>
    <mergeCell ref="G4:H4"/>
    <mergeCell ref="J4:K4"/>
    <mergeCell ref="D6:E6"/>
    <mergeCell ref="G6:H6"/>
    <mergeCell ref="J6:K6"/>
    <mergeCell ref="D7:E7"/>
    <mergeCell ref="G7:H7"/>
    <mergeCell ref="J7:K7"/>
    <mergeCell ref="D8:E8"/>
    <mergeCell ref="G8:H8"/>
    <mergeCell ref="J8:K8"/>
    <mergeCell ref="D9:E9"/>
    <mergeCell ref="A1:L1"/>
    <mergeCell ref="A2:L2"/>
    <mergeCell ref="D3:E3"/>
    <mergeCell ref="G3:H3"/>
    <mergeCell ref="J3:K3"/>
    <mergeCell ref="G9:H9"/>
    <mergeCell ref="J9:K9"/>
    <mergeCell ref="D10:E10"/>
    <mergeCell ref="G10:H10"/>
    <mergeCell ref="J10:K10"/>
    <mergeCell ref="D11:E11"/>
    <mergeCell ref="G11:H11"/>
    <mergeCell ref="J11:K11"/>
    <mergeCell ref="D19:E19"/>
    <mergeCell ref="G19:H19"/>
    <mergeCell ref="J19:K19"/>
    <mergeCell ref="D18:E18"/>
    <mergeCell ref="G18:H18"/>
    <mergeCell ref="J18:K18"/>
    <mergeCell ref="D14:E14"/>
    <mergeCell ref="D15:E15"/>
    <mergeCell ref="D16:E16"/>
    <mergeCell ref="D17:E17"/>
    <mergeCell ref="D13:E13"/>
    <mergeCell ref="A57:L57"/>
    <mergeCell ref="A58:L58"/>
    <mergeCell ref="A59:L59"/>
    <mergeCell ref="J12:K12"/>
    <mergeCell ref="J14:K14"/>
    <mergeCell ref="J15:K15"/>
    <mergeCell ref="J16:K16"/>
    <mergeCell ref="J17:K17"/>
    <mergeCell ref="J13:K13"/>
    <mergeCell ref="G12:H12"/>
    <mergeCell ref="G14:H14"/>
    <mergeCell ref="G15:H15"/>
    <mergeCell ref="G16:H16"/>
    <mergeCell ref="G17:H17"/>
    <mergeCell ref="G13:H13"/>
    <mergeCell ref="D12:E12"/>
  </mergeCells>
  <conditionalFormatting sqref="L35:L37 L4:L19">
    <cfRule type="cellIs" dxfId="64" priority="42" operator="equal">
      <formula>"NO"</formula>
    </cfRule>
    <cfRule type="cellIs" dxfId="63" priority="43" operator="equal">
      <formula>"YES"</formula>
    </cfRule>
  </conditionalFormatting>
  <conditionalFormatting sqref="L25:L28">
    <cfRule type="cellIs" dxfId="62" priority="37" operator="equal">
      <formula>"NO"</formula>
    </cfRule>
    <cfRule type="cellIs" dxfId="61" priority="38" operator="equal">
      <formula>"YES"</formula>
    </cfRule>
  </conditionalFormatting>
  <conditionalFormatting sqref="L29">
    <cfRule type="cellIs" dxfId="60" priority="35" operator="equal">
      <formula>"NO"</formula>
    </cfRule>
    <cfRule type="cellIs" dxfId="59" priority="36" operator="equal">
      <formula>"YES"</formula>
    </cfRule>
  </conditionalFormatting>
  <conditionalFormatting sqref="L30:L31">
    <cfRule type="cellIs" dxfId="58" priority="33" operator="equal">
      <formula>"NO"</formula>
    </cfRule>
    <cfRule type="cellIs" dxfId="57" priority="34" operator="equal">
      <formula>"YES"</formula>
    </cfRule>
  </conditionalFormatting>
  <conditionalFormatting sqref="L32">
    <cfRule type="cellIs" dxfId="56" priority="31" operator="equal">
      <formula>"NO"</formula>
    </cfRule>
    <cfRule type="cellIs" dxfId="55" priority="32" operator="equal">
      <formula>"YES"</formula>
    </cfRule>
  </conditionalFormatting>
  <conditionalFormatting sqref="L34">
    <cfRule type="cellIs" dxfId="54" priority="29" operator="equal">
      <formula>"NO"</formula>
    </cfRule>
    <cfRule type="cellIs" dxfId="53" priority="30" operator="equal">
      <formula>"YES"</formula>
    </cfRule>
  </conditionalFormatting>
  <conditionalFormatting sqref="L33">
    <cfRule type="cellIs" dxfId="52" priority="25" operator="equal">
      <formula>"NO"</formula>
    </cfRule>
    <cfRule type="cellIs" dxfId="51" priority="26" operator="equal">
      <formula>"YES"</formula>
    </cfRule>
  </conditionalFormatting>
  <conditionalFormatting sqref="L53:L55">
    <cfRule type="cellIs" dxfId="50" priority="18" operator="equal">
      <formula>"NO"</formula>
    </cfRule>
    <cfRule type="cellIs" dxfId="49" priority="19" operator="equal">
      <formula>"YES"</formula>
    </cfRule>
  </conditionalFormatting>
  <conditionalFormatting sqref="L43 L45:L46">
    <cfRule type="cellIs" dxfId="48" priority="16" operator="equal">
      <formula>"NO"</formula>
    </cfRule>
    <cfRule type="cellIs" dxfId="47" priority="17" operator="equal">
      <formula>"YES"</formula>
    </cfRule>
  </conditionalFormatting>
  <conditionalFormatting sqref="L47">
    <cfRule type="cellIs" dxfId="46" priority="14" operator="equal">
      <formula>"NO"</formula>
    </cfRule>
    <cfRule type="cellIs" dxfId="45" priority="15" operator="equal">
      <formula>"YES"</formula>
    </cfRule>
  </conditionalFormatting>
  <conditionalFormatting sqref="L48:L49">
    <cfRule type="cellIs" dxfId="44" priority="12" operator="equal">
      <formula>"NO"</formula>
    </cfRule>
    <cfRule type="cellIs" dxfId="43" priority="13" operator="equal">
      <formula>"YES"</formula>
    </cfRule>
  </conditionalFormatting>
  <conditionalFormatting sqref="L50">
    <cfRule type="cellIs" dxfId="42" priority="10" operator="equal">
      <formula>"NO"</formula>
    </cfRule>
    <cfRule type="cellIs" dxfId="41" priority="11" operator="equal">
      <formula>"YES"</formula>
    </cfRule>
  </conditionalFormatting>
  <conditionalFormatting sqref="L52">
    <cfRule type="cellIs" dxfId="40" priority="8" operator="equal">
      <formula>"NO"</formula>
    </cfRule>
    <cfRule type="cellIs" dxfId="39" priority="9" operator="equal">
      <formula>"YES"</formula>
    </cfRule>
  </conditionalFormatting>
  <conditionalFormatting sqref="L51">
    <cfRule type="cellIs" dxfId="38" priority="6" operator="equal">
      <formula>"NO"</formula>
    </cfRule>
    <cfRule type="cellIs" dxfId="37" priority="7" operator="equal">
      <formula>"YES"</formula>
    </cfRule>
  </conditionalFormatting>
  <conditionalFormatting sqref="C4:E4 G4:H4 J4:K4 C13:E13 C12:D12 C14:D18 G13:H13 G12 G14:G18 J13:K13 J12 J14:J18 C6:C18 J6:K11 J5 G6:H11 G5 C6:E11 C5:D5">
    <cfRule type="expression" dxfId="36" priority="74">
      <formula>AND(C4&lt;&gt;"",C4&lt;&gt;#REF!)</formula>
    </cfRule>
  </conditionalFormatting>
  <conditionalFormatting sqref="L44">
    <cfRule type="cellIs" dxfId="3" priority="2" operator="equal">
      <formula>"NO"</formula>
    </cfRule>
    <cfRule type="cellIs" dxfId="2" priority="3" operator="equal">
      <formula>"YES"</formula>
    </cfRule>
  </conditionalFormatting>
  <dataValidations disablePrompts="1" count="1">
    <dataValidation type="list" allowBlank="1" showInputMessage="1" showErrorMessage="1" sqref="C4:C18 C25:C35 C43:C53" xr:uid="{F74AED62-AA37-48D0-945B-A19B1A268895}">
      <formula1>"YES,NO"</formula1>
    </dataValidation>
  </dataValidations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" id="{7E68214B-DA1C-4AE6-9D50-13A69A609627}">
            <xm:f>AND(C25&lt;&gt;"",C25&lt;&gt;'Debits &amp; Credits NFP Answers'!C25)</xm:f>
            <x14:dxf>
              <fill>
                <patternFill>
                  <bgColor rgb="FFFF0000"/>
                </patternFill>
              </fill>
            </x14:dxf>
          </x14:cfRule>
          <xm:sqref>C43:K43 C27:K35 C25:K25</xm:sqref>
        </x14:conditionalFormatting>
        <x14:conditionalFormatting xmlns:xm="http://schemas.microsoft.com/office/excel/2006/main">
          <x14:cfRule type="expression" priority="77" id="{3B00E45E-9A5A-455B-BF65-1F12C6CEC395}">
            <xm:f>AND(C45&lt;&gt;"",C45&lt;&gt;'Debits &amp; Credits NFP Answers'!C45)</xm:f>
            <x14:dxf>
              <fill>
                <patternFill>
                  <bgColor rgb="FFFF0000"/>
                </patternFill>
              </fill>
            </x14:dxf>
          </x14:cfRule>
          <xm:sqref>C45:K53</xm:sqref>
        </x14:conditionalFormatting>
        <x14:conditionalFormatting xmlns:xm="http://schemas.microsoft.com/office/excel/2006/main">
          <x14:cfRule type="expression" priority="81" id="{3B00E45E-9A5A-455B-BF65-1F12C6CEC395}">
            <xm:f>AND(C26&lt;&gt;"",C26&lt;&gt;'Debits &amp; Credits NFP Answers'!C27)</xm:f>
            <x14:dxf>
              <fill>
                <patternFill>
                  <bgColor rgb="FFFF0000"/>
                </patternFill>
              </fill>
            </x14:dxf>
          </x14:cfRule>
          <xm:sqref>C26:K26</xm:sqref>
        </x14:conditionalFormatting>
        <x14:conditionalFormatting xmlns:xm="http://schemas.microsoft.com/office/excel/2006/main">
          <x14:cfRule type="expression" priority="4" id="{B5C80BE0-643E-F440-9C75-B323CC06B738}">
            <xm:f>AND(C44&lt;&gt;"",C44&lt;&gt;'Debits &amp; Credits NFP Answers'!C45)</xm:f>
            <x14:dxf>
              <fill>
                <patternFill>
                  <bgColor rgb="FFFF0000"/>
                </patternFill>
              </fill>
            </x14:dxf>
          </x14:cfRule>
          <xm:sqref>C44</xm:sqref>
        </x14:conditionalFormatting>
        <x14:conditionalFormatting xmlns:xm="http://schemas.microsoft.com/office/excel/2006/main">
          <x14:cfRule type="expression" priority="1" id="{69E246D2-DC2E-B54A-B063-3AB64865528C}">
            <xm:f>AND(D44&lt;&gt;"",D44&lt;&gt;'Debits &amp; Credits NFP Answers'!D44)</xm:f>
            <x14:dxf>
              <fill>
                <patternFill>
                  <bgColor rgb="FFFF0000"/>
                </patternFill>
              </fill>
            </x14:dxf>
          </x14:cfRule>
          <xm:sqref>D44:K44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0FC75-4288-4F2B-A3C9-1A3676CB7DAD}">
  <sheetPr codeName="Sheet2"/>
  <dimension ref="A1:L59"/>
  <sheetViews>
    <sheetView topLeftCell="A18" zoomScale="143" zoomScaleNormal="160" workbookViewId="0">
      <selection activeCell="J20" sqref="J20"/>
    </sheetView>
  </sheetViews>
  <sheetFormatPr baseColWidth="10" defaultColWidth="11.5" defaultRowHeight="15" x14ac:dyDescent="0.2"/>
  <cols>
    <col min="2" max="2" width="37.5" bestFit="1" customWidth="1"/>
    <col min="3" max="3" width="13.83203125" customWidth="1"/>
    <col min="12" max="12" width="17.6640625" customWidth="1"/>
  </cols>
  <sheetData>
    <row r="1" spans="1:12" ht="26" x14ac:dyDescent="0.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16" x14ac:dyDescent="0.2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6" thickBot="1" x14ac:dyDescent="0.25">
      <c r="C3" s="6" t="s">
        <v>2</v>
      </c>
      <c r="D3" s="29" t="s">
        <v>3</v>
      </c>
      <c r="E3" s="29"/>
      <c r="F3" s="1" t="s">
        <v>4</v>
      </c>
      <c r="G3" s="29" t="s">
        <v>5</v>
      </c>
      <c r="H3" s="29"/>
      <c r="I3" s="1" t="s">
        <v>6</v>
      </c>
      <c r="J3" s="29" t="s">
        <v>51</v>
      </c>
      <c r="K3" s="29"/>
      <c r="L3" s="2" t="s">
        <v>7</v>
      </c>
    </row>
    <row r="4" spans="1:12" ht="32" x14ac:dyDescent="0.2">
      <c r="A4" s="3" t="s">
        <v>56</v>
      </c>
      <c r="B4" s="4" t="s">
        <v>57</v>
      </c>
      <c r="C4" s="7" t="s">
        <v>8</v>
      </c>
      <c r="D4" s="30">
        <v>20</v>
      </c>
      <c r="E4" s="30"/>
      <c r="G4" s="30"/>
      <c r="H4" s="30"/>
      <c r="J4" s="30">
        <v>20</v>
      </c>
      <c r="K4" s="30"/>
      <c r="L4" s="3" t="str">
        <f t="shared" ref="L4:L18" si="0">IF(AND(ISBLANK(D4),ISBLANK(G4),ISBLANK(J4)),"",IF(D4-G4-J4=0,"YES","NO"))</f>
        <v>YES</v>
      </c>
    </row>
    <row r="5" spans="1:12" ht="32" x14ac:dyDescent="0.2">
      <c r="A5" s="3" t="s">
        <v>58</v>
      </c>
      <c r="B5" s="4" t="s">
        <v>59</v>
      </c>
      <c r="C5" s="7" t="s">
        <v>8</v>
      </c>
      <c r="D5" s="30">
        <v>15</v>
      </c>
      <c r="E5" s="30"/>
      <c r="G5" s="30"/>
      <c r="H5" s="30"/>
      <c r="J5" s="30">
        <v>15</v>
      </c>
      <c r="K5" s="30"/>
      <c r="L5" s="3" t="str">
        <f t="shared" si="0"/>
        <v>YES</v>
      </c>
    </row>
    <row r="6" spans="1:12" ht="14.25" customHeight="1" x14ac:dyDescent="0.2">
      <c r="A6" s="3" t="s">
        <v>9</v>
      </c>
      <c r="B6" s="4" t="s">
        <v>10</v>
      </c>
      <c r="C6" s="8" t="s">
        <v>8</v>
      </c>
      <c r="D6" s="25">
        <v>5</v>
      </c>
      <c r="E6" s="25"/>
      <c r="G6" s="25">
        <v>5</v>
      </c>
      <c r="H6" s="25"/>
      <c r="J6" s="25"/>
      <c r="K6" s="25"/>
      <c r="L6" s="3" t="str">
        <f t="shared" si="0"/>
        <v>YES</v>
      </c>
    </row>
    <row r="7" spans="1:12" ht="15" customHeight="1" x14ac:dyDescent="0.2">
      <c r="A7" s="3" t="s">
        <v>11</v>
      </c>
      <c r="B7" s="4" t="s">
        <v>12</v>
      </c>
      <c r="C7" s="8" t="s">
        <v>8</v>
      </c>
      <c r="D7" s="25">
        <f>3-3</f>
        <v>0</v>
      </c>
      <c r="E7" s="25"/>
      <c r="G7" s="25"/>
      <c r="H7" s="25"/>
      <c r="J7" s="25"/>
      <c r="K7" s="25"/>
      <c r="L7" s="3" t="str">
        <f t="shared" si="0"/>
        <v>YES</v>
      </c>
    </row>
    <row r="8" spans="1:12" ht="16" x14ac:dyDescent="0.2">
      <c r="A8" s="3" t="s">
        <v>13</v>
      </c>
      <c r="B8" s="4" t="s">
        <v>14</v>
      </c>
      <c r="C8" s="8" t="s">
        <v>8</v>
      </c>
      <c r="D8" s="25">
        <v>8</v>
      </c>
      <c r="E8" s="25"/>
      <c r="G8" s="25">
        <v>8</v>
      </c>
      <c r="H8" s="25"/>
      <c r="J8" s="25"/>
      <c r="K8" s="25"/>
      <c r="L8" s="3" t="str">
        <f t="shared" si="0"/>
        <v>YES</v>
      </c>
    </row>
    <row r="9" spans="1:12" ht="32" x14ac:dyDescent="0.2">
      <c r="A9" s="3" t="s">
        <v>15</v>
      </c>
      <c r="B9" s="4" t="s">
        <v>16</v>
      </c>
      <c r="C9" s="8" t="s">
        <v>8</v>
      </c>
      <c r="D9" s="25">
        <f>6-4</f>
        <v>2</v>
      </c>
      <c r="E9" s="25"/>
      <c r="G9" s="25"/>
      <c r="H9" s="25"/>
      <c r="J9" s="25">
        <v>2</v>
      </c>
      <c r="K9" s="25"/>
      <c r="L9" s="3" t="str">
        <f t="shared" si="0"/>
        <v>YES</v>
      </c>
    </row>
    <row r="10" spans="1:12" ht="16" x14ac:dyDescent="0.2">
      <c r="A10" s="3" t="s">
        <v>17</v>
      </c>
      <c r="B10" s="4" t="s">
        <v>18</v>
      </c>
      <c r="C10" s="8" t="s">
        <v>8</v>
      </c>
      <c r="D10" s="25">
        <v>-7</v>
      </c>
      <c r="E10" s="25"/>
      <c r="G10" s="25">
        <v>-7</v>
      </c>
      <c r="H10" s="25"/>
      <c r="J10" s="25"/>
      <c r="K10" s="25"/>
      <c r="L10" s="3" t="str">
        <f t="shared" si="0"/>
        <v>YES</v>
      </c>
    </row>
    <row r="11" spans="1:12" ht="16" x14ac:dyDescent="0.2">
      <c r="A11" s="3" t="s">
        <v>19</v>
      </c>
      <c r="B11" s="4" t="s">
        <v>20</v>
      </c>
      <c r="C11" s="8" t="s">
        <v>8</v>
      </c>
      <c r="D11" s="25">
        <f>6-6</f>
        <v>0</v>
      </c>
      <c r="E11" s="25"/>
      <c r="G11" s="25"/>
      <c r="H11" s="25"/>
      <c r="J11" s="25"/>
      <c r="K11" s="25"/>
      <c r="L11" s="3" t="str">
        <f t="shared" si="0"/>
        <v>YES</v>
      </c>
    </row>
    <row r="12" spans="1:12" ht="16" x14ac:dyDescent="0.2">
      <c r="A12" s="3" t="s">
        <v>21</v>
      </c>
      <c r="B12" s="4" t="s">
        <v>22</v>
      </c>
      <c r="C12" s="8" t="s">
        <v>23</v>
      </c>
      <c r="D12" s="25"/>
      <c r="E12" s="25"/>
      <c r="G12" s="25"/>
      <c r="H12" s="25"/>
      <c r="J12" s="25"/>
      <c r="K12" s="25"/>
      <c r="L12" s="3" t="str">
        <f t="shared" si="0"/>
        <v/>
      </c>
    </row>
    <row r="13" spans="1:12" ht="16" x14ac:dyDescent="0.2">
      <c r="A13" s="3" t="s">
        <v>24</v>
      </c>
      <c r="B13" s="4" t="s">
        <v>47</v>
      </c>
      <c r="C13" s="8" t="s">
        <v>23</v>
      </c>
      <c r="D13" s="25"/>
      <c r="E13" s="25"/>
      <c r="G13" s="25"/>
      <c r="H13" s="25"/>
      <c r="J13" s="25"/>
      <c r="K13" s="25"/>
      <c r="L13" s="3" t="str">
        <f t="shared" si="0"/>
        <v/>
      </c>
    </row>
    <row r="14" spans="1:12" ht="32" x14ac:dyDescent="0.2">
      <c r="A14" s="3" t="s">
        <v>25</v>
      </c>
      <c r="B14" s="4" t="s">
        <v>26</v>
      </c>
      <c r="C14" s="8" t="s">
        <v>23</v>
      </c>
      <c r="D14" s="25"/>
      <c r="E14" s="25"/>
      <c r="G14" s="25"/>
      <c r="H14" s="25"/>
      <c r="J14" s="25"/>
      <c r="K14" s="25"/>
      <c r="L14" s="3" t="str">
        <f t="shared" si="0"/>
        <v/>
      </c>
    </row>
    <row r="15" spans="1:12" ht="16" x14ac:dyDescent="0.2">
      <c r="A15" s="3" t="s">
        <v>27</v>
      </c>
      <c r="B15" s="4" t="s">
        <v>28</v>
      </c>
      <c r="C15" s="8" t="s">
        <v>23</v>
      </c>
      <c r="D15" s="25"/>
      <c r="E15" s="25"/>
      <c r="G15" s="25"/>
      <c r="H15" s="25"/>
      <c r="J15" s="25"/>
      <c r="K15" s="25"/>
      <c r="L15" s="3" t="str">
        <f t="shared" si="0"/>
        <v/>
      </c>
    </row>
    <row r="16" spans="1:12" ht="32" x14ac:dyDescent="0.2">
      <c r="A16" s="3" t="s">
        <v>29</v>
      </c>
      <c r="B16" s="4" t="s">
        <v>48</v>
      </c>
      <c r="C16" s="8" t="s">
        <v>8</v>
      </c>
      <c r="D16" s="25">
        <v>15</v>
      </c>
      <c r="E16" s="25"/>
      <c r="G16" s="25"/>
      <c r="H16" s="25"/>
      <c r="J16" s="25">
        <v>15</v>
      </c>
      <c r="K16" s="25"/>
      <c r="L16" s="3" t="str">
        <f t="shared" si="0"/>
        <v>YES</v>
      </c>
    </row>
    <row r="17" spans="1:12" ht="16" x14ac:dyDescent="0.2">
      <c r="A17" s="3" t="s">
        <v>30</v>
      </c>
      <c r="B17" s="4" t="s">
        <v>31</v>
      </c>
      <c r="C17" s="8" t="s">
        <v>8</v>
      </c>
      <c r="D17" s="25">
        <f>15-15</f>
        <v>0</v>
      </c>
      <c r="E17" s="25"/>
      <c r="G17" s="25"/>
      <c r="H17" s="25"/>
      <c r="J17" s="25"/>
      <c r="K17" s="25"/>
      <c r="L17" s="3" t="str">
        <f t="shared" si="0"/>
        <v>YES</v>
      </c>
    </row>
    <row r="18" spans="1:12" ht="32" x14ac:dyDescent="0.2">
      <c r="A18" s="3" t="s">
        <v>32</v>
      </c>
      <c r="B18" s="4" t="s">
        <v>49</v>
      </c>
      <c r="C18" s="8" t="s">
        <v>8</v>
      </c>
      <c r="D18" s="27">
        <v>-2</v>
      </c>
      <c r="E18" s="27"/>
      <c r="G18" s="27">
        <v>-2</v>
      </c>
      <c r="H18" s="27"/>
      <c r="J18" s="27"/>
      <c r="K18" s="27"/>
      <c r="L18" s="3" t="str">
        <f t="shared" si="0"/>
        <v>YES</v>
      </c>
    </row>
    <row r="19" spans="1:12" ht="16" thickBot="1" x14ac:dyDescent="0.25">
      <c r="B19" t="s">
        <v>33</v>
      </c>
      <c r="D19" s="26">
        <f>SUM(D4:D18)</f>
        <v>56</v>
      </c>
      <c r="E19" s="26"/>
      <c r="G19" s="26">
        <f>SUM(G4:G18)</f>
        <v>4</v>
      </c>
      <c r="H19" s="26"/>
      <c r="J19" s="26">
        <f>SUM(J4:J18)</f>
        <v>52</v>
      </c>
      <c r="K19" s="26"/>
      <c r="L19" s="5" t="str">
        <f>IF(D19-G19-J19=0,"YES","NO")</f>
        <v>YES</v>
      </c>
    </row>
    <row r="20" spans="1:12" ht="16" thickTop="1" x14ac:dyDescent="0.2"/>
    <row r="21" spans="1:12" ht="16" x14ac:dyDescent="0.2">
      <c r="A21" s="22" t="s">
        <v>54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2" ht="16" x14ac:dyDescent="0.2">
      <c r="A22" s="23" t="s">
        <v>45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1:12" ht="16" thickBot="1" x14ac:dyDescent="0.25">
      <c r="D23" s="29" t="s">
        <v>3</v>
      </c>
      <c r="E23" s="29"/>
      <c r="F23" s="9" t="s">
        <v>4</v>
      </c>
      <c r="G23" s="29" t="s">
        <v>5</v>
      </c>
      <c r="H23" s="29"/>
      <c r="I23" s="9" t="s">
        <v>6</v>
      </c>
      <c r="J23" s="29" t="s">
        <v>51</v>
      </c>
      <c r="K23" s="29"/>
    </row>
    <row r="24" spans="1:12" ht="16" thickBot="1" x14ac:dyDescent="0.25">
      <c r="C24" s="6" t="s">
        <v>2</v>
      </c>
      <c r="D24" s="18" t="s">
        <v>35</v>
      </c>
      <c r="E24" s="18" t="s">
        <v>36</v>
      </c>
      <c r="F24" s="1"/>
      <c r="G24" s="18" t="s">
        <v>36</v>
      </c>
      <c r="H24" s="18" t="s">
        <v>35</v>
      </c>
      <c r="I24" s="1"/>
      <c r="J24" s="18" t="s">
        <v>36</v>
      </c>
      <c r="K24" s="18" t="s">
        <v>35</v>
      </c>
      <c r="L24" s="2" t="s">
        <v>7</v>
      </c>
    </row>
    <row r="25" spans="1:12" ht="32" x14ac:dyDescent="0.2">
      <c r="A25" s="3" t="s">
        <v>56</v>
      </c>
      <c r="B25" s="4" t="s">
        <v>57</v>
      </c>
      <c r="C25" s="7" t="s">
        <v>8</v>
      </c>
      <c r="D25" s="10">
        <v>20</v>
      </c>
      <c r="E25" s="11"/>
      <c r="G25" s="12"/>
      <c r="H25" s="13"/>
      <c r="J25" s="12"/>
      <c r="K25" s="13">
        <v>20</v>
      </c>
      <c r="L25" s="3" t="str">
        <f t="shared" ref="L25:L36" si="1">IF(AND(ISBLANK(D25),ISBLANK(E25),ISBLANK(G25),ISBLANK(J25),ISBLANK(H25),ISBLANK(K25)),"",IF(D25-E25-H25+G25-K25+J25=0,"YES","NO"))</f>
        <v>YES</v>
      </c>
    </row>
    <row r="26" spans="1:12" ht="32" x14ac:dyDescent="0.2">
      <c r="A26" s="3" t="s">
        <v>58</v>
      </c>
      <c r="B26" s="4" t="s">
        <v>59</v>
      </c>
      <c r="C26" s="7" t="s">
        <v>23</v>
      </c>
      <c r="D26" s="14">
        <v>15</v>
      </c>
      <c r="E26" s="11"/>
      <c r="G26" s="15"/>
      <c r="H26" s="13"/>
      <c r="J26" s="15"/>
      <c r="K26" s="13">
        <v>15</v>
      </c>
      <c r="L26" s="3" t="str">
        <f>IF(AND(ISBLANK(D26),ISBLANK(E26),ISBLANK(G26),ISBLANK(J26),ISBLANK(H26),ISBLANK(K26)),"",IF(D26-E26-H26+G26-K26+J26=0,"YES","NO"))</f>
        <v>YES</v>
      </c>
    </row>
    <row r="27" spans="1:12" ht="16" x14ac:dyDescent="0.2">
      <c r="A27" s="3" t="s">
        <v>9</v>
      </c>
      <c r="B27" s="4" t="s">
        <v>10</v>
      </c>
      <c r="C27" s="8" t="s">
        <v>8</v>
      </c>
      <c r="D27" s="14">
        <v>5</v>
      </c>
      <c r="E27" s="11"/>
      <c r="G27" s="15"/>
      <c r="H27" s="13">
        <v>5</v>
      </c>
      <c r="J27" s="15"/>
      <c r="K27" s="13"/>
      <c r="L27" s="3" t="str">
        <f>IF(AND(ISBLANK(D27),ISBLANK(E27),ISBLANK(G27),ISBLANK(J27),ISBLANK(H27),ISBLANK(K27)),"",IF(D27-E27-H27+G27-K27+J27=0,"YES","NO"))</f>
        <v>YES</v>
      </c>
    </row>
    <row r="28" spans="1:12" ht="16" x14ac:dyDescent="0.2">
      <c r="A28" s="3" t="s">
        <v>11</v>
      </c>
      <c r="B28" s="4" t="s">
        <v>12</v>
      </c>
      <c r="C28" s="8" t="s">
        <v>8</v>
      </c>
      <c r="D28" s="14">
        <v>3</v>
      </c>
      <c r="E28" s="11">
        <v>3</v>
      </c>
      <c r="G28" s="15"/>
      <c r="H28" s="13"/>
      <c r="J28" s="15"/>
      <c r="K28" s="13"/>
      <c r="L28" s="3" t="str">
        <f t="shared" si="1"/>
        <v>YES</v>
      </c>
    </row>
    <row r="29" spans="1:12" ht="16" x14ac:dyDescent="0.2">
      <c r="A29" s="3" t="s">
        <v>13</v>
      </c>
      <c r="B29" s="4" t="s">
        <v>14</v>
      </c>
      <c r="C29" s="8" t="s">
        <v>8</v>
      </c>
      <c r="D29" s="14">
        <v>8</v>
      </c>
      <c r="E29" s="11"/>
      <c r="G29" s="15"/>
      <c r="H29" s="13">
        <v>8</v>
      </c>
      <c r="J29" s="15"/>
      <c r="K29" s="13"/>
      <c r="L29" s="3" t="str">
        <f t="shared" si="1"/>
        <v>YES</v>
      </c>
    </row>
    <row r="30" spans="1:12" ht="32" x14ac:dyDescent="0.2">
      <c r="A30" s="3" t="s">
        <v>15</v>
      </c>
      <c r="B30" s="4" t="s">
        <v>16</v>
      </c>
      <c r="C30" s="8" t="s">
        <v>8</v>
      </c>
      <c r="D30" s="14">
        <v>6</v>
      </c>
      <c r="E30" s="11">
        <v>4</v>
      </c>
      <c r="G30" s="15"/>
      <c r="H30" s="13"/>
      <c r="J30" s="15"/>
      <c r="K30" s="13">
        <v>2</v>
      </c>
      <c r="L30" s="3" t="str">
        <f t="shared" si="1"/>
        <v>YES</v>
      </c>
    </row>
    <row r="31" spans="1:12" ht="16" x14ac:dyDescent="0.2">
      <c r="A31" s="3" t="s">
        <v>17</v>
      </c>
      <c r="B31" s="4" t="s">
        <v>18</v>
      </c>
      <c r="C31" s="8" t="s">
        <v>8</v>
      </c>
      <c r="D31" s="14"/>
      <c r="E31" s="11">
        <v>7</v>
      </c>
      <c r="G31" s="15">
        <v>7</v>
      </c>
      <c r="H31" s="13"/>
      <c r="J31" s="15"/>
      <c r="K31" s="13"/>
      <c r="L31" s="3" t="str">
        <f t="shared" si="1"/>
        <v>YES</v>
      </c>
    </row>
    <row r="32" spans="1:12" ht="16" x14ac:dyDescent="0.2">
      <c r="A32" s="3" t="s">
        <v>19</v>
      </c>
      <c r="B32" s="4" t="s">
        <v>20</v>
      </c>
      <c r="C32" s="8" t="s">
        <v>8</v>
      </c>
      <c r="D32" s="14">
        <v>6</v>
      </c>
      <c r="E32" s="11">
        <v>6</v>
      </c>
      <c r="G32" s="15"/>
      <c r="H32" s="13"/>
      <c r="J32" s="15"/>
      <c r="K32" s="13"/>
      <c r="L32" s="3" t="str">
        <f t="shared" si="1"/>
        <v>YES</v>
      </c>
    </row>
    <row r="33" spans="1:12" ht="32" x14ac:dyDescent="0.2">
      <c r="A33" s="3" t="s">
        <v>29</v>
      </c>
      <c r="B33" s="4" t="s">
        <v>48</v>
      </c>
      <c r="C33" s="8" t="s">
        <v>8</v>
      </c>
      <c r="D33" s="14">
        <v>15</v>
      </c>
      <c r="E33" s="11"/>
      <c r="G33" s="15"/>
      <c r="H33" s="13"/>
      <c r="J33" s="15"/>
      <c r="K33" s="13">
        <v>15</v>
      </c>
      <c r="L33" s="3" t="str">
        <f t="shared" si="1"/>
        <v>YES</v>
      </c>
    </row>
    <row r="34" spans="1:12" ht="16" x14ac:dyDescent="0.2">
      <c r="A34" s="3" t="s">
        <v>30</v>
      </c>
      <c r="B34" s="4" t="s">
        <v>31</v>
      </c>
      <c r="C34" s="8" t="s">
        <v>8</v>
      </c>
      <c r="D34" s="14">
        <v>15</v>
      </c>
      <c r="E34" s="11">
        <v>15</v>
      </c>
      <c r="G34" s="15"/>
      <c r="H34" s="13"/>
      <c r="J34" s="15"/>
      <c r="K34" s="13"/>
      <c r="L34" s="3" t="str">
        <f t="shared" si="1"/>
        <v>YES</v>
      </c>
    </row>
    <row r="35" spans="1:12" ht="32" x14ac:dyDescent="0.2">
      <c r="A35" s="3" t="s">
        <v>32</v>
      </c>
      <c r="B35" s="4" t="s">
        <v>49</v>
      </c>
      <c r="C35" s="8" t="s">
        <v>8</v>
      </c>
      <c r="D35" s="14"/>
      <c r="E35" s="11">
        <v>2</v>
      </c>
      <c r="G35" s="15">
        <v>2</v>
      </c>
      <c r="H35" s="13"/>
      <c r="J35" s="15"/>
      <c r="K35" s="13"/>
      <c r="L35" s="3" t="str">
        <f t="shared" si="1"/>
        <v>YES</v>
      </c>
    </row>
    <row r="36" spans="1:12" x14ac:dyDescent="0.2">
      <c r="B36" t="s">
        <v>37</v>
      </c>
      <c r="D36" s="16">
        <f>SUM(D25:D35)</f>
        <v>93</v>
      </c>
      <c r="E36" s="16">
        <f>SUM(E25:E35)</f>
        <v>37</v>
      </c>
      <c r="F36" s="17"/>
      <c r="G36" s="16">
        <f>SUM(G25:G35)</f>
        <v>9</v>
      </c>
      <c r="H36" s="16">
        <f>SUM(H25:H35)</f>
        <v>13</v>
      </c>
      <c r="I36" s="17"/>
      <c r="J36" s="16">
        <f>SUM(J25:J35)</f>
        <v>0</v>
      </c>
      <c r="K36" s="16">
        <f>SUM(K25:K35)</f>
        <v>52</v>
      </c>
      <c r="L36" s="3" t="str">
        <f t="shared" si="1"/>
        <v>YES</v>
      </c>
    </row>
    <row r="37" spans="1:12" ht="17" thickBot="1" x14ac:dyDescent="0.25">
      <c r="B37" s="4" t="s">
        <v>38</v>
      </c>
      <c r="D37" s="26">
        <f>D36-E36</f>
        <v>56</v>
      </c>
      <c r="E37" s="26"/>
      <c r="G37" s="26">
        <f>-G36+H36</f>
        <v>4</v>
      </c>
      <c r="H37" s="26"/>
      <c r="J37" s="26">
        <f>K36-J36</f>
        <v>52</v>
      </c>
      <c r="K37" s="26"/>
      <c r="L37" s="5" t="str">
        <f>IF(D37-G37-J37=0,"YES","NO")</f>
        <v>YES</v>
      </c>
    </row>
    <row r="38" spans="1:12" ht="16" thickTop="1" x14ac:dyDescent="0.2"/>
    <row r="39" spans="1:12" ht="16" x14ac:dyDescent="0.2">
      <c r="A39" s="22" t="s">
        <v>54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</row>
    <row r="40" spans="1:12" ht="16" x14ac:dyDescent="0.2">
      <c r="A40" s="23" t="s">
        <v>45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</row>
    <row r="41" spans="1:12" ht="16" thickBot="1" x14ac:dyDescent="0.25">
      <c r="D41" s="29" t="s">
        <v>3</v>
      </c>
      <c r="E41" s="29"/>
      <c r="F41" s="9" t="s">
        <v>4</v>
      </c>
      <c r="G41" s="29" t="s">
        <v>5</v>
      </c>
      <c r="H41" s="29"/>
      <c r="I41" s="9" t="s">
        <v>6</v>
      </c>
      <c r="J41" s="29" t="s">
        <v>51</v>
      </c>
      <c r="K41" s="29"/>
    </row>
    <row r="42" spans="1:12" ht="16" thickBot="1" x14ac:dyDescent="0.25">
      <c r="C42" s="6" t="s">
        <v>2</v>
      </c>
      <c r="D42" s="18" t="s">
        <v>41</v>
      </c>
      <c r="E42" s="18" t="s">
        <v>42</v>
      </c>
      <c r="F42" s="1"/>
      <c r="G42" s="18" t="s">
        <v>41</v>
      </c>
      <c r="H42" s="18" t="s">
        <v>42</v>
      </c>
      <c r="I42" s="1"/>
      <c r="J42" s="18" t="s">
        <v>41</v>
      </c>
      <c r="K42" s="18" t="s">
        <v>42</v>
      </c>
      <c r="L42" s="2" t="s">
        <v>46</v>
      </c>
    </row>
    <row r="43" spans="1:12" ht="32" x14ac:dyDescent="0.2">
      <c r="A43" s="3" t="s">
        <v>56</v>
      </c>
      <c r="B43" s="4" t="s">
        <v>57</v>
      </c>
      <c r="C43" s="7" t="s">
        <v>8</v>
      </c>
      <c r="D43" s="19">
        <v>20</v>
      </c>
      <c r="E43" s="21"/>
      <c r="G43" s="19"/>
      <c r="H43" s="21"/>
      <c r="J43" s="19"/>
      <c r="K43" s="21">
        <v>20</v>
      </c>
      <c r="L43" s="3" t="str">
        <f t="shared" ref="L43:L54" si="2">IF(AND(ISBLANK(D43),ISBLANK(E43),ISBLANK(G43),ISBLANK(J43),ISBLANK(H43),ISBLANK(K43)),"",IF(D43-E43-H43+G43-K43+J43=0,"YES","NO"))</f>
        <v>YES</v>
      </c>
    </row>
    <row r="44" spans="1:12" ht="32" x14ac:dyDescent="0.2">
      <c r="A44" s="3" t="s">
        <v>58</v>
      </c>
      <c r="B44" s="4" t="s">
        <v>59</v>
      </c>
      <c r="C44" s="7" t="s">
        <v>8</v>
      </c>
      <c r="D44" s="20">
        <v>15</v>
      </c>
      <c r="E44" s="21"/>
      <c r="G44" s="20"/>
      <c r="H44" s="21"/>
      <c r="J44" s="20"/>
      <c r="K44" s="21">
        <v>15</v>
      </c>
      <c r="L44" s="3" t="str">
        <f t="shared" si="2"/>
        <v>YES</v>
      </c>
    </row>
    <row r="45" spans="1:12" ht="16" x14ac:dyDescent="0.2">
      <c r="A45" s="3" t="s">
        <v>9</v>
      </c>
      <c r="B45" s="4" t="s">
        <v>10</v>
      </c>
      <c r="C45" s="8" t="s">
        <v>8</v>
      </c>
      <c r="D45" s="20">
        <v>5</v>
      </c>
      <c r="E45" s="21"/>
      <c r="G45" s="20"/>
      <c r="H45" s="21">
        <v>5</v>
      </c>
      <c r="J45" s="20"/>
      <c r="K45" s="21"/>
      <c r="L45" s="3" t="str">
        <f t="shared" si="2"/>
        <v>YES</v>
      </c>
    </row>
    <row r="46" spans="1:12" ht="16" x14ac:dyDescent="0.2">
      <c r="A46" s="3" t="s">
        <v>11</v>
      </c>
      <c r="B46" s="4" t="s">
        <v>12</v>
      </c>
      <c r="C46" s="8" t="s">
        <v>8</v>
      </c>
      <c r="D46" s="20">
        <v>3</v>
      </c>
      <c r="E46" s="21">
        <v>3</v>
      </c>
      <c r="G46" s="20"/>
      <c r="H46" s="21"/>
      <c r="J46" s="20"/>
      <c r="K46" s="21"/>
      <c r="L46" s="3" t="str">
        <f t="shared" si="2"/>
        <v>YES</v>
      </c>
    </row>
    <row r="47" spans="1:12" ht="16" x14ac:dyDescent="0.2">
      <c r="A47" s="3" t="s">
        <v>13</v>
      </c>
      <c r="B47" s="4" t="s">
        <v>14</v>
      </c>
      <c r="C47" s="8" t="s">
        <v>8</v>
      </c>
      <c r="D47" s="20">
        <v>8</v>
      </c>
      <c r="E47" s="21"/>
      <c r="G47" s="20"/>
      <c r="H47" s="21">
        <v>8</v>
      </c>
      <c r="J47" s="20"/>
      <c r="K47" s="21"/>
      <c r="L47" s="3" t="str">
        <f t="shared" si="2"/>
        <v>YES</v>
      </c>
    </row>
    <row r="48" spans="1:12" ht="32" x14ac:dyDescent="0.2">
      <c r="A48" s="3" t="s">
        <v>15</v>
      </c>
      <c r="B48" s="4" t="s">
        <v>16</v>
      </c>
      <c r="C48" s="8" t="s">
        <v>8</v>
      </c>
      <c r="D48" s="20">
        <v>6</v>
      </c>
      <c r="E48" s="21">
        <v>4</v>
      </c>
      <c r="G48" s="20"/>
      <c r="H48" s="21"/>
      <c r="J48" s="20"/>
      <c r="K48" s="21">
        <v>2</v>
      </c>
      <c r="L48" s="3" t="str">
        <f t="shared" si="2"/>
        <v>YES</v>
      </c>
    </row>
    <row r="49" spans="1:12" ht="16" x14ac:dyDescent="0.2">
      <c r="A49" s="3" t="s">
        <v>17</v>
      </c>
      <c r="B49" s="4" t="s">
        <v>18</v>
      </c>
      <c r="C49" s="8" t="s">
        <v>8</v>
      </c>
      <c r="D49" s="20"/>
      <c r="E49" s="21">
        <v>7</v>
      </c>
      <c r="G49" s="20">
        <v>7</v>
      </c>
      <c r="H49" s="21"/>
      <c r="J49" s="20"/>
      <c r="K49" s="21"/>
      <c r="L49" s="3" t="str">
        <f t="shared" si="2"/>
        <v>YES</v>
      </c>
    </row>
    <row r="50" spans="1:12" ht="16" x14ac:dyDescent="0.2">
      <c r="A50" s="3" t="s">
        <v>19</v>
      </c>
      <c r="B50" s="4" t="s">
        <v>20</v>
      </c>
      <c r="C50" s="8" t="s">
        <v>8</v>
      </c>
      <c r="D50" s="20">
        <v>6</v>
      </c>
      <c r="E50" s="21">
        <v>6</v>
      </c>
      <c r="G50" s="20"/>
      <c r="H50" s="21"/>
      <c r="J50" s="20"/>
      <c r="K50" s="21"/>
      <c r="L50" s="3" t="str">
        <f t="shared" si="2"/>
        <v>YES</v>
      </c>
    </row>
    <row r="51" spans="1:12" ht="32" x14ac:dyDescent="0.2">
      <c r="A51" s="3" t="s">
        <v>29</v>
      </c>
      <c r="B51" s="4" t="s">
        <v>48</v>
      </c>
      <c r="C51" s="8" t="s">
        <v>8</v>
      </c>
      <c r="D51" s="20">
        <v>15</v>
      </c>
      <c r="E51" s="21"/>
      <c r="G51" s="20"/>
      <c r="H51" s="21"/>
      <c r="J51" s="20"/>
      <c r="K51" s="21">
        <v>15</v>
      </c>
      <c r="L51" s="3" t="str">
        <f t="shared" si="2"/>
        <v>YES</v>
      </c>
    </row>
    <row r="52" spans="1:12" ht="16" x14ac:dyDescent="0.2">
      <c r="A52" s="3" t="s">
        <v>30</v>
      </c>
      <c r="B52" s="4" t="s">
        <v>31</v>
      </c>
      <c r="C52" s="8" t="s">
        <v>8</v>
      </c>
      <c r="D52" s="20">
        <v>15</v>
      </c>
      <c r="E52" s="21">
        <v>15</v>
      </c>
      <c r="G52" s="20"/>
      <c r="H52" s="21"/>
      <c r="J52" s="20"/>
      <c r="K52" s="21"/>
      <c r="L52" s="3" t="str">
        <f t="shared" si="2"/>
        <v>YES</v>
      </c>
    </row>
    <row r="53" spans="1:12" ht="32" x14ac:dyDescent="0.2">
      <c r="A53" s="3" t="s">
        <v>32</v>
      </c>
      <c r="B53" s="4" t="s">
        <v>49</v>
      </c>
      <c r="C53" s="8" t="s">
        <v>8</v>
      </c>
      <c r="D53" s="20"/>
      <c r="E53" s="21">
        <v>2</v>
      </c>
      <c r="G53" s="20">
        <v>2</v>
      </c>
      <c r="H53" s="21"/>
      <c r="J53" s="20"/>
      <c r="K53" s="21"/>
      <c r="L53" s="3" t="str">
        <f t="shared" si="2"/>
        <v>YES</v>
      </c>
    </row>
    <row r="54" spans="1:12" x14ac:dyDescent="0.2">
      <c r="B54" t="s">
        <v>37</v>
      </c>
      <c r="D54" s="16">
        <f>SUM(D43:D53)</f>
        <v>93</v>
      </c>
      <c r="E54" s="16">
        <f>SUM(E43:E53)</f>
        <v>37</v>
      </c>
      <c r="F54" s="17"/>
      <c r="G54" s="16">
        <f>SUM(G43:G53)</f>
        <v>9</v>
      </c>
      <c r="H54" s="16">
        <f>SUM(H43:H53)</f>
        <v>13</v>
      </c>
      <c r="I54" s="17"/>
      <c r="J54" s="16">
        <f>SUM(J43:J53)</f>
        <v>0</v>
      </c>
      <c r="K54" s="16">
        <f>SUM(K43:K53)</f>
        <v>52</v>
      </c>
      <c r="L54" s="3" t="str">
        <f t="shared" si="2"/>
        <v>YES</v>
      </c>
    </row>
    <row r="55" spans="1:12" ht="17" thickBot="1" x14ac:dyDescent="0.25">
      <c r="B55" s="4" t="s">
        <v>38</v>
      </c>
      <c r="D55" s="26">
        <f>D54-E54</f>
        <v>56</v>
      </c>
      <c r="E55" s="26"/>
      <c r="G55" s="26">
        <f>-G54+H54</f>
        <v>4</v>
      </c>
      <c r="H55" s="26"/>
      <c r="J55" s="26">
        <f>K54-J54</f>
        <v>52</v>
      </c>
      <c r="K55" s="26"/>
      <c r="L55" s="5" t="str">
        <f>IF(D55-G55-J55=0,"YES","NO")</f>
        <v>YES</v>
      </c>
    </row>
    <row r="56" spans="1:12" ht="16" thickTop="1" x14ac:dyDescent="0.2"/>
    <row r="57" spans="1:12" ht="16" x14ac:dyDescent="0.2">
      <c r="A57" s="22" t="s">
        <v>52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</row>
    <row r="58" spans="1:12" ht="16" x14ac:dyDescent="0.2">
      <c r="A58" s="22" t="s">
        <v>55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</row>
    <row r="59" spans="1:12" ht="16" x14ac:dyDescent="0.2">
      <c r="A59" s="24" t="s">
        <v>44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</row>
  </sheetData>
  <mergeCells count="72">
    <mergeCell ref="D5:E5"/>
    <mergeCell ref="G5:H5"/>
    <mergeCell ref="J5:K5"/>
    <mergeCell ref="A59:L59"/>
    <mergeCell ref="D55:E55"/>
    <mergeCell ref="G55:H55"/>
    <mergeCell ref="J55:K55"/>
    <mergeCell ref="D23:E23"/>
    <mergeCell ref="G23:H23"/>
    <mergeCell ref="J23:K23"/>
    <mergeCell ref="A57:L57"/>
    <mergeCell ref="A58:L58"/>
    <mergeCell ref="D41:E41"/>
    <mergeCell ref="G41:H41"/>
    <mergeCell ref="J41:K41"/>
    <mergeCell ref="D37:E37"/>
    <mergeCell ref="G37:H37"/>
    <mergeCell ref="J37:K37"/>
    <mergeCell ref="A39:L39"/>
    <mergeCell ref="A40:L40"/>
    <mergeCell ref="A21:L21"/>
    <mergeCell ref="A22:L22"/>
    <mergeCell ref="D16:E16"/>
    <mergeCell ref="G16:H16"/>
    <mergeCell ref="J16:K16"/>
    <mergeCell ref="D17:E17"/>
    <mergeCell ref="G17:H17"/>
    <mergeCell ref="J17:K17"/>
    <mergeCell ref="D18:E18"/>
    <mergeCell ref="G18:H18"/>
    <mergeCell ref="J18:K18"/>
    <mergeCell ref="D19:E19"/>
    <mergeCell ref="G19:H19"/>
    <mergeCell ref="J19:K19"/>
    <mergeCell ref="D14:E14"/>
    <mergeCell ref="G14:H14"/>
    <mergeCell ref="J14:K14"/>
    <mergeCell ref="D15:E15"/>
    <mergeCell ref="G15:H15"/>
    <mergeCell ref="J15:K15"/>
    <mergeCell ref="D12:E12"/>
    <mergeCell ref="G12:H12"/>
    <mergeCell ref="J12:K12"/>
    <mergeCell ref="D13:E13"/>
    <mergeCell ref="G13:H13"/>
    <mergeCell ref="J13:K13"/>
    <mergeCell ref="D10:E10"/>
    <mergeCell ref="G10:H10"/>
    <mergeCell ref="J10:K10"/>
    <mergeCell ref="D11:E11"/>
    <mergeCell ref="G11:H11"/>
    <mergeCell ref="J11:K11"/>
    <mergeCell ref="D8:E8"/>
    <mergeCell ref="G8:H8"/>
    <mergeCell ref="J8:K8"/>
    <mergeCell ref="D9:E9"/>
    <mergeCell ref="G9:H9"/>
    <mergeCell ref="J9:K9"/>
    <mergeCell ref="D6:E6"/>
    <mergeCell ref="G6:H6"/>
    <mergeCell ref="J6:K6"/>
    <mergeCell ref="D7:E7"/>
    <mergeCell ref="G7:H7"/>
    <mergeCell ref="J7:K7"/>
    <mergeCell ref="D4:E4"/>
    <mergeCell ref="G4:H4"/>
    <mergeCell ref="J4:K4"/>
    <mergeCell ref="A1:L1"/>
    <mergeCell ref="A2:L2"/>
    <mergeCell ref="D3:E3"/>
    <mergeCell ref="G3:H3"/>
    <mergeCell ref="J3:K3"/>
  </mergeCells>
  <conditionalFormatting sqref="L35:L37 L4:L19">
    <cfRule type="cellIs" dxfId="33" priority="29" operator="equal">
      <formula>"NO"</formula>
    </cfRule>
    <cfRule type="cellIs" dxfId="32" priority="30" operator="equal">
      <formula>"YES"</formula>
    </cfRule>
  </conditionalFormatting>
  <conditionalFormatting sqref="L25:L28">
    <cfRule type="cellIs" dxfId="31" priority="26" operator="equal">
      <formula>"NO"</formula>
    </cfRule>
    <cfRule type="cellIs" dxfId="30" priority="27" operator="equal">
      <formula>"YES"</formula>
    </cfRule>
  </conditionalFormatting>
  <conditionalFormatting sqref="L29">
    <cfRule type="cellIs" dxfId="29" priority="24" operator="equal">
      <formula>"NO"</formula>
    </cfRule>
    <cfRule type="cellIs" dxfId="28" priority="25" operator="equal">
      <formula>"YES"</formula>
    </cfRule>
  </conditionalFormatting>
  <conditionalFormatting sqref="L30:L31">
    <cfRule type="cellIs" dxfId="27" priority="22" operator="equal">
      <formula>"NO"</formula>
    </cfRule>
    <cfRule type="cellIs" dxfId="26" priority="23" operator="equal">
      <formula>"YES"</formula>
    </cfRule>
  </conditionalFormatting>
  <conditionalFormatting sqref="L32">
    <cfRule type="cellIs" dxfId="25" priority="20" operator="equal">
      <formula>"NO"</formula>
    </cfRule>
    <cfRule type="cellIs" dxfId="24" priority="21" operator="equal">
      <formula>"YES"</formula>
    </cfRule>
  </conditionalFormatting>
  <conditionalFormatting sqref="L34">
    <cfRule type="cellIs" dxfId="23" priority="18" operator="equal">
      <formula>"NO"</formula>
    </cfRule>
    <cfRule type="cellIs" dxfId="22" priority="19" operator="equal">
      <formula>"YES"</formula>
    </cfRule>
  </conditionalFormatting>
  <conditionalFormatting sqref="L33">
    <cfRule type="cellIs" dxfId="21" priority="16" operator="equal">
      <formula>"NO"</formula>
    </cfRule>
    <cfRule type="cellIs" dxfId="20" priority="17" operator="equal">
      <formula>"YES"</formula>
    </cfRule>
  </conditionalFormatting>
  <conditionalFormatting sqref="L53:L55">
    <cfRule type="cellIs" dxfId="19" priority="13" operator="equal">
      <formula>"NO"</formula>
    </cfRule>
    <cfRule type="cellIs" dxfId="18" priority="14" operator="equal">
      <formula>"YES"</formula>
    </cfRule>
  </conditionalFormatting>
  <conditionalFormatting sqref="L43:L46">
    <cfRule type="cellIs" dxfId="17" priority="11" operator="equal">
      <formula>"NO"</formula>
    </cfRule>
    <cfRule type="cellIs" dxfId="16" priority="12" operator="equal">
      <formula>"YES"</formula>
    </cfRule>
  </conditionalFormatting>
  <conditionalFormatting sqref="L47">
    <cfRule type="cellIs" dxfId="15" priority="9" operator="equal">
      <formula>"NO"</formula>
    </cfRule>
    <cfRule type="cellIs" dxfId="14" priority="10" operator="equal">
      <formula>"YES"</formula>
    </cfRule>
  </conditionalFormatting>
  <conditionalFormatting sqref="L48:L49">
    <cfRule type="cellIs" dxfId="13" priority="7" operator="equal">
      <formula>"NO"</formula>
    </cfRule>
    <cfRule type="cellIs" dxfId="12" priority="8" operator="equal">
      <formula>"YES"</formula>
    </cfRule>
  </conditionalFormatting>
  <conditionalFormatting sqref="L50">
    <cfRule type="cellIs" dxfId="11" priority="5" operator="equal">
      <formula>"NO"</formula>
    </cfRule>
    <cfRule type="cellIs" dxfId="10" priority="6" operator="equal">
      <formula>"YES"</formula>
    </cfRule>
  </conditionalFormatting>
  <conditionalFormatting sqref="L52">
    <cfRule type="cellIs" dxfId="9" priority="3" operator="equal">
      <formula>"NO"</formula>
    </cfRule>
    <cfRule type="cellIs" dxfId="8" priority="4" operator="equal">
      <formula>"YES"</formula>
    </cfRule>
  </conditionalFormatting>
  <conditionalFormatting sqref="L51">
    <cfRule type="cellIs" dxfId="7" priority="1" operator="equal">
      <formula>"NO"</formula>
    </cfRule>
    <cfRule type="cellIs" dxfId="6" priority="2" operator="equal">
      <formula>"YES"</formula>
    </cfRule>
  </conditionalFormatting>
  <conditionalFormatting sqref="C4:E4 G4:H4 J4:K4 C13:E13 C12:D12 C14:D18 G13:H13 G12 G14:G18 J13:K13 J12 J14:J18 C6:E11 C5:D5 G6:H11 G5 J6:K11 J5">
    <cfRule type="expression" dxfId="5" priority="33">
      <formula>AND(C4&lt;&gt;"",C4&lt;&gt;#REF!)</formula>
    </cfRule>
  </conditionalFormatting>
  <dataValidations count="1">
    <dataValidation type="list" allowBlank="1" showInputMessage="1" showErrorMessage="1" sqref="C4:C18 C25:C35 C43:C53" xr:uid="{099608C9-7E22-4419-85B9-CFAC14C5A03F}">
      <formula1>"YES,NO"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Debits &amp; Credits NFP</vt:lpstr>
      <vt:lpstr>Debits &amp; Credits NFP Answers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Rick Antle</dc:creator>
  <cp:keywords/>
  <dc:description/>
  <cp:lastModifiedBy>Rick Antle</cp:lastModifiedBy>
  <cp:revision/>
  <dcterms:created xsi:type="dcterms:W3CDTF">2020-02-07T01:46:37Z</dcterms:created>
  <dcterms:modified xsi:type="dcterms:W3CDTF">2020-03-20T01:15:38Z</dcterms:modified>
  <cp:category/>
  <cp:contentStatus/>
</cp:coreProperties>
</file>