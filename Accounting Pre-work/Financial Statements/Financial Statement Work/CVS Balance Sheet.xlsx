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97" documentId="11_F8F7FD8CCAD5ED7F03B22EED93457FC17C157A02" xr6:coauthVersionLast="45" xr6:coauthVersionMax="45" xr10:uidLastSave="{15B8F4C5-1320-4528-A1DA-36473A4FF257}"/>
  <bookViews>
    <workbookView xWindow="3510" yWindow="3510" windowWidth="43200" windowHeight="17235" activeTab="4" xr2:uid="{00000000-000D-0000-FFFF-FFFF00000000}"/>
  </bookViews>
  <sheets>
    <sheet name="Balance Sheets" sheetId="1" r:id="rId1"/>
    <sheet name="Income Statements" sheetId="2" r:id="rId2"/>
    <sheet name="St Changes in SE" sheetId="3" r:id="rId3"/>
    <sheet name="Cash Flow Statements" sheetId="4" r:id="rId4"/>
    <sheet name="NI CFO Reconciliation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<sst xmlns="http://schemas.openxmlformats.org/spreadsheetml/2006/main" count="314" uniqueCount="168">
  <si>
    <t>Consolidated Balance Sheets</t>
  </si>
  <si>
    <t>At December 31</t>
  </si>
  <si>
    <t>In millions, except per share amounts</t>
  </si>
  <si>
    <t>Assets:</t>
  </si>
  <si>
    <t>Cash and cash equivalents</t>
  </si>
  <si>
    <t>Investments</t>
  </si>
  <si>
    <t>Accounts receivable, net</t>
  </si>
  <si>
    <t>Inventories</t>
  </si>
  <si>
    <t>Other current assets</t>
  </si>
  <si>
    <t>Total current assets</t>
  </si>
  <si>
    <t>Long-term investments</t>
  </si>
  <si>
    <t>Property and equipment, net</t>
  </si>
  <si>
    <t>Operating lease right-of-use assets</t>
  </si>
  <si>
    <t>—</t>
  </si>
  <si>
    <t>Goodwill</t>
  </si>
  <si>
    <t>Intangible assets, net</t>
  </si>
  <si>
    <t>Separate accounts assets</t>
  </si>
  <si>
    <t>Other assets</t>
  </si>
  <si>
    <t>Total assets</t>
  </si>
  <si>
    <t>Liabilities:</t>
  </si>
  <si>
    <t>Accounts payable</t>
  </si>
  <si>
    <t>Pharmacy claims and discounts payable</t>
  </si>
  <si>
    <t>Health care costs payable</t>
  </si>
  <si>
    <t>Policyholders’ funds</t>
  </si>
  <si>
    <t>Accrued expenses</t>
  </si>
  <si>
    <t>Other insurance liabilities</t>
  </si>
  <si>
    <t>Current portion of operating lease liabilities</t>
  </si>
  <si>
    <t>Short-term debt</t>
  </si>
  <si>
    <t>Current portion of long-term debt</t>
  </si>
  <si>
    <t>Total current liabilities</t>
  </si>
  <si>
    <t>Long-term operating lease liabilities</t>
  </si>
  <si>
    <t>Long-term debt</t>
  </si>
  <si>
    <t>Deferred income taxes</t>
  </si>
  <si>
    <t>Separate accounts liabilities</t>
  </si>
  <si>
    <t>Other long-term insurance liabilities</t>
  </si>
  <si>
    <t>Other long-term liabilities</t>
  </si>
  <si>
    <t>Total liabilities</t>
  </si>
  <si>
    <t>Commitments and contingencies (Note 16)</t>
  </si>
  <si>
    <t>Shareholders’ equity:</t>
  </si>
  <si>
    <t>Preferred stock, par value $0.01: 0.1 shares authorized; none issued or outstanding</t>
  </si>
  <si>
    <t>Common stock, par value $0.01: 3,200 shares authorized; 1,727 shares issued and 1,302 shares outstanding at December 31, 2019 and 1,720 shares issued and 1,295 shares outstanding at December 31, 2018 and capital surplus</t>
  </si>
  <si>
    <t>Treasury stock, at cost: 425 shares at both December 31, 2019 and 2018</t>
  </si>
  <si>
    <t>Retained earnings</t>
  </si>
  <si>
    <t>Accumulated other comprehensive income</t>
  </si>
  <si>
    <t>Total CVS Health shareholders’ equity</t>
  </si>
  <si>
    <t>Noncontrolling interests</t>
  </si>
  <si>
    <t>Total shareholders’ equity</t>
  </si>
  <si>
    <t>Total liabilities and shareholders’ equity</t>
  </si>
  <si>
    <t>Consolidated Statements of Operations</t>
  </si>
  <si>
    <t>For the Years Ended December 31</t>
  </si>
  <si>
    <t>Revenues:</t>
  </si>
  <si>
    <t>Products</t>
  </si>
  <si>
    <t>Premiums</t>
  </si>
  <si>
    <t>Services</t>
  </si>
  <si>
    <t>Net investment income</t>
  </si>
  <si>
    <t>Total revenues</t>
  </si>
  <si>
    <t>Operating costs:</t>
  </si>
  <si>
    <t>Cost of products sold</t>
  </si>
  <si>
    <t>Benefit costs</t>
  </si>
  <si>
    <t>Goodwill impairments</t>
  </si>
  <si>
    <t>Operating expenses</t>
  </si>
  <si>
    <t>Total operating costs</t>
  </si>
  <si>
    <t>Operating income</t>
  </si>
  <si>
    <t>Interest expense</t>
  </si>
  <si>
    <t>Loss on early extinguishment of debt</t>
  </si>
  <si>
    <t>Other expense (income)</t>
  </si>
  <si>
    <t>Income before income tax provision</t>
  </si>
  <si>
    <t>Income tax provision</t>
  </si>
  <si>
    <t>Income (loss) from continuing operations</t>
  </si>
  <si>
    <t>Loss from discontinued operations, net of tax</t>
  </si>
  <si>
    <t>Net income (loss)</t>
  </si>
  <si>
    <t>Net (income) loss attributable to noncontrolling interests</t>
  </si>
  <si>
    <t>Net income (loss) attributable to CVS Health</t>
  </si>
  <si>
    <r>
      <rPr>
        <b/>
        <sz val="7.5"/>
        <rFont val="Times New Roman"/>
        <family val="1"/>
      </rPr>
      <t>Number of shares outstanding</t>
    </r>
  </si>
  <si>
    <r>
      <rPr>
        <b/>
        <sz val="7.5"/>
        <rFont val="Times New Roman"/>
        <family val="1"/>
      </rPr>
      <t>Common Stock and</t>
    </r>
  </si>
  <si>
    <r>
      <rPr>
        <b/>
        <sz val="7.5"/>
        <rFont val="Times New Roman"/>
        <family val="1"/>
      </rPr>
      <t>Accumulated</t>
    </r>
  </si>
  <si>
    <r>
      <rPr>
        <b/>
        <sz val="7.5"/>
        <rFont val="Times New Roman"/>
        <family val="1"/>
      </rPr>
      <t>Total CVS Health</t>
    </r>
  </si>
  <si>
    <r>
      <rPr>
        <b/>
        <sz val="7.5"/>
        <rFont val="Times New Roman"/>
        <family val="1"/>
      </rPr>
      <t>Total</t>
    </r>
  </si>
  <si>
    <r>
      <rPr>
        <b/>
        <i/>
        <u/>
        <sz val="7.5"/>
        <rFont val="Times New Roman"/>
        <family val="1"/>
      </rPr>
      <t>In millions</t>
    </r>
  </si>
  <si>
    <r>
      <rPr>
        <b/>
        <sz val="7.5"/>
        <rFont val="Times New Roman"/>
        <family val="1"/>
      </rPr>
      <t>Common Shares</t>
    </r>
  </si>
  <si>
    <r>
      <rPr>
        <b/>
        <sz val="7.5"/>
        <rFont val="Times New Roman"/>
        <family val="1"/>
      </rPr>
      <t xml:space="preserve">Treasury Shares </t>
    </r>
    <r>
      <rPr>
        <b/>
        <vertAlign val="superscript"/>
        <sz val="4.5"/>
        <rFont val="Times New Roman"/>
        <family val="1"/>
      </rPr>
      <t>(1)</t>
    </r>
  </si>
  <si>
    <r>
      <rPr>
        <b/>
        <sz val="7.5"/>
        <rFont val="Times New Roman"/>
        <family val="1"/>
      </rPr>
      <t xml:space="preserve">Capital Surplus </t>
    </r>
    <r>
      <rPr>
        <b/>
        <vertAlign val="superscript"/>
        <sz val="4.5"/>
        <rFont val="Times New Roman"/>
        <family val="1"/>
      </rPr>
      <t>(2)</t>
    </r>
  </si>
  <si>
    <r>
      <rPr>
        <b/>
        <sz val="7.5"/>
        <rFont val="Times New Roman"/>
        <family val="1"/>
      </rPr>
      <t xml:space="preserve">Treasury Stock </t>
    </r>
    <r>
      <rPr>
        <b/>
        <vertAlign val="superscript"/>
        <sz val="4.5"/>
        <rFont val="Times New Roman"/>
        <family val="1"/>
      </rPr>
      <t>(1)</t>
    </r>
  </si>
  <si>
    <r>
      <rPr>
        <b/>
        <vertAlign val="subscript"/>
        <sz val="7.5"/>
        <rFont val="Times New Roman"/>
        <family val="1"/>
      </rPr>
      <t xml:space="preserve">Retained     </t>
    </r>
    <r>
      <rPr>
        <b/>
        <sz val="7.5"/>
        <rFont val="Times New Roman"/>
        <family val="1"/>
      </rPr>
      <t xml:space="preserve">Other Comprehensive
</t>
    </r>
    <r>
      <rPr>
        <b/>
        <vertAlign val="subscript"/>
        <sz val="7.5"/>
        <rFont val="Times New Roman"/>
        <family val="1"/>
      </rPr>
      <t xml:space="preserve">Earnings            </t>
    </r>
    <r>
      <rPr>
        <b/>
        <sz val="7.5"/>
        <rFont val="Times New Roman"/>
        <family val="1"/>
      </rPr>
      <t>Income (Loss)</t>
    </r>
  </si>
  <si>
    <r>
      <rPr>
        <b/>
        <sz val="7.5"/>
        <rFont val="Times New Roman"/>
        <family val="1"/>
      </rPr>
      <t>Shareholders’ Equity</t>
    </r>
  </si>
  <si>
    <r>
      <rPr>
        <b/>
        <sz val="7.5"/>
        <rFont val="Times New Roman"/>
        <family val="1"/>
      </rPr>
      <t>Noncontrolling Interests</t>
    </r>
  </si>
  <si>
    <r>
      <rPr>
        <b/>
        <sz val="7.5"/>
        <rFont val="Times New Roman"/>
        <family val="1"/>
      </rPr>
      <t>Balance at December 31, 2016</t>
    </r>
  </si>
  <si>
    <r>
      <rPr>
        <b/>
        <sz val="7.5"/>
        <rFont val="Times New Roman"/>
        <family val="1"/>
      </rPr>
      <t>$   (33,483)  $</t>
    </r>
  </si>
  <si>
    <r>
      <rPr>
        <b/>
        <sz val="7.5"/>
        <rFont val="Times New Roman"/>
        <family val="1"/>
      </rPr>
      <t>38,983    $                         (305)</t>
    </r>
  </si>
  <si>
    <r>
      <rPr>
        <sz val="7.5"/>
        <rFont val="Times New Roman"/>
        <family val="1"/>
      </rPr>
      <t>Net income</t>
    </r>
  </si>
  <si>
    <r>
      <rPr>
        <sz val="7.5"/>
        <rFont val="Times New Roman"/>
        <family val="1"/>
      </rPr>
      <t>—</t>
    </r>
  </si>
  <si>
    <r>
      <rPr>
        <sz val="7.5"/>
        <rFont val="Times New Roman"/>
        <family val="1"/>
      </rPr>
      <t>6,622                                  —</t>
    </r>
  </si>
  <si>
    <r>
      <rPr>
        <sz val="7.5"/>
        <rFont val="Times New Roman"/>
        <family val="1"/>
      </rPr>
      <t>Other comprehensive income (Note 13)</t>
    </r>
  </si>
  <si>
    <r>
      <rPr>
        <sz val="7.5"/>
        <rFont val="Times New Roman"/>
        <family val="1"/>
      </rPr>
      <t>—                                140</t>
    </r>
  </si>
  <si>
    <r>
      <rPr>
        <sz val="7.5"/>
        <rFont val="Times New Roman"/>
        <family val="1"/>
      </rPr>
      <t>Stock option activity, stock awards and other</t>
    </r>
  </si>
  <si>
    <r>
      <rPr>
        <sz val="7.5"/>
        <rFont val="Times New Roman"/>
        <family val="1"/>
      </rPr>
      <t>—                                  —</t>
    </r>
  </si>
  <si>
    <r>
      <rPr>
        <sz val="7.5"/>
        <rFont val="Times New Roman"/>
        <family val="1"/>
      </rPr>
      <t>Purchase of treasury shares, net of ESPP issuances</t>
    </r>
  </si>
  <si>
    <r>
      <rPr>
        <sz val="7.5"/>
        <rFont val="Times New Roman"/>
        <family val="1"/>
      </rPr>
      <t>Common stock dividends</t>
    </r>
  </si>
  <si>
    <r>
      <rPr>
        <sz val="7.5"/>
        <rFont val="Times New Roman"/>
        <family val="1"/>
      </rPr>
      <t>(2,049)                                —</t>
    </r>
  </si>
  <si>
    <r>
      <rPr>
        <sz val="7.5"/>
        <rFont val="Times New Roman"/>
        <family val="1"/>
      </rPr>
      <t>Other decreases in noncontrolling interests</t>
    </r>
  </si>
  <si>
    <r>
      <rPr>
        <b/>
        <sz val="7.5"/>
        <rFont val="Times New Roman"/>
        <family val="1"/>
      </rPr>
      <t>—</t>
    </r>
  </si>
  <si>
    <r>
      <rPr>
        <b/>
        <sz val="7.5"/>
        <rFont val="Times New Roman"/>
        <family val="1"/>
      </rPr>
      <t>—                                  —</t>
    </r>
  </si>
  <si>
    <r>
      <rPr>
        <b/>
        <sz val="7.5"/>
        <rFont val="Times New Roman"/>
        <family val="1"/>
      </rPr>
      <t>Balance at December 31, 2017</t>
    </r>
  </si>
  <si>
    <r>
      <rPr>
        <sz val="7.5"/>
        <rFont val="Times New Roman"/>
        <family val="1"/>
      </rPr>
      <t>43,556                               (165)</t>
    </r>
  </si>
  <si>
    <r>
      <rPr>
        <sz val="7.5"/>
        <rFont val="Times New Roman"/>
        <family val="1"/>
      </rPr>
      <t xml:space="preserve">Adoption of new accounting standards </t>
    </r>
    <r>
      <rPr>
        <vertAlign val="superscript"/>
        <sz val="4.5"/>
        <rFont val="Times New Roman"/>
        <family val="1"/>
      </rPr>
      <t>(3)</t>
    </r>
  </si>
  <si>
    <r>
      <rPr>
        <sz val="7.5"/>
        <rFont val="Times New Roman"/>
        <family val="1"/>
      </rPr>
      <t>(6)                                 (7)</t>
    </r>
  </si>
  <si>
    <r>
      <rPr>
        <sz val="7.5"/>
        <rFont val="Times New Roman"/>
        <family val="1"/>
      </rPr>
      <t>Net loss</t>
    </r>
  </si>
  <si>
    <r>
      <rPr>
        <sz val="7.5"/>
        <rFont val="Times New Roman"/>
        <family val="1"/>
      </rPr>
      <t>(594)                                —</t>
    </r>
  </si>
  <si>
    <r>
      <rPr>
        <sz val="7.5"/>
        <rFont val="Times New Roman"/>
        <family val="1"/>
      </rPr>
      <t>—                                274</t>
    </r>
  </si>
  <si>
    <r>
      <rPr>
        <sz val="7.5"/>
        <rFont val="Times New Roman"/>
        <family val="1"/>
      </rPr>
      <t>Common shares issued to acquire Aetna</t>
    </r>
  </si>
  <si>
    <r>
      <rPr>
        <sz val="7.5"/>
        <rFont val="Times New Roman"/>
        <family val="1"/>
      </rPr>
      <t>(2,045)                                —</t>
    </r>
  </si>
  <si>
    <r>
      <rPr>
        <sz val="7.5"/>
        <rFont val="Times New Roman"/>
        <family val="1"/>
      </rPr>
      <t>Acquisition of noncontrolling interests</t>
    </r>
  </si>
  <si>
    <r>
      <rPr>
        <b/>
        <sz val="7.5"/>
        <rFont val="Times New Roman"/>
        <family val="1"/>
      </rPr>
      <t>Balance at December 31, 2018</t>
    </r>
  </si>
  <si>
    <r>
      <rPr>
        <sz val="7.5"/>
        <rFont val="Times New Roman"/>
        <family val="1"/>
      </rPr>
      <t>40,911                                102</t>
    </r>
  </si>
  <si>
    <r>
      <rPr>
        <sz val="7.5"/>
        <rFont val="Times New Roman"/>
        <family val="1"/>
      </rPr>
      <t>Adoption of new accounting standards (Note 1)</t>
    </r>
  </si>
  <si>
    <r>
      <rPr>
        <sz val="7.5"/>
        <rFont val="Times New Roman"/>
        <family val="1"/>
      </rPr>
      <t>178                                  —</t>
    </r>
  </si>
  <si>
    <r>
      <rPr>
        <sz val="7.5"/>
        <rFont val="Times New Roman"/>
        <family val="1"/>
      </rPr>
      <t>Net income (loss)</t>
    </r>
  </si>
  <si>
    <r>
      <rPr>
        <sz val="7.5"/>
        <rFont val="Times New Roman"/>
        <family val="1"/>
      </rPr>
      <t>6,634                                  —</t>
    </r>
  </si>
  <si>
    <r>
      <rPr>
        <sz val="7.5"/>
        <rFont val="Times New Roman"/>
        <family val="1"/>
      </rPr>
      <t>—                                917</t>
    </r>
  </si>
  <si>
    <r>
      <rPr>
        <sz val="7.5"/>
        <rFont val="Times New Roman"/>
        <family val="1"/>
      </rPr>
      <t>(2,615)                                —</t>
    </r>
  </si>
  <si>
    <r>
      <rPr>
        <b/>
        <sz val="7.5"/>
        <rFont val="Times New Roman"/>
        <family val="1"/>
      </rPr>
      <t>Balance at December 31, 2019</t>
    </r>
  </si>
  <si>
    <r>
      <rPr>
        <b/>
        <sz val="7.5"/>
        <rFont val="Times New Roman"/>
        <family val="1"/>
      </rPr>
      <t>$   (28,235)  $</t>
    </r>
  </si>
  <si>
    <r>
      <rPr>
        <b/>
        <sz val="7.5"/>
        <rFont val="Times New Roman"/>
        <family val="1"/>
      </rPr>
      <t>45,108    $                       1,019</t>
    </r>
  </si>
  <si>
    <r>
      <rPr>
        <b/>
        <i/>
        <u/>
        <sz val="10"/>
        <rFont val="Arial"/>
        <family val="2"/>
      </rPr>
      <t>In millions</t>
    </r>
  </si>
  <si>
    <t>Cash flows from operating activities:</t>
  </si>
  <si>
    <t>Cash receipts from customers</t>
  </si>
  <si>
    <t>Cash paid for inventory and prescriptions dispensed by retail network pharmacies</t>
  </si>
  <si>
    <t>Insurance benefits paid</t>
  </si>
  <si>
    <t>Cash paid to other suppliers and employees</t>
  </si>
  <si>
    <t>Interest and investment income received</t>
  </si>
  <si>
    <t>Interest paid</t>
  </si>
  <si>
    <t>Income taxes paid</t>
  </si>
  <si>
    <t>Net cash provided by operating activities</t>
  </si>
  <si>
    <t>Cash flows from investing activities:</t>
  </si>
  <si>
    <t>Proceeds from sales and maturities of investments</t>
  </si>
  <si>
    <t>Purchases of investments</t>
  </si>
  <si>
    <t>Purchases of property and equipment</t>
  </si>
  <si>
    <t>Proceeds from sale-leaseback transactions</t>
  </si>
  <si>
    <t>Acquisitions (net of cash acquired)</t>
  </si>
  <si>
    <t>Proceeds from sale of subsidiary and other assets</t>
  </si>
  <si>
    <t>Other</t>
  </si>
  <si>
    <t>Net cash used in investing activities</t>
  </si>
  <si>
    <t>Cash flows from financing activities:</t>
  </si>
  <si>
    <t>Net repayments of short-term debt</t>
  </si>
  <si>
    <t>Proceeds from issuance of long-term debt</t>
  </si>
  <si>
    <t>Repayments of long-term debt</t>
  </si>
  <si>
    <t>Derivative settlements</t>
  </si>
  <si>
    <t>Repurchase of common stock</t>
  </si>
  <si>
    <t>Dividends paid</t>
  </si>
  <si>
    <t>Proceeds from exercise of stock options</t>
  </si>
  <si>
    <t>Payments for taxes related to net share settlement of equity awards</t>
  </si>
  <si>
    <t>Net cash provided by (used in) financing activities</t>
  </si>
  <si>
    <t>Effect of exchange rate changes on cash, cash equivalents and restricted cash</t>
  </si>
  <si>
    <t>Net increase (decrease) in cash, cash equivalents and restricted cash</t>
  </si>
  <si>
    <t>Cash, cash equivalents and restricted cash at the beginning of the period</t>
  </si>
  <si>
    <t>Cash, cash equivalents and restricted cash at the end of the period</t>
  </si>
  <si>
    <r>
      <rPr>
        <b/>
        <i/>
        <u/>
        <sz val="12"/>
        <rFont val="Arial"/>
        <family val="2"/>
      </rPr>
      <t>In millions</t>
    </r>
  </si>
  <si>
    <t>Reconciliation of net income (loss) to net cash provided by operating activities:</t>
  </si>
  <si>
    <t>Adjustments required to reconcile net income (loss) to net cash provided by operating activities:</t>
  </si>
  <si>
    <t>Depreciation and amortization</t>
  </si>
  <si>
    <t>Loss on settlement of defined benefit pension plans</t>
  </si>
  <si>
    <t>Stock-based compensation</t>
  </si>
  <si>
    <t>Loss on sale of subsidiary</t>
  </si>
  <si>
    <t>Other noncash items</t>
  </si>
  <si>
    <t>Change in operating assets and liabilities, net of effects from acquisitions:</t>
  </si>
  <si>
    <t>Accounts payable and pharmacy claims and discounts payable</t>
  </si>
  <si>
    <t>Health care costs payable and other insurance liabilities</t>
  </si>
  <si>
    <t>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</si>
</sst>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\ #,##0"/>
    <numFmt numFmtId="165" formatCode="0_);\(0\)"/>
    <numFmt numFmtId="166" formatCode="\$\ 0_);\(\$\ 0\)"/>
    <numFmt numFmtId="167" formatCode="\$\ 0"/>
  </numFmts>
  <fonts count="28" x14ac:knownFonts="1">
    <font>
      <sz val="10"/>
      <color rgb="FF000000"/>
      <name val="Times New Roman"/>
      <charset val="204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i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7.5"/>
      <name val="Times New Roman"/>
      <family val="1"/>
    </font>
    <font>
      <b/>
      <i/>
      <sz val="7.5"/>
      <name val="Times New Roman"/>
      <family val="1"/>
    </font>
    <font>
      <b/>
      <i/>
      <u/>
      <sz val="7.5"/>
      <name val="Times New Roman"/>
      <family val="1"/>
    </font>
    <font>
      <b/>
      <vertAlign val="superscript"/>
      <sz val="4.5"/>
      <name val="Times New Roman"/>
      <family val="1"/>
    </font>
    <font>
      <b/>
      <vertAlign val="subscript"/>
      <sz val="7.5"/>
      <name val="Times New Roman"/>
      <family val="1"/>
    </font>
    <font>
      <b/>
      <sz val="7.5"/>
      <color rgb="FF000000"/>
      <name val="Times New Roman"/>
      <family val="2"/>
    </font>
    <font>
      <sz val="7.5"/>
      <name val="Times New Roman"/>
      <family val="1"/>
    </font>
    <font>
      <sz val="7.5"/>
      <color rgb="FF000000"/>
      <name val="Times New Roman"/>
      <family val="2"/>
    </font>
    <font>
      <vertAlign val="superscript"/>
      <sz val="4.5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ED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97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center" vertical="top"/>
    </xf>
    <xf numFmtId="0" fontId="4" fillId="0" borderId="0" xfId="1" applyAlignment="1">
      <alignment horizontal="left" vertical="top"/>
    </xf>
    <xf numFmtId="0" fontId="1" fillId="0" borderId="0" xfId="1" applyFont="1" applyFill="1" applyAlignment="1">
      <alignment horizontal="left" vertical="top" wrapText="1"/>
    </xf>
    <xf numFmtId="164" fontId="2" fillId="0" borderId="0" xfId="1" applyNumberFormat="1" applyFont="1" applyFill="1" applyAlignment="1">
      <alignment horizontal="right" vertical="top" indent="1" shrinkToFit="1"/>
    </xf>
    <xf numFmtId="164" fontId="2" fillId="0" borderId="0" xfId="1" applyNumberFormat="1" applyFont="1" applyFill="1" applyAlignment="1">
      <alignment horizontal="right" vertical="top" shrinkToFit="1"/>
    </xf>
    <xf numFmtId="3" fontId="2" fillId="0" borderId="0" xfId="1" applyNumberFormat="1" applyFont="1" applyFill="1" applyAlignment="1">
      <alignment horizontal="right" vertical="top" indent="1" shrinkToFit="1"/>
    </xf>
    <xf numFmtId="3" fontId="2" fillId="0" borderId="0" xfId="1" applyNumberFormat="1" applyFont="1" applyFill="1" applyAlignment="1">
      <alignment horizontal="right" vertical="top" shrinkToFit="1"/>
    </xf>
    <xf numFmtId="3" fontId="2" fillId="0" borderId="1" xfId="1" applyNumberFormat="1" applyFont="1" applyFill="1" applyBorder="1" applyAlignment="1">
      <alignment horizontal="right" vertical="top" indent="1" shrinkToFit="1"/>
    </xf>
    <xf numFmtId="1" fontId="2" fillId="0" borderId="1" xfId="1" applyNumberFormat="1" applyFont="1" applyFill="1" applyBorder="1" applyAlignment="1">
      <alignment horizontal="right" vertical="top" indent="1" shrinkToFit="1"/>
    </xf>
    <xf numFmtId="1" fontId="2" fillId="0" borderId="1" xfId="1" applyNumberFormat="1" applyFont="1" applyFill="1" applyBorder="1" applyAlignment="1">
      <alignment horizontal="right" vertical="top" shrinkToFit="1"/>
    </xf>
    <xf numFmtId="3" fontId="2" fillId="0" borderId="3" xfId="1" applyNumberFormat="1" applyFont="1" applyFill="1" applyBorder="1" applyAlignment="1">
      <alignment horizontal="right" vertical="top" indent="1" shrinkToFit="1"/>
    </xf>
    <xf numFmtId="3" fontId="2" fillId="0" borderId="3" xfId="1" applyNumberFormat="1" applyFont="1" applyFill="1" applyBorder="1" applyAlignment="1">
      <alignment horizontal="right" vertical="top" shrinkToFit="1"/>
    </xf>
    <xf numFmtId="0" fontId="2" fillId="0" borderId="0" xfId="1" applyFont="1" applyFill="1" applyAlignment="1">
      <alignment horizontal="left" wrapText="1"/>
    </xf>
    <xf numFmtId="0" fontId="1" fillId="0" borderId="0" xfId="1" applyFont="1" applyFill="1" applyAlignment="1">
      <alignment horizontal="right" vertical="top" wrapText="1" indent="1"/>
    </xf>
    <xf numFmtId="1" fontId="2" fillId="0" borderId="0" xfId="1" applyNumberFormat="1" applyFont="1" applyFill="1" applyAlignment="1">
      <alignment horizontal="right" vertical="top" shrinkToFit="1"/>
    </xf>
    <xf numFmtId="3" fontId="2" fillId="0" borderId="1" xfId="1" applyNumberFormat="1" applyFont="1" applyFill="1" applyBorder="1" applyAlignment="1">
      <alignment horizontal="right" vertical="top" shrinkToFit="1"/>
    </xf>
    <xf numFmtId="3" fontId="2" fillId="0" borderId="2" xfId="1" applyNumberFormat="1" applyFont="1" applyFill="1" applyBorder="1" applyAlignment="1">
      <alignment horizontal="right" vertical="top" indent="1" shrinkToFit="1"/>
    </xf>
    <xf numFmtId="3" fontId="2" fillId="0" borderId="2" xfId="1" applyNumberFormat="1" applyFont="1" applyFill="1" applyBorder="1" applyAlignment="1">
      <alignment horizontal="right" vertical="top" shrinkToFit="1"/>
    </xf>
    <xf numFmtId="1" fontId="2" fillId="0" borderId="0" xfId="1" applyNumberFormat="1" applyFont="1" applyFill="1" applyAlignment="1">
      <alignment horizontal="right" vertical="top" indent="1" shrinkToFit="1"/>
    </xf>
    <xf numFmtId="0" fontId="1" fillId="0" borderId="0" xfId="1" applyFont="1" applyFill="1" applyAlignment="1">
      <alignment horizontal="right" vertical="top" wrapText="1"/>
    </xf>
    <xf numFmtId="165" fontId="2" fillId="0" borderId="1" xfId="1" applyNumberFormat="1" applyFont="1" applyFill="1" applyBorder="1" applyAlignment="1">
      <alignment horizontal="right" vertical="top" shrinkToFit="1"/>
    </xf>
    <xf numFmtId="165" fontId="2" fillId="0" borderId="3" xfId="1" applyNumberFormat="1" applyFont="1" applyFill="1" applyBorder="1" applyAlignment="1">
      <alignment horizontal="right" vertical="top" shrinkToFit="1"/>
    </xf>
    <xf numFmtId="0" fontId="1" fillId="0" borderId="1" xfId="1" applyFont="1" applyFill="1" applyBorder="1" applyAlignment="1">
      <alignment horizontal="right" vertical="top" wrapText="1" indent="1"/>
    </xf>
    <xf numFmtId="164" fontId="2" fillId="0" borderId="4" xfId="1" applyNumberFormat="1" applyFont="1" applyFill="1" applyBorder="1" applyAlignment="1">
      <alignment horizontal="right" vertical="top" indent="1" shrinkToFit="1"/>
    </xf>
    <xf numFmtId="166" fontId="2" fillId="0" borderId="4" xfId="1" applyNumberFormat="1" applyFont="1" applyFill="1" applyBorder="1" applyAlignment="1">
      <alignment horizontal="right" vertical="top" shrinkToFit="1"/>
    </xf>
    <xf numFmtId="164" fontId="2" fillId="0" borderId="4" xfId="1" applyNumberFormat="1" applyFont="1" applyFill="1" applyBorder="1" applyAlignment="1">
      <alignment horizontal="right" vertical="top" shrinkToFit="1"/>
    </xf>
    <xf numFmtId="0" fontId="6" fillId="0" borderId="2" xfId="1" applyFont="1" applyBorder="1" applyAlignment="1">
      <alignment horizontal="left" vertical="top" wrapText="1" indent="1"/>
    </xf>
    <xf numFmtId="0" fontId="4" fillId="0" borderId="2" xfId="1" applyBorder="1" applyAlignment="1">
      <alignment horizontal="left" vertical="top" wrapText="1"/>
    </xf>
    <xf numFmtId="0" fontId="4" fillId="0" borderId="1" xfId="1" applyBorder="1" applyAlignment="1">
      <alignment horizontal="left" vertical="top" wrapText="1" indent="1"/>
    </xf>
    <xf numFmtId="0" fontId="6" fillId="0" borderId="1" xfId="1" applyFont="1" applyBorder="1" applyAlignment="1">
      <alignment horizontal="left" vertical="top" wrapText="1" indent="2"/>
    </xf>
    <xf numFmtId="3" fontId="11" fillId="2" borderId="3" xfId="1" applyNumberFormat="1" applyFont="1" applyFill="1" applyBorder="1" applyAlignment="1">
      <alignment horizontal="right" vertical="center" shrinkToFit="1"/>
    </xf>
    <xf numFmtId="165" fontId="11" fillId="2" borderId="3" xfId="1" applyNumberFormat="1" applyFont="1" applyFill="1" applyBorder="1" applyAlignment="1">
      <alignment horizontal="right" vertical="center" shrinkToFit="1"/>
    </xf>
    <xf numFmtId="0" fontId="6" fillId="2" borderId="3" xfId="1" applyFont="1" applyFill="1" applyBorder="1" applyAlignment="1">
      <alignment horizontal="left" vertical="center" wrapText="1"/>
    </xf>
    <xf numFmtId="164" fontId="11" fillId="2" borderId="3" xfId="1" applyNumberFormat="1" applyFont="1" applyFill="1" applyBorder="1" applyAlignment="1">
      <alignment horizontal="right" vertical="center" indent="1" shrinkToFit="1"/>
    </xf>
    <xf numFmtId="0" fontId="12" fillId="0" borderId="0" xfId="1" applyFont="1" applyAlignment="1">
      <alignment horizontal="right" vertical="top" wrapText="1"/>
    </xf>
    <xf numFmtId="0" fontId="12" fillId="0" borderId="0" xfId="1" applyFont="1" applyAlignment="1">
      <alignment horizontal="left" vertical="top" wrapText="1" indent="3"/>
    </xf>
    <xf numFmtId="3" fontId="13" fillId="0" borderId="0" xfId="1" applyNumberFormat="1" applyFont="1" applyAlignment="1">
      <alignment horizontal="right" vertical="top" indent="1" shrinkToFit="1"/>
    </xf>
    <xf numFmtId="0" fontId="12" fillId="2" borderId="0" xfId="1" applyFont="1" applyFill="1" applyAlignment="1">
      <alignment horizontal="right" vertical="center" wrapText="1"/>
    </xf>
    <xf numFmtId="0" fontId="12" fillId="2" borderId="0" xfId="1" applyFont="1" applyFill="1" applyAlignment="1">
      <alignment horizontal="left" vertical="center" wrapText="1" indent="3"/>
    </xf>
    <xf numFmtId="0" fontId="12" fillId="2" borderId="0" xfId="1" applyFont="1" applyFill="1" applyAlignment="1">
      <alignment horizontal="right" vertical="center" wrapText="1" indent="1"/>
    </xf>
    <xf numFmtId="1" fontId="13" fillId="2" borderId="0" xfId="1" applyNumberFormat="1" applyFont="1" applyFill="1" applyAlignment="1">
      <alignment horizontal="right" vertical="center" indent="1" shrinkToFit="1"/>
    </xf>
    <xf numFmtId="1" fontId="13" fillId="0" borderId="0" xfId="1" applyNumberFormat="1" applyFont="1" applyAlignment="1">
      <alignment horizontal="right" vertical="center" shrinkToFit="1"/>
    </xf>
    <xf numFmtId="0" fontId="12" fillId="0" borderId="0" xfId="1" applyFont="1" applyAlignment="1">
      <alignment horizontal="left" vertical="center" wrapText="1" indent="3"/>
    </xf>
    <xf numFmtId="0" fontId="12" fillId="0" borderId="0" xfId="1" applyFont="1" applyAlignment="1">
      <alignment horizontal="right" vertical="center" wrapText="1" indent="1"/>
    </xf>
    <xf numFmtId="37" fontId="13" fillId="2" borderId="0" xfId="1" applyNumberFormat="1" applyFont="1" applyFill="1" applyAlignment="1">
      <alignment horizontal="left" vertical="center" indent="2" shrinkToFit="1"/>
    </xf>
    <xf numFmtId="37" fontId="13" fillId="2" borderId="0" xfId="1" applyNumberFormat="1" applyFont="1" applyFill="1" applyAlignment="1">
      <alignment horizontal="right" vertical="center" shrinkToFit="1"/>
    </xf>
    <xf numFmtId="0" fontId="12" fillId="0" borderId="0" xfId="1" applyFont="1" applyAlignment="1">
      <alignment horizontal="right" vertical="top" wrapText="1" indent="1"/>
    </xf>
    <xf numFmtId="37" fontId="13" fillId="0" borderId="0" xfId="1" applyNumberFormat="1" applyFont="1" applyAlignment="1">
      <alignment horizontal="right" vertical="top" shrinkToFit="1"/>
    </xf>
    <xf numFmtId="0" fontId="6" fillId="2" borderId="1" xfId="1" applyFont="1" applyFill="1" applyBorder="1" applyAlignment="1">
      <alignment horizontal="right" vertical="center" wrapText="1" indent="1"/>
    </xf>
    <xf numFmtId="0" fontId="6" fillId="2" borderId="1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left" vertical="center" wrapText="1" indent="3"/>
    </xf>
    <xf numFmtId="165" fontId="13" fillId="2" borderId="1" xfId="1" applyNumberFormat="1" applyFont="1" applyFill="1" applyBorder="1" applyAlignment="1">
      <alignment horizontal="right" vertical="center" shrinkToFit="1"/>
    </xf>
    <xf numFmtId="165" fontId="13" fillId="0" borderId="3" xfId="1" applyNumberFormat="1" applyFont="1" applyBorder="1" applyAlignment="1">
      <alignment horizontal="right" vertical="center" shrinkToFit="1"/>
    </xf>
    <xf numFmtId="3" fontId="13" fillId="0" borderId="3" xfId="1" applyNumberFormat="1" applyFont="1" applyBorder="1" applyAlignment="1">
      <alignment horizontal="right" vertical="center" shrinkToFit="1"/>
    </xf>
    <xf numFmtId="37" fontId="13" fillId="0" borderId="3" xfId="1" applyNumberFormat="1" applyFont="1" applyBorder="1" applyAlignment="1">
      <alignment horizontal="left" vertical="center" indent="1" shrinkToFit="1"/>
    </xf>
    <xf numFmtId="3" fontId="13" fillId="0" borderId="3" xfId="1" applyNumberFormat="1" applyFont="1" applyBorder="1" applyAlignment="1">
      <alignment horizontal="right" vertical="center" indent="1" shrinkToFit="1"/>
    </xf>
    <xf numFmtId="165" fontId="13" fillId="2" borderId="0" xfId="1" applyNumberFormat="1" applyFont="1" applyFill="1" applyAlignment="1">
      <alignment horizontal="right" vertical="center" shrinkToFit="1"/>
    </xf>
    <xf numFmtId="165" fontId="13" fillId="0" borderId="0" xfId="1" applyNumberFormat="1" applyFont="1" applyAlignment="1">
      <alignment horizontal="right" vertical="top" shrinkToFit="1"/>
    </xf>
    <xf numFmtId="0" fontId="12" fillId="0" borderId="0" xfId="1" applyFont="1" applyAlignment="1">
      <alignment horizontal="right" vertical="center" wrapText="1"/>
    </xf>
    <xf numFmtId="3" fontId="13" fillId="0" borderId="0" xfId="1" applyNumberFormat="1" applyFont="1" applyAlignment="1">
      <alignment horizontal="left" vertical="center" indent="2" shrinkToFit="1"/>
    </xf>
    <xf numFmtId="3" fontId="13" fillId="0" borderId="0" xfId="1" applyNumberFormat="1" applyFont="1" applyAlignment="1">
      <alignment horizontal="right" vertical="center" indent="1" shrinkToFit="1"/>
    </xf>
    <xf numFmtId="1" fontId="13" fillId="2" borderId="0" xfId="1" applyNumberFormat="1" applyFont="1" applyFill="1" applyAlignment="1">
      <alignment horizontal="right" vertical="center" shrinkToFit="1"/>
    </xf>
    <xf numFmtId="165" fontId="13" fillId="0" borderId="0" xfId="1" applyNumberFormat="1" applyFont="1" applyAlignment="1">
      <alignment horizontal="right" vertical="center" shrinkToFit="1"/>
    </xf>
    <xf numFmtId="0" fontId="12" fillId="2" borderId="0" xfId="1" applyFont="1" applyFill="1" applyAlignment="1">
      <alignment horizontal="right" vertical="top" wrapText="1"/>
    </xf>
    <xf numFmtId="0" fontId="12" fillId="2" borderId="0" xfId="1" applyFont="1" applyFill="1" applyAlignment="1">
      <alignment horizontal="left" vertical="top" wrapText="1" indent="3"/>
    </xf>
    <xf numFmtId="0" fontId="12" fillId="2" borderId="0" xfId="1" applyFont="1" applyFill="1" applyAlignment="1">
      <alignment horizontal="right" vertical="top" wrapText="1" indent="1"/>
    </xf>
    <xf numFmtId="37" fontId="13" fillId="2" borderId="0" xfId="1" applyNumberFormat="1" applyFont="1" applyFill="1" applyAlignment="1">
      <alignment horizontal="right" vertical="top" shrinkToFit="1"/>
    </xf>
    <xf numFmtId="1" fontId="13" fillId="0" borderId="0" xfId="1" applyNumberFormat="1" applyFont="1" applyAlignment="1">
      <alignment horizontal="right" vertical="center" indent="1" shrinkToFit="1"/>
    </xf>
    <xf numFmtId="0" fontId="12" fillId="2" borderId="1" xfId="1" applyFont="1" applyFill="1" applyBorder="1" applyAlignment="1">
      <alignment horizontal="right" vertical="center" wrapText="1" indent="1"/>
    </xf>
    <xf numFmtId="0" fontId="12" fillId="2" borderId="1" xfId="1" applyFont="1" applyFill="1" applyBorder="1" applyAlignment="1">
      <alignment horizontal="right" vertical="center" wrapText="1"/>
    </xf>
    <xf numFmtId="0" fontId="12" fillId="2" borderId="1" xfId="1" applyFont="1" applyFill="1" applyBorder="1" applyAlignment="1">
      <alignment horizontal="left" vertical="center" wrapText="1" indent="3"/>
    </xf>
    <xf numFmtId="165" fontId="13" fillId="2" borderId="0" xfId="1" applyNumberFormat="1" applyFont="1" applyFill="1" applyAlignment="1">
      <alignment horizontal="left" vertical="center" indent="4" shrinkToFit="1"/>
    </xf>
    <xf numFmtId="3" fontId="11" fillId="0" borderId="3" xfId="1" applyNumberFormat="1" applyFont="1" applyBorder="1" applyAlignment="1">
      <alignment horizontal="right" vertical="center" shrinkToFit="1"/>
    </xf>
    <xf numFmtId="165" fontId="11" fillId="0" borderId="3" xfId="1" applyNumberFormat="1" applyFont="1" applyBorder="1" applyAlignment="1">
      <alignment horizontal="right" vertical="center" shrinkToFit="1"/>
    </xf>
    <xf numFmtId="0" fontId="6" fillId="0" borderId="3" xfId="1" applyFont="1" applyBorder="1" applyAlignment="1">
      <alignment horizontal="left" vertical="center" wrapText="1"/>
    </xf>
    <xf numFmtId="164" fontId="11" fillId="0" borderId="3" xfId="1" applyNumberFormat="1" applyFont="1" applyBorder="1" applyAlignment="1">
      <alignment horizontal="right" vertical="center" indent="1" shrinkToFit="1"/>
    </xf>
    <xf numFmtId="0" fontId="16" fillId="0" borderId="0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  <xf numFmtId="0" fontId="15" fillId="0" borderId="5" xfId="0" applyFont="1" applyFill="1" applyBorder="1" applyAlignment="1">
      <alignment horizontal="center" vertical="top"/>
    </xf>
    <xf numFmtId="0" fontId="18" fillId="0" borderId="0" xfId="0" applyFont="1" applyFill="1" applyBorder="1" applyAlignment="1">
      <alignment horizontal="left" vertical="top" wrapText="1" indent="1"/>
    </xf>
    <xf numFmtId="164" fontId="19" fillId="0" borderId="0" xfId="0" applyNumberFormat="1" applyFont="1" applyFill="1" applyBorder="1" applyAlignment="1">
      <alignment horizontal="right" vertical="top" shrinkToFit="1"/>
    </xf>
    <xf numFmtId="3" fontId="19" fillId="0" borderId="0" xfId="0" applyNumberFormat="1" applyFont="1" applyFill="1" applyBorder="1" applyAlignment="1">
      <alignment horizontal="right" vertical="top" shrinkToFit="1"/>
    </xf>
    <xf numFmtId="3" fontId="19" fillId="0" borderId="1" xfId="0" applyNumberFormat="1" applyFont="1" applyFill="1" applyBorder="1" applyAlignment="1">
      <alignment horizontal="right" vertical="top" shrinkToFit="1"/>
    </xf>
    <xf numFmtId="0" fontId="18" fillId="0" borderId="0" xfId="0" applyFont="1" applyFill="1" applyBorder="1" applyAlignment="1">
      <alignment horizontal="left" vertical="top" wrapText="1" indent="2"/>
    </xf>
    <xf numFmtId="3" fontId="19" fillId="0" borderId="2" xfId="0" applyNumberFormat="1" applyFont="1" applyFill="1" applyBorder="1" applyAlignment="1">
      <alignment horizontal="right" vertical="top" shrinkToFit="1"/>
    </xf>
    <xf numFmtId="3" fontId="19" fillId="0" borderId="3" xfId="0" applyNumberFormat="1" applyFont="1" applyFill="1" applyBorder="1" applyAlignment="1">
      <alignment horizontal="right" vertical="top" shrinkToFit="1"/>
    </xf>
    <xf numFmtId="0" fontId="18" fillId="0" borderId="0" xfId="0" applyFont="1" applyFill="1" applyBorder="1" applyAlignment="1">
      <alignment horizontal="right" vertical="top" wrapText="1"/>
    </xf>
    <xf numFmtId="0" fontId="18" fillId="0" borderId="0" xfId="0" applyFont="1" applyFill="1" applyBorder="1" applyAlignment="1">
      <alignment horizontal="left" vertical="top" wrapText="1"/>
    </xf>
    <xf numFmtId="164" fontId="19" fillId="0" borderId="4" xfId="0" applyNumberFormat="1" applyFont="1" applyFill="1" applyBorder="1" applyAlignment="1">
      <alignment horizontal="right" vertical="top" shrinkToFit="1"/>
    </xf>
    <xf numFmtId="0" fontId="19" fillId="0" borderId="0" xfId="0" applyFont="1" applyFill="1" applyBorder="1" applyAlignment="1">
      <alignment horizontal="left" wrapText="1"/>
    </xf>
    <xf numFmtId="1" fontId="19" fillId="0" borderId="0" xfId="0" applyNumberFormat="1" applyFont="1" applyFill="1" applyBorder="1" applyAlignment="1">
      <alignment horizontal="right" vertical="top" shrinkToFit="1"/>
    </xf>
    <xf numFmtId="0" fontId="18" fillId="0" borderId="3" xfId="0" applyFont="1" applyFill="1" applyBorder="1" applyAlignment="1">
      <alignment horizontal="right" vertical="top" wrapText="1"/>
    </xf>
    <xf numFmtId="0" fontId="19" fillId="0" borderId="3" xfId="0" applyFont="1" applyFill="1" applyBorder="1" applyAlignment="1">
      <alignment horizontal="left" wrapText="1"/>
    </xf>
    <xf numFmtId="3" fontId="19" fillId="0" borderId="0" xfId="0" applyNumberFormat="1" applyFont="1" applyFill="1" applyBorder="1" applyAlignment="1">
      <alignment horizontal="right" shrinkToFit="1"/>
    </xf>
    <xf numFmtId="37" fontId="19" fillId="0" borderId="0" xfId="0" applyNumberFormat="1" applyFont="1" applyFill="1" applyBorder="1" applyAlignment="1">
      <alignment horizontal="right" vertical="top" shrinkToFit="1"/>
    </xf>
    <xf numFmtId="1" fontId="19" fillId="0" borderId="1" xfId="0" applyNumberFormat="1" applyFont="1" applyFill="1" applyBorder="1" applyAlignment="1">
      <alignment horizontal="right" vertical="top" shrinkToFit="1"/>
    </xf>
    <xf numFmtId="164" fontId="0" fillId="0" borderId="0" xfId="0" applyNumberFormat="1" applyFill="1" applyBorder="1" applyAlignment="1">
      <alignment horizontal="left" vertical="top"/>
    </xf>
    <xf numFmtId="0" fontId="21" fillId="0" borderId="0" xfId="1" applyFont="1" applyFill="1" applyAlignment="1">
      <alignment horizontal="left" vertical="center" wrapText="1"/>
    </xf>
    <xf numFmtId="1" fontId="23" fillId="0" borderId="1" xfId="1" applyNumberFormat="1" applyFont="1" applyFill="1" applyBorder="1" applyAlignment="1">
      <alignment horizontal="center" vertical="center" shrinkToFit="1"/>
    </xf>
    <xf numFmtId="0" fontId="24" fillId="0" borderId="0" xfId="1" applyFont="1" applyFill="1" applyAlignment="1">
      <alignment horizontal="left" vertical="center" wrapText="1"/>
    </xf>
    <xf numFmtId="0" fontId="20" fillId="0" borderId="3" xfId="1" applyFont="1" applyFill="1" applyBorder="1" applyAlignment="1">
      <alignment horizontal="left" vertical="center" wrapText="1"/>
    </xf>
    <xf numFmtId="164" fontId="20" fillId="0" borderId="0" xfId="1" applyNumberFormat="1" applyFont="1" applyFill="1" applyAlignment="1">
      <alignment vertical="center" shrinkToFit="1"/>
    </xf>
    <xf numFmtId="37" fontId="20" fillId="0" borderId="0" xfId="1" applyNumberFormat="1" applyFont="1" applyFill="1" applyAlignment="1">
      <alignment horizontal="right" vertical="center" shrinkToFit="1"/>
    </xf>
    <xf numFmtId="1" fontId="20" fillId="0" borderId="0" xfId="1" applyNumberFormat="1" applyFont="1" applyFill="1" applyAlignment="1">
      <alignment horizontal="right" vertical="center" shrinkToFit="1"/>
    </xf>
    <xf numFmtId="37" fontId="20" fillId="0" borderId="1" xfId="1" applyNumberFormat="1" applyFont="1" applyFill="1" applyBorder="1" applyAlignment="1">
      <alignment horizontal="right" vertical="center" shrinkToFit="1"/>
    </xf>
    <xf numFmtId="3" fontId="20" fillId="0" borderId="2" xfId="1" applyNumberFormat="1" applyFont="1" applyFill="1" applyBorder="1" applyAlignment="1">
      <alignment horizontal="right" vertical="center" shrinkToFit="1"/>
    </xf>
    <xf numFmtId="0" fontId="20" fillId="0" borderId="0" xfId="1" applyFont="1" applyFill="1" applyAlignment="1">
      <alignment horizontal="left" vertical="center" wrapText="1"/>
    </xf>
    <xf numFmtId="3" fontId="20" fillId="0" borderId="0" xfId="1" applyNumberFormat="1" applyFont="1" applyFill="1" applyAlignment="1">
      <alignment horizontal="right" vertical="center" shrinkToFit="1"/>
    </xf>
    <xf numFmtId="165" fontId="20" fillId="0" borderId="0" xfId="1" applyNumberFormat="1" applyFont="1" applyFill="1" applyAlignment="1">
      <alignment horizontal="right" vertical="center" shrinkToFit="1"/>
    </xf>
    <xf numFmtId="0" fontId="24" fillId="0" borderId="0" xfId="1" applyFont="1" applyFill="1" applyAlignment="1">
      <alignment horizontal="right" vertical="center" wrapText="1"/>
    </xf>
    <xf numFmtId="1" fontId="20" fillId="0" borderId="1" xfId="1" applyNumberFormat="1" applyFont="1" applyFill="1" applyBorder="1" applyAlignment="1">
      <alignment horizontal="right" vertical="center" shrinkToFit="1"/>
    </xf>
    <xf numFmtId="37" fontId="20" fillId="0" borderId="2" xfId="1" applyNumberFormat="1" applyFont="1" applyFill="1" applyBorder="1" applyAlignment="1">
      <alignment horizontal="right" vertical="center" shrinkToFit="1"/>
    </xf>
    <xf numFmtId="0" fontId="24" fillId="0" borderId="1" xfId="1" applyFont="1" applyFill="1" applyBorder="1" applyAlignment="1">
      <alignment horizontal="right" vertical="center" wrapText="1"/>
    </xf>
    <xf numFmtId="165" fontId="20" fillId="0" borderId="1" xfId="1" applyNumberFormat="1" applyFont="1" applyFill="1" applyBorder="1" applyAlignment="1">
      <alignment horizontal="right" vertical="center" shrinkToFit="1"/>
    </xf>
    <xf numFmtId="0" fontId="24" fillId="0" borderId="2" xfId="1" applyFont="1" applyFill="1" applyBorder="1" applyAlignment="1">
      <alignment horizontal="right" vertical="center" wrapText="1"/>
    </xf>
    <xf numFmtId="165" fontId="20" fillId="0" borderId="2" xfId="1" applyNumberFormat="1" applyFont="1" applyFill="1" applyBorder="1" applyAlignment="1">
      <alignment horizontal="right" vertical="center" shrinkToFit="1"/>
    </xf>
    <xf numFmtId="1" fontId="20" fillId="0" borderId="2" xfId="1" applyNumberFormat="1" applyFont="1" applyFill="1" applyBorder="1" applyAlignment="1">
      <alignment horizontal="right" vertical="center" shrinkToFit="1"/>
    </xf>
    <xf numFmtId="3" fontId="20" fillId="0" borderId="3" xfId="1" applyNumberFormat="1" applyFont="1" applyFill="1" applyBorder="1" applyAlignment="1">
      <alignment horizontal="right" vertical="center" shrinkToFit="1"/>
    </xf>
    <xf numFmtId="37" fontId="20" fillId="0" borderId="3" xfId="1" applyNumberFormat="1" applyFont="1" applyFill="1" applyBorder="1" applyAlignment="1">
      <alignment horizontal="right" vertical="center" shrinkToFit="1"/>
    </xf>
    <xf numFmtId="3" fontId="20" fillId="0" borderId="1" xfId="1" applyNumberFormat="1" applyFont="1" applyFill="1" applyBorder="1" applyAlignment="1">
      <alignment horizontal="right" vertical="center" shrinkToFit="1"/>
    </xf>
    <xf numFmtId="164" fontId="20" fillId="0" borderId="3" xfId="1" applyNumberFormat="1" applyFont="1" applyFill="1" applyBorder="1" applyAlignment="1">
      <alignment vertical="center" shrinkToFit="1"/>
    </xf>
    <xf numFmtId="0" fontId="18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center" vertical="top"/>
    </xf>
    <xf numFmtId="0" fontId="2" fillId="0" borderId="0" xfId="1" applyFont="1" applyFill="1" applyAlignment="1">
      <alignment horizontal="left" wrapText="1"/>
    </xf>
    <xf numFmtId="0" fontId="5" fillId="0" borderId="0" xfId="0" applyFont="1" applyFill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0" fontId="6" fillId="0" borderId="0" xfId="1" applyFont="1" applyAlignment="1">
      <alignment horizontal="left" vertical="top" wrapText="1" indent="14"/>
    </xf>
    <xf numFmtId="0" fontId="6" fillId="0" borderId="3" xfId="1" applyFont="1" applyBorder="1" applyAlignment="1">
      <alignment horizontal="left" vertical="top" wrapText="1" indent="1"/>
    </xf>
    <xf numFmtId="0" fontId="6" fillId="0" borderId="3" xfId="1" applyFont="1" applyBorder="1" applyAlignment="1">
      <alignment horizontal="left" vertical="top" wrapText="1" indent="7"/>
    </xf>
    <xf numFmtId="0" fontId="6" fillId="0" borderId="3" xfId="1" applyFont="1" applyBorder="1" applyAlignment="1">
      <alignment horizontal="left" vertical="top" wrapText="1" indent="2"/>
    </xf>
    <xf numFmtId="0" fontId="6" fillId="0" borderId="0" xfId="1" applyFont="1" applyAlignment="1">
      <alignment horizontal="right" vertical="center" wrapText="1" indent="4"/>
    </xf>
    <xf numFmtId="0" fontId="7" fillId="0" borderId="0" xfId="1" applyFont="1" applyAlignment="1">
      <alignment horizontal="left" vertical="center" wrapText="1"/>
    </xf>
    <xf numFmtId="0" fontId="4" fillId="0" borderId="1" xfId="1" applyBorder="1" applyAlignment="1">
      <alignment horizontal="left" vertical="top" wrapText="1" indent="1"/>
    </xf>
    <xf numFmtId="0" fontId="4" fillId="0" borderId="1" xfId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 indent="1"/>
    </xf>
    <xf numFmtId="0" fontId="6" fillId="0" borderId="1" xfId="1" applyFont="1" applyBorder="1" applyAlignment="1">
      <alignment horizontal="left" vertical="top" wrapText="1" indent="2"/>
    </xf>
    <xf numFmtId="0" fontId="6" fillId="2" borderId="0" xfId="1" applyFont="1" applyFill="1" applyAlignment="1">
      <alignment horizontal="left" vertical="top" wrapText="1"/>
    </xf>
    <xf numFmtId="164" fontId="11" fillId="2" borderId="3" xfId="1" applyNumberFormat="1" applyFont="1" applyFill="1" applyBorder="1" applyAlignment="1">
      <alignment horizontal="right" vertical="center" shrinkToFit="1"/>
    </xf>
    <xf numFmtId="0" fontId="6" fillId="2" borderId="3" xfId="1" applyFont="1" applyFill="1" applyBorder="1" applyAlignment="1">
      <alignment horizontal="right" vertical="center" wrapText="1"/>
    </xf>
    <xf numFmtId="167" fontId="11" fillId="2" borderId="3" xfId="1" applyNumberFormat="1" applyFont="1" applyFill="1" applyBorder="1" applyAlignment="1">
      <alignment horizontal="right" vertical="center" indent="1" shrinkToFit="1"/>
    </xf>
    <xf numFmtId="0" fontId="12" fillId="0" borderId="0" xfId="1" applyFont="1" applyAlignment="1">
      <alignment horizontal="left" vertical="top" wrapText="1"/>
    </xf>
    <xf numFmtId="0" fontId="12" fillId="0" borderId="0" xfId="1" applyFont="1" applyAlignment="1">
      <alignment horizontal="right" vertical="top" wrapText="1"/>
    </xf>
    <xf numFmtId="3" fontId="13" fillId="0" borderId="0" xfId="1" applyNumberFormat="1" applyFont="1" applyAlignment="1">
      <alignment horizontal="right" vertical="top" shrinkToFit="1"/>
    </xf>
    <xf numFmtId="1" fontId="13" fillId="0" borderId="0" xfId="1" applyNumberFormat="1" applyFont="1" applyAlignment="1">
      <alignment horizontal="right" vertical="top" indent="1" shrinkToFit="1"/>
    </xf>
    <xf numFmtId="0" fontId="12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right" vertical="center" wrapText="1"/>
    </xf>
    <xf numFmtId="1" fontId="13" fillId="2" borderId="0" xfId="1" applyNumberFormat="1" applyFont="1" applyFill="1" applyAlignment="1">
      <alignment horizontal="right" vertical="center" shrinkToFit="1"/>
    </xf>
    <xf numFmtId="0" fontId="12" fillId="2" borderId="0" xfId="1" applyFont="1" applyFill="1" applyAlignment="1">
      <alignment horizontal="right" vertical="center" wrapText="1" indent="1"/>
    </xf>
    <xf numFmtId="1" fontId="13" fillId="0" borderId="0" xfId="1" applyNumberFormat="1" applyFont="1" applyAlignment="1">
      <alignment horizontal="right" vertical="center" shrinkToFit="1"/>
    </xf>
    <xf numFmtId="0" fontId="12" fillId="0" borderId="0" xfId="1" applyFont="1" applyAlignment="1">
      <alignment horizontal="right" vertical="center" wrapText="1"/>
    </xf>
    <xf numFmtId="0" fontId="12" fillId="0" borderId="0" xfId="1" applyFont="1" applyAlignment="1">
      <alignment horizontal="right" vertical="center" wrapText="1" indent="1"/>
    </xf>
    <xf numFmtId="37" fontId="13" fillId="2" borderId="0" xfId="1" applyNumberFormat="1" applyFont="1" applyFill="1" applyAlignment="1">
      <alignment horizontal="right" vertical="center" shrinkToFit="1"/>
    </xf>
    <xf numFmtId="37" fontId="13" fillId="0" borderId="0" xfId="1" applyNumberFormat="1" applyFont="1" applyAlignment="1">
      <alignment horizontal="right" vertical="top" shrinkToFit="1"/>
    </xf>
    <xf numFmtId="0" fontId="12" fillId="0" borderId="0" xfId="1" applyFont="1" applyAlignment="1">
      <alignment horizontal="right" vertical="top" wrapText="1" indent="1"/>
    </xf>
    <xf numFmtId="0" fontId="6" fillId="2" borderId="1" xfId="1" applyFont="1" applyFill="1" applyBorder="1" applyAlignment="1">
      <alignment horizontal="right" vertical="center" wrapText="1"/>
    </xf>
    <xf numFmtId="165" fontId="13" fillId="2" borderId="1" xfId="1" applyNumberFormat="1" applyFont="1" applyFill="1" applyBorder="1" applyAlignment="1">
      <alignment horizontal="right" vertical="center" shrinkToFit="1"/>
    </xf>
    <xf numFmtId="0" fontId="6" fillId="0" borderId="0" xfId="1" applyFont="1" applyAlignment="1">
      <alignment horizontal="left" vertical="top" wrapText="1"/>
    </xf>
    <xf numFmtId="3" fontId="13" fillId="0" borderId="3" xfId="1" applyNumberFormat="1" applyFont="1" applyBorder="1" applyAlignment="1">
      <alignment horizontal="right" vertical="center" shrinkToFit="1"/>
    </xf>
    <xf numFmtId="0" fontId="12" fillId="0" borderId="3" xfId="1" applyFont="1" applyBorder="1" applyAlignment="1">
      <alignment horizontal="right" vertical="center" wrapText="1"/>
    </xf>
    <xf numFmtId="1" fontId="13" fillId="0" borderId="3" xfId="1" applyNumberFormat="1" applyFont="1" applyBorder="1" applyAlignment="1">
      <alignment horizontal="right" vertical="center" indent="1" shrinkToFit="1"/>
    </xf>
    <xf numFmtId="0" fontId="4" fillId="2" borderId="0" xfId="1" applyFill="1" applyAlignment="1">
      <alignment horizontal="left" vertical="top" wrapText="1"/>
    </xf>
    <xf numFmtId="165" fontId="13" fillId="2" borderId="0" xfId="1" applyNumberFormat="1" applyFont="1" applyFill="1" applyAlignment="1">
      <alignment horizontal="right" vertical="center" shrinkToFit="1"/>
    </xf>
    <xf numFmtId="165" fontId="13" fillId="0" borderId="0" xfId="1" applyNumberFormat="1" applyFont="1" applyAlignment="1">
      <alignment horizontal="right" vertical="top" shrinkToFit="1"/>
    </xf>
    <xf numFmtId="3" fontId="13" fillId="0" borderId="0" xfId="1" applyNumberFormat="1" applyFont="1" applyAlignment="1">
      <alignment horizontal="right" vertical="center" shrinkToFit="1"/>
    </xf>
    <xf numFmtId="0" fontId="12" fillId="2" borderId="0" xfId="1" applyFont="1" applyFill="1" applyAlignment="1">
      <alignment horizontal="right" vertical="top" wrapText="1"/>
    </xf>
    <xf numFmtId="37" fontId="13" fillId="2" borderId="0" xfId="1" applyNumberFormat="1" applyFont="1" applyFill="1" applyAlignment="1">
      <alignment horizontal="right" vertical="top" shrinkToFit="1"/>
    </xf>
    <xf numFmtId="0" fontId="12" fillId="2" borderId="0" xfId="1" applyFont="1" applyFill="1" applyAlignment="1">
      <alignment horizontal="right" vertical="top" wrapText="1" indent="1"/>
    </xf>
    <xf numFmtId="1" fontId="13" fillId="0" borderId="0" xfId="1" applyNumberFormat="1" applyFont="1" applyAlignment="1">
      <alignment horizontal="right" vertical="center" indent="1" shrinkToFit="1"/>
    </xf>
    <xf numFmtId="0" fontId="12" fillId="2" borderId="1" xfId="1" applyFont="1" applyFill="1" applyBorder="1" applyAlignment="1">
      <alignment horizontal="right" vertical="center" wrapText="1"/>
    </xf>
    <xf numFmtId="164" fontId="11" fillId="0" borderId="3" xfId="1" applyNumberFormat="1" applyFont="1" applyBorder="1" applyAlignment="1">
      <alignment horizontal="right" vertical="center" shrinkToFit="1"/>
    </xf>
    <xf numFmtId="0" fontId="6" fillId="0" borderId="3" xfId="1" applyFont="1" applyBorder="1" applyAlignment="1">
      <alignment horizontal="right" vertical="center" wrapText="1"/>
    </xf>
    <xf numFmtId="167" fontId="11" fillId="0" borderId="3" xfId="1" applyNumberFormat="1" applyFont="1" applyBorder="1" applyAlignment="1">
      <alignment horizontal="right" vertical="center" indent="1" shrinkToFit="1"/>
    </xf>
    <xf numFmtId="0" fontId="25" fillId="0" borderId="0" xfId="1" applyFont="1" applyAlignment="1">
      <alignment horizontal="left" vertical="top" wrapText="1"/>
    </xf>
    <xf numFmtId="1" fontId="27" fillId="0" borderId="1" xfId="1" applyNumberFormat="1" applyFont="1" applyBorder="1" applyAlignment="1">
      <alignment horizontal="left" vertical="top" indent="5" shrinkToFit="1"/>
    </xf>
    <xf numFmtId="1" fontId="27" fillId="0" borderId="1" xfId="1" applyNumberFormat="1" applyFont="1" applyBorder="1" applyAlignment="1">
      <alignment horizontal="center" vertical="top" shrinkToFit="1"/>
    </xf>
    <xf numFmtId="0" fontId="18" fillId="0" borderId="0" xfId="1" applyFont="1" applyAlignment="1">
      <alignment horizontal="left" vertical="top" wrapText="1"/>
    </xf>
    <xf numFmtId="0" fontId="19" fillId="0" borderId="3" xfId="1" applyFont="1" applyBorder="1" applyAlignment="1">
      <alignment horizontal="left" wrapText="1"/>
    </xf>
    <xf numFmtId="0" fontId="18" fillId="0" borderId="0" xfId="1" applyFont="1" applyAlignment="1">
      <alignment horizontal="left" vertical="top" wrapText="1" indent="1"/>
    </xf>
    <xf numFmtId="164" fontId="19" fillId="0" borderId="0" xfId="1" applyNumberFormat="1" applyFont="1" applyAlignment="1">
      <alignment vertical="top" shrinkToFit="1"/>
    </xf>
    <xf numFmtId="166" fontId="19" fillId="0" borderId="0" xfId="1" applyNumberFormat="1" applyFont="1" applyAlignment="1">
      <alignment vertical="top" shrinkToFit="1"/>
    </xf>
    <xf numFmtId="0" fontId="19" fillId="0" borderId="0" xfId="1" applyFont="1" applyAlignment="1">
      <alignment wrapText="1"/>
    </xf>
    <xf numFmtId="0" fontId="18" fillId="0" borderId="0" xfId="1" applyFont="1" applyAlignment="1">
      <alignment horizontal="left" vertical="top" wrapText="1" indent="2"/>
    </xf>
    <xf numFmtId="3" fontId="19" fillId="0" borderId="0" xfId="1" applyNumberFormat="1" applyFont="1" applyAlignment="1">
      <alignment horizontal="right" vertical="top" indent="1" shrinkToFit="1"/>
    </xf>
    <xf numFmtId="3" fontId="19" fillId="0" borderId="0" xfId="1" applyNumberFormat="1" applyFont="1" applyAlignment="1">
      <alignment horizontal="right" vertical="top" shrinkToFit="1"/>
    </xf>
    <xf numFmtId="0" fontId="18" fillId="0" borderId="0" xfId="1" applyFont="1" applyAlignment="1">
      <alignment horizontal="right" vertical="top" wrapText="1" indent="1"/>
    </xf>
    <xf numFmtId="1" fontId="19" fillId="0" borderId="0" xfId="1" applyNumberFormat="1" applyFont="1" applyAlignment="1">
      <alignment horizontal="right" vertical="top" shrinkToFit="1"/>
    </xf>
    <xf numFmtId="1" fontId="19" fillId="0" borderId="0" xfId="1" applyNumberFormat="1" applyFont="1" applyAlignment="1">
      <alignment horizontal="right" vertical="top" indent="1" shrinkToFit="1"/>
    </xf>
    <xf numFmtId="0" fontId="18" fillId="0" borderId="0" xfId="1" applyFont="1" applyAlignment="1">
      <alignment horizontal="right" vertical="top" wrapText="1"/>
    </xf>
    <xf numFmtId="165" fontId="19" fillId="0" borderId="0" xfId="1" applyNumberFormat="1" applyFont="1" applyAlignment="1">
      <alignment horizontal="right" vertical="top" shrinkToFit="1"/>
    </xf>
    <xf numFmtId="37" fontId="19" fillId="0" borderId="0" xfId="1" applyNumberFormat="1" applyFont="1" applyAlignment="1">
      <alignment horizontal="right" vertical="top" shrinkToFit="1"/>
    </xf>
    <xf numFmtId="0" fontId="19" fillId="0" borderId="0" xfId="1" applyFont="1" applyAlignment="1">
      <alignment horizontal="left" wrapText="1"/>
    </xf>
    <xf numFmtId="3" fontId="19" fillId="0" borderId="1" xfId="1" applyNumberFormat="1" applyFont="1" applyBorder="1" applyAlignment="1">
      <alignment horizontal="right" vertical="top" indent="1" shrinkToFit="1"/>
    </xf>
    <xf numFmtId="1" fontId="19" fillId="0" borderId="1" xfId="1" applyNumberFormat="1" applyFont="1" applyBorder="1" applyAlignment="1">
      <alignment horizontal="right" vertical="top" indent="1" shrinkToFit="1"/>
    </xf>
    <xf numFmtId="165" fontId="19" fillId="0" borderId="1" xfId="1" applyNumberFormat="1" applyFont="1" applyBorder="1" applyAlignment="1">
      <alignment horizontal="right" vertical="top" shrinkToFit="1"/>
    </xf>
    <xf numFmtId="164" fontId="19" fillId="0" borderId="3" xfId="1" applyNumberFormat="1" applyFont="1" applyBorder="1" applyAlignment="1">
      <alignment vertical="top" shrinkToFit="1"/>
    </xf>
  </cellXfs>
  <cellStyles count="2">
    <cellStyle name="Normal" xfId="0" builtinId="0"/>
    <cellStyle name="Normal 2" xfId="1" xr:uid="{E86E180C-798B-4153-90DA-E578588E71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223484</xdr:rowOff>
    </xdr:from>
    <xdr:to>
      <xdr:col>6</xdr:col>
      <xdr:colOff>571500</xdr:colOff>
      <xdr:row>27</xdr:row>
      <xdr:rowOff>223484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4DC6D54-527B-4DB8-98A3-9BCDFEEE3C02}"/>
            </a:ext>
          </a:extLst>
        </xdr:cNvPr>
        <xdr:cNvSpPr/>
      </xdr:nvSpPr>
      <xdr:spPr>
        <a:xfrm>
          <a:off x="0" y="6500459"/>
          <a:ext cx="3486150" cy="0"/>
        </a:xfrm>
        <a:custGeom>
          <a:avLst/>
          <a:gdLst/>
          <a:ahLst/>
          <a:cxnLst/>
          <a:rect l="0" t="0" r="0" b="0"/>
          <a:pathLst>
            <a:path w="3365500">
              <a:moveTo>
                <a:pt x="0" y="0"/>
              </a:moveTo>
              <a:lnTo>
                <a:pt x="3365047" y="0"/>
              </a:lnTo>
            </a:path>
            <a:path w="3365500">
              <a:moveTo>
                <a:pt x="0" y="0"/>
              </a:moveTo>
              <a:lnTo>
                <a:pt x="573684" y="0"/>
              </a:lnTo>
            </a:path>
            <a:path w="3365500">
              <a:moveTo>
                <a:pt x="573684" y="0"/>
              </a:moveTo>
              <a:lnTo>
                <a:pt x="1061745" y="0"/>
              </a:lnTo>
            </a:path>
            <a:path w="3365500">
              <a:moveTo>
                <a:pt x="1061745" y="0"/>
              </a:moveTo>
              <a:lnTo>
                <a:pt x="1618305" y="0"/>
              </a:lnTo>
            </a:path>
            <a:path w="3365500">
              <a:moveTo>
                <a:pt x="1618305" y="0"/>
              </a:moveTo>
              <a:lnTo>
                <a:pt x="2551613" y="0"/>
              </a:lnTo>
            </a:path>
            <a:path w="3365500">
              <a:moveTo>
                <a:pt x="2551613" y="0"/>
              </a:moveTo>
              <a:lnTo>
                <a:pt x="3365047" y="0"/>
              </a:lnTo>
            </a:path>
          </a:pathLst>
        </a:custGeom>
        <a:ln w="378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zoomScale="160" zoomScaleNormal="160" workbookViewId="0">
      <selection activeCell="E19" sqref="E19"/>
    </sheetView>
  </sheetViews>
  <sheetFormatPr defaultRowHeight="12.75" x14ac:dyDescent="0.2"/>
  <cols>
    <col min="1" max="1" width="60" customWidth="1"/>
    <col min="2" max="2" width="17.33203125" customWidth="1"/>
    <col min="3" max="3" width="18.6640625" customWidth="1"/>
  </cols>
  <sheetData>
    <row r="1" spans="1:3" x14ac:dyDescent="0.2">
      <c r="A1" s="124" t="s">
        <v>0</v>
      </c>
      <c r="B1" s="124"/>
      <c r="C1" s="124"/>
    </row>
    <row r="2" spans="1:3" x14ac:dyDescent="0.2">
      <c r="A2" s="78"/>
      <c r="B2" s="124" t="s">
        <v>1</v>
      </c>
      <c r="C2" s="124"/>
    </row>
    <row r="3" spans="1:3" ht="13.5" thickBot="1" x14ac:dyDescent="0.25">
      <c r="A3" s="79" t="s">
        <v>2</v>
      </c>
      <c r="B3" s="80">
        <v>2019</v>
      </c>
      <c r="C3" s="80">
        <v>2018</v>
      </c>
    </row>
    <row r="4" spans="1:3" ht="15" x14ac:dyDescent="0.2">
      <c r="A4" s="123" t="s">
        <v>3</v>
      </c>
      <c r="B4" s="123"/>
      <c r="C4" s="123"/>
    </row>
    <row r="5" spans="1:3" ht="15" x14ac:dyDescent="0.2">
      <c r="A5" s="81" t="s">
        <v>4</v>
      </c>
      <c r="B5" s="82">
        <v>5683</v>
      </c>
      <c r="C5" s="82">
        <v>4059</v>
      </c>
    </row>
    <row r="6" spans="1:3" ht="15" x14ac:dyDescent="0.2">
      <c r="A6" s="81" t="s">
        <v>5</v>
      </c>
      <c r="B6" s="83">
        <v>2373</v>
      </c>
      <c r="C6" s="83">
        <v>2522</v>
      </c>
    </row>
    <row r="7" spans="1:3" ht="15" x14ac:dyDescent="0.2">
      <c r="A7" s="81" t="s">
        <v>6</v>
      </c>
      <c r="B7" s="83">
        <v>19617</v>
      </c>
      <c r="C7" s="83">
        <v>17631</v>
      </c>
    </row>
    <row r="8" spans="1:3" ht="15" x14ac:dyDescent="0.2">
      <c r="A8" s="81" t="s">
        <v>7</v>
      </c>
      <c r="B8" s="83">
        <v>17516</v>
      </c>
      <c r="C8" s="83">
        <v>16450</v>
      </c>
    </row>
    <row r="9" spans="1:3" ht="15" x14ac:dyDescent="0.2">
      <c r="A9" s="81" t="s">
        <v>8</v>
      </c>
      <c r="B9" s="84">
        <v>5113</v>
      </c>
      <c r="C9" s="84">
        <v>4581</v>
      </c>
    </row>
    <row r="10" spans="1:3" ht="15" x14ac:dyDescent="0.2">
      <c r="A10" s="85" t="s">
        <v>9</v>
      </c>
      <c r="B10" s="86">
        <v>50302</v>
      </c>
      <c r="C10" s="86">
        <v>45243</v>
      </c>
    </row>
    <row r="11" spans="1:3" ht="15" x14ac:dyDescent="0.2">
      <c r="A11" s="81" t="s">
        <v>10</v>
      </c>
      <c r="B11" s="87">
        <v>17314</v>
      </c>
      <c r="C11" s="87">
        <v>15732</v>
      </c>
    </row>
    <row r="12" spans="1:3" ht="15" x14ac:dyDescent="0.2">
      <c r="A12" s="81" t="s">
        <v>11</v>
      </c>
      <c r="B12" s="83">
        <v>12044</v>
      </c>
      <c r="C12" s="83">
        <v>11349</v>
      </c>
    </row>
    <row r="13" spans="1:3" ht="15" x14ac:dyDescent="0.2">
      <c r="A13" s="81" t="s">
        <v>12</v>
      </c>
      <c r="B13" s="83">
        <v>20860</v>
      </c>
      <c r="C13" s="88" t="s">
        <v>13</v>
      </c>
    </row>
    <row r="14" spans="1:3" ht="15" x14ac:dyDescent="0.2">
      <c r="A14" s="81" t="s">
        <v>14</v>
      </c>
      <c r="B14" s="83">
        <v>79749</v>
      </c>
      <c r="C14" s="83">
        <v>78678</v>
      </c>
    </row>
    <row r="15" spans="1:3" ht="15" x14ac:dyDescent="0.2">
      <c r="A15" s="81" t="s">
        <v>15</v>
      </c>
      <c r="B15" s="83">
        <v>33121</v>
      </c>
      <c r="C15" s="83">
        <v>36524</v>
      </c>
    </row>
    <row r="16" spans="1:3" ht="15" x14ac:dyDescent="0.2">
      <c r="A16" s="81" t="s">
        <v>16</v>
      </c>
      <c r="B16" s="83">
        <v>4459</v>
      </c>
      <c r="C16" s="83">
        <v>3884</v>
      </c>
    </row>
    <row r="17" spans="1:5" ht="15" x14ac:dyDescent="0.2">
      <c r="A17" s="81" t="s">
        <v>17</v>
      </c>
      <c r="B17" s="84">
        <v>4600</v>
      </c>
      <c r="C17" s="84">
        <v>5046</v>
      </c>
    </row>
    <row r="18" spans="1:5" ht="15.75" thickBot="1" x14ac:dyDescent="0.25">
      <c r="A18" s="89" t="s">
        <v>18</v>
      </c>
      <c r="B18" s="90">
        <v>222449</v>
      </c>
      <c r="C18" s="90">
        <v>196456</v>
      </c>
      <c r="E18" s="98">
        <f>B18-C18</f>
        <v>25993</v>
      </c>
    </row>
    <row r="19" spans="1:5" ht="15.75" thickTop="1" x14ac:dyDescent="0.2">
      <c r="A19" s="91"/>
      <c r="B19" s="91"/>
      <c r="C19" s="91"/>
    </row>
    <row r="20" spans="1:5" ht="15" x14ac:dyDescent="0.2">
      <c r="A20" s="89" t="s">
        <v>19</v>
      </c>
      <c r="B20" s="91"/>
      <c r="C20" s="91"/>
    </row>
    <row r="21" spans="1:5" ht="15" x14ac:dyDescent="0.2">
      <c r="A21" s="81" t="s">
        <v>20</v>
      </c>
      <c r="B21" s="82">
        <v>10492</v>
      </c>
      <c r="C21" s="82">
        <v>8925</v>
      </c>
    </row>
    <row r="22" spans="1:5" ht="15" x14ac:dyDescent="0.2">
      <c r="A22" s="81" t="s">
        <v>21</v>
      </c>
      <c r="B22" s="83">
        <v>13601</v>
      </c>
      <c r="C22" s="83">
        <v>11365</v>
      </c>
    </row>
    <row r="23" spans="1:5" ht="15" x14ac:dyDescent="0.2">
      <c r="A23" s="81" t="s">
        <v>22</v>
      </c>
      <c r="B23" s="83">
        <v>6879</v>
      </c>
      <c r="C23" s="83">
        <v>6147</v>
      </c>
    </row>
    <row r="24" spans="1:5" ht="15" x14ac:dyDescent="0.2">
      <c r="A24" s="81" t="s">
        <v>23</v>
      </c>
      <c r="B24" s="83">
        <v>2991</v>
      </c>
      <c r="C24" s="83">
        <v>2939</v>
      </c>
    </row>
    <row r="25" spans="1:5" ht="15" x14ac:dyDescent="0.2">
      <c r="A25" s="81" t="s">
        <v>24</v>
      </c>
      <c r="B25" s="83">
        <v>12133</v>
      </c>
      <c r="C25" s="83">
        <v>10711</v>
      </c>
    </row>
    <row r="26" spans="1:5" ht="15" x14ac:dyDescent="0.2">
      <c r="A26" s="81" t="s">
        <v>25</v>
      </c>
      <c r="B26" s="83">
        <v>1830</v>
      </c>
      <c r="C26" s="83">
        <v>1937</v>
      </c>
    </row>
    <row r="27" spans="1:5" ht="15" x14ac:dyDescent="0.2">
      <c r="A27" s="81" t="s">
        <v>26</v>
      </c>
      <c r="B27" s="83">
        <v>1596</v>
      </c>
      <c r="C27" s="88" t="s">
        <v>13</v>
      </c>
    </row>
    <row r="28" spans="1:5" ht="15" x14ac:dyDescent="0.2">
      <c r="A28" s="81" t="s">
        <v>27</v>
      </c>
      <c r="B28" s="88" t="s">
        <v>13</v>
      </c>
      <c r="C28" s="92">
        <v>720</v>
      </c>
    </row>
    <row r="29" spans="1:5" ht="15" x14ac:dyDescent="0.2">
      <c r="A29" s="81" t="s">
        <v>28</v>
      </c>
      <c r="B29" s="84">
        <v>3781</v>
      </c>
      <c r="C29" s="84">
        <v>1265</v>
      </c>
    </row>
    <row r="30" spans="1:5" ht="15" x14ac:dyDescent="0.2">
      <c r="A30" s="85" t="s">
        <v>29</v>
      </c>
      <c r="B30" s="86">
        <v>53303</v>
      </c>
      <c r="C30" s="86">
        <v>44009</v>
      </c>
    </row>
    <row r="31" spans="1:5" ht="15" x14ac:dyDescent="0.2">
      <c r="A31" s="81" t="s">
        <v>30</v>
      </c>
      <c r="B31" s="87">
        <v>18926</v>
      </c>
      <c r="C31" s="93" t="s">
        <v>13</v>
      </c>
    </row>
    <row r="32" spans="1:5" ht="15" x14ac:dyDescent="0.2">
      <c r="A32" s="81" t="s">
        <v>31</v>
      </c>
      <c r="B32" s="83">
        <v>64699</v>
      </c>
      <c r="C32" s="83">
        <v>71444</v>
      </c>
    </row>
    <row r="33" spans="1:3" ht="15" x14ac:dyDescent="0.2">
      <c r="A33" s="81" t="s">
        <v>32</v>
      </c>
      <c r="B33" s="83">
        <v>7294</v>
      </c>
      <c r="C33" s="83">
        <v>7677</v>
      </c>
    </row>
    <row r="34" spans="1:3" ht="15" x14ac:dyDescent="0.2">
      <c r="A34" s="81" t="s">
        <v>33</v>
      </c>
      <c r="B34" s="83">
        <v>4459</v>
      </c>
      <c r="C34" s="83">
        <v>3884</v>
      </c>
    </row>
    <row r="35" spans="1:3" ht="15" x14ac:dyDescent="0.2">
      <c r="A35" s="81" t="s">
        <v>34</v>
      </c>
      <c r="B35" s="83">
        <v>7436</v>
      </c>
      <c r="C35" s="83">
        <v>8119</v>
      </c>
    </row>
    <row r="36" spans="1:3" ht="15" x14ac:dyDescent="0.2">
      <c r="A36" s="81" t="s">
        <v>35</v>
      </c>
      <c r="B36" s="84">
        <v>2162</v>
      </c>
      <c r="C36" s="84">
        <v>2780</v>
      </c>
    </row>
    <row r="37" spans="1:3" ht="15" x14ac:dyDescent="0.2">
      <c r="A37" s="89" t="s">
        <v>36</v>
      </c>
      <c r="B37" s="86">
        <v>158279</v>
      </c>
      <c r="C37" s="86">
        <v>137913</v>
      </c>
    </row>
    <row r="38" spans="1:3" ht="15" x14ac:dyDescent="0.2">
      <c r="A38" s="89" t="s">
        <v>37</v>
      </c>
      <c r="B38" s="94"/>
      <c r="C38" s="94"/>
    </row>
    <row r="39" spans="1:3" ht="15" x14ac:dyDescent="0.2">
      <c r="A39" s="91"/>
      <c r="B39" s="91"/>
      <c r="C39" s="91"/>
    </row>
    <row r="40" spans="1:3" ht="15" x14ac:dyDescent="0.2">
      <c r="A40" s="89" t="s">
        <v>38</v>
      </c>
      <c r="B40" s="91"/>
      <c r="C40" s="91"/>
    </row>
    <row r="41" spans="1:3" ht="30" x14ac:dyDescent="0.2">
      <c r="A41" s="81" t="s">
        <v>39</v>
      </c>
      <c r="B41" s="88" t="s">
        <v>13</v>
      </c>
      <c r="C41" s="88" t="s">
        <v>13</v>
      </c>
    </row>
    <row r="42" spans="1:3" ht="90" x14ac:dyDescent="0.2">
      <c r="A42" s="81" t="s">
        <v>40</v>
      </c>
      <c r="B42" s="95">
        <v>45972</v>
      </c>
      <c r="C42" s="95">
        <v>45440</v>
      </c>
    </row>
    <row r="43" spans="1:3" ht="30" x14ac:dyDescent="0.2">
      <c r="A43" s="81" t="s">
        <v>41</v>
      </c>
      <c r="B43" s="96">
        <v>-28235</v>
      </c>
      <c r="C43" s="96">
        <v>-28228</v>
      </c>
    </row>
    <row r="44" spans="1:3" ht="15" x14ac:dyDescent="0.2">
      <c r="A44" s="81" t="s">
        <v>42</v>
      </c>
      <c r="B44" s="83">
        <v>45108</v>
      </c>
      <c r="C44" s="83">
        <v>40911</v>
      </c>
    </row>
    <row r="45" spans="1:3" ht="15" x14ac:dyDescent="0.2">
      <c r="A45" s="81" t="s">
        <v>43</v>
      </c>
      <c r="B45" s="84">
        <v>1019</v>
      </c>
      <c r="C45" s="97">
        <v>102</v>
      </c>
    </row>
    <row r="46" spans="1:3" ht="15" x14ac:dyDescent="0.2">
      <c r="A46" s="85" t="s">
        <v>44</v>
      </c>
      <c r="B46" s="87">
        <v>63864</v>
      </c>
      <c r="C46" s="87">
        <v>58225</v>
      </c>
    </row>
    <row r="47" spans="1:3" ht="15" x14ac:dyDescent="0.2">
      <c r="A47" s="81" t="s">
        <v>45</v>
      </c>
      <c r="B47" s="97">
        <v>306</v>
      </c>
      <c r="C47" s="97">
        <v>318</v>
      </c>
    </row>
    <row r="48" spans="1:3" ht="15" x14ac:dyDescent="0.2">
      <c r="A48" s="89" t="s">
        <v>46</v>
      </c>
      <c r="B48" s="86">
        <v>64170</v>
      </c>
      <c r="C48" s="86">
        <v>58543</v>
      </c>
    </row>
    <row r="49" spans="1:3" ht="15.75" thickBot="1" x14ac:dyDescent="0.25">
      <c r="A49" s="89" t="s">
        <v>47</v>
      </c>
      <c r="B49" s="90">
        <v>222449</v>
      </c>
      <c r="C49" s="90">
        <v>196456</v>
      </c>
    </row>
    <row r="50" spans="1:3" ht="13.5" thickTop="1" x14ac:dyDescent="0.2">
      <c r="A50" s="78"/>
      <c r="B50" s="78"/>
      <c r="C50" s="78"/>
    </row>
  </sheetData>
  <mergeCells count="3">
    <mergeCell ref="A4:C4"/>
    <mergeCell ref="B2:C2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72BE-D8AB-409A-B63B-C13124ED1490}">
  <dimension ref="A1:D27"/>
  <sheetViews>
    <sheetView zoomScale="145" zoomScaleNormal="145" workbookViewId="0">
      <selection sqref="A1:D1"/>
    </sheetView>
  </sheetViews>
  <sheetFormatPr defaultRowHeight="12.75" x14ac:dyDescent="0.2"/>
  <cols>
    <col min="1" max="1" width="51.5" style="3" customWidth="1"/>
    <col min="2" max="3" width="13.83203125" style="3" customWidth="1"/>
    <col min="4" max="4" width="12.6640625" style="3" customWidth="1"/>
    <col min="5" max="16384" width="9.33203125" style="3"/>
  </cols>
  <sheetData>
    <row r="1" spans="1:4" x14ac:dyDescent="0.2">
      <c r="A1" s="127" t="s">
        <v>48</v>
      </c>
      <c r="B1" s="127"/>
      <c r="C1" s="127"/>
      <c r="D1" s="127"/>
    </row>
    <row r="2" spans="1:4" ht="15" customHeight="1" x14ac:dyDescent="0.2">
      <c r="A2"/>
      <c r="B2" s="126" t="s">
        <v>49</v>
      </c>
      <c r="C2" s="126"/>
      <c r="D2" s="126"/>
    </row>
    <row r="3" spans="1:4" ht="13.5" customHeight="1" thickBot="1" x14ac:dyDescent="0.25">
      <c r="A3" s="1" t="s">
        <v>2</v>
      </c>
      <c r="B3" s="2">
        <v>2019</v>
      </c>
      <c r="C3" s="2">
        <v>2018</v>
      </c>
      <c r="D3" s="2">
        <v>2017</v>
      </c>
    </row>
    <row r="4" spans="1:4" ht="13.5" customHeight="1" x14ac:dyDescent="0.25">
      <c r="A4" s="4" t="s">
        <v>50</v>
      </c>
      <c r="B4" s="125"/>
      <c r="C4" s="125"/>
      <c r="D4" s="125"/>
    </row>
    <row r="5" spans="1:4" ht="13.5" customHeight="1" x14ac:dyDescent="0.2">
      <c r="A5" s="4" t="s">
        <v>51</v>
      </c>
      <c r="B5" s="5">
        <v>185236</v>
      </c>
      <c r="C5" s="5">
        <v>183910</v>
      </c>
      <c r="D5" s="6">
        <v>180063</v>
      </c>
    </row>
    <row r="6" spans="1:4" ht="13.7" customHeight="1" x14ac:dyDescent="0.2">
      <c r="A6" s="4" t="s">
        <v>52</v>
      </c>
      <c r="B6" s="7">
        <v>63122</v>
      </c>
      <c r="C6" s="7">
        <v>8184</v>
      </c>
      <c r="D6" s="8">
        <v>3558</v>
      </c>
    </row>
    <row r="7" spans="1:4" ht="13.7" customHeight="1" x14ac:dyDescent="0.2">
      <c r="A7" s="4" t="s">
        <v>53</v>
      </c>
      <c r="B7" s="7">
        <v>7407</v>
      </c>
      <c r="C7" s="7">
        <v>1825</v>
      </c>
      <c r="D7" s="8">
        <v>1144</v>
      </c>
    </row>
    <row r="8" spans="1:4" ht="13.5" customHeight="1" x14ac:dyDescent="0.2">
      <c r="A8" s="4" t="s">
        <v>54</v>
      </c>
      <c r="B8" s="9">
        <v>1011</v>
      </c>
      <c r="C8" s="10">
        <v>660</v>
      </c>
      <c r="D8" s="11">
        <v>21</v>
      </c>
    </row>
    <row r="9" spans="1:4" ht="13.5" customHeight="1" x14ac:dyDescent="0.2">
      <c r="A9" s="4" t="s">
        <v>55</v>
      </c>
      <c r="B9" s="12">
        <v>256776</v>
      </c>
      <c r="C9" s="12">
        <v>194579</v>
      </c>
      <c r="D9" s="13">
        <v>184786</v>
      </c>
    </row>
    <row r="10" spans="1:4" ht="13.5" customHeight="1" x14ac:dyDescent="0.25">
      <c r="A10" s="4" t="s">
        <v>56</v>
      </c>
      <c r="B10" s="14"/>
      <c r="C10" s="14"/>
      <c r="D10" s="14"/>
    </row>
    <row r="11" spans="1:4" ht="13.5" customHeight="1" x14ac:dyDescent="0.2">
      <c r="A11" s="4" t="s">
        <v>57</v>
      </c>
      <c r="B11" s="7">
        <v>158719</v>
      </c>
      <c r="C11" s="7">
        <v>156447</v>
      </c>
      <c r="D11" s="8">
        <v>153448</v>
      </c>
    </row>
    <row r="12" spans="1:4" ht="13.7" customHeight="1" x14ac:dyDescent="0.2">
      <c r="A12" s="4" t="s">
        <v>58</v>
      </c>
      <c r="B12" s="7">
        <v>52529</v>
      </c>
      <c r="C12" s="7">
        <v>6594</v>
      </c>
      <c r="D12" s="8">
        <v>2810</v>
      </c>
    </row>
    <row r="13" spans="1:4" ht="14.25" customHeight="1" x14ac:dyDescent="0.2">
      <c r="A13" s="4" t="s">
        <v>59</v>
      </c>
      <c r="B13" s="15" t="s">
        <v>13</v>
      </c>
      <c r="C13" s="7">
        <v>6149</v>
      </c>
      <c r="D13" s="16">
        <v>181</v>
      </c>
    </row>
    <row r="14" spans="1:4" ht="13.7" customHeight="1" x14ac:dyDescent="0.2">
      <c r="A14" s="4" t="s">
        <v>60</v>
      </c>
      <c r="B14" s="9">
        <v>33541</v>
      </c>
      <c r="C14" s="9">
        <v>21368</v>
      </c>
      <c r="D14" s="17">
        <v>18809</v>
      </c>
    </row>
    <row r="15" spans="1:4" ht="13.5" customHeight="1" x14ac:dyDescent="0.2">
      <c r="A15" s="4" t="s">
        <v>61</v>
      </c>
      <c r="B15" s="18">
        <v>244789</v>
      </c>
      <c r="C15" s="18">
        <v>190558</v>
      </c>
      <c r="D15" s="19">
        <v>175248</v>
      </c>
    </row>
    <row r="16" spans="1:4" ht="13.5" customHeight="1" x14ac:dyDescent="0.2">
      <c r="A16" s="4" t="s">
        <v>62</v>
      </c>
      <c r="B16" s="12">
        <v>11987</v>
      </c>
      <c r="C16" s="12">
        <v>4021</v>
      </c>
      <c r="D16" s="13">
        <v>9538</v>
      </c>
    </row>
    <row r="17" spans="1:4" ht="13.7" customHeight="1" x14ac:dyDescent="0.2">
      <c r="A17" s="4" t="s">
        <v>63</v>
      </c>
      <c r="B17" s="7">
        <v>3035</v>
      </c>
      <c r="C17" s="7">
        <v>2619</v>
      </c>
      <c r="D17" s="8">
        <v>1062</v>
      </c>
    </row>
    <row r="18" spans="1:4" ht="13.7" customHeight="1" x14ac:dyDescent="0.2">
      <c r="A18" s="4" t="s">
        <v>64</v>
      </c>
      <c r="B18" s="20">
        <v>79</v>
      </c>
      <c r="C18" s="15" t="s">
        <v>13</v>
      </c>
      <c r="D18" s="21" t="s">
        <v>13</v>
      </c>
    </row>
    <row r="19" spans="1:4" ht="13.7" customHeight="1" x14ac:dyDescent="0.2">
      <c r="A19" s="4" t="s">
        <v>65</v>
      </c>
      <c r="B19" s="22">
        <v>-124</v>
      </c>
      <c r="C19" s="22">
        <v>-4</v>
      </c>
      <c r="D19" s="11">
        <v>208</v>
      </c>
    </row>
    <row r="20" spans="1:4" ht="13.7" customHeight="1" x14ac:dyDescent="0.2">
      <c r="A20" s="4" t="s">
        <v>66</v>
      </c>
      <c r="B20" s="12">
        <v>8997</v>
      </c>
      <c r="C20" s="12">
        <v>1406</v>
      </c>
      <c r="D20" s="13">
        <v>8268</v>
      </c>
    </row>
    <row r="21" spans="1:4" ht="13.7" customHeight="1" x14ac:dyDescent="0.2">
      <c r="A21" s="4" t="s">
        <v>67</v>
      </c>
      <c r="B21" s="9">
        <v>2366</v>
      </c>
      <c r="C21" s="9">
        <v>2002</v>
      </c>
      <c r="D21" s="17">
        <v>1637</v>
      </c>
    </row>
    <row r="22" spans="1:4" ht="13.7" customHeight="1" x14ac:dyDescent="0.2">
      <c r="A22" s="4" t="s">
        <v>68</v>
      </c>
      <c r="B22" s="12">
        <v>6631</v>
      </c>
      <c r="C22" s="23">
        <v>-596</v>
      </c>
      <c r="D22" s="13">
        <v>6631</v>
      </c>
    </row>
    <row r="23" spans="1:4" ht="13.7" customHeight="1" x14ac:dyDescent="0.2">
      <c r="A23" s="4" t="s">
        <v>69</v>
      </c>
      <c r="B23" s="24" t="s">
        <v>13</v>
      </c>
      <c r="C23" s="24" t="s">
        <v>13</v>
      </c>
      <c r="D23" s="22">
        <v>-8</v>
      </c>
    </row>
    <row r="24" spans="1:4" ht="14.25" customHeight="1" x14ac:dyDescent="0.2">
      <c r="A24" s="4" t="s">
        <v>70</v>
      </c>
      <c r="B24" s="12">
        <v>6631</v>
      </c>
      <c r="C24" s="23">
        <v>-596</v>
      </c>
      <c r="D24" s="13">
        <v>6623</v>
      </c>
    </row>
    <row r="25" spans="1:4" ht="31.5" x14ac:dyDescent="0.2">
      <c r="A25" s="4" t="s">
        <v>71</v>
      </c>
      <c r="B25" s="10">
        <v>3</v>
      </c>
      <c r="C25" s="10">
        <v>2</v>
      </c>
      <c r="D25" s="22">
        <v>-1</v>
      </c>
    </row>
    <row r="26" spans="1:4" ht="16.5" thickBot="1" x14ac:dyDescent="0.25">
      <c r="A26" s="4" t="s">
        <v>72</v>
      </c>
      <c r="B26" s="25">
        <v>6634</v>
      </c>
      <c r="C26" s="26">
        <v>-594</v>
      </c>
      <c r="D26" s="27">
        <v>6622</v>
      </c>
    </row>
    <row r="27" spans="1:4" ht="13.5" thickTop="1" x14ac:dyDescent="0.2"/>
  </sheetData>
  <mergeCells count="3">
    <mergeCell ref="B4:D4"/>
    <mergeCell ref="B2:D2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5A54-7830-4399-ADB8-93A3588DA753}">
  <dimension ref="A1:O29"/>
  <sheetViews>
    <sheetView workbookViewId="0">
      <selection sqref="A1:E1"/>
    </sheetView>
  </sheetViews>
  <sheetFormatPr defaultRowHeight="12.75" x14ac:dyDescent="0.2"/>
  <cols>
    <col min="1" max="1" width="11.5" style="3" customWidth="1"/>
    <col min="2" max="4" width="9.33203125" style="3" customWidth="1"/>
    <col min="5" max="5" width="2.1640625" style="3" customWidth="1"/>
    <col min="6" max="6" width="9.33203125" style="3" customWidth="1"/>
    <col min="7" max="7" width="10.5" style="3" customWidth="1"/>
    <col min="8" max="8" width="1.1640625" style="3" customWidth="1"/>
    <col min="9" max="9" width="24.5" style="3" customWidth="1"/>
    <col min="10" max="10" width="1.1640625" style="3" customWidth="1"/>
    <col min="11" max="11" width="14" style="3" customWidth="1"/>
    <col min="12" max="12" width="1.1640625" style="3" customWidth="1"/>
    <col min="13" max="14" width="15.1640625" style="3" customWidth="1"/>
    <col min="15" max="15" width="2.1640625" style="3" customWidth="1"/>
    <col min="16" max="16384" width="9.33203125" style="3"/>
  </cols>
  <sheetData>
    <row r="1" spans="1:15" ht="24" customHeight="1" x14ac:dyDescent="0.2">
      <c r="A1" s="128" t="s">
        <v>73</v>
      </c>
      <c r="B1" s="128"/>
      <c r="C1" s="128"/>
      <c r="D1" s="128"/>
      <c r="E1" s="128"/>
      <c r="F1" s="129" t="s">
        <v>74</v>
      </c>
      <c r="G1" s="129"/>
      <c r="H1" s="129"/>
      <c r="I1" s="130" t="s">
        <v>75</v>
      </c>
      <c r="J1" s="130"/>
      <c r="K1" s="131" t="s">
        <v>76</v>
      </c>
      <c r="L1" s="131"/>
      <c r="M1" s="132" t="s">
        <v>77</v>
      </c>
      <c r="N1" s="132"/>
      <c r="O1" s="132"/>
    </row>
    <row r="2" spans="1:15" ht="21" customHeight="1" x14ac:dyDescent="0.2">
      <c r="A2" s="133" t="s">
        <v>78</v>
      </c>
      <c r="B2" s="133"/>
      <c r="C2" s="28" t="s">
        <v>79</v>
      </c>
      <c r="D2" s="29" t="s">
        <v>80</v>
      </c>
      <c r="E2" s="134" t="s">
        <v>81</v>
      </c>
      <c r="F2" s="134"/>
      <c r="G2" s="30" t="s">
        <v>82</v>
      </c>
      <c r="H2" s="135" t="s">
        <v>83</v>
      </c>
      <c r="I2" s="135"/>
      <c r="J2" s="136" t="s">
        <v>84</v>
      </c>
      <c r="K2" s="136"/>
      <c r="L2" s="137" t="s">
        <v>85</v>
      </c>
      <c r="M2" s="137"/>
      <c r="N2" s="31" t="s">
        <v>84</v>
      </c>
    </row>
    <row r="3" spans="1:15" ht="18.75" customHeight="1" x14ac:dyDescent="0.2">
      <c r="A3" s="138" t="s">
        <v>86</v>
      </c>
      <c r="B3" s="138"/>
      <c r="C3" s="32">
        <v>1705</v>
      </c>
      <c r="D3" s="33">
        <v>-644</v>
      </c>
      <c r="E3" s="139">
        <v>31635</v>
      </c>
      <c r="F3" s="139"/>
      <c r="G3" s="34" t="s">
        <v>87</v>
      </c>
      <c r="H3" s="140" t="s">
        <v>88</v>
      </c>
      <c r="I3" s="140"/>
      <c r="J3" s="139">
        <v>36830</v>
      </c>
      <c r="K3" s="139"/>
      <c r="L3" s="141">
        <v>4</v>
      </c>
      <c r="M3" s="141"/>
      <c r="N3" s="35">
        <v>36834</v>
      </c>
    </row>
    <row r="4" spans="1:15" ht="13.5" customHeight="1" x14ac:dyDescent="0.2">
      <c r="A4" s="142" t="s">
        <v>89</v>
      </c>
      <c r="B4" s="142"/>
      <c r="C4" s="36" t="s">
        <v>90</v>
      </c>
      <c r="D4" s="48" t="s">
        <v>90</v>
      </c>
      <c r="E4" s="143" t="s">
        <v>90</v>
      </c>
      <c r="F4" s="143"/>
      <c r="G4" s="37" t="s">
        <v>90</v>
      </c>
      <c r="H4" s="143" t="s">
        <v>91</v>
      </c>
      <c r="I4" s="143"/>
      <c r="J4" s="144">
        <v>6622</v>
      </c>
      <c r="K4" s="144"/>
      <c r="L4" s="145">
        <v>1</v>
      </c>
      <c r="M4" s="145"/>
      <c r="N4" s="38">
        <v>6623</v>
      </c>
    </row>
    <row r="5" spans="1:15" ht="19.5" customHeight="1" x14ac:dyDescent="0.2">
      <c r="A5" s="146" t="s">
        <v>92</v>
      </c>
      <c r="B5" s="146"/>
      <c r="C5" s="39" t="s">
        <v>90</v>
      </c>
      <c r="D5" s="41" t="s">
        <v>90</v>
      </c>
      <c r="E5" s="147" t="s">
        <v>90</v>
      </c>
      <c r="F5" s="147"/>
      <c r="G5" s="40" t="s">
        <v>90</v>
      </c>
      <c r="H5" s="147" t="s">
        <v>93</v>
      </c>
      <c r="I5" s="147"/>
      <c r="J5" s="148">
        <v>140</v>
      </c>
      <c r="K5" s="148"/>
      <c r="L5" s="149" t="s">
        <v>90</v>
      </c>
      <c r="M5" s="149"/>
      <c r="N5" s="42">
        <v>140</v>
      </c>
    </row>
    <row r="6" spans="1:15" ht="19.5" customHeight="1" x14ac:dyDescent="0.2">
      <c r="A6" s="142" t="s">
        <v>94</v>
      </c>
      <c r="B6" s="142"/>
      <c r="C6" s="43">
        <v>7</v>
      </c>
      <c r="D6" s="45" t="s">
        <v>90</v>
      </c>
      <c r="E6" s="150">
        <v>461</v>
      </c>
      <c r="F6" s="150"/>
      <c r="G6" s="44" t="s">
        <v>90</v>
      </c>
      <c r="H6" s="151" t="s">
        <v>95</v>
      </c>
      <c r="I6" s="151"/>
      <c r="J6" s="150">
        <v>461</v>
      </c>
      <c r="K6" s="150"/>
      <c r="L6" s="152" t="s">
        <v>90</v>
      </c>
      <c r="M6" s="152"/>
      <c r="N6" s="69">
        <v>461</v>
      </c>
    </row>
    <row r="7" spans="1:15" ht="19.5" customHeight="1" x14ac:dyDescent="0.2">
      <c r="A7" s="146" t="s">
        <v>96</v>
      </c>
      <c r="B7" s="146"/>
      <c r="C7" s="39" t="s">
        <v>90</v>
      </c>
      <c r="D7" s="58">
        <v>-54</v>
      </c>
      <c r="E7" s="147" t="s">
        <v>90</v>
      </c>
      <c r="F7" s="147"/>
      <c r="G7" s="46">
        <v>-4313</v>
      </c>
      <c r="H7" s="147" t="s">
        <v>95</v>
      </c>
      <c r="I7" s="147"/>
      <c r="J7" s="153">
        <v>-4313</v>
      </c>
      <c r="K7" s="153"/>
      <c r="L7" s="149" t="s">
        <v>90</v>
      </c>
      <c r="M7" s="149"/>
      <c r="N7" s="47">
        <v>-4313</v>
      </c>
    </row>
    <row r="8" spans="1:15" ht="13.5" customHeight="1" x14ac:dyDescent="0.2">
      <c r="A8" s="142" t="s">
        <v>97</v>
      </c>
      <c r="B8" s="142"/>
      <c r="C8" s="36" t="s">
        <v>90</v>
      </c>
      <c r="D8" s="48" t="s">
        <v>90</v>
      </c>
      <c r="E8" s="143" t="s">
        <v>90</v>
      </c>
      <c r="F8" s="143"/>
      <c r="G8" s="37" t="s">
        <v>90</v>
      </c>
      <c r="H8" s="143" t="s">
        <v>98</v>
      </c>
      <c r="I8" s="143"/>
      <c r="J8" s="154">
        <v>-2049</v>
      </c>
      <c r="K8" s="154"/>
      <c r="L8" s="155" t="s">
        <v>90</v>
      </c>
      <c r="M8" s="155"/>
      <c r="N8" s="49">
        <v>-2049</v>
      </c>
    </row>
    <row r="9" spans="1:15" ht="19.5" customHeight="1" x14ac:dyDescent="0.2">
      <c r="A9" s="146" t="s">
        <v>99</v>
      </c>
      <c r="B9" s="146"/>
      <c r="C9" s="51" t="s">
        <v>100</v>
      </c>
      <c r="D9" s="50" t="s">
        <v>100</v>
      </c>
      <c r="E9" s="156" t="s">
        <v>100</v>
      </c>
      <c r="F9" s="156"/>
      <c r="G9" s="52" t="s">
        <v>100</v>
      </c>
      <c r="H9" s="156" t="s">
        <v>101</v>
      </c>
      <c r="I9" s="156"/>
      <c r="J9" s="156" t="s">
        <v>100</v>
      </c>
      <c r="K9" s="156"/>
      <c r="L9" s="157">
        <v>-1</v>
      </c>
      <c r="M9" s="157"/>
      <c r="N9" s="53">
        <v>-1</v>
      </c>
    </row>
    <row r="10" spans="1:15" ht="18.75" customHeight="1" x14ac:dyDescent="0.2">
      <c r="A10" s="158" t="s">
        <v>102</v>
      </c>
      <c r="B10" s="158"/>
      <c r="C10" s="55">
        <v>1712</v>
      </c>
      <c r="D10" s="54">
        <v>-698</v>
      </c>
      <c r="E10" s="159">
        <v>32096</v>
      </c>
      <c r="F10" s="159"/>
      <c r="G10" s="56">
        <v>-37796</v>
      </c>
      <c r="H10" s="160" t="s">
        <v>103</v>
      </c>
      <c r="I10" s="160"/>
      <c r="J10" s="159">
        <v>37691</v>
      </c>
      <c r="K10" s="159"/>
      <c r="L10" s="161">
        <v>4</v>
      </c>
      <c r="M10" s="161"/>
      <c r="N10" s="57">
        <v>37695</v>
      </c>
    </row>
    <row r="11" spans="1:15" ht="19.5" customHeight="1" x14ac:dyDescent="0.2">
      <c r="A11" s="162" t="s">
        <v>104</v>
      </c>
      <c r="B11" s="162"/>
      <c r="C11" s="39" t="s">
        <v>90</v>
      </c>
      <c r="D11" s="41" t="s">
        <v>90</v>
      </c>
      <c r="E11" s="147" t="s">
        <v>90</v>
      </c>
      <c r="F11" s="147"/>
      <c r="G11" s="40" t="s">
        <v>90</v>
      </c>
      <c r="H11" s="147" t="s">
        <v>105</v>
      </c>
      <c r="I11" s="147"/>
      <c r="J11" s="163">
        <v>-13</v>
      </c>
      <c r="K11" s="163"/>
      <c r="L11" s="149" t="s">
        <v>90</v>
      </c>
      <c r="M11" s="149"/>
      <c r="N11" s="58">
        <v>-13</v>
      </c>
    </row>
    <row r="12" spans="1:15" ht="13.5" customHeight="1" x14ac:dyDescent="0.2">
      <c r="A12" s="142" t="s">
        <v>106</v>
      </c>
      <c r="B12" s="142"/>
      <c r="C12" s="36" t="s">
        <v>90</v>
      </c>
      <c r="D12" s="48" t="s">
        <v>90</v>
      </c>
      <c r="E12" s="143" t="s">
        <v>90</v>
      </c>
      <c r="F12" s="143"/>
      <c r="G12" s="37" t="s">
        <v>90</v>
      </c>
      <c r="H12" s="143" t="s">
        <v>107</v>
      </c>
      <c r="I12" s="143"/>
      <c r="J12" s="164">
        <v>-594</v>
      </c>
      <c r="K12" s="164"/>
      <c r="L12" s="164">
        <v>-2</v>
      </c>
      <c r="M12" s="164"/>
      <c r="N12" s="59">
        <v>-596</v>
      </c>
    </row>
    <row r="13" spans="1:15" ht="19.5" customHeight="1" x14ac:dyDescent="0.2">
      <c r="A13" s="146" t="s">
        <v>92</v>
      </c>
      <c r="B13" s="146"/>
      <c r="C13" s="39" t="s">
        <v>90</v>
      </c>
      <c r="D13" s="41" t="s">
        <v>90</v>
      </c>
      <c r="E13" s="147" t="s">
        <v>90</v>
      </c>
      <c r="F13" s="147"/>
      <c r="G13" s="40" t="s">
        <v>90</v>
      </c>
      <c r="H13" s="147" t="s">
        <v>108</v>
      </c>
      <c r="I13" s="147"/>
      <c r="J13" s="148">
        <v>274</v>
      </c>
      <c r="K13" s="148"/>
      <c r="L13" s="149" t="s">
        <v>90</v>
      </c>
      <c r="M13" s="149"/>
      <c r="N13" s="42">
        <v>274</v>
      </c>
    </row>
    <row r="14" spans="1:15" ht="19.5" customHeight="1" x14ac:dyDescent="0.2">
      <c r="A14" s="142" t="s">
        <v>109</v>
      </c>
      <c r="B14" s="142"/>
      <c r="C14" s="60" t="s">
        <v>90</v>
      </c>
      <c r="D14" s="69">
        <v>274</v>
      </c>
      <c r="E14" s="165">
        <v>12923</v>
      </c>
      <c r="F14" s="165"/>
      <c r="G14" s="61">
        <v>9561</v>
      </c>
      <c r="H14" s="151" t="s">
        <v>95</v>
      </c>
      <c r="I14" s="151"/>
      <c r="J14" s="165">
        <v>22484</v>
      </c>
      <c r="K14" s="165"/>
      <c r="L14" s="152" t="s">
        <v>90</v>
      </c>
      <c r="M14" s="152"/>
      <c r="N14" s="62">
        <v>22484</v>
      </c>
    </row>
    <row r="15" spans="1:15" ht="19.5" customHeight="1" x14ac:dyDescent="0.2">
      <c r="A15" s="146" t="s">
        <v>94</v>
      </c>
      <c r="B15" s="146"/>
      <c r="C15" s="63">
        <v>8</v>
      </c>
      <c r="D15" s="41" t="s">
        <v>90</v>
      </c>
      <c r="E15" s="148">
        <v>421</v>
      </c>
      <c r="F15" s="148"/>
      <c r="G15" s="40" t="s">
        <v>90</v>
      </c>
      <c r="H15" s="147" t="s">
        <v>95</v>
      </c>
      <c r="I15" s="147"/>
      <c r="J15" s="148">
        <v>421</v>
      </c>
      <c r="K15" s="148"/>
      <c r="L15" s="149" t="s">
        <v>90</v>
      </c>
      <c r="M15" s="149"/>
      <c r="N15" s="42">
        <v>421</v>
      </c>
    </row>
    <row r="16" spans="1:15" ht="19.5" customHeight="1" x14ac:dyDescent="0.2">
      <c r="A16" s="142" t="s">
        <v>96</v>
      </c>
      <c r="B16" s="142"/>
      <c r="C16" s="60" t="s">
        <v>90</v>
      </c>
      <c r="D16" s="64">
        <v>-1</v>
      </c>
      <c r="E16" s="151" t="s">
        <v>90</v>
      </c>
      <c r="F16" s="151"/>
      <c r="G16" s="69">
        <v>7</v>
      </c>
      <c r="H16" s="151" t="s">
        <v>95</v>
      </c>
      <c r="I16" s="151"/>
      <c r="J16" s="150">
        <v>7</v>
      </c>
      <c r="K16" s="150"/>
      <c r="L16" s="152" t="s">
        <v>90</v>
      </c>
      <c r="M16" s="152"/>
      <c r="N16" s="69">
        <v>7</v>
      </c>
    </row>
    <row r="17" spans="1:14" ht="13.5" customHeight="1" x14ac:dyDescent="0.2">
      <c r="A17" s="146" t="s">
        <v>97</v>
      </c>
      <c r="B17" s="146"/>
      <c r="C17" s="65" t="s">
        <v>90</v>
      </c>
      <c r="D17" s="67" t="s">
        <v>90</v>
      </c>
      <c r="E17" s="166" t="s">
        <v>90</v>
      </c>
      <c r="F17" s="166"/>
      <c r="G17" s="66" t="s">
        <v>90</v>
      </c>
      <c r="H17" s="166" t="s">
        <v>110</v>
      </c>
      <c r="I17" s="166"/>
      <c r="J17" s="167">
        <v>-2045</v>
      </c>
      <c r="K17" s="167"/>
      <c r="L17" s="168" t="s">
        <v>90</v>
      </c>
      <c r="M17" s="168"/>
      <c r="N17" s="68">
        <v>-2045</v>
      </c>
    </row>
    <row r="18" spans="1:14" ht="19.5" customHeight="1" x14ac:dyDescent="0.2">
      <c r="A18" s="142" t="s">
        <v>111</v>
      </c>
      <c r="B18" s="142"/>
      <c r="C18" s="60" t="s">
        <v>90</v>
      </c>
      <c r="D18" s="45" t="s">
        <v>90</v>
      </c>
      <c r="E18" s="151" t="s">
        <v>90</v>
      </c>
      <c r="F18" s="151"/>
      <c r="G18" s="44" t="s">
        <v>90</v>
      </c>
      <c r="H18" s="151" t="s">
        <v>95</v>
      </c>
      <c r="I18" s="151"/>
      <c r="J18" s="151" t="s">
        <v>90</v>
      </c>
      <c r="K18" s="151"/>
      <c r="L18" s="169">
        <v>329</v>
      </c>
      <c r="M18" s="169"/>
      <c r="N18" s="69">
        <v>329</v>
      </c>
    </row>
    <row r="19" spans="1:14" ht="19.5" customHeight="1" x14ac:dyDescent="0.2">
      <c r="A19" s="146" t="s">
        <v>99</v>
      </c>
      <c r="B19" s="146"/>
      <c r="C19" s="71" t="s">
        <v>90</v>
      </c>
      <c r="D19" s="70" t="s">
        <v>90</v>
      </c>
      <c r="E19" s="170" t="s">
        <v>90</v>
      </c>
      <c r="F19" s="170"/>
      <c r="G19" s="72" t="s">
        <v>90</v>
      </c>
      <c r="H19" s="170" t="s">
        <v>95</v>
      </c>
      <c r="I19" s="170"/>
      <c r="J19" s="170" t="s">
        <v>90</v>
      </c>
      <c r="K19" s="170"/>
      <c r="L19" s="157">
        <v>-13</v>
      </c>
      <c r="M19" s="157"/>
      <c r="N19" s="53">
        <v>-13</v>
      </c>
    </row>
    <row r="20" spans="1:14" ht="18.75" customHeight="1" x14ac:dyDescent="0.2">
      <c r="A20" s="158" t="s">
        <v>112</v>
      </c>
      <c r="B20" s="158"/>
      <c r="C20" s="55">
        <v>1720</v>
      </c>
      <c r="D20" s="54">
        <v>-425</v>
      </c>
      <c r="E20" s="159">
        <v>45440</v>
      </c>
      <c r="F20" s="159"/>
      <c r="G20" s="56">
        <v>-28228</v>
      </c>
      <c r="H20" s="160" t="s">
        <v>113</v>
      </c>
      <c r="I20" s="160"/>
      <c r="J20" s="159">
        <v>58225</v>
      </c>
      <c r="K20" s="159"/>
      <c r="L20" s="161">
        <v>318</v>
      </c>
      <c r="M20" s="161"/>
      <c r="N20" s="57">
        <v>58543</v>
      </c>
    </row>
    <row r="21" spans="1:14" ht="19.5" customHeight="1" x14ac:dyDescent="0.2">
      <c r="A21" s="146" t="s">
        <v>114</v>
      </c>
      <c r="B21" s="146"/>
      <c r="C21" s="39" t="s">
        <v>90</v>
      </c>
      <c r="D21" s="41" t="s">
        <v>90</v>
      </c>
      <c r="E21" s="147" t="s">
        <v>90</v>
      </c>
      <c r="F21" s="147"/>
      <c r="G21" s="40" t="s">
        <v>90</v>
      </c>
      <c r="H21" s="147" t="s">
        <v>115</v>
      </c>
      <c r="I21" s="147"/>
      <c r="J21" s="148">
        <v>178</v>
      </c>
      <c r="K21" s="148"/>
      <c r="L21" s="149" t="s">
        <v>90</v>
      </c>
      <c r="M21" s="149"/>
      <c r="N21" s="42">
        <v>178</v>
      </c>
    </row>
    <row r="22" spans="1:14" ht="13.5" customHeight="1" x14ac:dyDescent="0.2">
      <c r="A22" s="142" t="s">
        <v>116</v>
      </c>
      <c r="B22" s="142"/>
      <c r="C22" s="36" t="s">
        <v>90</v>
      </c>
      <c r="D22" s="48" t="s">
        <v>90</v>
      </c>
      <c r="E22" s="143" t="s">
        <v>90</v>
      </c>
      <c r="F22" s="143"/>
      <c r="G22" s="37" t="s">
        <v>90</v>
      </c>
      <c r="H22" s="143" t="s">
        <v>117</v>
      </c>
      <c r="I22" s="143"/>
      <c r="J22" s="144">
        <v>6634</v>
      </c>
      <c r="K22" s="144"/>
      <c r="L22" s="164">
        <v>-3</v>
      </c>
      <c r="M22" s="164"/>
      <c r="N22" s="38">
        <v>6631</v>
      </c>
    </row>
    <row r="23" spans="1:14" ht="19.5" customHeight="1" x14ac:dyDescent="0.2">
      <c r="A23" s="146" t="s">
        <v>92</v>
      </c>
      <c r="B23" s="146"/>
      <c r="C23" s="39" t="s">
        <v>90</v>
      </c>
      <c r="D23" s="41" t="s">
        <v>90</v>
      </c>
      <c r="E23" s="147" t="s">
        <v>90</v>
      </c>
      <c r="F23" s="147"/>
      <c r="G23" s="40" t="s">
        <v>90</v>
      </c>
      <c r="H23" s="147" t="s">
        <v>118</v>
      </c>
      <c r="I23" s="147"/>
      <c r="J23" s="148">
        <v>917</v>
      </c>
      <c r="K23" s="148"/>
      <c r="L23" s="149" t="s">
        <v>90</v>
      </c>
      <c r="M23" s="149"/>
      <c r="N23" s="42">
        <v>917</v>
      </c>
    </row>
    <row r="24" spans="1:14" ht="19.5" customHeight="1" x14ac:dyDescent="0.2">
      <c r="A24" s="142" t="s">
        <v>94</v>
      </c>
      <c r="B24" s="142"/>
      <c r="C24" s="43">
        <v>7</v>
      </c>
      <c r="D24" s="69">
        <v>2</v>
      </c>
      <c r="E24" s="150">
        <v>532</v>
      </c>
      <c r="F24" s="150"/>
      <c r="G24" s="44" t="s">
        <v>90</v>
      </c>
      <c r="H24" s="151" t="s">
        <v>95</v>
      </c>
      <c r="I24" s="151"/>
      <c r="J24" s="150">
        <v>532</v>
      </c>
      <c r="K24" s="150"/>
      <c r="L24" s="152" t="s">
        <v>90</v>
      </c>
      <c r="M24" s="152"/>
      <c r="N24" s="69">
        <v>532</v>
      </c>
    </row>
    <row r="25" spans="1:14" ht="19.5" customHeight="1" x14ac:dyDescent="0.2">
      <c r="A25" s="146" t="s">
        <v>96</v>
      </c>
      <c r="B25" s="146"/>
      <c r="C25" s="39" t="s">
        <v>90</v>
      </c>
      <c r="D25" s="58">
        <v>-2</v>
      </c>
      <c r="E25" s="147" t="s">
        <v>90</v>
      </c>
      <c r="F25" s="147"/>
      <c r="G25" s="73">
        <v>-7</v>
      </c>
      <c r="H25" s="147" t="s">
        <v>95</v>
      </c>
      <c r="I25" s="147"/>
      <c r="J25" s="163">
        <v>-7</v>
      </c>
      <c r="K25" s="163"/>
      <c r="L25" s="149" t="s">
        <v>90</v>
      </c>
      <c r="M25" s="149"/>
      <c r="N25" s="58">
        <v>-7</v>
      </c>
    </row>
    <row r="26" spans="1:14" ht="13.5" customHeight="1" x14ac:dyDescent="0.2">
      <c r="A26" s="142" t="s">
        <v>97</v>
      </c>
      <c r="B26" s="142"/>
      <c r="C26" s="36" t="s">
        <v>90</v>
      </c>
      <c r="D26" s="48" t="s">
        <v>90</v>
      </c>
      <c r="E26" s="143" t="s">
        <v>90</v>
      </c>
      <c r="F26" s="143"/>
      <c r="G26" s="37" t="s">
        <v>90</v>
      </c>
      <c r="H26" s="143" t="s">
        <v>119</v>
      </c>
      <c r="I26" s="143"/>
      <c r="J26" s="154">
        <v>-2615</v>
      </c>
      <c r="K26" s="154"/>
      <c r="L26" s="155" t="s">
        <v>90</v>
      </c>
      <c r="M26" s="155"/>
      <c r="N26" s="49">
        <v>-2615</v>
      </c>
    </row>
    <row r="27" spans="1:14" ht="19.5" customHeight="1" x14ac:dyDescent="0.2">
      <c r="A27" s="146" t="s">
        <v>99</v>
      </c>
      <c r="B27" s="146"/>
      <c r="C27" s="71" t="s">
        <v>90</v>
      </c>
      <c r="D27" s="70" t="s">
        <v>90</v>
      </c>
      <c r="E27" s="170" t="s">
        <v>90</v>
      </c>
      <c r="F27" s="170"/>
      <c r="G27" s="72" t="s">
        <v>90</v>
      </c>
      <c r="H27" s="170" t="s">
        <v>95</v>
      </c>
      <c r="I27" s="170"/>
      <c r="J27" s="170" t="s">
        <v>90</v>
      </c>
      <c r="K27" s="170"/>
      <c r="L27" s="157">
        <v>-9</v>
      </c>
      <c r="M27" s="157"/>
      <c r="N27" s="53">
        <v>-9</v>
      </c>
    </row>
    <row r="28" spans="1:14" ht="18.75" customHeight="1" x14ac:dyDescent="0.2">
      <c r="A28" s="158" t="s">
        <v>120</v>
      </c>
      <c r="B28" s="158"/>
      <c r="C28" s="74">
        <v>1727</v>
      </c>
      <c r="D28" s="75">
        <v>-425</v>
      </c>
      <c r="E28" s="171">
        <v>45972</v>
      </c>
      <c r="F28" s="171"/>
      <c r="G28" s="76" t="s">
        <v>121</v>
      </c>
      <c r="H28" s="172" t="s">
        <v>122</v>
      </c>
      <c r="I28" s="172"/>
      <c r="J28" s="171">
        <v>63864</v>
      </c>
      <c r="K28" s="171"/>
      <c r="L28" s="173">
        <v>306</v>
      </c>
      <c r="M28" s="173"/>
      <c r="N28" s="77">
        <v>64170</v>
      </c>
    </row>
    <row r="29" spans="1:14" ht="0.95" customHeight="1" x14ac:dyDescent="0.2"/>
  </sheetData>
  <mergeCells count="140">
    <mergeCell ref="A27:B27"/>
    <mergeCell ref="E27:F27"/>
    <mergeCell ref="H27:I27"/>
    <mergeCell ref="J27:K27"/>
    <mergeCell ref="L27:M27"/>
    <mergeCell ref="A28:B28"/>
    <mergeCell ref="E28:F28"/>
    <mergeCell ref="H28:I28"/>
    <mergeCell ref="J28:K28"/>
    <mergeCell ref="L28:M28"/>
    <mergeCell ref="A25:B25"/>
    <mergeCell ref="E25:F25"/>
    <mergeCell ref="H25:I25"/>
    <mergeCell ref="J25:K25"/>
    <mergeCell ref="L25:M25"/>
    <mergeCell ref="A26:B26"/>
    <mergeCell ref="E26:F26"/>
    <mergeCell ref="H26:I26"/>
    <mergeCell ref="J26:K26"/>
    <mergeCell ref="L26:M26"/>
    <mergeCell ref="A23:B23"/>
    <mergeCell ref="E23:F23"/>
    <mergeCell ref="H23:I23"/>
    <mergeCell ref="J23:K23"/>
    <mergeCell ref="L23:M23"/>
    <mergeCell ref="A24:B24"/>
    <mergeCell ref="E24:F24"/>
    <mergeCell ref="H24:I24"/>
    <mergeCell ref="J24:K24"/>
    <mergeCell ref="L24:M24"/>
    <mergeCell ref="A21:B21"/>
    <mergeCell ref="E21:F21"/>
    <mergeCell ref="H21:I21"/>
    <mergeCell ref="J21:K21"/>
    <mergeCell ref="L21:M21"/>
    <mergeCell ref="A22:B22"/>
    <mergeCell ref="E22:F22"/>
    <mergeCell ref="H22:I22"/>
    <mergeCell ref="J22:K22"/>
    <mergeCell ref="L22:M22"/>
    <mergeCell ref="A19:B19"/>
    <mergeCell ref="E19:F19"/>
    <mergeCell ref="H19:I19"/>
    <mergeCell ref="J19:K19"/>
    <mergeCell ref="L19:M19"/>
    <mergeCell ref="A20:B20"/>
    <mergeCell ref="E20:F20"/>
    <mergeCell ref="H20:I20"/>
    <mergeCell ref="J20:K20"/>
    <mergeCell ref="L20:M20"/>
    <mergeCell ref="A17:B17"/>
    <mergeCell ref="E17:F17"/>
    <mergeCell ref="H17:I17"/>
    <mergeCell ref="J17:K17"/>
    <mergeCell ref="L17:M17"/>
    <mergeCell ref="A18:B18"/>
    <mergeCell ref="E18:F18"/>
    <mergeCell ref="H18:I18"/>
    <mergeCell ref="J18:K18"/>
    <mergeCell ref="L18:M18"/>
    <mergeCell ref="A15:B15"/>
    <mergeCell ref="E15:F15"/>
    <mergeCell ref="H15:I15"/>
    <mergeCell ref="J15:K15"/>
    <mergeCell ref="L15:M15"/>
    <mergeCell ref="A16:B16"/>
    <mergeCell ref="E16:F16"/>
    <mergeCell ref="H16:I16"/>
    <mergeCell ref="J16:K16"/>
    <mergeCell ref="L16:M16"/>
    <mergeCell ref="A13:B13"/>
    <mergeCell ref="E13:F13"/>
    <mergeCell ref="H13:I13"/>
    <mergeCell ref="J13:K13"/>
    <mergeCell ref="L13:M13"/>
    <mergeCell ref="A14:B14"/>
    <mergeCell ref="E14:F14"/>
    <mergeCell ref="H14:I14"/>
    <mergeCell ref="J14:K14"/>
    <mergeCell ref="L14:M14"/>
    <mergeCell ref="A11:B11"/>
    <mergeCell ref="E11:F11"/>
    <mergeCell ref="H11:I11"/>
    <mergeCell ref="J11:K11"/>
    <mergeCell ref="L11:M11"/>
    <mergeCell ref="A12:B12"/>
    <mergeCell ref="E12:F12"/>
    <mergeCell ref="H12:I12"/>
    <mergeCell ref="J12:K12"/>
    <mergeCell ref="L12:M12"/>
    <mergeCell ref="A9:B9"/>
    <mergeCell ref="E9:F9"/>
    <mergeCell ref="H9:I9"/>
    <mergeCell ref="J9:K9"/>
    <mergeCell ref="L9:M9"/>
    <mergeCell ref="A10:B10"/>
    <mergeCell ref="E10:F10"/>
    <mergeCell ref="H10:I10"/>
    <mergeCell ref="J10:K10"/>
    <mergeCell ref="L10:M10"/>
    <mergeCell ref="A7:B7"/>
    <mergeCell ref="E7:F7"/>
    <mergeCell ref="H7:I7"/>
    <mergeCell ref="J7:K7"/>
    <mergeCell ref="L7:M7"/>
    <mergeCell ref="A8:B8"/>
    <mergeCell ref="E8:F8"/>
    <mergeCell ref="H8:I8"/>
    <mergeCell ref="J8:K8"/>
    <mergeCell ref="L8:M8"/>
    <mergeCell ref="A5:B5"/>
    <mergeCell ref="E5:F5"/>
    <mergeCell ref="H5:I5"/>
    <mergeCell ref="J5:K5"/>
    <mergeCell ref="L5:M5"/>
    <mergeCell ref="A6:B6"/>
    <mergeCell ref="E6:F6"/>
    <mergeCell ref="H6:I6"/>
    <mergeCell ref="J6:K6"/>
    <mergeCell ref="L6:M6"/>
    <mergeCell ref="A3:B3"/>
    <mergeCell ref="E3:F3"/>
    <mergeCell ref="H3:I3"/>
    <mergeCell ref="J3:K3"/>
    <mergeCell ref="L3:M3"/>
    <mergeCell ref="A4:B4"/>
    <mergeCell ref="E4:F4"/>
    <mergeCell ref="H4:I4"/>
    <mergeCell ref="J4:K4"/>
    <mergeCell ref="L4:M4"/>
    <mergeCell ref="A1:E1"/>
    <mergeCell ref="F1:H1"/>
    <mergeCell ref="I1:J1"/>
    <mergeCell ref="K1:L1"/>
    <mergeCell ref="M1:O1"/>
    <mergeCell ref="A2:B2"/>
    <mergeCell ref="E2:F2"/>
    <mergeCell ref="H2:I2"/>
    <mergeCell ref="J2:K2"/>
    <mergeCell ref="L2:M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3BEA-FB6F-40A1-9429-F55D8E3EC48F}">
  <dimension ref="A1:D36"/>
  <sheetViews>
    <sheetView workbookViewId="0">
      <selection activeCell="C56" sqref="C56"/>
    </sheetView>
  </sheetViews>
  <sheetFormatPr defaultRowHeight="12.75" x14ac:dyDescent="0.2"/>
  <cols>
    <col min="1" max="1" width="68.83203125" style="3" customWidth="1"/>
    <col min="2" max="2" width="16.33203125" style="3" customWidth="1"/>
    <col min="3" max="3" width="13.5" style="3" customWidth="1"/>
    <col min="4" max="4" width="15.1640625" style="3" customWidth="1"/>
    <col min="5" max="16384" width="9.33203125" style="3"/>
  </cols>
  <sheetData>
    <row r="1" spans="1:4" x14ac:dyDescent="0.2">
      <c r="A1" s="99" t="s">
        <v>123</v>
      </c>
      <c r="B1" s="100">
        <v>2019</v>
      </c>
      <c r="C1" s="100">
        <v>2018</v>
      </c>
      <c r="D1" s="100">
        <v>2017</v>
      </c>
    </row>
    <row r="2" spans="1:4" x14ac:dyDescent="0.2">
      <c r="A2" s="101" t="s">
        <v>124</v>
      </c>
      <c r="B2" s="102"/>
      <c r="C2" s="102"/>
      <c r="D2" s="102"/>
    </row>
    <row r="3" spans="1:4" x14ac:dyDescent="0.2">
      <c r="A3" s="101" t="s">
        <v>125</v>
      </c>
      <c r="B3" s="103">
        <v>248393</v>
      </c>
      <c r="C3" s="103">
        <v>186519</v>
      </c>
      <c r="D3" s="103">
        <v>176594</v>
      </c>
    </row>
    <row r="4" spans="1:4" ht="25.5" x14ac:dyDescent="0.2">
      <c r="A4" s="101" t="s">
        <v>126</v>
      </c>
      <c r="B4" s="104">
        <v>-149655</v>
      </c>
      <c r="C4" s="104">
        <v>-148981</v>
      </c>
      <c r="D4" s="104">
        <v>-146469</v>
      </c>
    </row>
    <row r="5" spans="1:4" x14ac:dyDescent="0.2">
      <c r="A5" s="101" t="s">
        <v>127</v>
      </c>
      <c r="B5" s="104">
        <v>-52242</v>
      </c>
      <c r="C5" s="104">
        <v>-6897</v>
      </c>
      <c r="D5" s="104">
        <v>-2810</v>
      </c>
    </row>
    <row r="6" spans="1:4" x14ac:dyDescent="0.2">
      <c r="A6" s="101" t="s">
        <v>128</v>
      </c>
      <c r="B6" s="104">
        <v>-28932</v>
      </c>
      <c r="C6" s="104">
        <v>-17234</v>
      </c>
      <c r="D6" s="104">
        <v>-15348</v>
      </c>
    </row>
    <row r="7" spans="1:4" x14ac:dyDescent="0.2">
      <c r="A7" s="101" t="s">
        <v>129</v>
      </c>
      <c r="B7" s="105">
        <v>955</v>
      </c>
      <c r="C7" s="105">
        <v>644</v>
      </c>
      <c r="D7" s="105">
        <v>21</v>
      </c>
    </row>
    <row r="8" spans="1:4" x14ac:dyDescent="0.2">
      <c r="A8" s="101" t="s">
        <v>130</v>
      </c>
      <c r="B8" s="104">
        <v>-2954</v>
      </c>
      <c r="C8" s="104">
        <v>-2803</v>
      </c>
      <c r="D8" s="104">
        <v>-1072</v>
      </c>
    </row>
    <row r="9" spans="1:4" x14ac:dyDescent="0.2">
      <c r="A9" s="101" t="s">
        <v>131</v>
      </c>
      <c r="B9" s="106">
        <v>-2717</v>
      </c>
      <c r="C9" s="106">
        <v>-2383</v>
      </c>
      <c r="D9" s="106">
        <v>-2909</v>
      </c>
    </row>
    <row r="10" spans="1:4" x14ac:dyDescent="0.2">
      <c r="A10" s="101" t="s">
        <v>132</v>
      </c>
      <c r="B10" s="107">
        <v>12848</v>
      </c>
      <c r="C10" s="107">
        <v>8865</v>
      </c>
      <c r="D10" s="107">
        <v>8007</v>
      </c>
    </row>
    <row r="11" spans="1:4" x14ac:dyDescent="0.2">
      <c r="A11" s="108"/>
      <c r="B11" s="102"/>
      <c r="C11" s="102"/>
      <c r="D11" s="102"/>
    </row>
    <row r="12" spans="1:4" x14ac:dyDescent="0.2">
      <c r="A12" s="101" t="s">
        <v>133</v>
      </c>
      <c r="B12" s="108"/>
      <c r="C12" s="108"/>
      <c r="D12" s="108"/>
    </row>
    <row r="13" spans="1:4" x14ac:dyDescent="0.2">
      <c r="A13" s="101" t="s">
        <v>134</v>
      </c>
      <c r="B13" s="109">
        <v>7049</v>
      </c>
      <c r="C13" s="105">
        <v>817</v>
      </c>
      <c r="D13" s="105">
        <v>61</v>
      </c>
    </row>
    <row r="14" spans="1:4" x14ac:dyDescent="0.2">
      <c r="A14" s="101" t="s">
        <v>135</v>
      </c>
      <c r="B14" s="104">
        <v>-7534</v>
      </c>
      <c r="C14" s="110">
        <v>-692</v>
      </c>
      <c r="D14" s="110">
        <v>-137</v>
      </c>
    </row>
    <row r="15" spans="1:4" x14ac:dyDescent="0.2">
      <c r="A15" s="101" t="s">
        <v>136</v>
      </c>
      <c r="B15" s="104">
        <v>-2457</v>
      </c>
      <c r="C15" s="104">
        <v>-2037</v>
      </c>
      <c r="D15" s="104">
        <v>-1918</v>
      </c>
    </row>
    <row r="16" spans="1:4" x14ac:dyDescent="0.2">
      <c r="A16" s="101" t="s">
        <v>137</v>
      </c>
      <c r="B16" s="105">
        <v>5</v>
      </c>
      <c r="C16" s="111" t="s">
        <v>13</v>
      </c>
      <c r="D16" s="105">
        <v>265</v>
      </c>
    </row>
    <row r="17" spans="1:4" x14ac:dyDescent="0.2">
      <c r="A17" s="101" t="s">
        <v>138</v>
      </c>
      <c r="B17" s="110">
        <v>-444</v>
      </c>
      <c r="C17" s="104">
        <v>-42226</v>
      </c>
      <c r="D17" s="104">
        <v>-1181</v>
      </c>
    </row>
    <row r="18" spans="1:4" x14ac:dyDescent="0.2">
      <c r="A18" s="101" t="s">
        <v>139</v>
      </c>
      <c r="B18" s="111" t="s">
        <v>13</v>
      </c>
      <c r="C18" s="105">
        <v>832</v>
      </c>
      <c r="D18" s="111" t="s">
        <v>13</v>
      </c>
    </row>
    <row r="19" spans="1:4" x14ac:dyDescent="0.2">
      <c r="A19" s="101" t="s">
        <v>140</v>
      </c>
      <c r="B19" s="112">
        <v>42</v>
      </c>
      <c r="C19" s="112">
        <v>21</v>
      </c>
      <c r="D19" s="112">
        <v>33</v>
      </c>
    </row>
    <row r="20" spans="1:4" x14ac:dyDescent="0.2">
      <c r="A20" s="101" t="s">
        <v>141</v>
      </c>
      <c r="B20" s="113">
        <v>-3339</v>
      </c>
      <c r="C20" s="113">
        <v>-43285</v>
      </c>
      <c r="D20" s="113">
        <v>-2877</v>
      </c>
    </row>
    <row r="21" spans="1:4" x14ac:dyDescent="0.2">
      <c r="A21" s="108"/>
      <c r="B21" s="102"/>
      <c r="C21" s="102"/>
      <c r="D21" s="102"/>
    </row>
    <row r="22" spans="1:4" x14ac:dyDescent="0.2">
      <c r="A22" s="101" t="s">
        <v>142</v>
      </c>
      <c r="B22" s="108"/>
      <c r="C22" s="108"/>
      <c r="D22" s="108"/>
    </row>
    <row r="23" spans="1:4" x14ac:dyDescent="0.2">
      <c r="A23" s="101" t="s">
        <v>143</v>
      </c>
      <c r="B23" s="110">
        <v>-720</v>
      </c>
      <c r="C23" s="110">
        <v>-556</v>
      </c>
      <c r="D23" s="110">
        <v>-598</v>
      </c>
    </row>
    <row r="24" spans="1:4" x14ac:dyDescent="0.2">
      <c r="A24" s="101" t="s">
        <v>144</v>
      </c>
      <c r="B24" s="109">
        <v>3736</v>
      </c>
      <c r="C24" s="109">
        <v>44343</v>
      </c>
      <c r="D24" s="111" t="s">
        <v>13</v>
      </c>
    </row>
    <row r="25" spans="1:4" x14ac:dyDescent="0.2">
      <c r="A25" s="101" t="s">
        <v>145</v>
      </c>
      <c r="B25" s="104">
        <v>-8336</v>
      </c>
      <c r="C25" s="104">
        <v>-5522</v>
      </c>
      <c r="D25" s="111" t="s">
        <v>13</v>
      </c>
    </row>
    <row r="26" spans="1:4" x14ac:dyDescent="0.2">
      <c r="A26" s="101" t="s">
        <v>146</v>
      </c>
      <c r="B26" s="110">
        <v>-25</v>
      </c>
      <c r="C26" s="105">
        <v>446</v>
      </c>
      <c r="D26" s="111" t="s">
        <v>13</v>
      </c>
    </row>
    <row r="27" spans="1:4" x14ac:dyDescent="0.2">
      <c r="A27" s="101" t="s">
        <v>147</v>
      </c>
      <c r="B27" s="111" t="s">
        <v>13</v>
      </c>
      <c r="C27" s="111" t="s">
        <v>13</v>
      </c>
      <c r="D27" s="104">
        <v>-4361</v>
      </c>
    </row>
    <row r="28" spans="1:4" x14ac:dyDescent="0.2">
      <c r="A28" s="101" t="s">
        <v>148</v>
      </c>
      <c r="B28" s="104">
        <v>-2603</v>
      </c>
      <c r="C28" s="104">
        <v>-2038</v>
      </c>
      <c r="D28" s="104">
        <v>-2049</v>
      </c>
    </row>
    <row r="29" spans="1:4" x14ac:dyDescent="0.2">
      <c r="A29" s="101" t="s">
        <v>149</v>
      </c>
      <c r="B29" s="105">
        <v>210</v>
      </c>
      <c r="C29" s="105">
        <v>242</v>
      </c>
      <c r="D29" s="105">
        <v>329</v>
      </c>
    </row>
    <row r="30" spans="1:4" x14ac:dyDescent="0.2">
      <c r="A30" s="101" t="s">
        <v>150</v>
      </c>
      <c r="B30" s="110">
        <v>-112</v>
      </c>
      <c r="C30" s="110">
        <v>-97</v>
      </c>
      <c r="D30" s="110">
        <v>-71</v>
      </c>
    </row>
    <row r="31" spans="1:4" x14ac:dyDescent="0.2">
      <c r="A31" s="101" t="s">
        <v>140</v>
      </c>
      <c r="B31" s="114" t="s">
        <v>13</v>
      </c>
      <c r="C31" s="112">
        <v>1</v>
      </c>
      <c r="D31" s="115">
        <v>-1</v>
      </c>
    </row>
    <row r="32" spans="1:4" x14ac:dyDescent="0.2">
      <c r="A32" s="101" t="s">
        <v>151</v>
      </c>
      <c r="B32" s="113">
        <v>-7850</v>
      </c>
      <c r="C32" s="107">
        <v>36819</v>
      </c>
      <c r="D32" s="113">
        <v>-6751</v>
      </c>
    </row>
    <row r="33" spans="1:4" ht="25.5" x14ac:dyDescent="0.2">
      <c r="A33" s="101" t="s">
        <v>152</v>
      </c>
      <c r="B33" s="116" t="s">
        <v>13</v>
      </c>
      <c r="C33" s="117">
        <v>-4</v>
      </c>
      <c r="D33" s="118">
        <v>1</v>
      </c>
    </row>
    <row r="34" spans="1:4" ht="25.5" x14ac:dyDescent="0.2">
      <c r="A34" s="101" t="s">
        <v>153</v>
      </c>
      <c r="B34" s="119">
        <v>1659</v>
      </c>
      <c r="C34" s="119">
        <v>2395</v>
      </c>
      <c r="D34" s="120">
        <v>-1620</v>
      </c>
    </row>
    <row r="35" spans="1:4" ht="25.5" x14ac:dyDescent="0.2">
      <c r="A35" s="101" t="s">
        <v>154</v>
      </c>
      <c r="B35" s="121">
        <v>4295</v>
      </c>
      <c r="C35" s="121">
        <v>1900</v>
      </c>
      <c r="D35" s="121">
        <v>3520</v>
      </c>
    </row>
    <row r="36" spans="1:4" x14ac:dyDescent="0.2">
      <c r="A36" s="101" t="s">
        <v>155</v>
      </c>
      <c r="B36" s="122">
        <v>5954</v>
      </c>
      <c r="C36" s="122">
        <v>4295</v>
      </c>
      <c r="D36" s="122">
        <v>1900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6392-1219-4EAF-8522-9E41887E6EB8}">
  <dimension ref="A1:D20"/>
  <sheetViews>
    <sheetView tabSelected="1" workbookViewId="0">
      <selection activeCell="A41" sqref="A41"/>
    </sheetView>
  </sheetViews>
  <sheetFormatPr defaultRowHeight="12.75" x14ac:dyDescent="0.2"/>
  <cols>
    <col min="1" max="1" width="84" style="3" customWidth="1"/>
    <col min="2" max="2" width="18.6640625" style="3" customWidth="1"/>
    <col min="3" max="3" width="16.1640625" style="3" customWidth="1"/>
    <col min="4" max="4" width="15.1640625" style="3" customWidth="1"/>
    <col min="5" max="16384" width="9.33203125" style="3"/>
  </cols>
  <sheetData>
    <row r="1" spans="1:4" ht="15.75" x14ac:dyDescent="0.2">
      <c r="A1" s="174" t="s">
        <v>156</v>
      </c>
      <c r="B1" s="175">
        <v>2019</v>
      </c>
      <c r="C1" s="176">
        <v>2018</v>
      </c>
      <c r="D1" s="176">
        <v>2017</v>
      </c>
    </row>
    <row r="2" spans="1:4" ht="30" x14ac:dyDescent="0.2">
      <c r="A2" s="177" t="s">
        <v>157</v>
      </c>
      <c r="B2" s="178"/>
      <c r="C2" s="178"/>
      <c r="D2" s="178"/>
    </row>
    <row r="3" spans="1:4" ht="15" x14ac:dyDescent="0.2">
      <c r="A3" s="179" t="s">
        <v>70</v>
      </c>
      <c r="B3" s="180">
        <v>6631</v>
      </c>
      <c r="C3" s="181">
        <v>-596</v>
      </c>
      <c r="D3" s="180">
        <v>6623</v>
      </c>
    </row>
    <row r="4" spans="1:4" ht="30" x14ac:dyDescent="0.2">
      <c r="A4" s="179" t="s">
        <v>158</v>
      </c>
      <c r="B4" s="182"/>
      <c r="C4" s="182"/>
      <c r="D4" s="182"/>
    </row>
    <row r="5" spans="1:4" ht="15" x14ac:dyDescent="0.2">
      <c r="A5" s="183" t="s">
        <v>159</v>
      </c>
      <c r="B5" s="184">
        <v>4371</v>
      </c>
      <c r="C5" s="184">
        <v>2718</v>
      </c>
      <c r="D5" s="185">
        <v>2479</v>
      </c>
    </row>
    <row r="6" spans="1:4" ht="15" x14ac:dyDescent="0.2">
      <c r="A6" s="183" t="s">
        <v>59</v>
      </c>
      <c r="B6" s="186" t="s">
        <v>13</v>
      </c>
      <c r="C6" s="184">
        <v>6149</v>
      </c>
      <c r="D6" s="187">
        <v>181</v>
      </c>
    </row>
    <row r="7" spans="1:4" ht="15" x14ac:dyDescent="0.2">
      <c r="A7" s="183" t="s">
        <v>160</v>
      </c>
      <c r="B7" s="186" t="s">
        <v>13</v>
      </c>
      <c r="C7" s="186" t="s">
        <v>13</v>
      </c>
      <c r="D7" s="187">
        <v>187</v>
      </c>
    </row>
    <row r="8" spans="1:4" ht="15" x14ac:dyDescent="0.2">
      <c r="A8" s="183" t="s">
        <v>161</v>
      </c>
      <c r="B8" s="188">
        <v>453</v>
      </c>
      <c r="C8" s="188">
        <v>280</v>
      </c>
      <c r="D8" s="187">
        <v>234</v>
      </c>
    </row>
    <row r="9" spans="1:4" ht="15" x14ac:dyDescent="0.2">
      <c r="A9" s="183" t="s">
        <v>162</v>
      </c>
      <c r="B9" s="188">
        <v>205</v>
      </c>
      <c r="C9" s="188">
        <v>86</v>
      </c>
      <c r="D9" s="189" t="s">
        <v>13</v>
      </c>
    </row>
    <row r="10" spans="1:4" ht="15" x14ac:dyDescent="0.2">
      <c r="A10" s="183" t="s">
        <v>64</v>
      </c>
      <c r="B10" s="188">
        <v>79</v>
      </c>
      <c r="C10" s="186" t="s">
        <v>13</v>
      </c>
      <c r="D10" s="189" t="s">
        <v>13</v>
      </c>
    </row>
    <row r="11" spans="1:4" ht="15" x14ac:dyDescent="0.2">
      <c r="A11" s="183" t="s">
        <v>32</v>
      </c>
      <c r="B11" s="190">
        <v>-654</v>
      </c>
      <c r="C11" s="188">
        <v>87</v>
      </c>
      <c r="D11" s="191">
        <v>-1334</v>
      </c>
    </row>
    <row r="12" spans="1:4" ht="15" x14ac:dyDescent="0.2">
      <c r="A12" s="183" t="s">
        <v>163</v>
      </c>
      <c r="B12" s="188">
        <v>264</v>
      </c>
      <c r="C12" s="188">
        <v>253</v>
      </c>
      <c r="D12" s="187">
        <v>53</v>
      </c>
    </row>
    <row r="13" spans="1:4" ht="30" x14ac:dyDescent="0.2">
      <c r="A13" s="183" t="s">
        <v>164</v>
      </c>
      <c r="B13" s="192"/>
      <c r="C13" s="192"/>
      <c r="D13" s="192"/>
    </row>
    <row r="14" spans="1:4" ht="15" x14ac:dyDescent="0.2">
      <c r="A14" s="183" t="s">
        <v>6</v>
      </c>
      <c r="B14" s="191">
        <v>-2158</v>
      </c>
      <c r="C14" s="191">
        <v>-1139</v>
      </c>
      <c r="D14" s="190">
        <v>-941</v>
      </c>
    </row>
    <row r="15" spans="1:4" ht="15" x14ac:dyDescent="0.2">
      <c r="A15" s="183" t="s">
        <v>7</v>
      </c>
      <c r="B15" s="191">
        <v>-1075</v>
      </c>
      <c r="C15" s="191">
        <v>-1153</v>
      </c>
      <c r="D15" s="190">
        <v>-514</v>
      </c>
    </row>
    <row r="16" spans="1:4" ht="15" x14ac:dyDescent="0.2">
      <c r="A16" s="183" t="s">
        <v>17</v>
      </c>
      <c r="B16" s="190">
        <v>-614</v>
      </c>
      <c r="C16" s="190">
        <v>-3</v>
      </c>
      <c r="D16" s="190">
        <v>-338</v>
      </c>
    </row>
    <row r="17" spans="1:4" ht="15" x14ac:dyDescent="0.2">
      <c r="A17" s="183" t="s">
        <v>165</v>
      </c>
      <c r="B17" s="184">
        <v>3550</v>
      </c>
      <c r="C17" s="184">
        <v>2329</v>
      </c>
      <c r="D17" s="185">
        <v>1710</v>
      </c>
    </row>
    <row r="18" spans="1:4" ht="15" x14ac:dyDescent="0.2">
      <c r="A18" s="183" t="s">
        <v>166</v>
      </c>
      <c r="B18" s="188">
        <v>320</v>
      </c>
      <c r="C18" s="190">
        <v>-311</v>
      </c>
      <c r="D18" s="189" t="s">
        <v>13</v>
      </c>
    </row>
    <row r="19" spans="1:4" ht="15" x14ac:dyDescent="0.2">
      <c r="A19" s="183" t="s">
        <v>167</v>
      </c>
      <c r="B19" s="193">
        <v>1476</v>
      </c>
      <c r="C19" s="194">
        <v>165</v>
      </c>
      <c r="D19" s="195">
        <v>-333</v>
      </c>
    </row>
    <row r="20" spans="1:4" ht="15" x14ac:dyDescent="0.2">
      <c r="A20" s="177" t="s">
        <v>132</v>
      </c>
      <c r="B20" s="196">
        <v>12848</v>
      </c>
      <c r="C20" s="196">
        <v>8865</v>
      </c>
      <c r="D20" s="196">
        <v>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Sheets</vt:lpstr>
      <vt:lpstr>Income Statements</vt:lpstr>
      <vt:lpstr>St Changes in SE</vt:lpstr>
      <vt:lpstr>Cash Flow Statements</vt:lpstr>
      <vt:lpstr>NI CFO Reconciliation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dc:description/>
  <cp:lastModifiedBy>Antle, Rick</cp:lastModifiedBy>
  <cp:revision/>
  <dcterms:created xsi:type="dcterms:W3CDTF">2020-02-29T16:23:37Z</dcterms:created>
  <dcterms:modified xsi:type="dcterms:W3CDTF">2020-03-12T15:56:34Z</dcterms:modified>
  <cp:category/>
  <cp:contentStatus/>
</cp:coreProperties>
</file>