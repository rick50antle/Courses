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https://yaleedu-my.sharepoint.com/personal/rick_antle_yale_edu/Documents/Courses/ACCT270/ACCT2700-S26/Class/"/>
    </mc:Choice>
  </mc:AlternateContent>
  <xr:revisionPtr revIDLastSave="238" documentId="8_{1EECF545-B455-4BFC-938D-6AF5089EE382}" xr6:coauthVersionLast="47" xr6:coauthVersionMax="47" xr10:uidLastSave="{8432C9E6-80E7-43B3-8340-633473418CE2}"/>
  <bookViews>
    <workbookView xWindow="1536" yWindow="1536" windowWidth="34560" windowHeight="13560" xr2:uid="{00000000-000D-0000-FFFF-FFFF00000000}"/>
  </bookViews>
  <sheets>
    <sheet name="Ponzi-Game-Data" sheetId="3" r:id="rId1"/>
    <sheet name="Game-Data" sheetId="8" r:id="rId2"/>
    <sheet name="Account-Statements" sheetId="5" r:id="rId3"/>
    <sheet name="Student-Names" sheetId="6" r:id="rId4"/>
  </sheets>
  <definedNames>
    <definedName name="College1">'Student-Names'!$B$171</definedName>
    <definedName name="College10">'Student-Names'!$B$180</definedName>
    <definedName name="College11">'Student-Names'!$B$181</definedName>
    <definedName name="College2">'Student-Names'!$B$172</definedName>
    <definedName name="College3">'Student-Names'!$B$173</definedName>
    <definedName name="College4">'Student-Names'!$B$174</definedName>
    <definedName name="College5">'Student-Names'!$B$175</definedName>
    <definedName name="College6">'Student-Names'!$B$176</definedName>
    <definedName name="College7">'Student-Names'!$B$177</definedName>
    <definedName name="College8">'Student-Names'!$B$178</definedName>
    <definedName name="College9">'Student-Names'!$B$179</definedName>
    <definedName name="Name1">'Student-Names'!$B$158</definedName>
    <definedName name="Name10">'Student-Names'!$B$167</definedName>
    <definedName name="Name11">'Student-Names'!$B$168</definedName>
    <definedName name="Name2">'Student-Names'!$B$159</definedName>
    <definedName name="Name3">'Student-Names'!$B$160</definedName>
    <definedName name="Name4">'Student-Names'!$B$161</definedName>
    <definedName name="Name5">'Student-Names'!$B$162</definedName>
    <definedName name="Name6">'Student-Names'!$B$163</definedName>
    <definedName name="Name7">'Student-Names'!$B$164</definedName>
    <definedName name="Name8">'Student-Names'!$B$165</definedName>
    <definedName name="Name9">'Student-Names'!$B$166</definedName>
    <definedName name="_xlnm.Print_Area" localSheetId="0">'Ponzi-Game-Data'!$A$17:$D$28</definedName>
    <definedName name="Slicer_College">#N/A</definedName>
    <definedName name="Slicer_Major__Primary">#N/A</definedName>
    <definedName name="Slicer_Year">#N/A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8" l="1"/>
  <c r="L15" i="8"/>
  <c r="H15" i="8"/>
  <c r="I144" i="6" a="1"/>
  <c r="G160" i="6"/>
  <c r="G161" i="6"/>
  <c r="G162" i="6"/>
  <c r="G163" i="6"/>
  <c r="G164" i="6"/>
  <c r="G165" i="6"/>
  <c r="G166" i="6"/>
  <c r="G167" i="6"/>
  <c r="G168" i="6"/>
  <c r="G169" i="6"/>
  <c r="G170" i="6"/>
  <c r="G171" i="6"/>
  <c r="G172" i="6"/>
  <c r="G173" i="6"/>
  <c r="G174" i="6"/>
  <c r="G175" i="6"/>
  <c r="G176" i="6"/>
  <c r="G177" i="6"/>
  <c r="G178" i="6"/>
  <c r="G179" i="6"/>
  <c r="G159" i="6"/>
  <c r="G158" i="6"/>
  <c r="J2" i="6"/>
  <c r="F30" i="3" a="1"/>
  <c r="F30" i="3" s="1"/>
  <c r="I12" i="3"/>
  <c r="G102" i="5"/>
  <c r="G93" i="3"/>
  <c r="D13" i="3"/>
  <c r="F13" i="3"/>
  <c r="H13" i="3"/>
  <c r="E93" i="3"/>
  <c r="I93" i="3"/>
  <c r="G92" i="3"/>
  <c r="E92" i="3"/>
  <c r="I92" i="3"/>
  <c r="G88" i="3"/>
  <c r="E88" i="3"/>
  <c r="I88" i="3"/>
  <c r="G89" i="3"/>
  <c r="E89" i="3"/>
  <c r="I89" i="3"/>
  <c r="G91" i="3"/>
  <c r="E91" i="3"/>
  <c r="I91" i="3"/>
  <c r="G95" i="3"/>
  <c r="E95" i="3"/>
  <c r="I95" i="3"/>
  <c r="G87" i="3"/>
  <c r="E87" i="3"/>
  <c r="I87" i="3"/>
  <c r="G90" i="3"/>
  <c r="E90" i="3"/>
  <c r="I90" i="3"/>
  <c r="G94" i="3"/>
  <c r="E94" i="3"/>
  <c r="I94" i="3"/>
  <c r="G96" i="3"/>
  <c r="E96" i="3"/>
  <c r="I96" i="3"/>
  <c r="G97" i="3"/>
  <c r="E97" i="3"/>
  <c r="I97" i="3"/>
  <c r="I98" i="3"/>
  <c r="F51" i="3"/>
  <c r="H51" i="3"/>
  <c r="D60" i="3"/>
  <c r="F60" i="3"/>
  <c r="H60" i="3"/>
  <c r="D72" i="3"/>
  <c r="F72" i="3"/>
  <c r="F87" i="3"/>
  <c r="F52" i="3"/>
  <c r="H52" i="3"/>
  <c r="D61" i="3"/>
  <c r="F61" i="3"/>
  <c r="H61" i="3"/>
  <c r="D73" i="3"/>
  <c r="F73" i="3"/>
  <c r="F88" i="3"/>
  <c r="F53" i="3"/>
  <c r="H53" i="3"/>
  <c r="D62" i="3"/>
  <c r="F62" i="3"/>
  <c r="H62" i="3"/>
  <c r="D74" i="3"/>
  <c r="F74" i="3"/>
  <c r="F89" i="3"/>
  <c r="F54" i="3"/>
  <c r="H54" i="3"/>
  <c r="D63" i="3"/>
  <c r="F63" i="3"/>
  <c r="H63" i="3"/>
  <c r="D75" i="3"/>
  <c r="F75" i="3"/>
  <c r="F90" i="3"/>
  <c r="F64" i="3"/>
  <c r="H64" i="3"/>
  <c r="D76" i="3"/>
  <c r="F76" i="3"/>
  <c r="F91" i="3"/>
  <c r="F65" i="3"/>
  <c r="H65" i="3"/>
  <c r="D77" i="3"/>
  <c r="F77" i="3"/>
  <c r="F92" i="3"/>
  <c r="F66" i="3"/>
  <c r="H66" i="3"/>
  <c r="D78" i="3"/>
  <c r="F78" i="3"/>
  <c r="F93" i="3"/>
  <c r="F67" i="3"/>
  <c r="H67" i="3"/>
  <c r="D79" i="3"/>
  <c r="F79" i="3"/>
  <c r="F94" i="3"/>
  <c r="F80" i="3"/>
  <c r="F95" i="3"/>
  <c r="F81" i="3"/>
  <c r="F96" i="3"/>
  <c r="F82" i="3"/>
  <c r="F97" i="3"/>
  <c r="H72" i="3"/>
  <c r="H87" i="3"/>
  <c r="H88" i="3"/>
  <c r="H89" i="3"/>
  <c r="H90" i="3"/>
  <c r="H91" i="3"/>
  <c r="H92" i="3"/>
  <c r="H93" i="3"/>
  <c r="H94" i="3"/>
  <c r="H95" i="3"/>
  <c r="H96" i="3"/>
  <c r="H97" i="3"/>
  <c r="H98" i="3"/>
  <c r="G98" i="3"/>
  <c r="F98" i="3"/>
  <c r="E98" i="3"/>
  <c r="D98" i="3"/>
  <c r="E83" i="3"/>
  <c r="F83" i="3"/>
  <c r="G83" i="3"/>
  <c r="F55" i="3"/>
  <c r="G55" i="3"/>
  <c r="E55" i="3"/>
  <c r="F68" i="3"/>
  <c r="G68" i="3"/>
  <c r="E68" i="3"/>
  <c r="H80" i="3"/>
  <c r="H81" i="3"/>
  <c r="H82" i="3"/>
  <c r="H73" i="3"/>
  <c r="H74" i="3"/>
  <c r="H75" i="3"/>
  <c r="H76" i="3"/>
  <c r="H77" i="3"/>
  <c r="H78" i="3"/>
  <c r="H79" i="3"/>
  <c r="H83" i="3"/>
  <c r="D83" i="3"/>
  <c r="D55" i="3"/>
  <c r="D68" i="3"/>
  <c r="I2" i="3"/>
  <c r="J2" i="3"/>
  <c r="I3" i="3"/>
  <c r="J3" i="3"/>
  <c r="I4" i="3"/>
  <c r="J4" i="3"/>
  <c r="I5" i="3"/>
  <c r="J5" i="3"/>
  <c r="I6" i="3"/>
  <c r="J6" i="3"/>
  <c r="I7" i="3"/>
  <c r="J7" i="3"/>
  <c r="I8" i="3"/>
  <c r="J8" i="3"/>
  <c r="I9" i="3"/>
  <c r="J9" i="3"/>
  <c r="I10" i="3"/>
  <c r="J10" i="3"/>
  <c r="I11" i="3"/>
  <c r="J11" i="3"/>
  <c r="J12" i="3"/>
  <c r="J13" i="3"/>
  <c r="I13" i="3"/>
  <c r="I14" i="3"/>
  <c r="P2" i="3"/>
  <c r="P3" i="3"/>
  <c r="P4" i="3"/>
  <c r="P5" i="3"/>
  <c r="Q2" i="3"/>
  <c r="Q3" i="3"/>
  <c r="Q5" i="3"/>
  <c r="R5" i="3"/>
  <c r="R3" i="3"/>
  <c r="R2" i="3"/>
  <c r="K141" i="5"/>
  <c r="K128" i="5"/>
  <c r="K115" i="5"/>
  <c r="K102" i="5"/>
  <c r="G89" i="5"/>
  <c r="K89" i="5"/>
  <c r="G76" i="5"/>
  <c r="G63" i="5"/>
  <c r="K50" i="5"/>
  <c r="G50" i="5"/>
  <c r="C50" i="5"/>
  <c r="K37" i="5"/>
  <c r="G37" i="5"/>
  <c r="C37" i="5"/>
  <c r="C24" i="5"/>
  <c r="G24" i="5"/>
  <c r="C11" i="5"/>
  <c r="H55" i="3"/>
  <c r="H68" i="3"/>
  <c r="X4" i="3"/>
  <c r="B14" i="3"/>
  <c r="W2" i="3"/>
  <c r="W3" i="3"/>
  <c r="R4" i="3"/>
  <c r="Y4" i="3"/>
  <c r="W4" i="3"/>
  <c r="W5" i="3"/>
  <c r="Y2" i="3"/>
  <c r="X2" i="3"/>
  <c r="Y3" i="3"/>
  <c r="X3" i="3"/>
  <c r="X5" i="3"/>
  <c r="Y5" i="3"/>
  <c r="E158" i="6" a="1"/>
  <c r="E164" i="6" a="1"/>
  <c r="E161" i="6" a="1"/>
  <c r="E166" i="6" a="1"/>
  <c r="E161" i="6" l="1"/>
  <c r="E166" i="6"/>
  <c r="E164" i="6"/>
  <c r="E158" i="6"/>
  <c r="A184" i="6" a="1"/>
  <c r="A184" i="6" s="1"/>
  <c r="C21" i="8" s="1"/>
  <c r="B151" i="6"/>
  <c r="C147" i="6"/>
  <c r="B174" i="6" s="1"/>
  <c r="A147" i="6"/>
  <c r="B144" i="6"/>
  <c r="C146" i="6"/>
  <c r="B173" i="6" s="1"/>
  <c r="B154" i="6"/>
  <c r="A149" i="6"/>
  <c r="A151" i="6"/>
  <c r="A153" i="6"/>
  <c r="B153" i="6"/>
  <c r="B148" i="6"/>
  <c r="I144" i="6"/>
  <c r="A144" i="6" s="1"/>
  <c r="C145" i="6"/>
  <c r="B172" i="6" s="1"/>
  <c r="A150" i="6"/>
  <c r="C144" i="6"/>
  <c r="B171" i="6" s="1"/>
  <c r="B146" i="6"/>
  <c r="A146" i="6"/>
  <c r="B150" i="6"/>
  <c r="B149" i="6"/>
  <c r="A148" i="6"/>
  <c r="A154" i="6"/>
  <c r="B147" i="6"/>
  <c r="C152" i="6"/>
  <c r="B179" i="6" s="1"/>
  <c r="C151" i="6"/>
  <c r="B178" i="6" s="1"/>
  <c r="B152" i="6"/>
  <c r="C150" i="6"/>
  <c r="B177" i="6" s="1"/>
  <c r="C149" i="6"/>
  <c r="B176" i="6" s="1"/>
  <c r="A152" i="6"/>
  <c r="C154" i="6"/>
  <c r="B181" i="6" s="1"/>
  <c r="C153" i="6"/>
  <c r="B180" i="6" s="1"/>
  <c r="C148" i="6"/>
  <c r="B175" i="6" s="1"/>
  <c r="B145" i="6"/>
  <c r="A145" i="6"/>
  <c r="E26" i="3"/>
  <c r="E23" i="3"/>
  <c r="E27" i="3"/>
  <c r="E19" i="3"/>
  <c r="E25" i="3"/>
  <c r="E28" i="3"/>
  <c r="E20" i="3"/>
  <c r="E22" i="3"/>
  <c r="E21" i="3"/>
  <c r="E24" i="3"/>
  <c r="E18" i="3"/>
  <c r="E173" i="6" a="1"/>
  <c r="E167" i="6" a="1"/>
  <c r="E179" i="6" a="1"/>
  <c r="E171" i="6" a="1"/>
  <c r="E177" i="6" a="1"/>
  <c r="E159" i="6" a="1"/>
  <c r="E165" i="6" a="1"/>
  <c r="E163" i="6" a="1"/>
  <c r="E169" i="6" a="1"/>
  <c r="E175" i="6" a="1"/>
  <c r="C30" i="8" l="1"/>
  <c r="C29" i="8"/>
  <c r="C22" i="8"/>
  <c r="C23" i="8"/>
  <c r="C24" i="8"/>
  <c r="C25" i="8"/>
  <c r="C26" i="8"/>
  <c r="C27" i="8"/>
  <c r="C28" i="8"/>
  <c r="B162" i="6"/>
  <c r="B165" i="6"/>
  <c r="C67" i="3" s="1"/>
  <c r="B166" i="6"/>
  <c r="E177" i="6"/>
  <c r="E179" i="6"/>
  <c r="E167" i="6"/>
  <c r="E175" i="6"/>
  <c r="E163" i="6"/>
  <c r="E173" i="6"/>
  <c r="E171" i="6"/>
  <c r="E159" i="6"/>
  <c r="E165" i="6"/>
  <c r="E169" i="6"/>
  <c r="C11" i="8"/>
  <c r="G12" i="8" s="1"/>
  <c r="C80" i="3"/>
  <c r="C95" i="3"/>
  <c r="A10" i="3"/>
  <c r="A6" i="3"/>
  <c r="C64" i="3"/>
  <c r="C91" i="3"/>
  <c r="C76" i="3"/>
  <c r="C7" i="8"/>
  <c r="G8" i="8" s="1"/>
  <c r="B164" i="6"/>
  <c r="B163" i="6"/>
  <c r="B168" i="6"/>
  <c r="B167" i="6"/>
  <c r="B161" i="6"/>
  <c r="B160" i="6"/>
  <c r="B158" i="6"/>
  <c r="B159" i="6"/>
  <c r="E29" i="3"/>
  <c r="E172" i="6" a="1"/>
  <c r="E168" i="6" a="1"/>
  <c r="E162" i="6" a="1"/>
  <c r="E160" i="6" a="1"/>
  <c r="E178" i="6" a="1"/>
  <c r="E170" i="6" a="1"/>
  <c r="E174" i="6" a="1"/>
  <c r="E176" i="6" a="1"/>
  <c r="C94" i="3" l="1"/>
  <c r="C10" i="8"/>
  <c r="G11" i="8" s="1"/>
  <c r="C79" i="3"/>
  <c r="A9" i="3"/>
  <c r="E174" i="6"/>
  <c r="E172" i="6"/>
  <c r="E168" i="6"/>
  <c r="E170" i="6"/>
  <c r="E176" i="6"/>
  <c r="E160" i="6"/>
  <c r="E178" i="6"/>
  <c r="E162" i="6"/>
  <c r="C77" i="3"/>
  <c r="C8" i="8"/>
  <c r="G9" i="8" s="1"/>
  <c r="C92" i="3"/>
  <c r="C65" i="3"/>
  <c r="A7" i="3"/>
  <c r="C9" i="8"/>
  <c r="G10" i="8" s="1"/>
  <c r="C93" i="3"/>
  <c r="C78" i="3"/>
  <c r="C66" i="3"/>
  <c r="A8" i="3"/>
  <c r="C90" i="3"/>
  <c r="C6" i="8"/>
  <c r="G7" i="8" s="1"/>
  <c r="C54" i="3"/>
  <c r="C75" i="3"/>
  <c r="C63" i="3"/>
  <c r="A5" i="3"/>
  <c r="C96" i="3"/>
  <c r="A11" i="3"/>
  <c r="C81" i="3"/>
  <c r="C12" i="8"/>
  <c r="G13" i="8" s="1"/>
  <c r="A3" i="3"/>
  <c r="C61" i="3"/>
  <c r="C52" i="3"/>
  <c r="C4" i="8"/>
  <c r="G5" i="8" s="1"/>
  <c r="C88" i="3"/>
  <c r="C73" i="3"/>
  <c r="C72" i="3"/>
  <c r="A2" i="3"/>
  <c r="C60" i="3"/>
  <c r="C87" i="3"/>
  <c r="C3" i="8"/>
  <c r="G4" i="8" s="1"/>
  <c r="C51" i="3"/>
  <c r="A12" i="3"/>
  <c r="C82" i="3"/>
  <c r="C13" i="8"/>
  <c r="G14" i="8" s="1"/>
  <c r="C97" i="3"/>
  <c r="C62" i="3"/>
  <c r="C53" i="3"/>
  <c r="C89" i="3"/>
  <c r="C74" i="3"/>
  <c r="C5" i="8"/>
  <c r="G6" i="8" s="1"/>
  <c r="A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5099BC-7377-4551-AEEC-7889F9D56C20}" keepAlive="1" name="Query - price?ids=bitcoin&amp;vs_currencies=usd" description="Connection to the 'price?ids=bitcoin&amp;vs_currencies=usd' query in the workbook." type="5" refreshedVersion="0" background="1" saveData="1">
    <dbPr connection="Provider=Microsoft.Mashup.OleDb.1;Data Source=$Workbook$;Location=&quot;price?ids=bitcoin&amp;vs_currencies=usd&quot;;Extended Properties=&quot;&quot;" command="SELECT * FROM [price?ids=bitcoin&amp;vs_currencies=usd]"/>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1"/>
        </ext>
      </extLst>
    </bk>
  </futureMetadata>
  <cellMetadata count="1">
    <bk>
      <rc t="1" v="0"/>
    </bk>
  </cellMetadata>
  <valueMetadata count="1">
    <bk>
      <rc t="2" v="0"/>
    </bk>
  </valueMetadata>
</metadata>
</file>

<file path=xl/sharedStrings.xml><?xml version="1.0" encoding="utf-8"?>
<sst xmlns="http://schemas.openxmlformats.org/spreadsheetml/2006/main" count="595" uniqueCount="202">
  <si>
    <t>Person</t>
  </si>
  <si>
    <t>Endowment</t>
  </si>
  <si>
    <t>Round 1</t>
  </si>
  <si>
    <t>Round 2</t>
  </si>
  <si>
    <t>Round 3</t>
  </si>
  <si>
    <t>Ending Bitcoin</t>
  </si>
  <si>
    <t>Won(Lost)</t>
  </si>
  <si>
    <t>Final Bal per Statements</t>
  </si>
  <si>
    <t>US Justice System</t>
  </si>
  <si>
    <t>Ends Up</t>
  </si>
  <si>
    <t>Exchange Rate</t>
  </si>
  <si>
    <t>Winner</t>
  </si>
  <si>
    <t>Net Winners Won</t>
  </si>
  <si>
    <t>Net Losers Lost</t>
  </si>
  <si>
    <t>Rick Took</t>
  </si>
  <si>
    <t>In Jail!!</t>
  </si>
  <si>
    <t>Total</t>
  </si>
  <si>
    <t>Loser</t>
  </si>
  <si>
    <t>Attorneys, Trustees, etc. Fees?</t>
  </si>
  <si>
    <t>Last time I looked (almost 10 years ago):</t>
  </si>
  <si>
    <t>$900 million in Madoff Case</t>
  </si>
  <si>
    <r>
      <t xml:space="preserve">More recently, $1.25 billion --- to </t>
    </r>
    <r>
      <rPr>
        <i/>
        <sz val="20"/>
        <rFont val="Arial"/>
        <family val="2"/>
      </rPr>
      <t>one law firm alone</t>
    </r>
    <r>
      <rPr>
        <sz val="20"/>
        <rFont val="Arial"/>
        <family val="2"/>
      </rPr>
      <t>!</t>
    </r>
  </si>
  <si>
    <t>RICK</t>
  </si>
  <si>
    <t>BIG Winner!</t>
  </si>
  <si>
    <t>First Name</t>
  </si>
  <si>
    <t>Last Name</t>
  </si>
  <si>
    <t>Amount</t>
  </si>
  <si>
    <t>USD</t>
  </si>
  <si>
    <r>
      <t>$/</t>
    </r>
    <r>
      <rPr>
        <sz val="20"/>
        <rFont val="Aptos Narrow"/>
        <family val="2"/>
      </rPr>
      <t>₿</t>
    </r>
  </si>
  <si>
    <t>All deposits occur at the beginning of the round.</t>
  </si>
  <si>
    <t>All withdrawals occur at the end of the round.</t>
  </si>
  <si>
    <t>Beg Bal</t>
  </si>
  <si>
    <t>Deposit</t>
  </si>
  <si>
    <t>"Earnings"</t>
  </si>
  <si>
    <t>Withdrawals</t>
  </si>
  <si>
    <t>Balance</t>
  </si>
  <si>
    <t>Net Bitcoin</t>
  </si>
  <si>
    <t>Acct #</t>
  </si>
  <si>
    <t>Name</t>
  </si>
  <si>
    <t>From RLAIS</t>
  </si>
  <si>
    <t>Investor</t>
  </si>
  <si>
    <t>Deposits</t>
  </si>
  <si>
    <t>Net</t>
  </si>
  <si>
    <t>Ending Wealth</t>
  </si>
  <si>
    <t xml:space="preserve">   Total</t>
  </si>
  <si>
    <t>Substitutes</t>
  </si>
  <si>
    <t>RLA Investment Securities LLC</t>
  </si>
  <si>
    <t>Acct#</t>
  </si>
  <si>
    <t>Beginning balance</t>
  </si>
  <si>
    <t>Earnings</t>
  </si>
  <si>
    <t>Role</t>
  </si>
  <si>
    <t>College</t>
  </si>
  <si>
    <t>Major (Primary)</t>
  </si>
  <si>
    <t>Year</t>
  </si>
  <si>
    <t>Rand</t>
  </si>
  <si>
    <t>Present</t>
  </si>
  <si>
    <t># of players</t>
  </si>
  <si>
    <t>Ambati</t>
  </si>
  <si>
    <t>Meena</t>
  </si>
  <si>
    <t>Visitor</t>
  </si>
  <si>
    <t>Trumbull College</t>
  </si>
  <si>
    <t>Ecology &amp; Evolutionary Biology</t>
  </si>
  <si>
    <t>Yes</t>
  </si>
  <si>
    <t>Daniels</t>
  </si>
  <si>
    <t>Erin</t>
  </si>
  <si>
    <t>Student</t>
  </si>
  <si>
    <t>Benjamin Franklin College</t>
  </si>
  <si>
    <t>Economics</t>
  </si>
  <si>
    <t>Mitchell</t>
  </si>
  <si>
    <t>Sydney</t>
  </si>
  <si>
    <t>Pierson College</t>
  </si>
  <si>
    <t>Political Science</t>
  </si>
  <si>
    <t>Tompkins</t>
  </si>
  <si>
    <t>Claiborne</t>
  </si>
  <si>
    <t>Saybrook College</t>
  </si>
  <si>
    <t>Undeclared</t>
  </si>
  <si>
    <t>Kim</t>
  </si>
  <si>
    <t>Olivia</t>
  </si>
  <si>
    <t>Pauli Murray College</t>
  </si>
  <si>
    <t>Capstraw</t>
  </si>
  <si>
    <t>Kiley</t>
  </si>
  <si>
    <t>Psychology</t>
  </si>
  <si>
    <t>Monks</t>
  </si>
  <si>
    <t>Isaac</t>
  </si>
  <si>
    <t>Timothy Dwight College</t>
  </si>
  <si>
    <t>American Studies</t>
  </si>
  <si>
    <t>Berreby</t>
  </si>
  <si>
    <t>Ruben</t>
  </si>
  <si>
    <t>Xu</t>
  </si>
  <si>
    <t>Joya</t>
  </si>
  <si>
    <t>Lee</t>
  </si>
  <si>
    <t>Emma</t>
  </si>
  <si>
    <t>Grace Hopper College</t>
  </si>
  <si>
    <t>Szydlowski</t>
  </si>
  <si>
    <t>Lucas</t>
  </si>
  <si>
    <t>Jonathan Edwards College</t>
  </si>
  <si>
    <t>Wang</t>
  </si>
  <si>
    <t>Noria</t>
  </si>
  <si>
    <t>School of Public Health</t>
  </si>
  <si>
    <t>Biostatistics</t>
  </si>
  <si>
    <t>Zhong</t>
  </si>
  <si>
    <t>Claire</t>
  </si>
  <si>
    <t>Branford College</t>
  </si>
  <si>
    <t>Computer Science &amp; Mathematics</t>
  </si>
  <si>
    <t>Whittington</t>
  </si>
  <si>
    <t>Hettie</t>
  </si>
  <si>
    <t>Bernard</t>
  </si>
  <si>
    <t>Jonathan</t>
  </si>
  <si>
    <t>Morse College</t>
  </si>
  <si>
    <t>History</t>
  </si>
  <si>
    <t>Pankey</t>
  </si>
  <si>
    <t>Jack</t>
  </si>
  <si>
    <t>Liao</t>
  </si>
  <si>
    <t>Edward</t>
  </si>
  <si>
    <t>Gupta</t>
  </si>
  <si>
    <t>Krish</t>
  </si>
  <si>
    <t>Berkeley College</t>
  </si>
  <si>
    <t>Sharma</t>
  </si>
  <si>
    <t>Shaurya</t>
  </si>
  <si>
    <t>Farouz</t>
  </si>
  <si>
    <t>Joseph</t>
  </si>
  <si>
    <t>Silliman College</t>
  </si>
  <si>
    <t>Adler</t>
  </si>
  <si>
    <t>Monaghan</t>
  </si>
  <si>
    <t>Tom</t>
  </si>
  <si>
    <t>Davenport College</t>
  </si>
  <si>
    <t>Sutton</t>
  </si>
  <si>
    <t>Lachlan</t>
  </si>
  <si>
    <t>Baileff</t>
  </si>
  <si>
    <t>Issy</t>
  </si>
  <si>
    <t>Environmental Studies</t>
  </si>
  <si>
    <t>Rehn</t>
  </si>
  <si>
    <t>Ashley Haiting</t>
  </si>
  <si>
    <t>Chronic Disease Epidemiology</t>
  </si>
  <si>
    <t>Messina</t>
  </si>
  <si>
    <t>Jordan</t>
  </si>
  <si>
    <t>Bang</t>
  </si>
  <si>
    <t>Timothy</t>
  </si>
  <si>
    <t>East Asian Studies</t>
  </si>
  <si>
    <t>Park</t>
  </si>
  <si>
    <t>Jin Woo</t>
  </si>
  <si>
    <t>Ezra Stiles College</t>
  </si>
  <si>
    <t>Lin</t>
  </si>
  <si>
    <t>Matt</t>
  </si>
  <si>
    <t>Perez</t>
  </si>
  <si>
    <t>Carlos</t>
  </si>
  <si>
    <t>Berkowitz-Sklar</t>
  </si>
  <si>
    <t>Julian</t>
  </si>
  <si>
    <t>Chang</t>
  </si>
  <si>
    <t>Maggie</t>
  </si>
  <si>
    <t>Molecular Biophysics &amp; Biochem</t>
  </si>
  <si>
    <t>Huang</t>
  </si>
  <si>
    <t>Angela</t>
  </si>
  <si>
    <t>Combs</t>
  </si>
  <si>
    <t>Aaron</t>
  </si>
  <si>
    <t>Khaing</t>
  </si>
  <si>
    <t>Ladia</t>
  </si>
  <si>
    <t>Rosenstein</t>
  </si>
  <si>
    <t>Shua</t>
  </si>
  <si>
    <t>Coffey</t>
  </si>
  <si>
    <t>Ryan</t>
  </si>
  <si>
    <t>Applied Mathematics</t>
  </si>
  <si>
    <t>Zhu</t>
  </si>
  <si>
    <t>Angelo</t>
  </si>
  <si>
    <t>Wasserman</t>
  </si>
  <si>
    <t>Dani</t>
  </si>
  <si>
    <t>Hansen</t>
  </si>
  <si>
    <t>Sophie</t>
  </si>
  <si>
    <t>Economics &amp; Mathematics</t>
  </si>
  <si>
    <t>Name1</t>
  </si>
  <si>
    <t>Player 1</t>
  </si>
  <si>
    <t>Name2</t>
  </si>
  <si>
    <t>Name3</t>
  </si>
  <si>
    <t>Player 2</t>
  </si>
  <si>
    <t>Name4</t>
  </si>
  <si>
    <t>Name5</t>
  </si>
  <si>
    <t>Player 3</t>
  </si>
  <si>
    <t>Name6</t>
  </si>
  <si>
    <t>Name7</t>
  </si>
  <si>
    <t>Player 4</t>
  </si>
  <si>
    <t>Name8</t>
  </si>
  <si>
    <t>Name9</t>
  </si>
  <si>
    <t>Player 5</t>
  </si>
  <si>
    <t>Name10</t>
  </si>
  <si>
    <t>Name11</t>
  </si>
  <si>
    <t>Player 6</t>
  </si>
  <si>
    <t>Player 7</t>
  </si>
  <si>
    <t>College1</t>
  </si>
  <si>
    <t>College2</t>
  </si>
  <si>
    <t>Player 8</t>
  </si>
  <si>
    <t>College3</t>
  </si>
  <si>
    <t>College4</t>
  </si>
  <si>
    <t>Player 9</t>
  </si>
  <si>
    <t>College5</t>
  </si>
  <si>
    <t>College6</t>
  </si>
  <si>
    <t>Player 10</t>
  </si>
  <si>
    <t>College7</t>
  </si>
  <si>
    <t>College8</t>
  </si>
  <si>
    <t>Player 11</t>
  </si>
  <si>
    <t>College9</t>
  </si>
  <si>
    <t>College10</t>
  </si>
  <si>
    <t>College11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</si>
</sst>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 #,##0_);[Red]\([$₿]\ #,##0\)" x16r2:formatCode16="[$₿-x-xbt2]\ #,##0_);[Red]\([$₿-x-xbt2]\ #,##0\)"/>
    <numFmt numFmtId="165" formatCode="_([$$-409]* #,##0.00_);_([$$-409]* \(#,##0.00\);_([$$-409]* &quot;-&quot;??_);_(@_)"/>
  </numFmts>
  <fonts count="24">
    <font>
      <sz val="10"/>
      <name val="Arial"/>
    </font>
    <font>
      <sz val="11"/>
      <color theme="1"/>
      <name val="Calibri"/>
      <family val="2"/>
      <scheme val="minor"/>
    </font>
    <font>
      <sz val="11"/>
      <color theme="1"/>
      <name val="Calibri"/>
      <family val="2"/>
      <scheme val="minor"/>
    </font>
    <font>
      <sz val="20"/>
      <name val="Arial"/>
      <family val="2"/>
    </font>
    <font>
      <sz val="24"/>
      <name val="Arial"/>
      <family val="2"/>
    </font>
    <font>
      <b/>
      <sz val="20"/>
      <name val="Arial"/>
      <family val="2"/>
    </font>
    <font>
      <sz val="16"/>
      <name val="Arial"/>
      <family val="2"/>
    </font>
    <font>
      <b/>
      <sz val="16"/>
      <name val="Arial"/>
      <family val="2"/>
    </font>
    <font>
      <sz val="10"/>
      <name val="Arial"/>
      <family val="2"/>
    </font>
    <font>
      <i/>
      <sz val="20"/>
      <name val="Arial"/>
      <family val="2"/>
    </font>
    <font>
      <b/>
      <sz val="24"/>
      <name val="Arial"/>
      <family val="2"/>
    </font>
    <font>
      <sz val="8"/>
      <name val="Arial"/>
      <family val="2"/>
    </font>
    <font>
      <sz val="8"/>
      <name val="Arial"/>
      <family val="2"/>
    </font>
    <font>
      <sz val="12"/>
      <name val="Arial"/>
      <family val="2"/>
    </font>
    <font>
      <sz val="10"/>
      <name val="Arial"/>
      <family val="2"/>
    </font>
    <font>
      <sz val="11"/>
      <color theme="0"/>
      <name val="Calibri"/>
      <family val="2"/>
      <scheme val="minor"/>
    </font>
    <font>
      <sz val="20"/>
      <name val="Aptos Narrow"/>
      <family val="2"/>
    </font>
    <font>
      <b/>
      <sz val="11"/>
      <name val="Calibri"/>
      <family val="2"/>
      <scheme val="minor"/>
    </font>
    <font>
      <sz val="14"/>
      <name val="Arial"/>
      <family val="2"/>
    </font>
    <font>
      <sz val="18"/>
      <name val="Arial"/>
      <family val="2"/>
    </font>
    <font>
      <b/>
      <sz val="18"/>
      <name val="Arial"/>
      <family val="2"/>
    </font>
    <font>
      <b/>
      <sz val="14"/>
      <name val="Congenial Black"/>
    </font>
    <font>
      <b/>
      <sz val="14"/>
      <name val="Arial"/>
      <family val="2"/>
    </font>
    <font>
      <b/>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4" tint="0.79998168889431442"/>
        <bgColor indexed="64"/>
      </patternFill>
    </fill>
  </fills>
  <borders count="35">
    <border>
      <left/>
      <right/>
      <top/>
      <bottom/>
      <diagonal/>
    </border>
    <border>
      <left/>
      <right/>
      <top/>
      <bottom style="medium">
        <color indexed="64"/>
      </bottom>
      <diagonal/>
    </border>
    <border>
      <left/>
      <right/>
      <top style="thin">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2" fillId="0" borderId="0"/>
    <xf numFmtId="44" fontId="14" fillId="0" borderId="0" applyFont="0" applyFill="0" applyBorder="0" applyAlignment="0" applyProtection="0"/>
  </cellStyleXfs>
  <cellXfs count="108">
    <xf numFmtId="0" fontId="0" fillId="0" borderId="0" xfId="0"/>
    <xf numFmtId="0" fontId="0" fillId="0" borderId="0" xfId="0" applyAlignment="1">
      <alignment horizontal="center"/>
    </xf>
    <xf numFmtId="6" fontId="0" fillId="0" borderId="0" xfId="0" applyNumberFormat="1"/>
    <xf numFmtId="0" fontId="3" fillId="0" borderId="1" xfId="0" applyFont="1" applyBorder="1" applyAlignment="1">
      <alignment horizontal="center" vertical="center"/>
    </xf>
    <xf numFmtId="0" fontId="3" fillId="0" borderId="0" xfId="0" applyFont="1"/>
    <xf numFmtId="6" fontId="3" fillId="0" borderId="0" xfId="0" applyNumberFormat="1" applyFont="1"/>
    <xf numFmtId="0" fontId="3" fillId="0" borderId="1" xfId="0" applyFont="1" applyBorder="1"/>
    <xf numFmtId="0" fontId="3" fillId="0" borderId="0" xfId="0" applyFont="1" applyAlignment="1">
      <alignment horizontal="center"/>
    </xf>
    <xf numFmtId="6" fontId="3" fillId="0" borderId="2" xfId="0" applyNumberFormat="1" applyFont="1" applyBorder="1"/>
    <xf numFmtId="0" fontId="4" fillId="0" borderId="0" xfId="0" applyFont="1"/>
    <xf numFmtId="0" fontId="4" fillId="0" borderId="1" xfId="0" applyFont="1" applyBorder="1" applyAlignment="1">
      <alignment horizontal="center" vertical="center"/>
    </xf>
    <xf numFmtId="0" fontId="4" fillId="0" borderId="0" xfId="0" applyFont="1" applyAlignment="1">
      <alignment horizontal="center"/>
    </xf>
    <xf numFmtId="0" fontId="5" fillId="0" borderId="1" xfId="0" applyFont="1" applyBorder="1" applyAlignment="1">
      <alignment horizontal="center"/>
    </xf>
    <xf numFmtId="6" fontId="6" fillId="0" borderId="0" xfId="0" applyNumberFormat="1" applyFont="1"/>
    <xf numFmtId="6" fontId="7" fillId="0" borderId="0" xfId="0" applyNumberFormat="1" applyFont="1"/>
    <xf numFmtId="164" fontId="3" fillId="0" borderId="0" xfId="0" applyNumberFormat="1" applyFont="1"/>
    <xf numFmtId="164" fontId="3" fillId="0" borderId="1" xfId="0" applyNumberFormat="1" applyFont="1" applyBorder="1"/>
    <xf numFmtId="164" fontId="3" fillId="0" borderId="2" xfId="0" applyNumberFormat="1" applyFont="1" applyBorder="1"/>
    <xf numFmtId="0" fontId="8" fillId="0" borderId="0" xfId="0" applyFont="1"/>
    <xf numFmtId="164" fontId="3" fillId="0" borderId="0" xfId="0" applyNumberFormat="1" applyFont="1" applyAlignment="1">
      <alignment horizontal="center"/>
    </xf>
    <xf numFmtId="0" fontId="10" fillId="0" borderId="1" xfId="0" applyFont="1" applyBorder="1" applyAlignment="1">
      <alignment horizontal="center" vertical="center"/>
    </xf>
    <xf numFmtId="164" fontId="5" fillId="0" borderId="0" xfId="0" applyNumberFormat="1" applyFont="1" applyAlignment="1">
      <alignment horizontal="center"/>
    </xf>
    <xf numFmtId="164" fontId="5" fillId="0" borderId="2" xfId="0" applyNumberFormat="1" applyFont="1" applyBorder="1" applyAlignment="1">
      <alignment horizontal="center"/>
    </xf>
    <xf numFmtId="0" fontId="2" fillId="0" borderId="0" xfId="1"/>
    <xf numFmtId="0" fontId="0" fillId="2" borderId="0" xfId="0" applyFill="1"/>
    <xf numFmtId="0" fontId="13" fillId="0" borderId="0" xfId="0" applyFont="1"/>
    <xf numFmtId="0" fontId="0" fillId="0" borderId="0" xfId="0" applyAlignment="1">
      <alignment horizontal="left"/>
    </xf>
    <xf numFmtId="0" fontId="3" fillId="0" borderId="1" xfId="0" applyFont="1" applyBorder="1" applyAlignment="1">
      <alignment horizontal="centerContinuous" vertical="center"/>
    </xf>
    <xf numFmtId="164" fontId="3" fillId="0" borderId="4" xfId="0" applyNumberFormat="1" applyFont="1" applyBorder="1"/>
    <xf numFmtId="164" fontId="3" fillId="0" borderId="5" xfId="0" applyNumberFormat="1" applyFont="1" applyBorder="1"/>
    <xf numFmtId="164" fontId="3" fillId="0" borderId="6" xfId="0" applyNumberFormat="1" applyFont="1" applyBorder="1"/>
    <xf numFmtId="164" fontId="3" fillId="0" borderId="3" xfId="0" applyNumberFormat="1" applyFont="1" applyBorder="1"/>
    <xf numFmtId="0" fontId="3" fillId="0" borderId="7" xfId="0" applyFont="1" applyBorder="1" applyAlignment="1">
      <alignment horizontal="centerContinuous" vertical="center"/>
    </xf>
    <xf numFmtId="164" fontId="3" fillId="0" borderId="8" xfId="0" applyNumberFormat="1" applyFont="1" applyBorder="1"/>
    <xf numFmtId="164" fontId="3" fillId="0" borderId="7" xfId="0" applyNumberFormat="1" applyFont="1" applyBorder="1"/>
    <xf numFmtId="164" fontId="3" fillId="0" borderId="9" xfId="0" applyNumberFormat="1" applyFont="1" applyBorder="1"/>
    <xf numFmtId="164" fontId="3" fillId="0" borderId="10" xfId="0" applyNumberFormat="1" applyFont="1" applyBorder="1"/>
    <xf numFmtId="0" fontId="3" fillId="0" borderId="6" xfId="0" applyFont="1" applyBorder="1" applyAlignment="1">
      <alignment horizontal="center" vertical="center"/>
    </xf>
    <xf numFmtId="0" fontId="10" fillId="0" borderId="1" xfId="0" applyFont="1" applyBorder="1" applyAlignment="1">
      <alignment horizontal="centerContinuous" vertical="center"/>
    </xf>
    <xf numFmtId="0" fontId="15" fillId="0" borderId="0" xfId="1" applyFont="1" applyAlignment="1">
      <alignment horizontal="center"/>
    </xf>
    <xf numFmtId="165" fontId="3" fillId="0" borderId="0" xfId="0" applyNumberFormat="1" applyFont="1"/>
    <xf numFmtId="0" fontId="3" fillId="0" borderId="0" xfId="0" applyFont="1" applyAlignment="1">
      <alignment horizontal="center" vertical="center"/>
    </xf>
    <xf numFmtId="44" fontId="3" fillId="0" borderId="0" xfId="2" applyFont="1"/>
    <xf numFmtId="44" fontId="3" fillId="0" borderId="1" xfId="2" applyFont="1" applyBorder="1"/>
    <xf numFmtId="0" fontId="17" fillId="0" borderId="0" xfId="1" applyFont="1" applyAlignment="1">
      <alignment horizontal="center"/>
    </xf>
    <xf numFmtId="44" fontId="3" fillId="0" borderId="0" xfId="2" applyFont="1" applyBorder="1"/>
    <xf numFmtId="0" fontId="18" fillId="0" borderId="0" xfId="0" applyFont="1"/>
    <xf numFmtId="0" fontId="21" fillId="0" borderId="0" xfId="0" applyFont="1" applyAlignment="1">
      <alignment horizontal="centerContinuous"/>
    </xf>
    <xf numFmtId="0" fontId="18" fillId="0" borderId="0" xfId="0" applyFont="1" applyAlignment="1">
      <alignment horizontal="centerContinuous"/>
    </xf>
    <xf numFmtId="0" fontId="21" fillId="0" borderId="0" xfId="0" applyFont="1"/>
    <xf numFmtId="0" fontId="22" fillId="0" borderId="0" xfId="0" applyFont="1"/>
    <xf numFmtId="0" fontId="18" fillId="0" borderId="0" xfId="0" applyFont="1" applyAlignment="1">
      <alignment horizontal="center"/>
    </xf>
    <xf numFmtId="0" fontId="22" fillId="0" borderId="0" xfId="0" applyFont="1" applyAlignment="1">
      <alignment horizontal="center"/>
    </xf>
    <xf numFmtId="0" fontId="18" fillId="0" borderId="0" xfId="0" applyFont="1" applyAlignment="1">
      <alignment horizontal="left" indent="1"/>
    </xf>
    <xf numFmtId="164" fontId="18" fillId="0" borderId="0" xfId="0" applyNumberFormat="1" applyFont="1"/>
    <xf numFmtId="0" fontId="22" fillId="0" borderId="0" xfId="0" applyFont="1" applyAlignment="1">
      <alignment horizontal="left" indent="1"/>
    </xf>
    <xf numFmtId="164" fontId="22" fillId="0" borderId="2" xfId="0" applyNumberFormat="1" applyFont="1" applyBorder="1"/>
    <xf numFmtId="0" fontId="18" fillId="2" borderId="0" xfId="0" applyFont="1" applyFill="1"/>
    <xf numFmtId="0" fontId="21" fillId="0" borderId="0" xfId="0" applyFont="1" applyAlignment="1">
      <alignment horizontal="left"/>
    </xf>
    <xf numFmtId="0" fontId="18" fillId="0" borderId="0" xfId="0" applyFont="1" applyAlignment="1">
      <alignment horizontal="left"/>
    </xf>
    <xf numFmtId="164" fontId="22" fillId="0" borderId="0" xfId="0" applyNumberFormat="1" applyFont="1"/>
    <xf numFmtId="0" fontId="1" fillId="0" borderId="0" xfId="1" applyFont="1"/>
    <xf numFmtId="0" fontId="19" fillId="0" borderId="0" xfId="0" applyFont="1" applyAlignment="1">
      <alignment horizontal="center"/>
    </xf>
    <xf numFmtId="0" fontId="19" fillId="0" borderId="14" xfId="0" applyFont="1" applyBorder="1" applyAlignment="1">
      <alignment horizontal="center"/>
    </xf>
    <xf numFmtId="164" fontId="19" fillId="0" borderId="15" xfId="0" applyNumberFormat="1"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center"/>
    </xf>
    <xf numFmtId="164" fontId="19" fillId="0" borderId="18" xfId="0" applyNumberFormat="1" applyFont="1" applyBorder="1" applyAlignment="1">
      <alignment horizontal="center"/>
    </xf>
    <xf numFmtId="0" fontId="20" fillId="0" borderId="19" xfId="0" applyFont="1" applyBorder="1" applyAlignment="1">
      <alignment horizontal="center" vertical="center"/>
    </xf>
    <xf numFmtId="0" fontId="20" fillId="0" borderId="20" xfId="0" applyFont="1" applyBorder="1" applyAlignment="1">
      <alignment horizontal="center" vertical="center"/>
    </xf>
    <xf numFmtId="0" fontId="20" fillId="0" borderId="21" xfId="0" applyFont="1" applyBorder="1" applyAlignment="1">
      <alignment horizontal="center" vertical="center"/>
    </xf>
    <xf numFmtId="0" fontId="19" fillId="0" borderId="11" xfId="0" applyFont="1" applyBorder="1" applyAlignment="1">
      <alignment horizontal="center"/>
    </xf>
    <xf numFmtId="0" fontId="19" fillId="0" borderId="12" xfId="0" applyFont="1" applyBorder="1" applyAlignment="1">
      <alignment horizontal="center"/>
    </xf>
    <xf numFmtId="164" fontId="19" fillId="0" borderId="13" xfId="0" applyNumberFormat="1" applyFont="1" applyBorder="1" applyAlignment="1">
      <alignment horizontal="center"/>
    </xf>
    <xf numFmtId="0" fontId="23" fillId="3" borderId="0" xfId="1" applyFont="1" applyFill="1"/>
    <xf numFmtId="0" fontId="2" fillId="3" borderId="0" xfId="1" applyFill="1"/>
    <xf numFmtId="164" fontId="19" fillId="0" borderId="0" xfId="0" applyNumberFormat="1" applyFont="1" applyAlignment="1">
      <alignment horizontal="center"/>
    </xf>
    <xf numFmtId="164" fontId="19" fillId="0" borderId="25" xfId="0" applyNumberFormat="1" applyFont="1" applyBorder="1" applyAlignment="1">
      <alignment horizontal="center"/>
    </xf>
    <xf numFmtId="164" fontId="19" fillId="0" borderId="27" xfId="0" applyNumberFormat="1" applyFont="1" applyBorder="1" applyAlignment="1">
      <alignment horizontal="center"/>
    </xf>
    <xf numFmtId="0" fontId="0" fillId="0" borderId="1" xfId="0" applyBorder="1"/>
    <xf numFmtId="0" fontId="20" fillId="0" borderId="29" xfId="0" applyFont="1" applyBorder="1" applyAlignment="1">
      <alignment horizontal="centerContinuous" vertical="center"/>
    </xf>
    <xf numFmtId="0" fontId="0" fillId="0" borderId="30" xfId="0" applyBorder="1" applyAlignment="1">
      <alignment horizontal="centerContinuous"/>
    </xf>
    <xf numFmtId="0" fontId="0" fillId="0" borderId="31" xfId="0" applyBorder="1" applyAlignment="1">
      <alignment horizontal="centerContinuous"/>
    </xf>
    <xf numFmtId="164" fontId="19" fillId="0" borderId="26" xfId="0" applyNumberFormat="1" applyFont="1" applyBorder="1" applyAlignment="1">
      <alignment horizontal="center"/>
    </xf>
    <xf numFmtId="0" fontId="20" fillId="0" borderId="23" xfId="0" applyFont="1" applyBorder="1" applyAlignment="1">
      <alignment horizontal="center" vertical="center"/>
    </xf>
    <xf numFmtId="0" fontId="20" fillId="0" borderId="24" xfId="0" applyFont="1" applyBorder="1" applyAlignment="1">
      <alignment horizontal="center" vertical="center"/>
    </xf>
    <xf numFmtId="164" fontId="19" fillId="0" borderId="28" xfId="0" applyNumberFormat="1" applyFont="1" applyBorder="1" applyAlignment="1">
      <alignment horizontal="center"/>
    </xf>
    <xf numFmtId="164" fontId="19" fillId="0" borderId="33" xfId="0" applyNumberFormat="1" applyFont="1" applyBorder="1" applyAlignment="1">
      <alignment horizontal="center"/>
    </xf>
    <xf numFmtId="164" fontId="19" fillId="0" borderId="34" xfId="0" applyNumberFormat="1" applyFont="1" applyBorder="1" applyAlignment="1">
      <alignment horizontal="center"/>
    </xf>
    <xf numFmtId="0" fontId="0" fillId="0" borderId="23" xfId="0" applyBorder="1"/>
    <xf numFmtId="0" fontId="18" fillId="0" borderId="29" xfId="0" applyFont="1" applyBorder="1" applyAlignment="1">
      <alignment horizontal="center" vertical="center"/>
    </xf>
    <xf numFmtId="0" fontId="18" fillId="0" borderId="30" xfId="0" applyFont="1" applyBorder="1" applyAlignment="1">
      <alignment horizontal="center" vertical="center"/>
    </xf>
    <xf numFmtId="0" fontId="18" fillId="0" borderId="22" xfId="0" applyFont="1" applyBorder="1" applyAlignment="1">
      <alignment horizontal="center" vertical="center"/>
    </xf>
    <xf numFmtId="0" fontId="20" fillId="0" borderId="27" xfId="0" applyFont="1" applyBorder="1" applyAlignment="1">
      <alignment horizontal="center" vertical="center"/>
    </xf>
    <xf numFmtId="0" fontId="20" fillId="0" borderId="34" xfId="0" applyFont="1" applyBorder="1" applyAlignment="1">
      <alignment horizontal="center" vertical="center"/>
    </xf>
    <xf numFmtId="164" fontId="0" fillId="0" borderId="30" xfId="0" applyNumberFormat="1" applyBorder="1"/>
    <xf numFmtId="164" fontId="20" fillId="0" borderId="22" xfId="0" applyNumberFormat="1" applyFont="1" applyBorder="1" applyAlignment="1">
      <alignment horizontal="center"/>
    </xf>
    <xf numFmtId="0" fontId="7" fillId="0" borderId="29" xfId="0" applyFont="1" applyBorder="1"/>
    <xf numFmtId="0" fontId="6" fillId="0" borderId="32" xfId="0" applyFont="1" applyBorder="1"/>
    <xf numFmtId="0" fontId="6" fillId="0" borderId="33" xfId="0" applyFont="1" applyBorder="1"/>
    <xf numFmtId="0" fontId="6" fillId="0" borderId="34" xfId="0" applyFont="1" applyBorder="1"/>
    <xf numFmtId="0" fontId="5" fillId="0" borderId="25" xfId="0" applyFont="1" applyBorder="1" applyAlignment="1">
      <alignment horizontal="center"/>
    </xf>
    <xf numFmtId="164" fontId="3" fillId="0" borderId="30" xfId="0" applyNumberFormat="1" applyFont="1" applyBorder="1"/>
    <xf numFmtId="0" fontId="0" fillId="0" borderId="17" xfId="0" applyBorder="1"/>
    <xf numFmtId="0" fontId="19" fillId="0" borderId="13" xfId="0" applyFont="1" applyBorder="1" applyAlignment="1">
      <alignment horizontal="center"/>
    </xf>
    <xf numFmtId="0" fontId="19" fillId="0" borderId="15" xfId="0" applyFont="1" applyBorder="1" applyAlignment="1">
      <alignment horizontal="center"/>
    </xf>
    <xf numFmtId="0" fontId="19" fillId="0" borderId="18" xfId="0" applyFont="1" applyBorder="1" applyAlignment="1">
      <alignment horizontal="center"/>
    </xf>
    <xf numFmtId="0" fontId="0" fillId="0" borderId="15" xfId="0" applyBorder="1"/>
  </cellXfs>
  <cellStyles count="3">
    <cellStyle name="Currency" xfId="2" builtinId="4"/>
    <cellStyle name="Normal" xfId="0" builtinId="0"/>
    <cellStyle name="Normal 2" xfId="1" xr:uid="{776DDAD4-312A-4F51-8098-1BF2CE1111C9}"/>
  </cellStyles>
  <dxfs count="3">
    <dxf>
      <numFmt numFmtId="0" formatCode="General"/>
    </dxf>
    <dxf>
      <font>
        <strike val="0"/>
        <outline val="0"/>
        <shadow val="0"/>
        <u val="none"/>
        <vertAlign val="baseline"/>
        <sz val="11"/>
        <color theme="0"/>
        <name val="Calibri"/>
        <family val="2"/>
        <scheme val="minor"/>
      </font>
      <alignment horizontal="center" vertical="bottom" textRotation="0" wrapText="0" indent="0" justifyLastLine="0" shrinkToFit="0" readingOrder="0"/>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ichStyles" Target="richData/richStyles.xml"/><Relationship Id="rId10" Type="http://schemas.openxmlformats.org/officeDocument/2006/relationships/styles" Target="style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connections" Target="connections.xml"/><Relationship Id="rId14" Type="http://schemas.microsoft.com/office/2017/06/relationships/rdRichValueStructure" Target="richData/rdrichvaluestructure.xml"/></Relationships>
</file>

<file path=xl/drawings/drawing1.xml><?xml version="1.0" encoding="utf-8"?>
<xdr:wsDr xmlns:xdr="http://schemas.openxmlformats.org/drawingml/2006/spreadsheetDrawing" xmlns:a="http://schemas.openxmlformats.org/drawingml/2006/main">
  <xdr:absoluteAnchor>
    <xdr:pos x="10206991" y="105727"/>
    <xdr:ext cx="1828800" cy="2461260"/>
    <mc:AlternateContent xmlns:mc="http://schemas.openxmlformats.org/markup-compatibility/2006" xmlns:sle15="http://schemas.microsoft.com/office/drawing/2012/slicer">
      <mc:Choice Requires="sle15">
        <xdr:graphicFrame macro="">
          <xdr:nvGraphicFramePr>
            <xdr:cNvPr id="2" name="College">
              <a:extLst>
                <a:ext uri="{FF2B5EF4-FFF2-40B4-BE49-F238E27FC236}">
                  <a16:creationId xmlns:a16="http://schemas.microsoft.com/office/drawing/2014/main" id="{D4E0C2B8-B892-493E-AA5C-96C1A09245C4}"/>
                </a:ext>
              </a:extLst>
            </xdr:cNvPr>
            <xdr:cNvGraphicFramePr/>
          </xdr:nvGraphicFramePr>
          <xdr:xfrm>
            <a:off x="0" y="0"/>
            <a:ext cx="0" cy="0"/>
          </xdr:xfrm>
          <a:graphic>
            <a:graphicData uri="http://schemas.microsoft.com/office/drawing/2010/slicer">
              <sle:slicer xmlns:sle="http://schemas.microsoft.com/office/drawing/2010/slicer" name="College"/>
            </a:graphicData>
          </a:graphic>
        </xdr:graphicFrame>
      </mc:Choice>
      <mc:Fallback xmlns="">
        <xdr:sp macro="" textlink="">
          <xdr:nvSpPr>
            <xdr:cNvPr id="0" name=""/>
            <xdr:cNvSpPr>
              <a:spLocks noTextEdit="1"/>
            </xdr:cNvSpPr>
          </xdr:nvSpPr>
          <xdr:spPr>
            <a:xfrm>
              <a:off x="10206991" y="105727"/>
              <a:ext cx="1828800" cy="24612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0257472" y="2763203"/>
    <xdr:ext cx="1828800" cy="2466975"/>
    <mc:AlternateContent xmlns:mc="http://schemas.openxmlformats.org/markup-compatibility/2006" xmlns:sle15="http://schemas.microsoft.com/office/drawing/2012/slicer">
      <mc:Choice Requires="sle15">
        <xdr:graphicFrame macro="">
          <xdr:nvGraphicFramePr>
            <xdr:cNvPr id="3" name="Major (Primary)">
              <a:extLst>
                <a:ext uri="{FF2B5EF4-FFF2-40B4-BE49-F238E27FC236}">
                  <a16:creationId xmlns:a16="http://schemas.microsoft.com/office/drawing/2014/main" id="{363B736C-5637-4372-9974-0CA757E833FF}"/>
                </a:ext>
              </a:extLst>
            </xdr:cNvPr>
            <xdr:cNvGraphicFramePr/>
          </xdr:nvGraphicFramePr>
          <xdr:xfrm>
            <a:off x="0" y="0"/>
            <a:ext cx="0" cy="0"/>
          </xdr:xfrm>
          <a:graphic>
            <a:graphicData uri="http://schemas.microsoft.com/office/drawing/2010/slicer">
              <sle:slicer xmlns:sle="http://schemas.microsoft.com/office/drawing/2010/slicer" name="Major (Primary)"/>
            </a:graphicData>
          </a:graphic>
        </xdr:graphicFrame>
      </mc:Choice>
      <mc:Fallback xmlns="">
        <xdr:sp macro="" textlink="">
          <xdr:nvSpPr>
            <xdr:cNvPr id="0" name=""/>
            <xdr:cNvSpPr>
              <a:spLocks noTextEdit="1"/>
            </xdr:cNvSpPr>
          </xdr:nvSpPr>
          <xdr:spPr>
            <a:xfrm>
              <a:off x="10257472" y="2763203"/>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0275570" y="5653087"/>
    <xdr:ext cx="1828800" cy="2466975"/>
    <mc:AlternateContent xmlns:mc="http://schemas.openxmlformats.org/markup-compatibility/2006" xmlns:sle15="http://schemas.microsoft.com/office/drawing/2012/slicer">
      <mc:Choice Requires="sle15">
        <xdr:graphicFrame macro="">
          <xdr:nvGraphicFramePr>
            <xdr:cNvPr id="4" name="Year">
              <a:extLst>
                <a:ext uri="{FF2B5EF4-FFF2-40B4-BE49-F238E27FC236}">
                  <a16:creationId xmlns:a16="http://schemas.microsoft.com/office/drawing/2014/main" id="{B2A94964-A202-4C7B-8F89-2680AC03FDE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75570" y="565308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
  <rv s="0">
    <v>en-US</v>
    <v>bo8l6h</v>
    <v>268435456</v>
    <v>1</v>
    <v>Powered by Refinitiv</v>
    <v>0</v>
    <v>BTC/USD</v>
    <v>2</v>
    <v>3</v>
    <v>Finance</v>
    <v>4</v>
    <v>126223.18</v>
    <v>74445.789999999994</v>
    <v>1043.77</v>
    <v>1.1514E-2</v>
    <v>USD</v>
    <v>BTC</v>
    <v>92392.639999999999</v>
    <v>Currency Pair</v>
    <v>46034.67931712963</v>
    <v>90041.58</v>
    <v>Bitcoin/US Dollar FX Spot Rate</v>
    <v>90644.03</v>
    <v>90652.71</v>
    <v>91696.48</v>
    <v>BTCUSD</v>
    <v>BTC/USD</v>
  </rv>
  <rv s="1">
    <v>0</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rvStructures>
</file>

<file path=xl/richData/rdsupportingpropertybag.xml><?xml version="1.0" encoding="utf-8"?>
<supportingPropertyBags xmlns="http://schemas.microsoft.com/office/spreadsheetml/2017/richdata2">
  <spbArrays count="1">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5">
    <spb s="0">
      <v>0</v>
      <v>Name</v>
    </spb>
    <spb s="1">
      <v>0</v>
      <v>0</v>
      <v>0</v>
    </spb>
    <spb s="2">
      <v>1</v>
      <v>1</v>
    </spb>
    <spb s="3">
      <v>1</v>
      <v>1</v>
      <v>2</v>
      <v>1</v>
      <v>1</v>
      <v>1</v>
      <v>3</v>
      <v>1</v>
      <v>1</v>
      <v>1</v>
      <v>4</v>
      <v>5</v>
    </spb>
    <spb s="4">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2" formatCode="0.00"/>
    </x:dxf>
    <x:dxf>
      <x:numFmt numFmtId="0" formatCode="General"/>
    </x:dxf>
    <x:dxf>
      <x:numFmt numFmtId="27" formatCode="m/d/yyyy\ h:mm"/>
    </x:dxf>
    <x:dxf>
      <x:numFmt numFmtId="14" formatCode="0.00%"/>
    </x:dxf>
  </dxfs>
  <richProperties>
    <rPr n="NumberFormat" t="s"/>
    <rPr n="IsTitleField" t="b"/>
  </richProperties>
  <richStyles>
    <rSty dxfid="1">
      <rpv i="0">_([$$-en-US]* #,##0.00_);_([$$-en-US]* (#,##0.00);_([$$-en-US]* "-"??_);_(@_)</rpv>
    </rSty>
    <rSty>
      <rpv i="1">1</rpv>
    </rSty>
    <rSty dxfid="3"/>
    <rSty dxfid="2"/>
    <rSty dxfid="0">
      <rpv i="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lege" xr10:uid="{36DAF5D7-5E08-4469-AD11-CD7E7DC44D8C}" sourceName="College">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jor__Primary" xr10:uid="{139BF069-5DEA-4FBA-9C0C-F7B62A2EF49B}" sourceName="Major (Primary)">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2F61EF7-88F6-4D58-89A7-640B1ADC0B3E}" sourceName="Yea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lege" xr10:uid="{3F85BC28-C59E-4C2E-B0B8-D9EF161663AA}" cache="Slicer_College" caption="College" rowHeight="234950"/>
  <slicer name="Major (Primary)" xr10:uid="{DB024AAD-E4F5-4DAF-BCFA-C00AC80D4B96}" cache="Slicer_Major__Primary" caption="Major (Primary)" rowHeight="234950"/>
  <slicer name="Year" xr10:uid="{EE891B15-7BE9-4A08-A080-CE5E9847AE92}"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95A7B0-C8B6-45AD-B6EA-25F2159029AB}" name="Table1" displayName="Table1" ref="A1:H140" totalsRowShown="0" headerRowDxfId="1">
  <autoFilter ref="A1:H140" xr:uid="{EC3040BC-5218-45DB-891E-0F9AD7599609}"/>
  <sortState xmlns:xlrd2="http://schemas.microsoft.com/office/spreadsheetml/2017/richdata2" ref="A2:H140">
    <sortCondition ref="G1:G140"/>
  </sortState>
  <tableColumns count="8">
    <tableColumn id="1" xr3:uid="{E8E17184-5FC8-42D9-B31A-F002F93907D1}" name="Last Name"/>
    <tableColumn id="2" xr3:uid="{97C25026-8E5B-4D47-9ECC-319B5E4FD133}" name="First Name"/>
    <tableColumn id="3" xr3:uid="{157CB75F-87CD-43F7-978A-9D2E3458FC35}" name="Role"/>
    <tableColumn id="4" xr3:uid="{F50846A5-1E05-4170-9B94-2FFE41CB937C}" name="College"/>
    <tableColumn id="5" xr3:uid="{BB77D1F1-1966-4A00-9C7C-280391C2D34D}" name="Major (Primary)"/>
    <tableColumn id="6" xr3:uid="{F4A7A346-E0C8-49F3-ACC6-946C56F9C46D}" name="Year"/>
    <tableColumn id="7" xr3:uid="{453DF491-25EA-4EB3-8B52-0BFB49029829}" name="Rand" dataDxfId="0">
      <calculatedColumnFormula>ROUND(RANDBETWEEN(1,27),0)</calculatedColumnFormula>
    </tableColumn>
    <tableColumn id="8" xr3:uid="{2E4354AD-16BB-40A4-B4E4-B3C773331B7D}" name="Present"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spPr>
      <a:bodyPr vertOverflow="clip" horzOverflow="clip" rtlCol="0" anchor="ctr"/>
      <a:lstStyle>
        <a:defPPr algn="ctr">
          <a:defRPr sz="1600" b="0" i="0" u="none" strike="noStrike" kern="1200">
            <a:solidFill>
              <a:srgbClr val="000000"/>
            </a:solidFill>
            <a:latin typeface="Calibri"/>
            <a:ea typeface="Calibri"/>
            <a:cs typeface="Calibri"/>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99"/>
  <sheetViews>
    <sheetView tabSelected="1" topLeftCell="A4" zoomScale="85" zoomScaleNormal="85" workbookViewId="0">
      <selection activeCell="F30" sqref="F30"/>
    </sheetView>
  </sheetViews>
  <sheetFormatPr defaultColWidth="8.85546875" defaultRowHeight="13.15"/>
  <cols>
    <col min="1" max="1" width="44.5703125" bestFit="1" customWidth="1"/>
    <col min="2" max="2" width="25.28515625" customWidth="1"/>
    <col min="3" max="3" width="27.140625" bestFit="1" customWidth="1"/>
    <col min="4" max="4" width="16.85546875" bestFit="1" customWidth="1"/>
    <col min="5" max="5" width="34.85546875" bestFit="1" customWidth="1"/>
    <col min="6" max="6" width="25.85546875" bestFit="1" customWidth="1"/>
    <col min="7" max="7" width="26.42578125" bestFit="1" customWidth="1"/>
    <col min="8" max="8" width="20.28515625" bestFit="1" customWidth="1"/>
    <col min="9" max="9" width="24.85546875" bestFit="1" customWidth="1"/>
    <col min="10" max="10" width="19.140625" bestFit="1" customWidth="1"/>
    <col min="11" max="11" width="39.85546875" customWidth="1"/>
    <col min="12" max="12" width="29.5703125" customWidth="1"/>
    <col min="13" max="13" width="16.5703125" customWidth="1"/>
    <col min="14" max="14" width="35.28515625" bestFit="1" customWidth="1"/>
    <col min="15" max="15" width="30.7109375" customWidth="1"/>
    <col min="16" max="16" width="14.28515625" bestFit="1" customWidth="1"/>
    <col min="17" max="17" width="11.140625" bestFit="1" customWidth="1"/>
    <col min="18" max="18" width="26.5703125" bestFit="1" customWidth="1"/>
    <col min="19" max="19" width="30.85546875" bestFit="1" customWidth="1"/>
    <col min="20" max="20" width="26.42578125" bestFit="1" customWidth="1"/>
    <col min="21" max="21" width="32.85546875" bestFit="1" customWidth="1"/>
    <col min="22" max="22" width="23.42578125" bestFit="1" customWidth="1"/>
    <col min="23" max="23" width="23" bestFit="1" customWidth="1"/>
    <col min="24" max="24" width="23.7109375" bestFit="1" customWidth="1"/>
    <col min="25" max="25" width="23" bestFit="1" customWidth="1"/>
  </cols>
  <sheetData>
    <row r="1" spans="1:25" ht="25.15" thickBot="1">
      <c r="A1" s="3" t="s">
        <v>0</v>
      </c>
      <c r="B1" s="3" t="s">
        <v>1</v>
      </c>
      <c r="C1" s="27" t="s">
        <v>2</v>
      </c>
      <c r="D1" s="32"/>
      <c r="E1" s="27" t="s">
        <v>3</v>
      </c>
      <c r="F1" s="32"/>
      <c r="G1" s="27" t="s">
        <v>4</v>
      </c>
      <c r="H1" s="32"/>
      <c r="I1" s="37" t="s">
        <v>5</v>
      </c>
      <c r="J1" s="37" t="s">
        <v>6</v>
      </c>
      <c r="K1" s="37" t="s">
        <v>7</v>
      </c>
      <c r="O1" s="4"/>
      <c r="P1" s="4"/>
      <c r="Q1" s="7" t="s">
        <v>8</v>
      </c>
      <c r="R1" s="7" t="s">
        <v>9</v>
      </c>
      <c r="S1" s="4"/>
      <c r="U1" s="5" t="s">
        <v>10</v>
      </c>
      <c r="V1" s="4"/>
      <c r="W1" s="4"/>
      <c r="X1" s="7" t="s">
        <v>8</v>
      </c>
      <c r="Y1" s="7" t="s">
        <v>9</v>
      </c>
    </row>
    <row r="2" spans="1:25" ht="24.6">
      <c r="A2" s="4" t="str">
        <f>Name1</f>
        <v>Meena Ambati</v>
      </c>
      <c r="B2" s="28">
        <v>5</v>
      </c>
      <c r="C2" s="15">
        <v>-5</v>
      </c>
      <c r="D2" s="33">
        <v>10</v>
      </c>
      <c r="F2" s="33"/>
      <c r="G2" s="15"/>
      <c r="H2" s="33"/>
      <c r="I2" s="29">
        <f t="shared" ref="I2:I12" si="0">B2+SUM(C2:H2)</f>
        <v>10</v>
      </c>
      <c r="J2" s="29">
        <f t="shared" ref="J2:J12" si="1">I2-B2</f>
        <v>5</v>
      </c>
      <c r="K2" s="29">
        <v>0</v>
      </c>
      <c r="L2" s="2"/>
      <c r="M2" s="13" t="s">
        <v>11</v>
      </c>
      <c r="N2" s="2"/>
      <c r="O2" s="7" t="s">
        <v>12</v>
      </c>
      <c r="P2" s="15">
        <f>SUMIF(J2:J12,"&gt;0")</f>
        <v>20</v>
      </c>
      <c r="Q2" s="15">
        <f>-P2</f>
        <v>-20</v>
      </c>
      <c r="R2" s="15">
        <f>SUM(P2:Q2)</f>
        <v>0</v>
      </c>
      <c r="S2" s="4"/>
      <c r="U2" s="5">
        <v>26102.69</v>
      </c>
      <c r="V2" s="7" t="s">
        <v>12</v>
      </c>
      <c r="W2" s="5">
        <f t="shared" ref="W2:Y4" si="2">P2*$U$2</f>
        <v>522053.8</v>
      </c>
      <c r="X2" s="5">
        <f t="shared" si="2"/>
        <v>-522053.8</v>
      </c>
      <c r="Y2" s="5">
        <f t="shared" si="2"/>
        <v>0</v>
      </c>
    </row>
    <row r="3" spans="1:25" ht="24.6">
      <c r="A3" s="4" t="str">
        <f>Name2</f>
        <v>Erin Daniels</v>
      </c>
      <c r="B3" s="29">
        <v>5</v>
      </c>
      <c r="C3" s="15">
        <v>-5</v>
      </c>
      <c r="D3" s="33">
        <v>5</v>
      </c>
      <c r="F3" s="33">
        <v>10</v>
      </c>
      <c r="H3" s="33"/>
      <c r="I3" s="29">
        <f t="shared" si="0"/>
        <v>15</v>
      </c>
      <c r="J3" s="29">
        <f t="shared" si="1"/>
        <v>10</v>
      </c>
      <c r="K3" s="29"/>
      <c r="L3" s="2"/>
      <c r="M3" s="13" t="s">
        <v>11</v>
      </c>
      <c r="N3" s="2"/>
      <c r="O3" s="5" t="s">
        <v>13</v>
      </c>
      <c r="P3" s="15">
        <f>SUMIF(J2:J12,"&lt;0")</f>
        <v>-155</v>
      </c>
      <c r="Q3" s="15">
        <f>-Q2</f>
        <v>20</v>
      </c>
      <c r="R3" s="15">
        <f>SUM(P3:Q3)</f>
        <v>-135</v>
      </c>
      <c r="S3" s="4"/>
      <c r="V3" s="5" t="s">
        <v>13</v>
      </c>
      <c r="W3" s="5">
        <f t="shared" si="2"/>
        <v>-4045916.9499999997</v>
      </c>
      <c r="X3" s="5">
        <f t="shared" si="2"/>
        <v>522053.8</v>
      </c>
      <c r="Y3" s="5">
        <f t="shared" si="2"/>
        <v>-3523863.15</v>
      </c>
    </row>
    <row r="4" spans="1:25" ht="24.6">
      <c r="A4" s="4" t="str">
        <f>Name3</f>
        <v>Sydney Mitchell</v>
      </c>
      <c r="B4" s="29">
        <v>5</v>
      </c>
      <c r="C4" s="15">
        <v>-5</v>
      </c>
      <c r="D4" s="33"/>
      <c r="E4" s="15"/>
      <c r="F4" s="33">
        <v>10</v>
      </c>
      <c r="H4" s="33"/>
      <c r="I4" s="29">
        <f t="shared" si="0"/>
        <v>10</v>
      </c>
      <c r="J4" s="29">
        <f t="shared" si="1"/>
        <v>5</v>
      </c>
      <c r="K4" s="29"/>
      <c r="L4" s="2"/>
      <c r="M4" s="13" t="s">
        <v>11</v>
      </c>
      <c r="N4" s="2"/>
      <c r="O4" s="5" t="s">
        <v>14</v>
      </c>
      <c r="P4" s="15">
        <f>J13</f>
        <v>135</v>
      </c>
      <c r="Q4" s="15"/>
      <c r="R4" s="15">
        <f t="shared" ref="R4" si="3">SUM(P4:Q4)</f>
        <v>135</v>
      </c>
      <c r="S4" s="4" t="s">
        <v>15</v>
      </c>
      <c r="V4" s="5" t="s">
        <v>14</v>
      </c>
      <c r="W4" s="5">
        <f t="shared" si="2"/>
        <v>3523863.15</v>
      </c>
      <c r="X4" s="5">
        <f t="shared" si="2"/>
        <v>0</v>
      </c>
      <c r="Y4" s="5">
        <f t="shared" si="2"/>
        <v>3523863.15</v>
      </c>
    </row>
    <row r="5" spans="1:25" ht="25.15" thickBot="1">
      <c r="A5" s="4" t="str">
        <f>Name4</f>
        <v>Claiborne Tompkins</v>
      </c>
      <c r="B5" s="29">
        <v>5</v>
      </c>
      <c r="C5" s="15">
        <v>-5</v>
      </c>
      <c r="D5" s="33"/>
      <c r="E5" s="15"/>
      <c r="F5" s="33"/>
      <c r="H5" s="33"/>
      <c r="I5" s="29">
        <f t="shared" si="0"/>
        <v>0</v>
      </c>
      <c r="J5" s="29">
        <f t="shared" si="1"/>
        <v>-5</v>
      </c>
      <c r="K5" s="29"/>
      <c r="L5" s="2"/>
      <c r="M5" s="13" t="s">
        <v>11</v>
      </c>
      <c r="N5" s="2"/>
      <c r="O5" s="5" t="s">
        <v>16</v>
      </c>
      <c r="P5" s="17">
        <f>SUM(P2:P4)</f>
        <v>0</v>
      </c>
      <c r="Q5" s="17">
        <f>SUM(Q2:Q4)</f>
        <v>0</v>
      </c>
      <c r="R5" s="17">
        <f>SUM(P5:Q5)</f>
        <v>0</v>
      </c>
      <c r="S5" s="4"/>
      <c r="V5" s="5" t="s">
        <v>16</v>
      </c>
      <c r="W5" s="8">
        <f>SUM(W2:W4)</f>
        <v>0</v>
      </c>
      <c r="X5" s="8">
        <f>SUM(X2:X4)</f>
        <v>0</v>
      </c>
      <c r="Y5" s="8">
        <f>SUM(W5:X5)</f>
        <v>0</v>
      </c>
    </row>
    <row r="6" spans="1:25" ht="25.15" thickTop="1">
      <c r="A6" s="4" t="str">
        <f>Name5</f>
        <v>Olivia Kim</v>
      </c>
      <c r="B6" s="29">
        <v>10</v>
      </c>
      <c r="C6" s="15"/>
      <c r="D6" s="33"/>
      <c r="E6" s="15">
        <v>-10</v>
      </c>
      <c r="F6" s="33"/>
      <c r="H6" s="33"/>
      <c r="I6" s="29">
        <f t="shared" si="0"/>
        <v>0</v>
      </c>
      <c r="J6" s="29">
        <f t="shared" si="1"/>
        <v>-10</v>
      </c>
      <c r="K6" s="29"/>
      <c r="L6" s="2"/>
      <c r="M6" s="13" t="s">
        <v>11</v>
      </c>
      <c r="N6" s="2"/>
      <c r="O6" s="5"/>
      <c r="P6" s="4"/>
      <c r="Q6" s="4"/>
      <c r="R6" s="4"/>
      <c r="S6" s="4"/>
    </row>
    <row r="7" spans="1:25" ht="24.6">
      <c r="A7" s="4" t="str">
        <f>Name6</f>
        <v>Kiley Capstraw</v>
      </c>
      <c r="B7" s="29">
        <v>10</v>
      </c>
      <c r="C7" s="15"/>
      <c r="D7" s="33"/>
      <c r="E7" s="15">
        <v>-10</v>
      </c>
      <c r="F7" s="33">
        <v>10</v>
      </c>
      <c r="G7" s="15"/>
      <c r="H7" s="33"/>
      <c r="I7" s="29">
        <f t="shared" si="0"/>
        <v>10</v>
      </c>
      <c r="J7" s="29">
        <f t="shared" si="1"/>
        <v>0</v>
      </c>
      <c r="K7" s="29"/>
      <c r="L7" s="2"/>
      <c r="M7" s="13" t="s">
        <v>17</v>
      </c>
      <c r="N7" s="2"/>
      <c r="O7" s="5" t="s">
        <v>18</v>
      </c>
      <c r="P7" s="4"/>
      <c r="Q7" s="4"/>
      <c r="R7" s="4"/>
      <c r="S7" s="4"/>
    </row>
    <row r="8" spans="1:25" ht="24.6">
      <c r="A8" s="4" t="str">
        <f>Name7</f>
        <v>Isaac Monks</v>
      </c>
      <c r="B8" s="29">
        <v>10</v>
      </c>
      <c r="C8" s="15"/>
      <c r="D8" s="33"/>
      <c r="E8" s="15">
        <v>-10</v>
      </c>
      <c r="F8" s="33"/>
      <c r="G8" s="15"/>
      <c r="H8" s="33"/>
      <c r="I8" s="29">
        <f t="shared" si="0"/>
        <v>0</v>
      </c>
      <c r="J8" s="29">
        <f t="shared" si="1"/>
        <v>-10</v>
      </c>
      <c r="K8" s="29"/>
      <c r="L8" s="2"/>
      <c r="M8" s="13" t="s">
        <v>17</v>
      </c>
      <c r="N8" s="2"/>
      <c r="O8" s="5" t="s">
        <v>19</v>
      </c>
      <c r="P8" s="4"/>
      <c r="Q8" s="4"/>
      <c r="R8" s="4" t="s">
        <v>20</v>
      </c>
      <c r="S8" s="4"/>
    </row>
    <row r="9" spans="1:25" ht="25.15">
      <c r="A9" s="4" t="str">
        <f>Name8</f>
        <v>Ruben Berreby</v>
      </c>
      <c r="B9" s="29">
        <v>10</v>
      </c>
      <c r="C9" s="15"/>
      <c r="D9" s="33"/>
      <c r="E9" s="15">
        <v>-10</v>
      </c>
      <c r="F9" s="33"/>
      <c r="G9" s="15"/>
      <c r="H9" s="33"/>
      <c r="I9" s="29">
        <f t="shared" si="0"/>
        <v>0</v>
      </c>
      <c r="J9" s="29">
        <f t="shared" si="1"/>
        <v>-10</v>
      </c>
      <c r="K9" s="29"/>
      <c r="L9" s="2"/>
      <c r="M9" s="13" t="s">
        <v>17</v>
      </c>
      <c r="N9" s="2"/>
      <c r="O9" s="5" t="s">
        <v>21</v>
      </c>
    </row>
    <row r="10" spans="1:25" ht="24.6">
      <c r="A10" s="4" t="str">
        <f>Name9</f>
        <v>Joya Xu</v>
      </c>
      <c r="B10" s="29">
        <v>40</v>
      </c>
      <c r="C10" s="15"/>
      <c r="D10" s="33"/>
      <c r="E10" s="15"/>
      <c r="F10" s="33"/>
      <c r="G10" s="15">
        <v>-40</v>
      </c>
      <c r="H10" s="33"/>
      <c r="I10" s="29">
        <f t="shared" si="0"/>
        <v>0</v>
      </c>
      <c r="J10" s="29">
        <f t="shared" si="1"/>
        <v>-40</v>
      </c>
      <c r="K10" s="29"/>
      <c r="L10" s="2"/>
      <c r="M10" s="13" t="s">
        <v>17</v>
      </c>
      <c r="N10" s="2"/>
      <c r="O10" s="5"/>
      <c r="P10" s="5"/>
      <c r="Q10" s="5"/>
      <c r="R10" s="5"/>
      <c r="S10" s="5"/>
    </row>
    <row r="11" spans="1:25" ht="24.6">
      <c r="A11" s="4" t="str">
        <f>Name10</f>
        <v>Emma Lee</v>
      </c>
      <c r="B11" s="29">
        <v>40</v>
      </c>
      <c r="C11" s="15"/>
      <c r="D11" s="33"/>
      <c r="E11" s="15"/>
      <c r="F11" s="33"/>
      <c r="G11" s="15">
        <v>-40</v>
      </c>
      <c r="H11" s="33"/>
      <c r="I11" s="29">
        <f t="shared" si="0"/>
        <v>0</v>
      </c>
      <c r="J11" s="29">
        <f t="shared" si="1"/>
        <v>-40</v>
      </c>
      <c r="K11" s="29"/>
      <c r="L11" s="2"/>
      <c r="M11" s="13" t="s">
        <v>17</v>
      </c>
      <c r="N11" s="2"/>
      <c r="O11" s="5"/>
      <c r="P11" s="5"/>
      <c r="Q11" s="5"/>
      <c r="R11" s="5"/>
      <c r="S11" s="5"/>
    </row>
    <row r="12" spans="1:25" ht="25.15" thickBot="1">
      <c r="A12" s="4" t="str">
        <f>Name11</f>
        <v>Lucas Szydlowski</v>
      </c>
      <c r="B12" s="30">
        <v>40</v>
      </c>
      <c r="C12" s="16"/>
      <c r="D12" s="34"/>
      <c r="E12" s="16"/>
      <c r="F12" s="34"/>
      <c r="G12" s="16">
        <v>-40</v>
      </c>
      <c r="H12" s="34"/>
      <c r="I12" s="30">
        <f t="shared" si="0"/>
        <v>0</v>
      </c>
      <c r="J12" s="30">
        <f t="shared" si="1"/>
        <v>-40</v>
      </c>
      <c r="K12" s="30"/>
      <c r="L12" s="2"/>
      <c r="M12" s="13" t="s">
        <v>17</v>
      </c>
      <c r="N12" s="2"/>
      <c r="O12" s="5"/>
      <c r="P12" s="5"/>
      <c r="Q12" s="5"/>
      <c r="R12" s="5"/>
      <c r="S12" s="5"/>
    </row>
    <row r="13" spans="1:25" ht="25.15" thickBot="1">
      <c r="A13" s="12" t="s">
        <v>22</v>
      </c>
      <c r="B13" s="30">
        <v>0</v>
      </c>
      <c r="C13" s="16"/>
      <c r="D13" s="35">
        <f>-SUM(C2:C12)-SUM(D2:D12)</f>
        <v>5</v>
      </c>
      <c r="E13" s="16"/>
      <c r="F13" s="35">
        <f>D13-SUM(E2:E12)-SUM(F2:F12)</f>
        <v>15</v>
      </c>
      <c r="G13" s="16"/>
      <c r="H13" s="35">
        <f>F13-SUM(G2:G12)-SUM(H2:H12)</f>
        <v>135</v>
      </c>
      <c r="I13" s="29">
        <f>H13</f>
        <v>135</v>
      </c>
      <c r="J13" s="30">
        <f>-SUM(J2:J12)</f>
        <v>135</v>
      </c>
      <c r="K13" s="30"/>
      <c r="L13" s="2"/>
      <c r="M13" s="14" t="s">
        <v>23</v>
      </c>
      <c r="O13" s="5"/>
      <c r="P13" s="5"/>
      <c r="Q13" s="5"/>
      <c r="R13" s="5"/>
      <c r="S13" s="5"/>
    </row>
    <row r="14" spans="1:25" ht="25.15" thickBot="1">
      <c r="A14" s="4" t="s">
        <v>16</v>
      </c>
      <c r="B14" s="31">
        <f>SUM(B2:B13)</f>
        <v>180</v>
      </c>
      <c r="C14" s="15"/>
      <c r="D14" s="15"/>
      <c r="E14" s="15"/>
      <c r="F14" s="15"/>
      <c r="G14" s="15"/>
      <c r="H14" s="36"/>
      <c r="I14" s="31">
        <f>SUM(I2:I13)</f>
        <v>180</v>
      </c>
      <c r="J14" s="2"/>
      <c r="M14" s="5"/>
      <c r="N14" s="5"/>
      <c r="O14" s="5"/>
      <c r="P14" s="5"/>
      <c r="Q14" s="5"/>
    </row>
    <row r="15" spans="1:25" ht="13.9" thickTop="1"/>
    <row r="16" spans="1:25">
      <c r="A16" s="1"/>
    </row>
    <row r="17" spans="1:7" ht="30.6" thickBot="1">
      <c r="A17" s="9"/>
      <c r="B17" s="10" t="s">
        <v>24</v>
      </c>
      <c r="C17" s="10" t="s">
        <v>25</v>
      </c>
      <c r="D17" s="10" t="s">
        <v>26</v>
      </c>
      <c r="E17" s="3" t="s">
        <v>27</v>
      </c>
    </row>
    <row r="18" spans="1:7" ht="30">
      <c r="A18" s="11">
        <v>1</v>
      </c>
      <c r="B18" s="4"/>
      <c r="C18" s="4"/>
      <c r="D18" s="15">
        <v>5</v>
      </c>
      <c r="E18" s="42">
        <f ca="1">D18*$F$30</f>
        <v>458482.39999999997</v>
      </c>
      <c r="F18" s="4"/>
      <c r="G18" s="4"/>
    </row>
    <row r="19" spans="1:7" ht="30">
      <c r="A19" s="11">
        <v>2</v>
      </c>
      <c r="B19" s="4"/>
      <c r="C19" s="4"/>
      <c r="D19" s="15">
        <v>5</v>
      </c>
      <c r="E19" s="42">
        <f t="shared" ref="E19:E28" ca="1" si="4">D19*$F$30</f>
        <v>458482.39999999997</v>
      </c>
      <c r="F19" s="4"/>
      <c r="G19" s="4"/>
    </row>
    <row r="20" spans="1:7" ht="30">
      <c r="A20" s="11">
        <v>3</v>
      </c>
      <c r="B20" s="4"/>
      <c r="C20" s="4"/>
      <c r="D20" s="15">
        <v>5</v>
      </c>
      <c r="E20" s="42">
        <f t="shared" ca="1" si="4"/>
        <v>458482.39999999997</v>
      </c>
      <c r="F20" s="4"/>
      <c r="G20" s="4"/>
    </row>
    <row r="21" spans="1:7" ht="30">
      <c r="A21" s="11">
        <v>4</v>
      </c>
      <c r="B21" s="4"/>
      <c r="C21" s="4"/>
      <c r="D21" s="15">
        <v>5</v>
      </c>
      <c r="E21" s="42">
        <f t="shared" ca="1" si="4"/>
        <v>458482.39999999997</v>
      </c>
      <c r="F21" s="4"/>
      <c r="G21" s="4"/>
    </row>
    <row r="22" spans="1:7" ht="30">
      <c r="A22" s="11">
        <v>5</v>
      </c>
      <c r="B22" s="4"/>
      <c r="C22" s="4"/>
      <c r="D22" s="15">
        <v>10</v>
      </c>
      <c r="E22" s="42">
        <f t="shared" ca="1" si="4"/>
        <v>916964.79999999993</v>
      </c>
      <c r="F22" s="4"/>
      <c r="G22" s="4"/>
    </row>
    <row r="23" spans="1:7" ht="30">
      <c r="A23" s="11">
        <v>6</v>
      </c>
      <c r="B23" s="4"/>
      <c r="C23" s="4"/>
      <c r="D23" s="15">
        <v>10</v>
      </c>
      <c r="E23" s="42">
        <f t="shared" ca="1" si="4"/>
        <v>916964.79999999993</v>
      </c>
      <c r="F23" s="4"/>
      <c r="G23" s="4"/>
    </row>
    <row r="24" spans="1:7" ht="30">
      <c r="A24" s="11">
        <v>7</v>
      </c>
      <c r="B24" s="4"/>
      <c r="C24" s="4"/>
      <c r="D24" s="15">
        <v>10</v>
      </c>
      <c r="E24" s="42">
        <f t="shared" ca="1" si="4"/>
        <v>916964.79999999993</v>
      </c>
      <c r="F24" s="4"/>
      <c r="G24" s="4"/>
    </row>
    <row r="25" spans="1:7" ht="30">
      <c r="A25" s="11">
        <v>8</v>
      </c>
      <c r="B25" s="4"/>
      <c r="C25" s="4"/>
      <c r="D25" s="15">
        <v>10</v>
      </c>
      <c r="E25" s="42">
        <f t="shared" ca="1" si="4"/>
        <v>916964.79999999993</v>
      </c>
      <c r="F25" s="4"/>
      <c r="G25" s="4"/>
    </row>
    <row r="26" spans="1:7" ht="30">
      <c r="A26" s="11">
        <v>9</v>
      </c>
      <c r="B26" s="4"/>
      <c r="C26" s="4"/>
      <c r="D26" s="15">
        <v>40</v>
      </c>
      <c r="E26" s="42">
        <f t="shared" ca="1" si="4"/>
        <v>3667859.1999999997</v>
      </c>
      <c r="F26" s="4"/>
      <c r="G26" s="4"/>
    </row>
    <row r="27" spans="1:7" ht="30">
      <c r="A27" s="11">
        <v>10</v>
      </c>
      <c r="B27" s="4"/>
      <c r="C27" s="4"/>
      <c r="D27" s="15">
        <v>40</v>
      </c>
      <c r="E27" s="42">
        <f t="shared" ca="1" si="4"/>
        <v>3667859.1999999997</v>
      </c>
      <c r="F27" s="4"/>
      <c r="G27" s="4"/>
    </row>
    <row r="28" spans="1:7" ht="30.6" thickBot="1">
      <c r="A28" s="11">
        <v>11</v>
      </c>
      <c r="B28" s="6"/>
      <c r="C28" s="6"/>
      <c r="D28" s="16">
        <v>40</v>
      </c>
      <c r="E28" s="43">
        <f t="shared" ca="1" si="4"/>
        <v>3667859.1999999997</v>
      </c>
      <c r="F28" s="4"/>
      <c r="G28" s="4"/>
    </row>
    <row r="29" spans="1:7" ht="30">
      <c r="A29" s="11"/>
      <c r="B29" s="4"/>
      <c r="C29" s="4"/>
      <c r="D29" s="15"/>
      <c r="E29" s="42">
        <f ca="1">SUM(E18:E28)</f>
        <v>16505366.399999999</v>
      </c>
      <c r="F29" s="41" t="s">
        <v>28</v>
      </c>
      <c r="G29" s="4"/>
    </row>
    <row r="30" spans="1:7" ht="30">
      <c r="A30" s="11"/>
      <c r="B30" s="4"/>
      <c r="C30" s="4"/>
      <c r="D30" s="15"/>
      <c r="E30" s="18" t="e" vm="1">
        <v>#VALUE!</v>
      </c>
      <c r="F30" s="40" cm="1">
        <f t="array" aca="1" ref="F30" ca="1">_FV(E30,"Price")</f>
        <v>91696.48</v>
      </c>
      <c r="G30" s="40"/>
    </row>
    <row r="31" spans="1:7" ht="30">
      <c r="A31" s="11"/>
      <c r="B31" s="4"/>
      <c r="C31" s="4"/>
      <c r="D31" s="15"/>
      <c r="F31" s="4"/>
      <c r="G31" s="4"/>
    </row>
    <row r="32" spans="1:7" ht="30">
      <c r="A32" s="11"/>
      <c r="B32" s="4"/>
      <c r="C32" s="4"/>
      <c r="D32" s="15"/>
      <c r="F32" s="4"/>
      <c r="G32" s="4"/>
    </row>
    <row r="33" spans="1:7" ht="30">
      <c r="A33" s="11"/>
      <c r="B33" s="4"/>
      <c r="C33" s="4"/>
      <c r="D33" s="15"/>
      <c r="F33" s="4"/>
      <c r="G33" s="4"/>
    </row>
    <row r="34" spans="1:7" ht="30">
      <c r="A34" s="11"/>
      <c r="B34" s="4"/>
      <c r="C34" s="4"/>
      <c r="D34" s="15"/>
      <c r="F34" s="4"/>
      <c r="G34" s="4"/>
    </row>
    <row r="35" spans="1:7" ht="30">
      <c r="A35" s="11"/>
      <c r="B35" s="4"/>
      <c r="C35" s="4"/>
      <c r="D35" s="15"/>
      <c r="F35" s="4"/>
      <c r="G35" s="4"/>
    </row>
    <row r="36" spans="1:7" ht="30">
      <c r="A36" s="11"/>
      <c r="B36" s="4"/>
      <c r="C36" s="4"/>
      <c r="D36" s="15"/>
      <c r="F36" s="4"/>
      <c r="G36" s="4"/>
    </row>
    <row r="37" spans="1:7" ht="30">
      <c r="A37" s="11"/>
      <c r="B37" s="4"/>
      <c r="C37" s="4"/>
      <c r="D37" s="15"/>
      <c r="F37" s="4"/>
      <c r="G37" s="4"/>
    </row>
    <row r="38" spans="1:7" ht="30">
      <c r="A38" s="11"/>
      <c r="B38" s="4"/>
      <c r="C38" s="4"/>
      <c r="D38" s="15"/>
      <c r="F38" s="4"/>
      <c r="G38" s="4"/>
    </row>
    <row r="39" spans="1:7" ht="30">
      <c r="A39" s="11"/>
      <c r="B39" s="4"/>
      <c r="C39" s="4"/>
      <c r="D39" s="15"/>
      <c r="F39" s="4"/>
      <c r="G39" s="4"/>
    </row>
    <row r="40" spans="1:7" ht="30">
      <c r="A40" s="11"/>
      <c r="B40" s="4"/>
      <c r="C40" s="4"/>
      <c r="D40" s="15"/>
      <c r="F40" s="4"/>
      <c r="G40" s="4"/>
    </row>
    <row r="41" spans="1:7" ht="30">
      <c r="A41" s="11"/>
      <c r="B41" s="4"/>
      <c r="C41" s="4"/>
      <c r="D41" s="15"/>
      <c r="F41" s="4"/>
      <c r="G41" s="4"/>
    </row>
    <row r="42" spans="1:7" ht="30">
      <c r="A42" s="11"/>
      <c r="B42" s="4"/>
      <c r="C42" s="4"/>
      <c r="D42" s="15"/>
      <c r="F42" s="4"/>
      <c r="G42" s="4"/>
    </row>
    <row r="43" spans="1:7" ht="24.6">
      <c r="A43" s="4"/>
      <c r="B43" s="4"/>
    </row>
    <row r="44" spans="1:7" ht="24.6">
      <c r="A44" s="4"/>
      <c r="B44" s="4"/>
    </row>
    <row r="45" spans="1:7" ht="24.6">
      <c r="A45" s="4" t="s">
        <v>29</v>
      </c>
    </row>
    <row r="46" spans="1:7" ht="24.6">
      <c r="A46" s="4" t="s">
        <v>30</v>
      </c>
    </row>
    <row r="49" spans="3:8" ht="30.6" thickBot="1">
      <c r="C49" s="38" t="s">
        <v>2</v>
      </c>
      <c r="D49" s="38"/>
      <c r="E49" s="38"/>
      <c r="F49" s="38"/>
      <c r="G49" s="38"/>
      <c r="H49" s="38"/>
    </row>
    <row r="50" spans="3:8" ht="30.6" thickBot="1">
      <c r="D50" s="20" t="s">
        <v>31</v>
      </c>
      <c r="E50" s="10" t="s">
        <v>32</v>
      </c>
      <c r="F50" s="10" t="s">
        <v>33</v>
      </c>
      <c r="G50" s="10" t="s">
        <v>34</v>
      </c>
      <c r="H50" s="20" t="s">
        <v>35</v>
      </c>
    </row>
    <row r="51" spans="3:8" ht="24.6">
      <c r="C51" s="4" t="str">
        <f>Name1</f>
        <v>Meena Ambati</v>
      </c>
      <c r="D51" s="21">
        <v>0</v>
      </c>
      <c r="E51" s="19">
        <v>5</v>
      </c>
      <c r="F51" s="19">
        <f>(D51+E51)</f>
        <v>5</v>
      </c>
      <c r="G51" s="19">
        <v>10</v>
      </c>
      <c r="H51" s="21">
        <f>D51+E51+F51-G51</f>
        <v>0</v>
      </c>
    </row>
    <row r="52" spans="3:8" ht="24.6">
      <c r="C52" s="4" t="str">
        <f>Name2</f>
        <v>Erin Daniels</v>
      </c>
      <c r="D52" s="21">
        <v>0</v>
      </c>
      <c r="E52" s="19">
        <v>5</v>
      </c>
      <c r="F52" s="19">
        <f t="shared" ref="F52:F54" si="5">(D52+E52)</f>
        <v>5</v>
      </c>
      <c r="G52" s="19">
        <v>5</v>
      </c>
      <c r="H52" s="21">
        <f t="shared" ref="H52:H54" si="6">D52+E52+F52-G52</f>
        <v>5</v>
      </c>
    </row>
    <row r="53" spans="3:8" ht="24.6">
      <c r="C53" s="4" t="str">
        <f>Name3</f>
        <v>Sydney Mitchell</v>
      </c>
      <c r="D53" s="21">
        <v>0</v>
      </c>
      <c r="E53" s="19">
        <v>5</v>
      </c>
      <c r="F53" s="19">
        <f t="shared" si="5"/>
        <v>5</v>
      </c>
      <c r="G53" s="19">
        <v>0</v>
      </c>
      <c r="H53" s="21">
        <f t="shared" si="6"/>
        <v>10</v>
      </c>
    </row>
    <row r="54" spans="3:8" ht="24.6">
      <c r="C54" s="4" t="str">
        <f>Name4</f>
        <v>Claiborne Tompkins</v>
      </c>
      <c r="D54" s="21">
        <v>0</v>
      </c>
      <c r="E54" s="19">
        <v>5</v>
      </c>
      <c r="F54" s="19">
        <f t="shared" si="5"/>
        <v>5</v>
      </c>
      <c r="G54" s="19">
        <v>0</v>
      </c>
      <c r="H54" s="21">
        <f t="shared" si="6"/>
        <v>10</v>
      </c>
    </row>
    <row r="55" spans="3:8" ht="25.15" thickBot="1">
      <c r="C55" s="4" t="s">
        <v>16</v>
      </c>
      <c r="D55" s="22">
        <f>SUM(D51:D54)</f>
        <v>0</v>
      </c>
      <c r="E55" s="22">
        <f>SUM(E51:E54)</f>
        <v>20</v>
      </c>
      <c r="F55" s="22">
        <f t="shared" ref="F55:G55" si="7">SUM(F51:F54)</f>
        <v>20</v>
      </c>
      <c r="G55" s="22">
        <f t="shared" si="7"/>
        <v>15</v>
      </c>
      <c r="H55" s="22">
        <f>SUM(H51:H54)</f>
        <v>25</v>
      </c>
    </row>
    <row r="56" spans="3:8" ht="13.9" thickTop="1"/>
    <row r="58" spans="3:8" ht="30.6" thickBot="1">
      <c r="C58" s="38" t="s">
        <v>3</v>
      </c>
      <c r="D58" s="38"/>
      <c r="E58" s="38"/>
      <c r="F58" s="38"/>
      <c r="G58" s="38"/>
      <c r="H58" s="38"/>
    </row>
    <row r="59" spans="3:8" ht="30.6" thickBot="1">
      <c r="D59" s="20" t="s">
        <v>31</v>
      </c>
      <c r="E59" s="10" t="s">
        <v>32</v>
      </c>
      <c r="F59" s="10" t="s">
        <v>33</v>
      </c>
      <c r="G59" s="10" t="s">
        <v>34</v>
      </c>
      <c r="H59" s="20" t="s">
        <v>35</v>
      </c>
    </row>
    <row r="60" spans="3:8" ht="24.6">
      <c r="C60" s="4" t="str">
        <f>Name1</f>
        <v>Meena Ambati</v>
      </c>
      <c r="D60" s="21">
        <f>H51</f>
        <v>0</v>
      </c>
      <c r="E60" s="19">
        <v>0</v>
      </c>
      <c r="F60" s="19">
        <f>(D60+E60)</f>
        <v>0</v>
      </c>
      <c r="G60" s="19"/>
      <c r="H60" s="21">
        <f>D60+E60+F60-G60</f>
        <v>0</v>
      </c>
    </row>
    <row r="61" spans="3:8" ht="24.6">
      <c r="C61" s="4" t="str">
        <f>Name2</f>
        <v>Erin Daniels</v>
      </c>
      <c r="D61" s="21">
        <f t="shared" ref="D61:D63" si="8">H52</f>
        <v>5</v>
      </c>
      <c r="E61" s="19">
        <v>0</v>
      </c>
      <c r="F61" s="19">
        <f t="shared" ref="F61:F67" si="9">(D61+E61)</f>
        <v>5</v>
      </c>
      <c r="G61" s="19">
        <v>10</v>
      </c>
      <c r="H61" s="21">
        <f t="shared" ref="H61:H67" si="10">D61+E61+F61-G61</f>
        <v>0</v>
      </c>
    </row>
    <row r="62" spans="3:8" ht="24.6">
      <c r="C62" s="4" t="str">
        <f>Name3</f>
        <v>Sydney Mitchell</v>
      </c>
      <c r="D62" s="21">
        <f t="shared" si="8"/>
        <v>10</v>
      </c>
      <c r="E62" s="19">
        <v>0</v>
      </c>
      <c r="F62" s="19">
        <f t="shared" si="9"/>
        <v>10</v>
      </c>
      <c r="G62" s="19">
        <v>10</v>
      </c>
      <c r="H62" s="21">
        <f t="shared" si="10"/>
        <v>10</v>
      </c>
    </row>
    <row r="63" spans="3:8" ht="24.6">
      <c r="C63" s="4" t="str">
        <f>Name4</f>
        <v>Claiborne Tompkins</v>
      </c>
      <c r="D63" s="21">
        <f t="shared" si="8"/>
        <v>10</v>
      </c>
      <c r="E63" s="19">
        <v>0</v>
      </c>
      <c r="F63" s="19">
        <f t="shared" si="9"/>
        <v>10</v>
      </c>
      <c r="G63" s="19"/>
      <c r="H63" s="21">
        <f t="shared" si="10"/>
        <v>20</v>
      </c>
    </row>
    <row r="64" spans="3:8" ht="24.6">
      <c r="C64" s="4" t="str">
        <f>Name5</f>
        <v>Olivia Kim</v>
      </c>
      <c r="D64" s="21">
        <v>0</v>
      </c>
      <c r="E64" s="19">
        <v>10</v>
      </c>
      <c r="F64" s="19">
        <f t="shared" si="9"/>
        <v>10</v>
      </c>
      <c r="G64" s="19"/>
      <c r="H64" s="21">
        <f t="shared" si="10"/>
        <v>20</v>
      </c>
    </row>
    <row r="65" spans="3:8" ht="24.6">
      <c r="C65" s="4" t="str">
        <f>Name6</f>
        <v>Kiley Capstraw</v>
      </c>
      <c r="D65" s="21">
        <v>0</v>
      </c>
      <c r="E65" s="19">
        <v>10</v>
      </c>
      <c r="F65" s="19">
        <f t="shared" si="9"/>
        <v>10</v>
      </c>
      <c r="G65" s="19">
        <v>10</v>
      </c>
      <c r="H65" s="21">
        <f t="shared" si="10"/>
        <v>10</v>
      </c>
    </row>
    <row r="66" spans="3:8" ht="24.6">
      <c r="C66" s="4" t="str">
        <f>Name7</f>
        <v>Isaac Monks</v>
      </c>
      <c r="D66" s="21">
        <v>0</v>
      </c>
      <c r="E66" s="19">
        <v>10</v>
      </c>
      <c r="F66" s="19">
        <f t="shared" si="9"/>
        <v>10</v>
      </c>
      <c r="G66" s="19"/>
      <c r="H66" s="21">
        <f t="shared" si="10"/>
        <v>20</v>
      </c>
    </row>
    <row r="67" spans="3:8" ht="24.6">
      <c r="C67" s="4" t="str">
        <f>Name8</f>
        <v>Ruben Berreby</v>
      </c>
      <c r="D67" s="21">
        <v>0</v>
      </c>
      <c r="E67" s="19">
        <v>10</v>
      </c>
      <c r="F67" s="19">
        <f t="shared" si="9"/>
        <v>10</v>
      </c>
      <c r="G67" s="19"/>
      <c r="H67" s="21">
        <f t="shared" si="10"/>
        <v>20</v>
      </c>
    </row>
    <row r="68" spans="3:8" ht="25.15" thickBot="1">
      <c r="C68" s="4" t="s">
        <v>16</v>
      </c>
      <c r="D68" s="22">
        <f>SUM(D60:D67)</f>
        <v>25</v>
      </c>
      <c r="E68" s="22">
        <f>SUM(E60:E67)</f>
        <v>40</v>
      </c>
      <c r="F68" s="22">
        <f>SUM(F60:F67)</f>
        <v>65</v>
      </c>
      <c r="G68" s="22">
        <f>SUM(G60:G67)</f>
        <v>30</v>
      </c>
      <c r="H68" s="22">
        <f>SUM(H60:H67)</f>
        <v>100</v>
      </c>
    </row>
    <row r="69" spans="3:8" ht="13.9" thickTop="1"/>
    <row r="70" spans="3:8" ht="30.6" thickBot="1">
      <c r="C70" s="38" t="s">
        <v>4</v>
      </c>
      <c r="D70" s="38"/>
      <c r="E70" s="38"/>
      <c r="F70" s="38"/>
      <c r="G70" s="38"/>
      <c r="H70" s="38"/>
    </row>
    <row r="71" spans="3:8" ht="30.6" thickBot="1">
      <c r="D71" s="20" t="s">
        <v>31</v>
      </c>
      <c r="E71" s="10" t="s">
        <v>32</v>
      </c>
      <c r="F71" s="10" t="s">
        <v>33</v>
      </c>
      <c r="G71" s="10" t="s">
        <v>34</v>
      </c>
      <c r="H71" s="20" t="s">
        <v>35</v>
      </c>
    </row>
    <row r="72" spans="3:8" ht="24.6">
      <c r="C72" s="4" t="str">
        <f>Name1</f>
        <v>Meena Ambati</v>
      </c>
      <c r="D72" s="21">
        <f>H60</f>
        <v>0</v>
      </c>
      <c r="E72" s="19">
        <v>0</v>
      </c>
      <c r="F72" s="19">
        <f>(D72+E72)</f>
        <v>0</v>
      </c>
      <c r="G72" s="19"/>
      <c r="H72" s="21">
        <f>D72+E72+F72-G72</f>
        <v>0</v>
      </c>
    </row>
    <row r="73" spans="3:8" ht="24.6">
      <c r="C73" s="4" t="str">
        <f>Name2</f>
        <v>Erin Daniels</v>
      </c>
      <c r="D73" s="21">
        <f t="shared" ref="D73:D79" si="11">H61</f>
        <v>0</v>
      </c>
      <c r="E73" s="19">
        <v>0</v>
      </c>
      <c r="F73" s="19">
        <f t="shared" ref="F73:F82" si="12">(D73+E73)</f>
        <v>0</v>
      </c>
      <c r="G73" s="19"/>
      <c r="H73" s="21">
        <f t="shared" ref="H73:H79" si="13">D73+E73+F73-G73</f>
        <v>0</v>
      </c>
    </row>
    <row r="74" spans="3:8" ht="24.6">
      <c r="C74" s="4" t="str">
        <f>Name3</f>
        <v>Sydney Mitchell</v>
      </c>
      <c r="D74" s="21">
        <f t="shared" si="11"/>
        <v>10</v>
      </c>
      <c r="E74" s="19">
        <v>0</v>
      </c>
      <c r="F74" s="19">
        <f t="shared" si="12"/>
        <v>10</v>
      </c>
      <c r="G74" s="19"/>
      <c r="H74" s="21">
        <f t="shared" si="13"/>
        <v>20</v>
      </c>
    </row>
    <row r="75" spans="3:8" ht="24.6">
      <c r="C75" s="4" t="str">
        <f>Name4</f>
        <v>Claiborne Tompkins</v>
      </c>
      <c r="D75" s="21">
        <f t="shared" si="11"/>
        <v>20</v>
      </c>
      <c r="E75" s="19">
        <v>0</v>
      </c>
      <c r="F75" s="19">
        <f t="shared" si="12"/>
        <v>20</v>
      </c>
      <c r="G75" s="19"/>
      <c r="H75" s="21">
        <f t="shared" si="13"/>
        <v>40</v>
      </c>
    </row>
    <row r="76" spans="3:8" ht="24.6">
      <c r="C76" s="4" t="str">
        <f>Name5</f>
        <v>Olivia Kim</v>
      </c>
      <c r="D76" s="21">
        <f t="shared" si="11"/>
        <v>20</v>
      </c>
      <c r="E76" s="19">
        <v>0</v>
      </c>
      <c r="F76" s="19">
        <f t="shared" si="12"/>
        <v>20</v>
      </c>
      <c r="G76" s="19"/>
      <c r="H76" s="21">
        <f t="shared" si="13"/>
        <v>40</v>
      </c>
    </row>
    <row r="77" spans="3:8" ht="24.6">
      <c r="C77" s="4" t="str">
        <f>Name6</f>
        <v>Kiley Capstraw</v>
      </c>
      <c r="D77" s="21">
        <f t="shared" si="11"/>
        <v>10</v>
      </c>
      <c r="E77" s="19">
        <v>0</v>
      </c>
      <c r="F77" s="19">
        <f t="shared" si="12"/>
        <v>10</v>
      </c>
      <c r="G77" s="19"/>
      <c r="H77" s="21">
        <f t="shared" si="13"/>
        <v>20</v>
      </c>
    </row>
    <row r="78" spans="3:8" ht="24.6">
      <c r="C78" s="4" t="str">
        <f>Name7</f>
        <v>Isaac Monks</v>
      </c>
      <c r="D78" s="21">
        <f t="shared" si="11"/>
        <v>20</v>
      </c>
      <c r="E78" s="19">
        <v>0</v>
      </c>
      <c r="F78" s="19">
        <f t="shared" si="12"/>
        <v>20</v>
      </c>
      <c r="G78" s="19"/>
      <c r="H78" s="21">
        <f t="shared" si="13"/>
        <v>40</v>
      </c>
    </row>
    <row r="79" spans="3:8" ht="24.6">
      <c r="C79" s="4" t="str">
        <f>Name8</f>
        <v>Ruben Berreby</v>
      </c>
      <c r="D79" s="21">
        <f t="shared" si="11"/>
        <v>20</v>
      </c>
      <c r="E79" s="19">
        <v>0</v>
      </c>
      <c r="F79" s="19">
        <f t="shared" si="12"/>
        <v>20</v>
      </c>
      <c r="G79" s="19"/>
      <c r="H79" s="21">
        <f t="shared" si="13"/>
        <v>40</v>
      </c>
    </row>
    <row r="80" spans="3:8" ht="24.6">
      <c r="C80" s="4" t="str">
        <f>Name9</f>
        <v>Joya Xu</v>
      </c>
      <c r="D80" s="21">
        <v>0</v>
      </c>
      <c r="E80" s="19">
        <v>40</v>
      </c>
      <c r="F80" s="19">
        <f t="shared" si="12"/>
        <v>40</v>
      </c>
      <c r="G80" s="19"/>
      <c r="H80" s="21">
        <f t="shared" ref="H80:H82" si="14">D80+E80+F80-G80</f>
        <v>80</v>
      </c>
    </row>
    <row r="81" spans="3:9" ht="24.6">
      <c r="C81" s="4" t="str">
        <f>Name10</f>
        <v>Emma Lee</v>
      </c>
      <c r="D81" s="21">
        <v>0</v>
      </c>
      <c r="E81" s="19">
        <v>40</v>
      </c>
      <c r="F81" s="19">
        <f t="shared" si="12"/>
        <v>40</v>
      </c>
      <c r="G81" s="19"/>
      <c r="H81" s="21">
        <f t="shared" si="14"/>
        <v>80</v>
      </c>
    </row>
    <row r="82" spans="3:9" ht="24.6">
      <c r="C82" s="4" t="str">
        <f>Name11</f>
        <v>Lucas Szydlowski</v>
      </c>
      <c r="D82" s="21">
        <v>0</v>
      </c>
      <c r="E82" s="19">
        <v>40</v>
      </c>
      <c r="F82" s="19">
        <f t="shared" si="12"/>
        <v>40</v>
      </c>
      <c r="G82" s="19"/>
      <c r="H82" s="21">
        <f t="shared" si="14"/>
        <v>80</v>
      </c>
    </row>
    <row r="83" spans="3:9" ht="25.15" thickBot="1">
      <c r="C83" s="4" t="s">
        <v>16</v>
      </c>
      <c r="D83" s="22">
        <f>SUM(D72:D82)</f>
        <v>100</v>
      </c>
      <c r="E83" s="22">
        <f t="shared" ref="E83:G83" si="15">SUM(E72:E82)</f>
        <v>120</v>
      </c>
      <c r="F83" s="22">
        <f t="shared" si="15"/>
        <v>220</v>
      </c>
      <c r="G83" s="22">
        <f t="shared" si="15"/>
        <v>0</v>
      </c>
      <c r="H83" s="22">
        <f>SUM(H72:H82)</f>
        <v>440</v>
      </c>
    </row>
    <row r="84" spans="3:9" ht="13.9" thickTop="1"/>
    <row r="85" spans="3:9" ht="30.6" thickBot="1">
      <c r="C85" s="38" t="s">
        <v>16</v>
      </c>
      <c r="D85" s="38"/>
      <c r="E85" s="38"/>
      <c r="F85" s="38"/>
      <c r="G85" s="38"/>
      <c r="H85" s="38"/>
      <c r="I85" s="38"/>
    </row>
    <row r="86" spans="3:9" ht="30.6" thickBot="1">
      <c r="D86" s="20" t="s">
        <v>31</v>
      </c>
      <c r="E86" s="10" t="s">
        <v>32</v>
      </c>
      <c r="F86" s="10" t="s">
        <v>33</v>
      </c>
      <c r="G86" s="10" t="s">
        <v>34</v>
      </c>
      <c r="H86" s="20" t="s">
        <v>35</v>
      </c>
      <c r="I86" s="20" t="s">
        <v>36</v>
      </c>
    </row>
    <row r="87" spans="3:9" ht="24.6">
      <c r="C87" s="4" t="str">
        <f>Name1</f>
        <v>Meena Ambati</v>
      </c>
      <c r="D87" s="21">
        <v>0</v>
      </c>
      <c r="E87" s="19">
        <f t="shared" ref="E87:F89" si="16">E51+E60+E72</f>
        <v>5</v>
      </c>
      <c r="F87" s="19">
        <f t="shared" si="16"/>
        <v>5</v>
      </c>
      <c r="G87" s="19">
        <f t="shared" ref="G87" si="17">G51+G60+G72</f>
        <v>10</v>
      </c>
      <c r="H87" s="21">
        <f t="shared" ref="H87" si="18">H51+H60+H72</f>
        <v>0</v>
      </c>
      <c r="I87" s="21">
        <f>G87-E87</f>
        <v>5</v>
      </c>
    </row>
    <row r="88" spans="3:9" ht="24.6">
      <c r="C88" s="4" t="str">
        <f>Name2</f>
        <v>Erin Daniels</v>
      </c>
      <c r="D88" s="21">
        <v>0</v>
      </c>
      <c r="E88" s="19">
        <f t="shared" si="16"/>
        <v>5</v>
      </c>
      <c r="F88" s="19">
        <f t="shared" si="16"/>
        <v>10</v>
      </c>
      <c r="G88" s="19">
        <f t="shared" ref="G88" si="19">G52+G61+G73</f>
        <v>15</v>
      </c>
      <c r="H88" s="21">
        <f t="shared" ref="H88:H97" si="20">D88+E88+F88-G88</f>
        <v>0</v>
      </c>
      <c r="I88" s="21">
        <f t="shared" ref="I88:I97" si="21">G88-E88</f>
        <v>10</v>
      </c>
    </row>
    <row r="89" spans="3:9" ht="24.6">
      <c r="C89" s="4" t="str">
        <f>Name3</f>
        <v>Sydney Mitchell</v>
      </c>
      <c r="D89" s="21">
        <v>0</v>
      </c>
      <c r="E89" s="19">
        <f t="shared" si="16"/>
        <v>5</v>
      </c>
      <c r="F89" s="19">
        <f t="shared" si="16"/>
        <v>25</v>
      </c>
      <c r="G89" s="19">
        <f t="shared" ref="G89" si="22">G53+G62+G74</f>
        <v>10</v>
      </c>
      <c r="H89" s="21">
        <f t="shared" si="20"/>
        <v>20</v>
      </c>
      <c r="I89" s="21">
        <f t="shared" si="21"/>
        <v>5</v>
      </c>
    </row>
    <row r="90" spans="3:9" ht="24.6">
      <c r="C90" s="4" t="str">
        <f>Name4</f>
        <v>Claiborne Tompkins</v>
      </c>
      <c r="D90" s="21">
        <v>0</v>
      </c>
      <c r="E90" s="19">
        <f>E54+E63+E75</f>
        <v>5</v>
      </c>
      <c r="F90" s="19">
        <f>F54+F63+F75</f>
        <v>35</v>
      </c>
      <c r="G90" s="19">
        <f>G54+G63+G75</f>
        <v>0</v>
      </c>
      <c r="H90" s="21">
        <f t="shared" si="20"/>
        <v>40</v>
      </c>
      <c r="I90" s="21">
        <f t="shared" si="21"/>
        <v>-5</v>
      </c>
    </row>
    <row r="91" spans="3:9" ht="24.6">
      <c r="C91" s="4" t="str">
        <f>Name5</f>
        <v>Olivia Kim</v>
      </c>
      <c r="D91" s="21">
        <v>0</v>
      </c>
      <c r="E91" s="19">
        <f>E64+E76</f>
        <v>10</v>
      </c>
      <c r="F91" s="19">
        <f>F64+F76</f>
        <v>30</v>
      </c>
      <c r="G91" s="19">
        <f>G64+G76</f>
        <v>0</v>
      </c>
      <c r="H91" s="21">
        <f t="shared" si="20"/>
        <v>40</v>
      </c>
      <c r="I91" s="21">
        <f t="shared" si="21"/>
        <v>-10</v>
      </c>
    </row>
    <row r="92" spans="3:9" ht="24.6">
      <c r="C92" s="4" t="str">
        <f>Name6</f>
        <v>Kiley Capstraw</v>
      </c>
      <c r="D92" s="21">
        <v>0</v>
      </c>
      <c r="E92" s="19">
        <f t="shared" ref="E92:F94" si="23">E65+E77</f>
        <v>10</v>
      </c>
      <c r="F92" s="19">
        <f t="shared" si="23"/>
        <v>20</v>
      </c>
      <c r="G92" s="19">
        <f t="shared" ref="G92:G93" si="24">G65+G77</f>
        <v>10</v>
      </c>
      <c r="H92" s="21">
        <f t="shared" si="20"/>
        <v>20</v>
      </c>
      <c r="I92" s="21">
        <f t="shared" si="21"/>
        <v>0</v>
      </c>
    </row>
    <row r="93" spans="3:9" ht="24.6">
      <c r="C93" s="4" t="str">
        <f>Name7</f>
        <v>Isaac Monks</v>
      </c>
      <c r="D93" s="21">
        <v>0</v>
      </c>
      <c r="E93" s="19">
        <f t="shared" si="23"/>
        <v>10</v>
      </c>
      <c r="F93" s="19">
        <f t="shared" si="23"/>
        <v>30</v>
      </c>
      <c r="G93" s="19">
        <f t="shared" si="24"/>
        <v>0</v>
      </c>
      <c r="H93" s="21">
        <f t="shared" si="20"/>
        <v>40</v>
      </c>
      <c r="I93" s="21">
        <f t="shared" si="21"/>
        <v>-10</v>
      </c>
    </row>
    <row r="94" spans="3:9" ht="24.6">
      <c r="C94" s="4" t="str">
        <f>Name8</f>
        <v>Ruben Berreby</v>
      </c>
      <c r="D94" s="21">
        <v>0</v>
      </c>
      <c r="E94" s="19">
        <f t="shared" si="23"/>
        <v>10</v>
      </c>
      <c r="F94" s="19">
        <f t="shared" si="23"/>
        <v>30</v>
      </c>
      <c r="G94" s="19">
        <f t="shared" ref="G94" si="25">G67+G79</f>
        <v>0</v>
      </c>
      <c r="H94" s="21">
        <f t="shared" si="20"/>
        <v>40</v>
      </c>
      <c r="I94" s="21">
        <f t="shared" si="21"/>
        <v>-10</v>
      </c>
    </row>
    <row r="95" spans="3:9" ht="24.6">
      <c r="C95" s="4" t="str">
        <f>Name9</f>
        <v>Joya Xu</v>
      </c>
      <c r="D95" s="21">
        <v>0</v>
      </c>
      <c r="E95" s="19">
        <f>E80</f>
        <v>40</v>
      </c>
      <c r="F95" s="19">
        <f>F80</f>
        <v>40</v>
      </c>
      <c r="G95" s="19">
        <f>G80</f>
        <v>0</v>
      </c>
      <c r="H95" s="21">
        <f t="shared" si="20"/>
        <v>80</v>
      </c>
      <c r="I95" s="21">
        <f t="shared" si="21"/>
        <v>-40</v>
      </c>
    </row>
    <row r="96" spans="3:9" ht="24.6">
      <c r="C96" s="4" t="str">
        <f>Name10</f>
        <v>Emma Lee</v>
      </c>
      <c r="D96" s="21">
        <v>0</v>
      </c>
      <c r="E96" s="19">
        <f t="shared" ref="E96:F97" si="26">E81</f>
        <v>40</v>
      </c>
      <c r="F96" s="19">
        <f t="shared" si="26"/>
        <v>40</v>
      </c>
      <c r="G96" s="19">
        <f t="shared" ref="G96" si="27">G81</f>
        <v>0</v>
      </c>
      <c r="H96" s="21">
        <f t="shared" si="20"/>
        <v>80</v>
      </c>
      <c r="I96" s="21">
        <f t="shared" si="21"/>
        <v>-40</v>
      </c>
    </row>
    <row r="97" spans="3:9" ht="24.6">
      <c r="C97" s="4" t="str">
        <f>Name11</f>
        <v>Lucas Szydlowski</v>
      </c>
      <c r="D97" s="21">
        <v>0</v>
      </c>
      <c r="E97" s="19">
        <f t="shared" si="26"/>
        <v>40</v>
      </c>
      <c r="F97" s="19">
        <f t="shared" si="26"/>
        <v>40</v>
      </c>
      <c r="G97" s="19">
        <f t="shared" ref="G97" si="28">G82</f>
        <v>0</v>
      </c>
      <c r="H97" s="21">
        <f t="shared" si="20"/>
        <v>80</v>
      </c>
      <c r="I97" s="21">
        <f t="shared" si="21"/>
        <v>-40</v>
      </c>
    </row>
    <row r="98" spans="3:9" ht="25.15" thickBot="1">
      <c r="C98" s="4" t="s">
        <v>16</v>
      </c>
      <c r="D98" s="22">
        <f>SUM(D87:D97)</f>
        <v>0</v>
      </c>
      <c r="E98" s="22">
        <f t="shared" ref="E98" si="29">SUM(E87:E97)</f>
        <v>180</v>
      </c>
      <c r="F98" s="22">
        <f t="shared" ref="F98" si="30">SUM(F87:F97)</f>
        <v>305</v>
      </c>
      <c r="G98" s="22">
        <f t="shared" ref="G98" si="31">SUM(G87:G97)</f>
        <v>45</v>
      </c>
      <c r="H98" s="22">
        <f>SUM(H87:H97)</f>
        <v>440</v>
      </c>
      <c r="I98" s="22">
        <f>SUM(I87:I97)</f>
        <v>-135</v>
      </c>
    </row>
    <row r="99" spans="3:9" ht="13.9" thickTop="1"/>
  </sheetData>
  <phoneticPr fontId="11" type="noConversion"/>
  <pageMargins left="1" right="1" top="1" bottom="1" header="0.5" footer="0.5"/>
  <pageSetup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150F-0D32-4859-82B1-46BCE266D6A3}">
  <dimension ref="B1:L31"/>
  <sheetViews>
    <sheetView showGridLines="0" workbookViewId="0">
      <selection activeCell="G27" sqref="G27"/>
    </sheetView>
  </sheetViews>
  <sheetFormatPr defaultRowHeight="13.15"/>
  <cols>
    <col min="1" max="1" width="3.85546875" customWidth="1"/>
    <col min="2" max="2" width="13" bestFit="1" customWidth="1"/>
    <col min="3" max="3" width="35.5703125" bestFit="1" customWidth="1"/>
    <col min="4" max="4" width="19.42578125" bestFit="1" customWidth="1"/>
    <col min="5" max="6" width="3.5703125" customWidth="1"/>
    <col min="7" max="7" width="26.5703125" bestFit="1" customWidth="1"/>
    <col min="8" max="8" width="20.5703125" bestFit="1" customWidth="1"/>
    <col min="9" max="9" width="15.7109375" bestFit="1" customWidth="1"/>
    <col min="10" max="10" width="21.5703125" bestFit="1" customWidth="1"/>
    <col min="11" max="11" width="13.28515625" bestFit="1" customWidth="1"/>
    <col min="12" max="12" width="24.7109375" bestFit="1" customWidth="1"/>
  </cols>
  <sheetData>
    <row r="1" spans="2:12" ht="19.899999999999999" customHeight="1" thickBot="1"/>
    <row r="2" spans="2:12" ht="19.899999999999999" customHeight="1" thickTop="1" thickBot="1">
      <c r="B2" s="68" t="s">
        <v>37</v>
      </c>
      <c r="C2" s="69" t="s">
        <v>38</v>
      </c>
      <c r="D2" s="70" t="s">
        <v>1</v>
      </c>
      <c r="E2" s="41"/>
      <c r="F2" s="41"/>
      <c r="G2" s="89"/>
      <c r="H2" s="84"/>
      <c r="I2" s="80" t="s">
        <v>39</v>
      </c>
      <c r="J2" s="81"/>
      <c r="K2" s="82"/>
      <c r="L2" s="85"/>
    </row>
    <row r="3" spans="2:12" ht="19.899999999999999" customHeight="1" thickTop="1" thickBot="1">
      <c r="B3" s="71">
        <v>1</v>
      </c>
      <c r="C3" s="72" t="str">
        <f>'Student-Names'!B158</f>
        <v>Meena Ambati</v>
      </c>
      <c r="D3" s="73">
        <v>5</v>
      </c>
      <c r="E3" s="45"/>
      <c r="F3" s="45"/>
      <c r="G3" s="101" t="s">
        <v>40</v>
      </c>
      <c r="H3" s="93" t="s">
        <v>1</v>
      </c>
      <c r="I3" s="90" t="s">
        <v>41</v>
      </c>
      <c r="J3" s="91" t="s">
        <v>34</v>
      </c>
      <c r="K3" s="92" t="s">
        <v>42</v>
      </c>
      <c r="L3" s="94" t="s">
        <v>43</v>
      </c>
    </row>
    <row r="4" spans="2:12" ht="19.899999999999999" customHeight="1">
      <c r="B4" s="63">
        <v>2</v>
      </c>
      <c r="C4" s="62" t="str">
        <f>'Student-Names'!B159</f>
        <v>Erin Daniels</v>
      </c>
      <c r="D4" s="64">
        <v>5</v>
      </c>
      <c r="E4" s="45"/>
      <c r="F4" s="45"/>
      <c r="G4" s="98" t="str">
        <f>C3</f>
        <v>Meena Ambati</v>
      </c>
      <c r="H4" s="77">
        <v>5</v>
      </c>
      <c r="I4" s="77">
        <v>5</v>
      </c>
      <c r="J4" s="76">
        <v>10</v>
      </c>
      <c r="K4" s="87">
        <v>5</v>
      </c>
      <c r="L4" s="83">
        <v>10</v>
      </c>
    </row>
    <row r="5" spans="2:12" ht="19.899999999999999" customHeight="1">
      <c r="B5" s="63">
        <v>3</v>
      </c>
      <c r="C5" s="62" t="str">
        <f>'Student-Names'!B160</f>
        <v>Sydney Mitchell</v>
      </c>
      <c r="D5" s="64">
        <v>5</v>
      </c>
      <c r="E5" s="45"/>
      <c r="F5" s="45"/>
      <c r="G5" s="99" t="str">
        <f t="shared" ref="G5:G14" si="0">C4</f>
        <v>Erin Daniels</v>
      </c>
      <c r="H5" s="77">
        <v>5</v>
      </c>
      <c r="I5" s="77">
        <v>5</v>
      </c>
      <c r="J5" s="76">
        <v>15</v>
      </c>
      <c r="K5" s="87">
        <v>10</v>
      </c>
      <c r="L5" s="83">
        <v>15</v>
      </c>
    </row>
    <row r="6" spans="2:12" ht="19.899999999999999" customHeight="1">
      <c r="B6" s="63">
        <v>4</v>
      </c>
      <c r="C6" s="62" t="str">
        <f>'Student-Names'!B161</f>
        <v>Claiborne Tompkins</v>
      </c>
      <c r="D6" s="64">
        <v>5</v>
      </c>
      <c r="E6" s="45"/>
      <c r="F6" s="45"/>
      <c r="G6" s="99" t="str">
        <f t="shared" si="0"/>
        <v>Sydney Mitchell</v>
      </c>
      <c r="H6" s="77">
        <v>5</v>
      </c>
      <c r="I6" s="77">
        <v>5</v>
      </c>
      <c r="J6" s="76">
        <v>10</v>
      </c>
      <c r="K6" s="87">
        <v>5</v>
      </c>
      <c r="L6" s="83">
        <v>10</v>
      </c>
    </row>
    <row r="7" spans="2:12" ht="19.899999999999999" customHeight="1">
      <c r="B7" s="63">
        <v>5</v>
      </c>
      <c r="C7" s="62" t="str">
        <f>'Student-Names'!B162</f>
        <v>Olivia Kim</v>
      </c>
      <c r="D7" s="64">
        <v>10</v>
      </c>
      <c r="E7" s="45"/>
      <c r="F7" s="45"/>
      <c r="G7" s="99" t="str">
        <f t="shared" si="0"/>
        <v>Claiborne Tompkins</v>
      </c>
      <c r="H7" s="77">
        <v>5</v>
      </c>
      <c r="I7" s="77">
        <v>5</v>
      </c>
      <c r="K7" s="87">
        <v>-5</v>
      </c>
      <c r="L7" s="83">
        <v>0</v>
      </c>
    </row>
    <row r="8" spans="2:12" ht="19.899999999999999" customHeight="1">
      <c r="B8" s="63">
        <v>6</v>
      </c>
      <c r="C8" s="62" t="str">
        <f>'Student-Names'!B163</f>
        <v>Kiley Capstraw</v>
      </c>
      <c r="D8" s="64">
        <v>10</v>
      </c>
      <c r="E8" s="45"/>
      <c r="F8" s="45"/>
      <c r="G8" s="99" t="str">
        <f t="shared" si="0"/>
        <v>Olivia Kim</v>
      </c>
      <c r="H8" s="77">
        <v>10</v>
      </c>
      <c r="I8" s="77">
        <v>10</v>
      </c>
      <c r="K8" s="87">
        <v>-10</v>
      </c>
      <c r="L8" s="83">
        <v>0</v>
      </c>
    </row>
    <row r="9" spans="2:12" ht="19.899999999999999" customHeight="1">
      <c r="B9" s="63">
        <v>7</v>
      </c>
      <c r="C9" s="62" t="str">
        <f>'Student-Names'!B164</f>
        <v>Isaac Monks</v>
      </c>
      <c r="D9" s="64">
        <v>10</v>
      </c>
      <c r="E9" s="45"/>
      <c r="F9" s="45"/>
      <c r="G9" s="99" t="str">
        <f t="shared" si="0"/>
        <v>Kiley Capstraw</v>
      </c>
      <c r="H9" s="77">
        <v>10</v>
      </c>
      <c r="I9" s="77">
        <v>10</v>
      </c>
      <c r="J9" s="76">
        <v>10</v>
      </c>
      <c r="K9" s="87">
        <v>0</v>
      </c>
      <c r="L9" s="83">
        <v>10</v>
      </c>
    </row>
    <row r="10" spans="2:12" ht="19.899999999999999" customHeight="1">
      <c r="B10" s="63">
        <v>8</v>
      </c>
      <c r="C10" s="62" t="str">
        <f>'Student-Names'!B165</f>
        <v>Ruben Berreby</v>
      </c>
      <c r="D10" s="64">
        <v>10</v>
      </c>
      <c r="E10" s="45"/>
      <c r="F10" s="45"/>
      <c r="G10" s="99" t="str">
        <f t="shared" si="0"/>
        <v>Isaac Monks</v>
      </c>
      <c r="H10" s="77">
        <v>10</v>
      </c>
      <c r="I10" s="77">
        <v>10</v>
      </c>
      <c r="K10" s="87">
        <v>-10</v>
      </c>
      <c r="L10" s="83">
        <v>0</v>
      </c>
    </row>
    <row r="11" spans="2:12" ht="19.899999999999999" customHeight="1">
      <c r="B11" s="63">
        <v>9</v>
      </c>
      <c r="C11" s="62" t="str">
        <f>'Student-Names'!B166</f>
        <v>Joya Xu</v>
      </c>
      <c r="D11" s="64">
        <v>40</v>
      </c>
      <c r="E11" s="45"/>
      <c r="F11" s="45"/>
      <c r="G11" s="99" t="str">
        <f t="shared" si="0"/>
        <v>Ruben Berreby</v>
      </c>
      <c r="H11" s="77">
        <v>10</v>
      </c>
      <c r="I11" s="77">
        <v>10</v>
      </c>
      <c r="K11" s="87">
        <v>-10</v>
      </c>
      <c r="L11" s="83">
        <v>0</v>
      </c>
    </row>
    <row r="12" spans="2:12" ht="19.899999999999999" customHeight="1">
      <c r="B12" s="63">
        <v>10</v>
      </c>
      <c r="C12" s="62" t="str">
        <f>'Student-Names'!B167</f>
        <v>Emma Lee</v>
      </c>
      <c r="D12" s="64">
        <v>40</v>
      </c>
      <c r="E12" s="45"/>
      <c r="F12" s="45"/>
      <c r="G12" s="99" t="str">
        <f t="shared" si="0"/>
        <v>Joya Xu</v>
      </c>
      <c r="H12" s="77">
        <v>40</v>
      </c>
      <c r="I12" s="77">
        <v>40</v>
      </c>
      <c r="K12" s="87">
        <v>-40</v>
      </c>
      <c r="L12" s="83">
        <v>0</v>
      </c>
    </row>
    <row r="13" spans="2:12" ht="19.899999999999999" customHeight="1" thickBot="1">
      <c r="B13" s="65">
        <v>11</v>
      </c>
      <c r="C13" s="66" t="str">
        <f>'Student-Names'!B168</f>
        <v>Lucas Szydlowski</v>
      </c>
      <c r="D13" s="67">
        <v>40</v>
      </c>
      <c r="E13" s="45"/>
      <c r="F13" s="45"/>
      <c r="G13" s="99" t="str">
        <f t="shared" si="0"/>
        <v>Emma Lee</v>
      </c>
      <c r="H13" s="77">
        <v>40</v>
      </c>
      <c r="I13" s="77">
        <v>40</v>
      </c>
      <c r="K13" s="87">
        <v>-40</v>
      </c>
      <c r="L13" s="83">
        <v>0</v>
      </c>
    </row>
    <row r="14" spans="2:12" ht="19.899999999999999" customHeight="1" thickTop="1" thickBot="1">
      <c r="B14" s="11"/>
      <c r="C14" s="4"/>
      <c r="D14" s="15"/>
      <c r="E14" s="42"/>
      <c r="F14" s="42"/>
      <c r="G14" s="100" t="str">
        <f t="shared" si="0"/>
        <v>Lucas Szydlowski</v>
      </c>
      <c r="H14" s="78">
        <v>40</v>
      </c>
      <c r="I14" s="78">
        <v>40</v>
      </c>
      <c r="J14" s="79"/>
      <c r="K14" s="88">
        <v>-40</v>
      </c>
      <c r="L14" s="86">
        <v>0</v>
      </c>
    </row>
    <row r="15" spans="2:12" ht="25.15" thickBot="1">
      <c r="G15" s="97" t="s">
        <v>44</v>
      </c>
      <c r="H15" s="96">
        <f>SUM(H4:H14)</f>
        <v>180</v>
      </c>
      <c r="I15" s="95"/>
      <c r="J15" s="95"/>
      <c r="K15" s="102">
        <f>SUM(K4:K14)</f>
        <v>-135</v>
      </c>
      <c r="L15" s="96">
        <f>SUM(L4:L14)</f>
        <v>45</v>
      </c>
    </row>
    <row r="16" spans="2:12" ht="19.899999999999999" customHeight="1"/>
    <row r="17" spans="2:3" ht="19.899999999999999" customHeight="1"/>
    <row r="18" spans="2:3" ht="19.899999999999999" customHeight="1"/>
    <row r="19" spans="2:3" ht="19.899999999999999" customHeight="1" thickBot="1">
      <c r="C19" s="103"/>
    </row>
    <row r="20" spans="2:3" ht="24" thickTop="1" thickBot="1">
      <c r="B20" s="107"/>
      <c r="C20" s="70" t="s">
        <v>45</v>
      </c>
    </row>
    <row r="21" spans="2:3" ht="23.45" thickTop="1">
      <c r="B21" s="107"/>
      <c r="C21" s="104" t="str">
        <f>'Student-Names'!A184&amp;" "&amp;'Student-Names'!B184</f>
        <v>Claire Zhong</v>
      </c>
    </row>
    <row r="22" spans="2:3" ht="22.9">
      <c r="B22" s="107"/>
      <c r="C22" s="105" t="str">
        <f>'Student-Names'!A185&amp;" "&amp;'Student-Names'!B185</f>
        <v>Hettie Whittington</v>
      </c>
    </row>
    <row r="23" spans="2:3" ht="22.9">
      <c r="B23" s="107"/>
      <c r="C23" s="105" t="str">
        <f>'Student-Names'!A186&amp;" "&amp;'Student-Names'!B186</f>
        <v>Jonathan Bernard</v>
      </c>
    </row>
    <row r="24" spans="2:3" ht="22.9">
      <c r="B24" s="107"/>
      <c r="C24" s="105" t="str">
        <f>'Student-Names'!A187&amp;" "&amp;'Student-Names'!B187</f>
        <v>Jack Pankey</v>
      </c>
    </row>
    <row r="25" spans="2:3" ht="22.9">
      <c r="B25" s="107"/>
      <c r="C25" s="105" t="str">
        <f>'Student-Names'!A188&amp;" "&amp;'Student-Names'!B188</f>
        <v>Edward Liao</v>
      </c>
    </row>
    <row r="26" spans="2:3" ht="22.9">
      <c r="B26" s="107"/>
      <c r="C26" s="105" t="str">
        <f>'Student-Names'!A189&amp;" "&amp;'Student-Names'!B189</f>
        <v>Krish Gupta</v>
      </c>
    </row>
    <row r="27" spans="2:3" ht="22.9">
      <c r="B27" s="107"/>
      <c r="C27" s="105" t="str">
        <f>'Student-Names'!A190&amp;" "&amp;'Student-Names'!B190</f>
        <v>Shaurya Sharma</v>
      </c>
    </row>
    <row r="28" spans="2:3" ht="22.9">
      <c r="B28" s="107"/>
      <c r="C28" s="105" t="str">
        <f>'Student-Names'!A191&amp;" "&amp;'Student-Names'!B191</f>
        <v>Joseph Farouz</v>
      </c>
    </row>
    <row r="29" spans="2:3" ht="22.9">
      <c r="B29" s="107"/>
      <c r="C29" s="105" t="str">
        <f>'Student-Names'!A192&amp;" "&amp;'Student-Names'!B192</f>
        <v>Jonathan Adler</v>
      </c>
    </row>
    <row r="30" spans="2:3" ht="23.45" thickBot="1">
      <c r="B30" s="107"/>
      <c r="C30" s="106" t="str">
        <f>'Student-Names'!A193&amp;" "&amp;'Student-Names'!B193</f>
        <v>Tom Monaghan</v>
      </c>
    </row>
    <row r="31" spans="2:3" ht="23.45" thickTop="1">
      <c r="C31" s="6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4B77E-370C-4D98-95D5-449DB695EE29}">
  <dimension ref="A1:M143"/>
  <sheetViews>
    <sheetView showGridLines="0" zoomScaleNormal="100" workbookViewId="0">
      <selection activeCell="J9" sqref="J9"/>
    </sheetView>
  </sheetViews>
  <sheetFormatPr defaultRowHeight="13.15"/>
  <cols>
    <col min="1" max="1" width="2.28515625" customWidth="1"/>
    <col min="2" max="2" width="24.7109375" customWidth="1"/>
    <col min="3" max="3" width="8.7109375" bestFit="1" customWidth="1"/>
    <col min="4" max="5" width="2.28515625" customWidth="1"/>
    <col min="6" max="6" width="24.7109375" customWidth="1"/>
    <col min="7" max="7" width="8.7109375" bestFit="1" customWidth="1"/>
    <col min="8" max="9" width="2.28515625" customWidth="1"/>
    <col min="10" max="10" width="24.7109375" customWidth="1"/>
    <col min="11" max="11" width="8.7109375" bestFit="1" customWidth="1"/>
    <col min="12" max="12" width="2.28515625" customWidth="1"/>
  </cols>
  <sheetData>
    <row r="1" spans="1:13" ht="4.9000000000000004" customHeight="1">
      <c r="A1" s="25"/>
      <c r="B1" s="25"/>
      <c r="C1" s="25"/>
      <c r="D1" s="25"/>
    </row>
    <row r="2" spans="1:13" ht="18">
      <c r="A2" s="47" t="s">
        <v>46</v>
      </c>
      <c r="B2" s="48"/>
      <c r="C2" s="48"/>
      <c r="D2" s="48"/>
      <c r="E2" s="49"/>
      <c r="F2" s="46"/>
      <c r="G2" s="46"/>
      <c r="H2" s="46"/>
      <c r="I2" s="47"/>
      <c r="J2" s="48"/>
      <c r="K2" s="48"/>
      <c r="L2" s="48"/>
      <c r="M2" s="46"/>
    </row>
    <row r="3" spans="1:13" ht="17.45">
      <c r="A3" s="46"/>
      <c r="B3" s="46"/>
      <c r="C3" s="46"/>
      <c r="D3" s="46"/>
      <c r="E3" s="46"/>
      <c r="F3" s="46"/>
      <c r="G3" s="46"/>
      <c r="H3" s="46"/>
      <c r="I3" s="46"/>
      <c r="J3" s="46"/>
      <c r="K3" s="46"/>
      <c r="L3" s="46"/>
      <c r="M3" s="46"/>
    </row>
    <row r="4" spans="1:13" ht="17.45">
      <c r="A4" s="46"/>
      <c r="B4" s="50"/>
      <c r="C4" s="51" t="s">
        <v>47</v>
      </c>
      <c r="D4" s="46"/>
      <c r="E4" s="46"/>
      <c r="F4" s="50"/>
      <c r="G4" s="51"/>
      <c r="H4" s="46"/>
      <c r="I4" s="46"/>
      <c r="J4" s="50"/>
      <c r="K4" s="51"/>
      <c r="L4" s="46"/>
      <c r="M4" s="46"/>
    </row>
    <row r="5" spans="1:13" ht="17.45">
      <c r="A5" s="46"/>
      <c r="B5" s="46"/>
      <c r="C5" s="52">
        <v>1</v>
      </c>
      <c r="D5" s="46"/>
      <c r="E5" s="46"/>
      <c r="F5" s="46"/>
      <c r="G5" s="52"/>
      <c r="H5" s="46"/>
      <c r="I5" s="46"/>
      <c r="J5" s="46"/>
      <c r="K5" s="52"/>
      <c r="L5" s="46"/>
      <c r="M5" s="46"/>
    </row>
    <row r="6" spans="1:13" ht="17.45">
      <c r="A6" s="46"/>
      <c r="B6" s="46"/>
      <c r="C6" s="46"/>
      <c r="D6" s="46"/>
      <c r="E6" s="46"/>
      <c r="F6" s="46"/>
      <c r="G6" s="46"/>
      <c r="H6" s="46"/>
      <c r="I6" s="46"/>
      <c r="J6" s="46"/>
      <c r="K6" s="46"/>
      <c r="L6" s="46"/>
      <c r="M6" s="46"/>
    </row>
    <row r="7" spans="1:13" ht="17.45">
      <c r="A7" s="46"/>
      <c r="B7" s="53" t="s">
        <v>48</v>
      </c>
      <c r="C7" s="54">
        <v>0</v>
      </c>
      <c r="D7" s="46"/>
      <c r="E7" s="46"/>
      <c r="F7" s="53"/>
      <c r="G7" s="54"/>
      <c r="H7" s="46"/>
      <c r="I7" s="46"/>
      <c r="J7" s="53"/>
      <c r="K7" s="54"/>
      <c r="L7" s="46"/>
      <c r="M7" s="46"/>
    </row>
    <row r="8" spans="1:13" ht="17.45">
      <c r="A8" s="46"/>
      <c r="B8" s="53" t="s">
        <v>41</v>
      </c>
      <c r="C8" s="54">
        <v>5</v>
      </c>
      <c r="D8" s="46"/>
      <c r="E8" s="46"/>
      <c r="F8" s="53"/>
      <c r="G8" s="54"/>
      <c r="H8" s="46"/>
      <c r="I8" s="46"/>
      <c r="J8" s="53"/>
      <c r="K8" s="54"/>
      <c r="L8" s="46"/>
      <c r="M8" s="46"/>
    </row>
    <row r="9" spans="1:13" ht="17.45">
      <c r="A9" s="46"/>
      <c r="B9" s="53" t="s">
        <v>49</v>
      </c>
      <c r="C9" s="54">
        <v>5</v>
      </c>
      <c r="D9" s="46"/>
      <c r="E9" s="46"/>
      <c r="F9" s="53"/>
      <c r="G9" s="54"/>
      <c r="H9" s="46"/>
      <c r="I9" s="46"/>
      <c r="J9" s="53"/>
      <c r="K9" s="54"/>
      <c r="L9" s="46"/>
      <c r="M9" s="46"/>
    </row>
    <row r="10" spans="1:13" ht="17.45">
      <c r="A10" s="46"/>
      <c r="B10" s="53" t="s">
        <v>34</v>
      </c>
      <c r="C10" s="54">
        <v>-10</v>
      </c>
      <c r="D10" s="46"/>
      <c r="E10" s="46"/>
      <c r="F10" s="46"/>
      <c r="G10" s="46"/>
      <c r="H10" s="46"/>
      <c r="I10" s="46"/>
      <c r="J10" s="46"/>
      <c r="K10" s="46"/>
      <c r="L10" s="46"/>
      <c r="M10" s="46"/>
    </row>
    <row r="11" spans="1:13" ht="18" thickBot="1">
      <c r="A11" s="46"/>
      <c r="B11" s="55" t="s">
        <v>35</v>
      </c>
      <c r="C11" s="56">
        <f>SUM(C7:C10)</f>
        <v>0</v>
      </c>
      <c r="D11" s="46"/>
      <c r="E11" s="46"/>
      <c r="F11" s="46"/>
      <c r="G11" s="46"/>
      <c r="H11" s="46"/>
      <c r="I11" s="46"/>
      <c r="J11" s="46"/>
      <c r="K11" s="46"/>
      <c r="L11" s="46"/>
      <c r="M11" s="46"/>
    </row>
    <row r="12" spans="1:13" ht="18" thickTop="1">
      <c r="A12" s="46"/>
      <c r="B12" s="46"/>
      <c r="C12" s="46"/>
      <c r="D12" s="46"/>
      <c r="E12" s="46"/>
      <c r="F12" s="46"/>
      <c r="G12" s="46"/>
      <c r="H12" s="46"/>
      <c r="I12" s="46"/>
      <c r="J12" s="46"/>
      <c r="K12" s="46"/>
      <c r="L12" s="46"/>
      <c r="M12" s="46"/>
    </row>
    <row r="13" spans="1:13" s="24" customFormat="1" ht="17.45">
      <c r="A13" s="57"/>
      <c r="B13" s="57"/>
      <c r="C13" s="57"/>
      <c r="D13" s="57"/>
      <c r="E13" s="57"/>
      <c r="F13" s="57"/>
      <c r="G13" s="57"/>
      <c r="H13" s="57"/>
      <c r="I13" s="57"/>
      <c r="J13" s="57"/>
      <c r="K13" s="57"/>
      <c r="L13" s="57"/>
      <c r="M13" s="57"/>
    </row>
    <row r="14" spans="1:13" ht="17.45">
      <c r="A14" s="46"/>
      <c r="B14" s="46"/>
      <c r="C14" s="46"/>
      <c r="D14" s="46"/>
      <c r="E14" s="46"/>
      <c r="F14" s="46"/>
      <c r="G14" s="46"/>
      <c r="H14" s="46"/>
      <c r="I14" s="46"/>
      <c r="J14" s="46"/>
      <c r="K14" s="46"/>
      <c r="L14" s="46"/>
      <c r="M14" s="46"/>
    </row>
    <row r="15" spans="1:13" ht="18">
      <c r="A15" s="47" t="s">
        <v>46</v>
      </c>
      <c r="B15" s="48"/>
      <c r="C15" s="48"/>
      <c r="D15" s="48"/>
      <c r="E15" s="47" t="s">
        <v>46</v>
      </c>
      <c r="F15" s="48"/>
      <c r="G15" s="48"/>
      <c r="H15" s="48"/>
      <c r="I15" s="58"/>
      <c r="J15" s="59"/>
      <c r="K15" s="59"/>
      <c r="L15" s="59"/>
      <c r="M15" s="46"/>
    </row>
    <row r="16" spans="1:13" ht="17.45">
      <c r="A16" s="46"/>
      <c r="B16" s="46"/>
      <c r="C16" s="46"/>
      <c r="D16" s="46"/>
      <c r="E16" s="46"/>
      <c r="F16" s="46"/>
      <c r="G16" s="46"/>
      <c r="H16" s="46"/>
      <c r="I16" s="46"/>
      <c r="J16" s="46"/>
      <c r="K16" s="46"/>
      <c r="L16" s="46"/>
      <c r="M16" s="46"/>
    </row>
    <row r="17" spans="1:13" ht="17.45">
      <c r="A17" s="46"/>
      <c r="B17" s="50"/>
      <c r="C17" s="51" t="s">
        <v>47</v>
      </c>
      <c r="D17" s="46"/>
      <c r="E17" s="46"/>
      <c r="F17" s="50"/>
      <c r="G17" s="51" t="s">
        <v>47</v>
      </c>
      <c r="H17" s="46"/>
      <c r="I17" s="46"/>
      <c r="J17" s="50"/>
      <c r="K17" s="51"/>
      <c r="L17" s="46"/>
      <c r="M17" s="46"/>
    </row>
    <row r="18" spans="1:13" ht="17.45">
      <c r="A18" s="46"/>
      <c r="B18" s="46"/>
      <c r="C18" s="52">
        <v>2</v>
      </c>
      <c r="D18" s="46"/>
      <c r="E18" s="46"/>
      <c r="F18" s="46"/>
      <c r="G18" s="52">
        <v>2</v>
      </c>
      <c r="H18" s="46"/>
      <c r="I18" s="46"/>
      <c r="J18" s="46"/>
      <c r="K18" s="52"/>
      <c r="L18" s="46"/>
      <c r="M18" s="46"/>
    </row>
    <row r="19" spans="1:13" ht="17.45">
      <c r="A19" s="46"/>
      <c r="B19" s="46"/>
      <c r="C19" s="46"/>
      <c r="D19" s="46"/>
      <c r="E19" s="46"/>
      <c r="F19" s="46"/>
      <c r="G19" s="46"/>
      <c r="H19" s="46"/>
      <c r="I19" s="46"/>
      <c r="J19" s="46"/>
      <c r="K19" s="46"/>
      <c r="L19" s="46"/>
      <c r="M19" s="46"/>
    </row>
    <row r="20" spans="1:13" ht="17.45">
      <c r="A20" s="46"/>
      <c r="B20" s="53" t="s">
        <v>48</v>
      </c>
      <c r="C20" s="54">
        <v>0</v>
      </c>
      <c r="D20" s="46"/>
      <c r="E20" s="46"/>
      <c r="F20" s="53" t="s">
        <v>48</v>
      </c>
      <c r="G20" s="54">
        <v>5</v>
      </c>
      <c r="H20" s="46"/>
      <c r="I20" s="46"/>
      <c r="J20" s="53"/>
      <c r="K20" s="54"/>
      <c r="L20" s="46"/>
      <c r="M20" s="46"/>
    </row>
    <row r="21" spans="1:13" ht="17.45">
      <c r="A21" s="46"/>
      <c r="B21" s="53" t="s">
        <v>41</v>
      </c>
      <c r="C21" s="54">
        <v>5</v>
      </c>
      <c r="D21" s="46"/>
      <c r="E21" s="46"/>
      <c r="F21" s="53" t="s">
        <v>41</v>
      </c>
      <c r="G21" s="54">
        <v>0</v>
      </c>
      <c r="H21" s="46"/>
      <c r="I21" s="46"/>
      <c r="J21" s="53"/>
      <c r="K21" s="54"/>
      <c r="L21" s="46"/>
      <c r="M21" s="46"/>
    </row>
    <row r="22" spans="1:13" ht="17.45">
      <c r="A22" s="46"/>
      <c r="B22" s="53" t="s">
        <v>49</v>
      </c>
      <c r="C22" s="54">
        <v>5</v>
      </c>
      <c r="D22" s="46"/>
      <c r="E22" s="46"/>
      <c r="F22" s="53" t="s">
        <v>49</v>
      </c>
      <c r="G22" s="54">
        <v>5</v>
      </c>
      <c r="H22" s="46"/>
      <c r="I22" s="46"/>
      <c r="J22" s="53"/>
      <c r="K22" s="54"/>
      <c r="L22" s="46"/>
      <c r="M22" s="46"/>
    </row>
    <row r="23" spans="1:13" ht="17.45">
      <c r="A23" s="46"/>
      <c r="B23" s="53" t="s">
        <v>34</v>
      </c>
      <c r="C23" s="54">
        <v>-5</v>
      </c>
      <c r="D23" s="46"/>
      <c r="E23" s="46"/>
      <c r="F23" s="53" t="s">
        <v>34</v>
      </c>
      <c r="G23" s="54">
        <v>-10</v>
      </c>
      <c r="H23" s="46"/>
      <c r="I23" s="46"/>
      <c r="J23" s="53"/>
      <c r="K23" s="46"/>
      <c r="L23" s="46"/>
      <c r="M23" s="46"/>
    </row>
    <row r="24" spans="1:13" ht="18" thickBot="1">
      <c r="A24" s="46"/>
      <c r="B24" s="55" t="s">
        <v>35</v>
      </c>
      <c r="C24" s="56">
        <f>SUM(C20:C23)</f>
        <v>5</v>
      </c>
      <c r="D24" s="46"/>
      <c r="E24" s="46"/>
      <c r="F24" s="55" t="s">
        <v>35</v>
      </c>
      <c r="G24" s="56">
        <f>SUM(G20:G23)</f>
        <v>0</v>
      </c>
      <c r="H24" s="46"/>
      <c r="I24" s="46"/>
      <c r="J24" s="55"/>
      <c r="K24" s="46"/>
      <c r="L24" s="46"/>
      <c r="M24" s="46"/>
    </row>
    <row r="25" spans="1:13" ht="18" thickTop="1">
      <c r="A25" s="46"/>
      <c r="B25" s="46"/>
      <c r="C25" s="46"/>
      <c r="D25" s="46"/>
      <c r="E25" s="46"/>
      <c r="F25" s="46"/>
      <c r="G25" s="46"/>
      <c r="H25" s="46"/>
      <c r="I25" s="46"/>
      <c r="J25" s="46"/>
      <c r="K25" s="46"/>
      <c r="L25" s="46"/>
      <c r="M25" s="46"/>
    </row>
    <row r="26" spans="1:13" s="24" customFormat="1" ht="17.45">
      <c r="A26" s="57"/>
      <c r="B26" s="57"/>
      <c r="C26" s="57"/>
      <c r="D26" s="57"/>
      <c r="E26" s="57"/>
      <c r="F26" s="57"/>
      <c r="G26" s="57"/>
      <c r="H26" s="57"/>
      <c r="I26" s="57"/>
      <c r="J26" s="57"/>
      <c r="K26" s="57"/>
      <c r="L26" s="57"/>
      <c r="M26" s="57"/>
    </row>
    <row r="27" spans="1:13" ht="17.45">
      <c r="A27" s="46"/>
      <c r="B27" s="46"/>
      <c r="C27" s="46"/>
      <c r="D27" s="46"/>
      <c r="E27" s="46"/>
      <c r="F27" s="46"/>
      <c r="G27" s="46"/>
      <c r="H27" s="46"/>
      <c r="I27" s="46"/>
      <c r="J27" s="46"/>
      <c r="K27" s="46"/>
      <c r="L27" s="46"/>
      <c r="M27" s="46"/>
    </row>
    <row r="28" spans="1:13" ht="18">
      <c r="A28" s="47" t="s">
        <v>46</v>
      </c>
      <c r="B28" s="48"/>
      <c r="C28" s="48"/>
      <c r="D28" s="48"/>
      <c r="E28" s="47" t="s">
        <v>46</v>
      </c>
      <c r="F28" s="48"/>
      <c r="G28" s="48"/>
      <c r="H28" s="48"/>
      <c r="I28" s="47" t="s">
        <v>46</v>
      </c>
      <c r="J28" s="48"/>
      <c r="K28" s="48"/>
      <c r="L28" s="48"/>
      <c r="M28" s="46"/>
    </row>
    <row r="29" spans="1:13" ht="17.45">
      <c r="A29" s="46"/>
      <c r="B29" s="46"/>
      <c r="C29" s="46"/>
      <c r="D29" s="46"/>
      <c r="E29" s="46"/>
      <c r="F29" s="46"/>
      <c r="G29" s="46"/>
      <c r="H29" s="46"/>
      <c r="I29" s="46"/>
      <c r="J29" s="46"/>
      <c r="K29" s="46"/>
      <c r="L29" s="46"/>
      <c r="M29" s="46"/>
    </row>
    <row r="30" spans="1:13" ht="17.45">
      <c r="A30" s="46"/>
      <c r="B30" s="50"/>
      <c r="C30" s="51" t="s">
        <v>47</v>
      </c>
      <c r="D30" s="46"/>
      <c r="E30" s="46"/>
      <c r="F30" s="50"/>
      <c r="G30" s="51" t="s">
        <v>47</v>
      </c>
      <c r="H30" s="46"/>
      <c r="I30" s="46"/>
      <c r="J30" s="50"/>
      <c r="K30" s="51" t="s">
        <v>47</v>
      </c>
      <c r="L30" s="46"/>
      <c r="M30" s="46"/>
    </row>
    <row r="31" spans="1:13" ht="17.45">
      <c r="A31" s="46"/>
      <c r="B31" s="46"/>
      <c r="C31" s="52">
        <v>3</v>
      </c>
      <c r="D31" s="46"/>
      <c r="E31" s="46"/>
      <c r="F31" s="46"/>
      <c r="G31" s="52">
        <v>3</v>
      </c>
      <c r="H31" s="46"/>
      <c r="I31" s="46"/>
      <c r="J31" s="46"/>
      <c r="K31" s="52">
        <v>3</v>
      </c>
      <c r="L31" s="46"/>
      <c r="M31" s="46"/>
    </row>
    <row r="32" spans="1:13" ht="17.45">
      <c r="A32" s="46"/>
      <c r="B32" s="46"/>
      <c r="C32" s="46"/>
      <c r="D32" s="46"/>
      <c r="E32" s="46"/>
      <c r="F32" s="46"/>
      <c r="G32" s="46"/>
      <c r="H32" s="46"/>
      <c r="I32" s="46"/>
      <c r="J32" s="46"/>
      <c r="K32" s="46"/>
      <c r="L32" s="46"/>
      <c r="M32" s="46"/>
    </row>
    <row r="33" spans="1:13" ht="17.45">
      <c r="A33" s="46"/>
      <c r="B33" s="53" t="s">
        <v>48</v>
      </c>
      <c r="C33" s="54">
        <v>0</v>
      </c>
      <c r="D33" s="46"/>
      <c r="E33" s="46"/>
      <c r="F33" s="53" t="s">
        <v>48</v>
      </c>
      <c r="G33" s="54">
        <v>10</v>
      </c>
      <c r="H33" s="46"/>
      <c r="I33" s="46"/>
      <c r="J33" s="53" t="s">
        <v>48</v>
      </c>
      <c r="K33" s="54">
        <v>10</v>
      </c>
      <c r="L33" s="46"/>
      <c r="M33" s="46"/>
    </row>
    <row r="34" spans="1:13" ht="17.45">
      <c r="A34" s="46"/>
      <c r="B34" s="53" t="s">
        <v>41</v>
      </c>
      <c r="C34" s="54">
        <v>5</v>
      </c>
      <c r="D34" s="46"/>
      <c r="E34" s="46"/>
      <c r="F34" s="53" t="s">
        <v>41</v>
      </c>
      <c r="G34" s="54">
        <v>0</v>
      </c>
      <c r="H34" s="46"/>
      <c r="I34" s="46"/>
      <c r="J34" s="53" t="s">
        <v>41</v>
      </c>
      <c r="K34" s="54">
        <v>0</v>
      </c>
      <c r="L34" s="46"/>
      <c r="M34" s="46"/>
    </row>
    <row r="35" spans="1:13" ht="17.45">
      <c r="A35" s="46"/>
      <c r="B35" s="53" t="s">
        <v>49</v>
      </c>
      <c r="C35" s="54">
        <v>5</v>
      </c>
      <c r="D35" s="46"/>
      <c r="E35" s="46"/>
      <c r="F35" s="53" t="s">
        <v>49</v>
      </c>
      <c r="G35" s="54">
        <v>10</v>
      </c>
      <c r="H35" s="46"/>
      <c r="I35" s="46"/>
      <c r="J35" s="53" t="s">
        <v>49</v>
      </c>
      <c r="K35" s="54">
        <v>10</v>
      </c>
      <c r="L35" s="46"/>
      <c r="M35" s="46"/>
    </row>
    <row r="36" spans="1:13" ht="17.45">
      <c r="A36" s="46"/>
      <c r="B36" s="53" t="s">
        <v>34</v>
      </c>
      <c r="C36" s="54">
        <v>0</v>
      </c>
      <c r="D36" s="46"/>
      <c r="E36" s="46"/>
      <c r="F36" s="53" t="s">
        <v>34</v>
      </c>
      <c r="G36" s="54">
        <v>-10</v>
      </c>
      <c r="H36" s="46"/>
      <c r="I36" s="46"/>
      <c r="J36" s="53" t="s">
        <v>34</v>
      </c>
      <c r="K36" s="54">
        <v>0</v>
      </c>
      <c r="L36" s="46"/>
      <c r="M36" s="46"/>
    </row>
    <row r="37" spans="1:13" ht="18" thickBot="1">
      <c r="A37" s="46"/>
      <c r="B37" s="55" t="s">
        <v>35</v>
      </c>
      <c r="C37" s="56">
        <f>SUM(C33:C36)</f>
        <v>10</v>
      </c>
      <c r="D37" s="46"/>
      <c r="E37" s="46"/>
      <c r="F37" s="55" t="s">
        <v>35</v>
      </c>
      <c r="G37" s="56">
        <f>SUM(G33:G36)</f>
        <v>10</v>
      </c>
      <c r="H37" s="46"/>
      <c r="I37" s="46"/>
      <c r="J37" s="55" t="s">
        <v>35</v>
      </c>
      <c r="K37" s="56">
        <f>SUM(K33:K36)</f>
        <v>20</v>
      </c>
      <c r="L37" s="46"/>
      <c r="M37" s="46"/>
    </row>
    <row r="38" spans="1:13" ht="18" thickTop="1">
      <c r="A38" s="46"/>
      <c r="B38" s="46"/>
      <c r="C38" s="46"/>
      <c r="D38" s="46"/>
      <c r="E38" s="46"/>
      <c r="F38" s="46"/>
      <c r="G38" s="46"/>
      <c r="H38" s="46"/>
      <c r="I38" s="46"/>
      <c r="J38" s="46"/>
      <c r="K38" s="46"/>
      <c r="L38" s="46"/>
      <c r="M38" s="46"/>
    </row>
    <row r="39" spans="1:13" s="24" customFormat="1" ht="17.45">
      <c r="A39" s="57"/>
      <c r="B39" s="57"/>
      <c r="C39" s="57"/>
      <c r="D39" s="57"/>
      <c r="E39" s="57"/>
      <c r="F39" s="57"/>
      <c r="G39" s="57"/>
      <c r="H39" s="57"/>
      <c r="I39" s="57"/>
      <c r="J39" s="57"/>
      <c r="K39" s="57"/>
      <c r="L39" s="57"/>
      <c r="M39" s="57"/>
    </row>
    <row r="40" spans="1:13" ht="17.45">
      <c r="A40" s="46"/>
      <c r="B40" s="46"/>
      <c r="C40" s="46"/>
      <c r="D40" s="46"/>
      <c r="E40" s="46"/>
      <c r="F40" s="46"/>
      <c r="G40" s="46"/>
      <c r="H40" s="46"/>
      <c r="I40" s="46"/>
      <c r="J40" s="46"/>
      <c r="K40" s="46"/>
      <c r="L40" s="46"/>
      <c r="M40" s="46"/>
    </row>
    <row r="41" spans="1:13" ht="18">
      <c r="A41" s="47" t="s">
        <v>46</v>
      </c>
      <c r="B41" s="48"/>
      <c r="C41" s="48"/>
      <c r="D41" s="48"/>
      <c r="E41" s="47" t="s">
        <v>46</v>
      </c>
      <c r="F41" s="48"/>
      <c r="G41" s="48"/>
      <c r="H41" s="48"/>
      <c r="I41" s="47" t="s">
        <v>46</v>
      </c>
      <c r="J41" s="48"/>
      <c r="K41" s="48"/>
      <c r="L41" s="48"/>
      <c r="M41" s="46"/>
    </row>
    <row r="42" spans="1:13" ht="17.45">
      <c r="A42" s="46"/>
      <c r="B42" s="46"/>
      <c r="C42" s="46"/>
      <c r="D42" s="46"/>
      <c r="E42" s="46"/>
      <c r="F42" s="46"/>
      <c r="G42" s="46"/>
      <c r="H42" s="46"/>
      <c r="I42" s="46"/>
      <c r="J42" s="46"/>
      <c r="K42" s="46"/>
      <c r="L42" s="46"/>
      <c r="M42" s="46"/>
    </row>
    <row r="43" spans="1:13" ht="17.45">
      <c r="A43" s="46"/>
      <c r="B43" s="50"/>
      <c r="C43" s="51" t="s">
        <v>47</v>
      </c>
      <c r="D43" s="46"/>
      <c r="E43" s="46"/>
      <c r="F43" s="50"/>
      <c r="G43" s="51" t="s">
        <v>47</v>
      </c>
      <c r="H43" s="46"/>
      <c r="I43" s="46"/>
      <c r="J43" s="50"/>
      <c r="K43" s="51" t="s">
        <v>47</v>
      </c>
      <c r="L43" s="46"/>
      <c r="M43" s="46"/>
    </row>
    <row r="44" spans="1:13" ht="17.45">
      <c r="A44" s="46"/>
      <c r="B44" s="46"/>
      <c r="C44" s="52">
        <v>4</v>
      </c>
      <c r="D44" s="46"/>
      <c r="E44" s="46"/>
      <c r="F44" s="46"/>
      <c r="G44" s="52">
        <v>4</v>
      </c>
      <c r="H44" s="46"/>
      <c r="I44" s="46"/>
      <c r="J44" s="46"/>
      <c r="K44" s="52">
        <v>4</v>
      </c>
      <c r="L44" s="46"/>
      <c r="M44" s="46"/>
    </row>
    <row r="45" spans="1:13" ht="17.45">
      <c r="A45" s="46"/>
      <c r="B45" s="46"/>
      <c r="C45" s="46"/>
      <c r="D45" s="46"/>
      <c r="E45" s="46"/>
      <c r="F45" s="46"/>
      <c r="G45" s="46"/>
      <c r="H45" s="46"/>
      <c r="I45" s="46"/>
      <c r="J45" s="46"/>
      <c r="K45" s="46"/>
      <c r="L45" s="46"/>
      <c r="M45" s="46"/>
    </row>
    <row r="46" spans="1:13" ht="17.45">
      <c r="A46" s="46"/>
      <c r="B46" s="53" t="s">
        <v>48</v>
      </c>
      <c r="C46" s="54">
        <v>0</v>
      </c>
      <c r="D46" s="46"/>
      <c r="E46" s="46"/>
      <c r="F46" s="53" t="s">
        <v>48</v>
      </c>
      <c r="G46" s="54">
        <v>10</v>
      </c>
      <c r="H46" s="46"/>
      <c r="I46" s="46"/>
      <c r="J46" s="53" t="s">
        <v>48</v>
      </c>
      <c r="K46" s="54">
        <v>20</v>
      </c>
      <c r="L46" s="46"/>
      <c r="M46" s="46"/>
    </row>
    <row r="47" spans="1:13" ht="17.45">
      <c r="A47" s="46"/>
      <c r="B47" s="53" t="s">
        <v>41</v>
      </c>
      <c r="C47" s="54">
        <v>5</v>
      </c>
      <c r="D47" s="46"/>
      <c r="E47" s="46"/>
      <c r="F47" s="53" t="s">
        <v>41</v>
      </c>
      <c r="G47" s="54">
        <v>0</v>
      </c>
      <c r="H47" s="46"/>
      <c r="I47" s="46"/>
      <c r="J47" s="53" t="s">
        <v>41</v>
      </c>
      <c r="K47" s="54">
        <v>0</v>
      </c>
      <c r="L47" s="46"/>
      <c r="M47" s="46"/>
    </row>
    <row r="48" spans="1:13" ht="17.45">
      <c r="A48" s="46"/>
      <c r="B48" s="53" t="s">
        <v>49</v>
      </c>
      <c r="C48" s="54">
        <v>5</v>
      </c>
      <c r="D48" s="46"/>
      <c r="E48" s="46"/>
      <c r="F48" s="53" t="s">
        <v>49</v>
      </c>
      <c r="G48" s="54">
        <v>10</v>
      </c>
      <c r="H48" s="46"/>
      <c r="I48" s="46"/>
      <c r="J48" s="53" t="s">
        <v>49</v>
      </c>
      <c r="K48" s="54">
        <v>20</v>
      </c>
      <c r="L48" s="46"/>
      <c r="M48" s="46"/>
    </row>
    <row r="49" spans="1:13" ht="17.45">
      <c r="A49" s="46"/>
      <c r="B49" s="53" t="s">
        <v>34</v>
      </c>
      <c r="C49" s="54">
        <v>0</v>
      </c>
      <c r="D49" s="46"/>
      <c r="E49" s="46"/>
      <c r="F49" s="53" t="s">
        <v>34</v>
      </c>
      <c r="G49" s="54">
        <v>0</v>
      </c>
      <c r="H49" s="46"/>
      <c r="I49" s="46"/>
      <c r="J49" s="53" t="s">
        <v>34</v>
      </c>
      <c r="K49" s="54">
        <v>0</v>
      </c>
      <c r="L49" s="46"/>
      <c r="M49" s="46"/>
    </row>
    <row r="50" spans="1:13" ht="18" thickBot="1">
      <c r="A50" s="46"/>
      <c r="B50" s="55" t="s">
        <v>35</v>
      </c>
      <c r="C50" s="56">
        <f>SUM(C46:C49)</f>
        <v>10</v>
      </c>
      <c r="D50" s="46"/>
      <c r="E50" s="46"/>
      <c r="F50" s="55" t="s">
        <v>35</v>
      </c>
      <c r="G50" s="56">
        <f>SUM(G46:G49)</f>
        <v>20</v>
      </c>
      <c r="H50" s="46"/>
      <c r="I50" s="46"/>
      <c r="J50" s="55" t="s">
        <v>35</v>
      </c>
      <c r="K50" s="56">
        <f>SUM(K46:K49)</f>
        <v>40</v>
      </c>
      <c r="L50" s="46"/>
      <c r="M50" s="46"/>
    </row>
    <row r="51" spans="1:13" ht="18" thickTop="1">
      <c r="A51" s="46"/>
      <c r="B51" s="46"/>
      <c r="C51" s="46"/>
      <c r="D51" s="46"/>
      <c r="E51" s="46"/>
      <c r="F51" s="46"/>
      <c r="G51" s="46"/>
      <c r="H51" s="46"/>
      <c r="I51" s="46"/>
      <c r="J51" s="46"/>
      <c r="K51" s="46"/>
      <c r="L51" s="46"/>
      <c r="M51" s="46"/>
    </row>
    <row r="52" spans="1:13" s="24" customFormat="1" ht="17.45">
      <c r="A52" s="57"/>
      <c r="B52" s="57"/>
      <c r="C52" s="57"/>
      <c r="D52" s="57"/>
      <c r="E52" s="57"/>
      <c r="F52" s="57"/>
      <c r="G52" s="57"/>
      <c r="H52" s="57"/>
      <c r="I52" s="57"/>
      <c r="J52" s="57"/>
      <c r="K52" s="57"/>
      <c r="L52" s="57"/>
      <c r="M52" s="57"/>
    </row>
    <row r="53" spans="1:13" ht="17.45">
      <c r="A53" s="46"/>
      <c r="B53" s="46"/>
      <c r="C53" s="46"/>
      <c r="D53" s="46"/>
      <c r="E53" s="46"/>
      <c r="F53" s="46"/>
      <c r="G53" s="46"/>
      <c r="H53" s="46"/>
      <c r="I53" s="46"/>
      <c r="J53" s="46"/>
      <c r="K53" s="46"/>
      <c r="L53" s="46"/>
      <c r="M53" s="46"/>
    </row>
    <row r="54" spans="1:13" ht="18">
      <c r="A54" s="58"/>
      <c r="B54" s="48"/>
      <c r="C54" s="48"/>
      <c r="D54" s="48"/>
      <c r="E54" s="47" t="s">
        <v>46</v>
      </c>
      <c r="F54" s="48"/>
      <c r="G54" s="48"/>
      <c r="H54" s="48"/>
      <c r="I54" s="58"/>
      <c r="J54" s="48"/>
      <c r="K54" s="48"/>
      <c r="L54" s="48"/>
      <c r="M54" s="46"/>
    </row>
    <row r="55" spans="1:13" ht="17.45">
      <c r="A55" s="46"/>
      <c r="B55" s="46"/>
      <c r="C55" s="46"/>
      <c r="D55" s="46"/>
      <c r="E55" s="46"/>
      <c r="F55" s="46"/>
      <c r="G55" s="46"/>
      <c r="H55" s="46"/>
      <c r="I55" s="46"/>
      <c r="J55" s="46"/>
      <c r="K55" s="46"/>
      <c r="L55" s="46"/>
      <c r="M55" s="46"/>
    </row>
    <row r="56" spans="1:13" ht="17.45">
      <c r="A56" s="46"/>
      <c r="B56" s="50"/>
      <c r="C56" s="51"/>
      <c r="D56" s="46"/>
      <c r="E56" s="46"/>
      <c r="F56" s="50"/>
      <c r="G56" s="51" t="s">
        <v>47</v>
      </c>
      <c r="H56" s="46"/>
      <c r="I56" s="46"/>
      <c r="J56" s="50"/>
      <c r="K56" s="51"/>
      <c r="L56" s="46"/>
      <c r="M56" s="46"/>
    </row>
    <row r="57" spans="1:13" ht="17.45">
      <c r="A57" s="46"/>
      <c r="B57" s="46"/>
      <c r="C57" s="52"/>
      <c r="D57" s="46"/>
      <c r="E57" s="46"/>
      <c r="F57" s="46"/>
      <c r="G57" s="52">
        <v>5</v>
      </c>
      <c r="H57" s="46"/>
      <c r="I57" s="46"/>
      <c r="J57" s="46"/>
      <c r="K57" s="52"/>
      <c r="L57" s="46"/>
      <c r="M57" s="46"/>
    </row>
    <row r="58" spans="1:13" ht="17.45">
      <c r="A58" s="46"/>
      <c r="B58" s="46"/>
      <c r="C58" s="46"/>
      <c r="D58" s="46"/>
      <c r="E58" s="46"/>
      <c r="F58" s="46"/>
      <c r="G58" s="46"/>
      <c r="H58" s="46"/>
      <c r="I58" s="46"/>
      <c r="J58" s="46"/>
      <c r="K58" s="46"/>
      <c r="L58" s="46"/>
      <c r="M58" s="46"/>
    </row>
    <row r="59" spans="1:13" ht="17.45">
      <c r="A59" s="46"/>
      <c r="B59" s="53"/>
      <c r="C59" s="54"/>
      <c r="D59" s="46"/>
      <c r="E59" s="46"/>
      <c r="F59" s="53" t="s">
        <v>48</v>
      </c>
      <c r="G59" s="54">
        <v>0</v>
      </c>
      <c r="H59" s="46"/>
      <c r="I59" s="46"/>
      <c r="J59" s="53"/>
      <c r="K59" s="54"/>
      <c r="L59" s="46"/>
      <c r="M59" s="46"/>
    </row>
    <row r="60" spans="1:13" ht="17.45">
      <c r="A60" s="46"/>
      <c r="B60" s="53"/>
      <c r="C60" s="54"/>
      <c r="D60" s="46"/>
      <c r="E60" s="46"/>
      <c r="F60" s="53" t="s">
        <v>41</v>
      </c>
      <c r="G60" s="54">
        <v>10</v>
      </c>
      <c r="H60" s="46"/>
      <c r="I60" s="46"/>
      <c r="J60" s="53"/>
      <c r="K60" s="54"/>
      <c r="L60" s="46"/>
      <c r="M60" s="46"/>
    </row>
    <row r="61" spans="1:13" ht="17.45">
      <c r="A61" s="46"/>
      <c r="B61" s="53"/>
      <c r="C61" s="54"/>
      <c r="D61" s="46"/>
      <c r="E61" s="46"/>
      <c r="F61" s="53" t="s">
        <v>49</v>
      </c>
      <c r="G61" s="54">
        <v>10</v>
      </c>
      <c r="H61" s="46"/>
      <c r="I61" s="46"/>
      <c r="J61" s="53"/>
      <c r="K61" s="54"/>
      <c r="L61" s="46"/>
      <c r="M61" s="46"/>
    </row>
    <row r="62" spans="1:13" ht="17.45">
      <c r="A62" s="46"/>
      <c r="B62" s="53"/>
      <c r="C62" s="54"/>
      <c r="D62" s="46"/>
      <c r="E62" s="46"/>
      <c r="F62" s="53" t="s">
        <v>34</v>
      </c>
      <c r="G62" s="54">
        <v>0</v>
      </c>
      <c r="H62" s="46"/>
      <c r="I62" s="46"/>
      <c r="J62" s="53"/>
      <c r="K62" s="54"/>
      <c r="L62" s="46"/>
      <c r="M62" s="46"/>
    </row>
    <row r="63" spans="1:13" ht="18" thickBot="1">
      <c r="A63" s="46"/>
      <c r="B63" s="55"/>
      <c r="C63" s="60"/>
      <c r="D63" s="46"/>
      <c r="E63" s="46"/>
      <c r="F63" s="55" t="s">
        <v>35</v>
      </c>
      <c r="G63" s="56">
        <f>SUM(G59:G62)</f>
        <v>20</v>
      </c>
      <c r="H63" s="46"/>
      <c r="I63" s="46"/>
      <c r="J63" s="55"/>
      <c r="K63" s="60"/>
      <c r="L63" s="46"/>
      <c r="M63" s="46"/>
    </row>
    <row r="64" spans="1:13" ht="18" thickTop="1">
      <c r="A64" s="46"/>
      <c r="B64" s="46"/>
      <c r="C64" s="46"/>
      <c r="D64" s="46"/>
      <c r="E64" s="46"/>
      <c r="F64" s="46"/>
      <c r="G64" s="46"/>
      <c r="H64" s="46"/>
      <c r="I64" s="46"/>
      <c r="J64" s="46"/>
      <c r="K64" s="46"/>
      <c r="L64" s="46"/>
      <c r="M64" s="46"/>
    </row>
    <row r="65" spans="1:13" s="24" customFormat="1" ht="17.45">
      <c r="A65" s="57"/>
      <c r="B65" s="57"/>
      <c r="C65" s="57"/>
      <c r="D65" s="57"/>
      <c r="E65" s="57"/>
      <c r="F65" s="57"/>
      <c r="G65" s="57"/>
      <c r="H65" s="57"/>
      <c r="I65" s="57"/>
      <c r="J65" s="57"/>
      <c r="K65" s="57"/>
      <c r="L65" s="57"/>
      <c r="M65" s="57"/>
    </row>
    <row r="66" spans="1:13" ht="17.45">
      <c r="A66" s="46"/>
      <c r="B66" s="46"/>
      <c r="C66" s="46"/>
      <c r="D66" s="46"/>
      <c r="E66" s="46"/>
      <c r="F66" s="46"/>
      <c r="G66" s="46"/>
      <c r="H66" s="46"/>
      <c r="I66" s="46"/>
      <c r="J66" s="46"/>
      <c r="K66" s="46"/>
      <c r="L66" s="46"/>
      <c r="M66" s="46"/>
    </row>
    <row r="67" spans="1:13" ht="18">
      <c r="A67" s="58"/>
      <c r="B67" s="48"/>
      <c r="C67" s="48"/>
      <c r="D67" s="48"/>
      <c r="E67" s="47" t="s">
        <v>46</v>
      </c>
      <c r="F67" s="48"/>
      <c r="G67" s="48"/>
      <c r="H67" s="48"/>
      <c r="I67" s="58"/>
      <c r="J67" s="48"/>
      <c r="K67" s="48"/>
      <c r="L67" s="48"/>
      <c r="M67" s="46"/>
    </row>
    <row r="68" spans="1:13" ht="17.45">
      <c r="A68" s="46"/>
      <c r="B68" s="46"/>
      <c r="C68" s="46"/>
      <c r="D68" s="46"/>
      <c r="E68" s="46"/>
      <c r="F68" s="46"/>
      <c r="G68" s="46"/>
      <c r="H68" s="46"/>
      <c r="I68" s="46"/>
      <c r="J68" s="46"/>
      <c r="K68" s="46"/>
      <c r="L68" s="46"/>
      <c r="M68" s="46"/>
    </row>
    <row r="69" spans="1:13" ht="17.45">
      <c r="A69" s="46"/>
      <c r="B69" s="50"/>
      <c r="C69" s="51"/>
      <c r="D69" s="46"/>
      <c r="E69" s="46"/>
      <c r="F69" s="50"/>
      <c r="G69" s="51" t="s">
        <v>47</v>
      </c>
      <c r="H69" s="46"/>
      <c r="I69" s="46"/>
      <c r="J69" s="50"/>
      <c r="K69" s="51"/>
      <c r="L69" s="46"/>
      <c r="M69" s="46"/>
    </row>
    <row r="70" spans="1:13" ht="17.45">
      <c r="A70" s="46"/>
      <c r="B70" s="46"/>
      <c r="C70" s="52"/>
      <c r="D70" s="46"/>
      <c r="E70" s="46"/>
      <c r="F70" s="46"/>
      <c r="G70" s="52">
        <v>6</v>
      </c>
      <c r="H70" s="46"/>
      <c r="I70" s="46"/>
      <c r="J70" s="46"/>
      <c r="K70" s="52"/>
      <c r="L70" s="46"/>
      <c r="M70" s="46"/>
    </row>
    <row r="71" spans="1:13" ht="17.45">
      <c r="A71" s="46"/>
      <c r="B71" s="46"/>
      <c r="C71" s="46"/>
      <c r="D71" s="46"/>
      <c r="E71" s="46"/>
      <c r="F71" s="46"/>
      <c r="G71" s="46"/>
      <c r="H71" s="46"/>
      <c r="I71" s="46"/>
      <c r="J71" s="46"/>
      <c r="K71" s="46"/>
      <c r="L71" s="46"/>
      <c r="M71" s="46"/>
    </row>
    <row r="72" spans="1:13" ht="17.45">
      <c r="A72" s="46"/>
      <c r="B72" s="53"/>
      <c r="C72" s="54"/>
      <c r="D72" s="46"/>
      <c r="E72" s="46"/>
      <c r="F72" s="53" t="s">
        <v>48</v>
      </c>
      <c r="G72" s="54">
        <v>0</v>
      </c>
      <c r="H72" s="46"/>
      <c r="I72" s="46"/>
      <c r="J72" s="53"/>
      <c r="K72" s="54"/>
      <c r="L72" s="46"/>
      <c r="M72" s="46"/>
    </row>
    <row r="73" spans="1:13" ht="17.45">
      <c r="A73" s="46"/>
      <c r="B73" s="53"/>
      <c r="C73" s="54"/>
      <c r="D73" s="46"/>
      <c r="E73" s="46"/>
      <c r="F73" s="53" t="s">
        <v>41</v>
      </c>
      <c r="G73" s="54">
        <v>10</v>
      </c>
      <c r="H73" s="46"/>
      <c r="I73" s="46"/>
      <c r="J73" s="53"/>
      <c r="K73" s="54"/>
      <c r="L73" s="46"/>
      <c r="M73" s="46"/>
    </row>
    <row r="74" spans="1:13" ht="17.45">
      <c r="A74" s="46"/>
      <c r="B74" s="53"/>
      <c r="C74" s="54"/>
      <c r="D74" s="46"/>
      <c r="E74" s="46"/>
      <c r="F74" s="53" t="s">
        <v>49</v>
      </c>
      <c r="G74" s="54">
        <v>10</v>
      </c>
      <c r="H74" s="46"/>
      <c r="I74" s="46"/>
      <c r="J74" s="53"/>
      <c r="K74" s="54"/>
      <c r="L74" s="46"/>
      <c r="M74" s="46"/>
    </row>
    <row r="75" spans="1:13" ht="17.45">
      <c r="A75" s="46"/>
      <c r="B75" s="53"/>
      <c r="C75" s="54"/>
      <c r="D75" s="46"/>
      <c r="E75" s="46"/>
      <c r="F75" s="53" t="s">
        <v>34</v>
      </c>
      <c r="G75" s="54">
        <v>-10</v>
      </c>
      <c r="H75" s="46"/>
      <c r="I75" s="46"/>
      <c r="J75" s="53"/>
      <c r="K75" s="54"/>
      <c r="L75" s="46"/>
      <c r="M75" s="46"/>
    </row>
    <row r="76" spans="1:13" ht="18" thickBot="1">
      <c r="A76" s="46"/>
      <c r="B76" s="55"/>
      <c r="C76" s="60"/>
      <c r="D76" s="46"/>
      <c r="E76" s="46"/>
      <c r="F76" s="55" t="s">
        <v>35</v>
      </c>
      <c r="G76" s="56">
        <f>SUM(G72:G75)</f>
        <v>10</v>
      </c>
      <c r="H76" s="46"/>
      <c r="I76" s="46"/>
      <c r="J76" s="55"/>
      <c r="K76" s="60"/>
      <c r="L76" s="46"/>
      <c r="M76" s="46"/>
    </row>
    <row r="77" spans="1:13" ht="18" thickTop="1">
      <c r="A77" s="46"/>
      <c r="B77" s="46"/>
      <c r="C77" s="46"/>
      <c r="D77" s="46"/>
      <c r="E77" s="46"/>
      <c r="F77" s="46"/>
      <c r="G77" s="46"/>
      <c r="H77" s="46"/>
      <c r="I77" s="46"/>
      <c r="J77" s="46"/>
      <c r="K77" s="46"/>
      <c r="L77" s="46"/>
      <c r="M77" s="46"/>
    </row>
    <row r="78" spans="1:13" s="24" customFormat="1" ht="17.45">
      <c r="A78" s="57"/>
      <c r="B78" s="57"/>
      <c r="C78" s="57"/>
      <c r="D78" s="57"/>
      <c r="E78" s="57"/>
      <c r="F78" s="57"/>
      <c r="G78" s="57"/>
      <c r="H78" s="57"/>
      <c r="I78" s="57"/>
      <c r="J78" s="57"/>
      <c r="K78" s="57"/>
      <c r="L78" s="57"/>
      <c r="M78" s="57"/>
    </row>
    <row r="79" spans="1:13" ht="17.45">
      <c r="A79" s="46"/>
      <c r="B79" s="46"/>
      <c r="C79" s="46"/>
      <c r="D79" s="46"/>
      <c r="E79" s="46"/>
      <c r="F79" s="46"/>
      <c r="G79" s="46"/>
      <c r="H79" s="46"/>
      <c r="I79" s="46"/>
      <c r="J79" s="46"/>
      <c r="K79" s="46"/>
      <c r="L79" s="46"/>
      <c r="M79" s="46"/>
    </row>
    <row r="80" spans="1:13" ht="18">
      <c r="A80" s="58"/>
      <c r="B80" s="48"/>
      <c r="C80" s="48"/>
      <c r="D80" s="48"/>
      <c r="E80" s="47" t="s">
        <v>46</v>
      </c>
      <c r="F80" s="48"/>
      <c r="G80" s="48"/>
      <c r="H80" s="48"/>
      <c r="I80" s="47" t="s">
        <v>46</v>
      </c>
      <c r="J80" s="48"/>
      <c r="K80" s="48"/>
      <c r="L80" s="48"/>
      <c r="M80" s="46"/>
    </row>
    <row r="81" spans="1:13" ht="17.45">
      <c r="A81" s="46"/>
      <c r="B81" s="46"/>
      <c r="C81" s="46"/>
      <c r="D81" s="46"/>
      <c r="E81" s="46"/>
      <c r="F81" s="46"/>
      <c r="G81" s="46"/>
      <c r="H81" s="46"/>
      <c r="I81" s="46"/>
      <c r="J81" s="46"/>
      <c r="K81" s="46"/>
      <c r="L81" s="46"/>
      <c r="M81" s="46"/>
    </row>
    <row r="82" spans="1:13" ht="17.45">
      <c r="A82" s="46"/>
      <c r="B82" s="50"/>
      <c r="C82" s="51"/>
      <c r="D82" s="46"/>
      <c r="E82" s="46"/>
      <c r="F82" s="50"/>
      <c r="G82" s="51" t="s">
        <v>47</v>
      </c>
      <c r="H82" s="46"/>
      <c r="I82" s="46"/>
      <c r="J82" s="50"/>
      <c r="K82" s="51" t="s">
        <v>47</v>
      </c>
      <c r="L82" s="46"/>
      <c r="M82" s="46"/>
    </row>
    <row r="83" spans="1:13" ht="17.45">
      <c r="A83" s="46"/>
      <c r="B83" s="46"/>
      <c r="C83" s="52"/>
      <c r="D83" s="46"/>
      <c r="E83" s="46"/>
      <c r="F83" s="46"/>
      <c r="G83" s="52">
        <v>7</v>
      </c>
      <c r="H83" s="46"/>
      <c r="I83" s="46"/>
      <c r="J83" s="46"/>
      <c r="K83" s="52">
        <v>7</v>
      </c>
      <c r="L83" s="46"/>
      <c r="M83" s="46"/>
    </row>
    <row r="84" spans="1:13" ht="17.45">
      <c r="A84" s="46"/>
      <c r="B84" s="46"/>
      <c r="C84" s="46"/>
      <c r="D84" s="46"/>
      <c r="E84" s="46"/>
      <c r="F84" s="46"/>
      <c r="G84" s="46"/>
      <c r="H84" s="46"/>
      <c r="I84" s="46"/>
      <c r="J84" s="46"/>
      <c r="K84" s="46"/>
      <c r="L84" s="46"/>
      <c r="M84" s="46"/>
    </row>
    <row r="85" spans="1:13" ht="17.45">
      <c r="A85" s="46"/>
      <c r="B85" s="53"/>
      <c r="C85" s="54"/>
      <c r="D85" s="46"/>
      <c r="E85" s="46"/>
      <c r="F85" s="53" t="s">
        <v>48</v>
      </c>
      <c r="G85" s="54">
        <v>0</v>
      </c>
      <c r="H85" s="46"/>
      <c r="I85" s="46"/>
      <c r="J85" s="53" t="s">
        <v>48</v>
      </c>
      <c r="K85" s="54">
        <v>20</v>
      </c>
      <c r="L85" s="46"/>
      <c r="M85" s="46"/>
    </row>
    <row r="86" spans="1:13" ht="17.45">
      <c r="A86" s="46"/>
      <c r="B86" s="53"/>
      <c r="C86" s="54"/>
      <c r="D86" s="46"/>
      <c r="E86" s="46"/>
      <c r="F86" s="53" t="s">
        <v>41</v>
      </c>
      <c r="G86" s="54">
        <v>10</v>
      </c>
      <c r="H86" s="46"/>
      <c r="I86" s="46"/>
      <c r="J86" s="53" t="s">
        <v>41</v>
      </c>
      <c r="K86" s="54">
        <v>0</v>
      </c>
      <c r="L86" s="46"/>
      <c r="M86" s="46"/>
    </row>
    <row r="87" spans="1:13" ht="17.45">
      <c r="A87" s="46"/>
      <c r="B87" s="53"/>
      <c r="C87" s="54"/>
      <c r="D87" s="46"/>
      <c r="E87" s="46"/>
      <c r="F87" s="53" t="s">
        <v>49</v>
      </c>
      <c r="G87" s="54">
        <v>10</v>
      </c>
      <c r="H87" s="46"/>
      <c r="I87" s="46"/>
      <c r="J87" s="53" t="s">
        <v>49</v>
      </c>
      <c r="K87" s="54">
        <v>20</v>
      </c>
      <c r="L87" s="46"/>
      <c r="M87" s="46"/>
    </row>
    <row r="88" spans="1:13" ht="17.45">
      <c r="A88" s="46"/>
      <c r="B88" s="53"/>
      <c r="C88" s="54"/>
      <c r="D88" s="46"/>
      <c r="E88" s="46"/>
      <c r="F88" s="53" t="s">
        <v>34</v>
      </c>
      <c r="G88" s="54">
        <v>0</v>
      </c>
      <c r="H88" s="46"/>
      <c r="I88" s="46"/>
      <c r="J88" s="53" t="s">
        <v>34</v>
      </c>
      <c r="K88" s="54">
        <v>0</v>
      </c>
      <c r="L88" s="46"/>
      <c r="M88" s="46"/>
    </row>
    <row r="89" spans="1:13" ht="18" thickBot="1">
      <c r="A89" s="46"/>
      <c r="B89" s="55"/>
      <c r="C89" s="60"/>
      <c r="D89" s="46"/>
      <c r="E89" s="46"/>
      <c r="F89" s="55" t="s">
        <v>35</v>
      </c>
      <c r="G89" s="56">
        <f>SUM(G85:G88)</f>
        <v>20</v>
      </c>
      <c r="H89" s="46"/>
      <c r="I89" s="46"/>
      <c r="J89" s="55" t="s">
        <v>35</v>
      </c>
      <c r="K89" s="56">
        <f>SUM(K85:K88)</f>
        <v>40</v>
      </c>
      <c r="L89" s="46"/>
      <c r="M89" s="46"/>
    </row>
    <row r="90" spans="1:13" ht="18" thickTop="1">
      <c r="A90" s="46"/>
      <c r="B90" s="46"/>
      <c r="C90" s="46"/>
      <c r="D90" s="46"/>
      <c r="E90" s="46"/>
      <c r="F90" s="46"/>
      <c r="G90" s="46"/>
      <c r="H90" s="46"/>
      <c r="I90" s="46"/>
      <c r="J90" s="46"/>
      <c r="K90" s="46"/>
      <c r="L90" s="46"/>
      <c r="M90" s="46"/>
    </row>
    <row r="91" spans="1:13" s="24" customFormat="1" ht="17.45">
      <c r="A91" s="57"/>
      <c r="B91" s="57"/>
      <c r="C91" s="57"/>
      <c r="D91" s="57"/>
      <c r="E91" s="57"/>
      <c r="F91" s="57"/>
      <c r="G91" s="57"/>
      <c r="H91" s="57"/>
      <c r="I91" s="57"/>
      <c r="J91" s="57"/>
      <c r="K91" s="57"/>
      <c r="L91" s="57"/>
      <c r="M91" s="57"/>
    </row>
    <row r="92" spans="1:13" ht="17.45">
      <c r="A92" s="46"/>
      <c r="B92" s="46"/>
      <c r="C92" s="46"/>
      <c r="D92" s="46"/>
      <c r="E92" s="46"/>
      <c r="F92" s="46"/>
      <c r="G92" s="46"/>
      <c r="H92" s="46"/>
      <c r="I92" s="46"/>
      <c r="J92" s="46"/>
      <c r="K92" s="46"/>
      <c r="L92" s="46"/>
      <c r="M92" s="46"/>
    </row>
    <row r="93" spans="1:13" s="26" customFormat="1" ht="18">
      <c r="A93" s="58"/>
      <c r="B93" s="59"/>
      <c r="C93" s="59"/>
      <c r="D93" s="59"/>
      <c r="E93" s="47" t="s">
        <v>46</v>
      </c>
      <c r="F93" s="48"/>
      <c r="G93" s="48"/>
      <c r="H93" s="48"/>
      <c r="I93" s="47" t="s">
        <v>46</v>
      </c>
      <c r="J93" s="48"/>
      <c r="K93" s="48"/>
      <c r="L93" s="48"/>
      <c r="M93" s="59"/>
    </row>
    <row r="94" spans="1:13" ht="17.45">
      <c r="A94" s="46"/>
      <c r="B94" s="46"/>
      <c r="C94" s="46"/>
      <c r="D94" s="46"/>
      <c r="E94" s="46"/>
      <c r="F94" s="46"/>
      <c r="G94" s="46"/>
      <c r="H94" s="46"/>
      <c r="I94" s="46"/>
      <c r="J94" s="46"/>
      <c r="K94" s="46"/>
      <c r="L94" s="46"/>
      <c r="M94" s="46"/>
    </row>
    <row r="95" spans="1:13" ht="17.45">
      <c r="A95" s="46"/>
      <c r="B95" s="50"/>
      <c r="C95" s="51"/>
      <c r="D95" s="46"/>
      <c r="E95" s="46"/>
      <c r="F95" s="50"/>
      <c r="G95" s="51" t="s">
        <v>47</v>
      </c>
      <c r="H95" s="46"/>
      <c r="I95" s="46"/>
      <c r="J95" s="50"/>
      <c r="K95" s="51" t="s">
        <v>47</v>
      </c>
      <c r="L95" s="46"/>
      <c r="M95" s="46"/>
    </row>
    <row r="96" spans="1:13" ht="17.45">
      <c r="A96" s="46"/>
      <c r="B96" s="46"/>
      <c r="C96" s="52"/>
      <c r="D96" s="46"/>
      <c r="E96" s="46"/>
      <c r="F96" s="46"/>
      <c r="G96" s="52">
        <v>8</v>
      </c>
      <c r="H96" s="46"/>
      <c r="I96" s="46"/>
      <c r="J96" s="46"/>
      <c r="K96" s="52">
        <v>8</v>
      </c>
      <c r="L96" s="46"/>
      <c r="M96" s="46"/>
    </row>
    <row r="97" spans="1:13" ht="17.45">
      <c r="A97" s="46"/>
      <c r="B97" s="46"/>
      <c r="C97" s="46"/>
      <c r="D97" s="46"/>
      <c r="E97" s="46"/>
      <c r="F97" s="46"/>
      <c r="G97" s="46"/>
      <c r="H97" s="46"/>
      <c r="I97" s="46"/>
      <c r="J97" s="46"/>
      <c r="K97" s="46"/>
      <c r="L97" s="46"/>
      <c r="M97" s="46"/>
    </row>
    <row r="98" spans="1:13" ht="17.45">
      <c r="A98" s="46"/>
      <c r="B98" s="53"/>
      <c r="C98" s="54"/>
      <c r="D98" s="46"/>
      <c r="E98" s="46"/>
      <c r="F98" s="53" t="s">
        <v>48</v>
      </c>
      <c r="G98" s="54">
        <v>0</v>
      </c>
      <c r="H98" s="46"/>
      <c r="I98" s="46"/>
      <c r="J98" s="53" t="s">
        <v>48</v>
      </c>
      <c r="K98" s="54">
        <v>0</v>
      </c>
      <c r="L98" s="46"/>
      <c r="M98" s="46"/>
    </row>
    <row r="99" spans="1:13" ht="17.45">
      <c r="A99" s="46"/>
      <c r="B99" s="53"/>
      <c r="C99" s="54"/>
      <c r="D99" s="46"/>
      <c r="E99" s="46"/>
      <c r="F99" s="53" t="s">
        <v>41</v>
      </c>
      <c r="G99" s="54">
        <v>10</v>
      </c>
      <c r="H99" s="46"/>
      <c r="I99" s="46"/>
      <c r="J99" s="53" t="s">
        <v>41</v>
      </c>
      <c r="K99" s="54">
        <v>5</v>
      </c>
      <c r="L99" s="46"/>
      <c r="M99" s="46"/>
    </row>
    <row r="100" spans="1:13" ht="17.45">
      <c r="A100" s="46"/>
      <c r="B100" s="53"/>
      <c r="C100" s="54"/>
      <c r="D100" s="46"/>
      <c r="E100" s="46"/>
      <c r="F100" s="53" t="s">
        <v>49</v>
      </c>
      <c r="G100" s="54">
        <v>10</v>
      </c>
      <c r="H100" s="46"/>
      <c r="I100" s="46"/>
      <c r="J100" s="53" t="s">
        <v>49</v>
      </c>
      <c r="K100" s="54">
        <v>0</v>
      </c>
      <c r="L100" s="46"/>
      <c r="M100" s="46"/>
    </row>
    <row r="101" spans="1:13" ht="17.45">
      <c r="A101" s="46"/>
      <c r="B101" s="53"/>
      <c r="C101" s="54"/>
      <c r="D101" s="46"/>
      <c r="E101" s="46"/>
      <c r="F101" s="53" t="s">
        <v>34</v>
      </c>
      <c r="G101" s="54">
        <v>0</v>
      </c>
      <c r="H101" s="46"/>
      <c r="I101" s="46"/>
      <c r="J101" s="53" t="s">
        <v>34</v>
      </c>
      <c r="K101" s="54">
        <v>0</v>
      </c>
      <c r="L101" s="46"/>
      <c r="M101" s="46"/>
    </row>
    <row r="102" spans="1:13" ht="18" thickBot="1">
      <c r="A102" s="46"/>
      <c r="B102" s="55"/>
      <c r="C102" s="60"/>
      <c r="D102" s="46"/>
      <c r="E102" s="46"/>
      <c r="F102" s="55" t="s">
        <v>35</v>
      </c>
      <c r="G102" s="56">
        <f>SUM(G98:G101)</f>
        <v>20</v>
      </c>
      <c r="H102" s="46"/>
      <c r="I102" s="46"/>
      <c r="J102" s="55" t="s">
        <v>35</v>
      </c>
      <c r="K102" s="56">
        <f>SUM(K98:K101)</f>
        <v>5</v>
      </c>
      <c r="L102" s="46"/>
      <c r="M102" s="46"/>
    </row>
    <row r="103" spans="1:13" ht="18" thickTop="1">
      <c r="A103" s="46"/>
      <c r="B103" s="46"/>
      <c r="C103" s="46"/>
      <c r="D103" s="46"/>
      <c r="E103" s="46"/>
      <c r="F103" s="46"/>
      <c r="G103" s="46"/>
      <c r="H103" s="46"/>
      <c r="I103" s="46"/>
      <c r="J103" s="46"/>
      <c r="K103" s="46"/>
      <c r="L103" s="46"/>
      <c r="M103" s="46"/>
    </row>
    <row r="104" spans="1:13" s="24" customFormat="1" ht="17.45">
      <c r="A104" s="57"/>
      <c r="B104" s="57"/>
      <c r="C104" s="57"/>
      <c r="D104" s="57"/>
      <c r="E104" s="57"/>
      <c r="F104" s="57"/>
      <c r="G104" s="57"/>
      <c r="H104" s="57"/>
      <c r="I104" s="57"/>
      <c r="J104" s="57"/>
      <c r="K104" s="57"/>
      <c r="L104" s="57"/>
      <c r="M104" s="57"/>
    </row>
    <row r="105" spans="1:13" ht="17.45">
      <c r="A105" s="46"/>
      <c r="B105" s="46"/>
      <c r="C105" s="46"/>
      <c r="D105" s="46"/>
      <c r="E105" s="46"/>
      <c r="F105" s="46"/>
      <c r="G105" s="46"/>
      <c r="H105" s="46"/>
      <c r="I105" s="46"/>
      <c r="J105" s="46"/>
      <c r="K105" s="46"/>
      <c r="L105" s="46"/>
      <c r="M105" s="46"/>
    </row>
    <row r="106" spans="1:13" ht="18">
      <c r="A106" s="47"/>
      <c r="B106" s="48"/>
      <c r="C106" s="48"/>
      <c r="D106" s="48"/>
      <c r="E106" s="47"/>
      <c r="F106" s="48"/>
      <c r="G106" s="48"/>
      <c r="H106" s="48"/>
      <c r="I106" s="47" t="s">
        <v>46</v>
      </c>
      <c r="J106" s="48"/>
      <c r="K106" s="48"/>
      <c r="L106" s="48"/>
      <c r="M106" s="46"/>
    </row>
    <row r="107" spans="1:13" ht="17.45">
      <c r="A107" s="46"/>
      <c r="B107" s="46"/>
      <c r="C107" s="46"/>
      <c r="D107" s="46"/>
      <c r="E107" s="46"/>
      <c r="F107" s="46"/>
      <c r="G107" s="46"/>
      <c r="H107" s="46"/>
      <c r="I107" s="46"/>
      <c r="J107" s="46"/>
      <c r="K107" s="46"/>
      <c r="L107" s="46"/>
      <c r="M107" s="46"/>
    </row>
    <row r="108" spans="1:13" ht="17.45">
      <c r="A108" s="46"/>
      <c r="B108" s="50"/>
      <c r="C108" s="51"/>
      <c r="D108" s="46"/>
      <c r="E108" s="46"/>
      <c r="F108" s="50"/>
      <c r="G108" s="51"/>
      <c r="H108" s="46"/>
      <c r="I108" s="46"/>
      <c r="J108" s="50"/>
      <c r="K108" s="51" t="s">
        <v>47</v>
      </c>
      <c r="L108" s="46"/>
      <c r="M108" s="46"/>
    </row>
    <row r="109" spans="1:13" ht="17.45">
      <c r="A109" s="46"/>
      <c r="B109" s="46"/>
      <c r="C109" s="52"/>
      <c r="D109" s="46"/>
      <c r="E109" s="46"/>
      <c r="F109" s="46"/>
      <c r="G109" s="52"/>
      <c r="H109" s="46"/>
      <c r="I109" s="46"/>
      <c r="J109" s="46"/>
      <c r="K109" s="52">
        <v>9</v>
      </c>
      <c r="L109" s="46"/>
      <c r="M109" s="46"/>
    </row>
    <row r="110" spans="1:13" ht="17.45">
      <c r="A110" s="46"/>
      <c r="B110" s="46"/>
      <c r="C110" s="46"/>
      <c r="D110" s="46"/>
      <c r="E110" s="46"/>
      <c r="F110" s="46"/>
      <c r="G110" s="46"/>
      <c r="H110" s="46"/>
      <c r="I110" s="46"/>
      <c r="J110" s="46"/>
      <c r="K110" s="46"/>
      <c r="L110" s="46"/>
      <c r="M110" s="46"/>
    </row>
    <row r="111" spans="1:13" ht="17.45">
      <c r="A111" s="46"/>
      <c r="B111" s="53"/>
      <c r="C111" s="54"/>
      <c r="D111" s="46"/>
      <c r="E111" s="46"/>
      <c r="F111" s="53"/>
      <c r="G111" s="54"/>
      <c r="H111" s="46"/>
      <c r="I111" s="46"/>
      <c r="J111" s="53" t="s">
        <v>48</v>
      </c>
      <c r="K111" s="54">
        <v>0</v>
      </c>
      <c r="L111" s="46"/>
      <c r="M111" s="46"/>
    </row>
    <row r="112" spans="1:13" ht="17.45">
      <c r="A112" s="46"/>
      <c r="B112" s="53"/>
      <c r="C112" s="54"/>
      <c r="D112" s="46"/>
      <c r="E112" s="46"/>
      <c r="F112" s="53"/>
      <c r="G112" s="54"/>
      <c r="H112" s="46"/>
      <c r="I112" s="46"/>
      <c r="J112" s="53" t="s">
        <v>41</v>
      </c>
      <c r="K112" s="54">
        <v>40</v>
      </c>
      <c r="L112" s="46"/>
      <c r="M112" s="46"/>
    </row>
    <row r="113" spans="1:13" ht="17.45">
      <c r="A113" s="46"/>
      <c r="B113" s="53"/>
      <c r="C113" s="54"/>
      <c r="D113" s="46"/>
      <c r="E113" s="46"/>
      <c r="F113" s="53"/>
      <c r="G113" s="54"/>
      <c r="H113" s="46"/>
      <c r="I113" s="46"/>
      <c r="J113" s="53" t="s">
        <v>49</v>
      </c>
      <c r="K113" s="54">
        <v>40</v>
      </c>
      <c r="L113" s="46"/>
      <c r="M113" s="46"/>
    </row>
    <row r="114" spans="1:13" ht="17.45">
      <c r="A114" s="46"/>
      <c r="B114" s="53"/>
      <c r="C114" s="54"/>
      <c r="D114" s="46"/>
      <c r="E114" s="46"/>
      <c r="F114" s="53"/>
      <c r="G114" s="54"/>
      <c r="H114" s="46"/>
      <c r="I114" s="46"/>
      <c r="J114" s="53" t="s">
        <v>34</v>
      </c>
      <c r="K114" s="54">
        <v>-40</v>
      </c>
      <c r="L114" s="46"/>
      <c r="M114" s="46"/>
    </row>
    <row r="115" spans="1:13" ht="18" thickBot="1">
      <c r="A115" s="46"/>
      <c r="B115" s="55"/>
      <c r="C115" s="60"/>
      <c r="D115" s="46"/>
      <c r="E115" s="46"/>
      <c r="F115" s="55"/>
      <c r="G115" s="60"/>
      <c r="H115" s="46"/>
      <c r="I115" s="46"/>
      <c r="J115" s="55" t="s">
        <v>35</v>
      </c>
      <c r="K115" s="56">
        <f>SUM(K111:K114)</f>
        <v>40</v>
      </c>
      <c r="L115" s="46"/>
      <c r="M115" s="46"/>
    </row>
    <row r="116" spans="1:13" ht="18" thickTop="1">
      <c r="A116" s="46"/>
      <c r="B116" s="46"/>
      <c r="C116" s="46"/>
      <c r="D116" s="46"/>
      <c r="E116" s="46"/>
      <c r="F116" s="46"/>
      <c r="G116" s="46"/>
      <c r="H116" s="46"/>
      <c r="I116" s="46"/>
      <c r="J116" s="46"/>
      <c r="K116" s="46"/>
      <c r="L116" s="46"/>
      <c r="M116" s="46"/>
    </row>
    <row r="117" spans="1:13" s="24" customFormat="1" ht="17.45">
      <c r="A117" s="57"/>
      <c r="B117" s="57"/>
      <c r="C117" s="57"/>
      <c r="D117" s="57"/>
      <c r="E117" s="57"/>
      <c r="F117" s="57"/>
      <c r="G117" s="57"/>
      <c r="H117" s="57"/>
      <c r="I117" s="57"/>
      <c r="J117" s="57"/>
      <c r="K117" s="57"/>
      <c r="L117" s="57"/>
      <c r="M117" s="57"/>
    </row>
    <row r="118" spans="1:13" ht="17.45">
      <c r="A118" s="46"/>
      <c r="B118" s="46"/>
      <c r="C118" s="46"/>
      <c r="D118" s="46"/>
      <c r="E118" s="46"/>
      <c r="F118" s="46"/>
      <c r="G118" s="46"/>
      <c r="H118" s="46"/>
      <c r="I118" s="46"/>
      <c r="J118" s="46"/>
      <c r="K118" s="46"/>
      <c r="L118" s="46"/>
      <c r="M118" s="46"/>
    </row>
    <row r="119" spans="1:13" ht="18">
      <c r="A119" s="47"/>
      <c r="B119" s="48"/>
      <c r="C119" s="48"/>
      <c r="D119" s="48"/>
      <c r="E119" s="47"/>
      <c r="F119" s="48"/>
      <c r="G119" s="48"/>
      <c r="H119" s="48"/>
      <c r="I119" s="47" t="s">
        <v>46</v>
      </c>
      <c r="J119" s="48"/>
      <c r="K119" s="48"/>
      <c r="L119" s="48"/>
      <c r="M119" s="46"/>
    </row>
    <row r="120" spans="1:13" ht="17.45">
      <c r="A120" s="46"/>
      <c r="B120" s="46"/>
      <c r="C120" s="46"/>
      <c r="D120" s="46"/>
      <c r="E120" s="46"/>
      <c r="F120" s="46"/>
      <c r="G120" s="46"/>
      <c r="H120" s="46"/>
      <c r="I120" s="46"/>
      <c r="J120" s="46"/>
      <c r="K120" s="46"/>
      <c r="L120" s="46"/>
      <c r="M120" s="46"/>
    </row>
    <row r="121" spans="1:13" ht="17.45">
      <c r="A121" s="46"/>
      <c r="B121" s="50"/>
      <c r="C121" s="51"/>
      <c r="D121" s="46"/>
      <c r="E121" s="46"/>
      <c r="F121" s="50"/>
      <c r="G121" s="51"/>
      <c r="H121" s="46"/>
      <c r="I121" s="46"/>
      <c r="J121" s="50"/>
      <c r="K121" s="51" t="s">
        <v>47</v>
      </c>
      <c r="L121" s="46"/>
      <c r="M121" s="46"/>
    </row>
    <row r="122" spans="1:13" ht="17.45">
      <c r="A122" s="46"/>
      <c r="B122" s="46"/>
      <c r="C122" s="52"/>
      <c r="D122" s="46"/>
      <c r="E122" s="46"/>
      <c r="F122" s="46"/>
      <c r="G122" s="52"/>
      <c r="H122" s="46"/>
      <c r="I122" s="46"/>
      <c r="J122" s="46"/>
      <c r="K122" s="52">
        <v>10</v>
      </c>
      <c r="L122" s="46"/>
      <c r="M122" s="46"/>
    </row>
    <row r="123" spans="1:13" ht="17.45">
      <c r="A123" s="46"/>
      <c r="B123" s="46"/>
      <c r="C123" s="46"/>
      <c r="D123" s="46"/>
      <c r="E123" s="46"/>
      <c r="F123" s="46"/>
      <c r="G123" s="46"/>
      <c r="H123" s="46"/>
      <c r="I123" s="46"/>
      <c r="J123" s="46"/>
      <c r="K123" s="46"/>
      <c r="L123" s="46"/>
      <c r="M123" s="46"/>
    </row>
    <row r="124" spans="1:13" ht="17.45">
      <c r="A124" s="46"/>
      <c r="B124" s="53"/>
      <c r="C124" s="54"/>
      <c r="D124" s="46"/>
      <c r="E124" s="46"/>
      <c r="F124" s="53"/>
      <c r="G124" s="54"/>
      <c r="H124" s="46"/>
      <c r="I124" s="46"/>
      <c r="J124" s="53" t="s">
        <v>48</v>
      </c>
      <c r="K124" s="54">
        <v>0</v>
      </c>
      <c r="L124" s="46"/>
      <c r="M124" s="46"/>
    </row>
    <row r="125" spans="1:13" ht="17.45">
      <c r="A125" s="46"/>
      <c r="B125" s="53"/>
      <c r="C125" s="54"/>
      <c r="D125" s="46"/>
      <c r="E125" s="46"/>
      <c r="F125" s="53"/>
      <c r="G125" s="54"/>
      <c r="H125" s="46"/>
      <c r="I125" s="46"/>
      <c r="J125" s="53" t="s">
        <v>41</v>
      </c>
      <c r="K125" s="54">
        <v>40</v>
      </c>
      <c r="L125" s="46"/>
      <c r="M125" s="46"/>
    </row>
    <row r="126" spans="1:13" ht="17.45">
      <c r="A126" s="46"/>
      <c r="B126" s="53"/>
      <c r="C126" s="54"/>
      <c r="D126" s="46"/>
      <c r="E126" s="46"/>
      <c r="F126" s="53"/>
      <c r="G126" s="54"/>
      <c r="H126" s="46"/>
      <c r="I126" s="46"/>
      <c r="J126" s="53" t="s">
        <v>49</v>
      </c>
      <c r="K126" s="54">
        <v>40</v>
      </c>
      <c r="L126" s="46"/>
      <c r="M126" s="46"/>
    </row>
    <row r="127" spans="1:13" ht="17.45">
      <c r="A127" s="46"/>
      <c r="B127" s="53"/>
      <c r="C127" s="54"/>
      <c r="D127" s="46"/>
      <c r="E127" s="46"/>
      <c r="F127" s="53"/>
      <c r="G127" s="54"/>
      <c r="H127" s="46"/>
      <c r="I127" s="46"/>
      <c r="J127" s="53" t="s">
        <v>34</v>
      </c>
      <c r="K127" s="54">
        <v>0</v>
      </c>
      <c r="L127" s="46"/>
      <c r="M127" s="46"/>
    </row>
    <row r="128" spans="1:13" ht="18" thickBot="1">
      <c r="A128" s="46"/>
      <c r="B128" s="55"/>
      <c r="C128" s="60"/>
      <c r="D128" s="46"/>
      <c r="E128" s="46"/>
      <c r="F128" s="55"/>
      <c r="G128" s="60"/>
      <c r="H128" s="46"/>
      <c r="I128" s="46"/>
      <c r="J128" s="55" t="s">
        <v>35</v>
      </c>
      <c r="K128" s="56">
        <f>SUM(K124:K127)</f>
        <v>80</v>
      </c>
      <c r="L128" s="46"/>
      <c r="M128" s="46"/>
    </row>
    <row r="129" spans="1:13" ht="18" thickTop="1">
      <c r="A129" s="46"/>
      <c r="B129" s="46"/>
      <c r="C129" s="46"/>
      <c r="D129" s="46"/>
      <c r="E129" s="46"/>
      <c r="F129" s="46"/>
      <c r="G129" s="46"/>
      <c r="H129" s="46"/>
      <c r="I129" s="46"/>
      <c r="J129" s="46"/>
      <c r="K129" s="46"/>
      <c r="L129" s="46"/>
      <c r="M129" s="46"/>
    </row>
    <row r="130" spans="1:13" s="24" customFormat="1" ht="17.45">
      <c r="A130" s="57"/>
      <c r="B130" s="57"/>
      <c r="C130" s="57"/>
      <c r="D130" s="57"/>
      <c r="E130" s="57"/>
      <c r="F130" s="57"/>
      <c r="G130" s="57"/>
      <c r="H130" s="57"/>
      <c r="I130" s="57"/>
      <c r="J130" s="57"/>
      <c r="K130" s="57"/>
      <c r="L130" s="57"/>
      <c r="M130" s="57"/>
    </row>
    <row r="131" spans="1:13" ht="17.45">
      <c r="A131" s="46"/>
      <c r="B131" s="46"/>
      <c r="C131" s="46"/>
      <c r="D131" s="46"/>
      <c r="E131" s="46"/>
      <c r="F131" s="46"/>
      <c r="G131" s="46"/>
      <c r="H131" s="46"/>
      <c r="I131" s="46"/>
      <c r="J131" s="46"/>
      <c r="K131" s="46"/>
      <c r="L131" s="46"/>
      <c r="M131" s="46"/>
    </row>
    <row r="132" spans="1:13" ht="18">
      <c r="A132" s="47"/>
      <c r="B132" s="48"/>
      <c r="C132" s="48"/>
      <c r="D132" s="48"/>
      <c r="E132" s="47"/>
      <c r="F132" s="48"/>
      <c r="G132" s="48"/>
      <c r="H132" s="48"/>
      <c r="I132" s="47" t="s">
        <v>46</v>
      </c>
      <c r="J132" s="48"/>
      <c r="K132" s="48"/>
      <c r="L132" s="48"/>
      <c r="M132" s="46"/>
    </row>
    <row r="133" spans="1:13" ht="17.45">
      <c r="A133" s="46"/>
      <c r="B133" s="46"/>
      <c r="C133" s="46"/>
      <c r="D133" s="46"/>
      <c r="E133" s="46"/>
      <c r="F133" s="46"/>
      <c r="G133" s="46"/>
      <c r="H133" s="46"/>
      <c r="I133" s="46"/>
      <c r="J133" s="46"/>
      <c r="K133" s="46"/>
      <c r="L133" s="46"/>
      <c r="M133" s="46"/>
    </row>
    <row r="134" spans="1:13" ht="17.45">
      <c r="A134" s="46"/>
      <c r="B134" s="50"/>
      <c r="C134" s="51"/>
      <c r="D134" s="46"/>
      <c r="E134" s="46"/>
      <c r="F134" s="50"/>
      <c r="G134" s="51"/>
      <c r="H134" s="46"/>
      <c r="I134" s="46"/>
      <c r="J134" s="50"/>
      <c r="K134" s="51" t="s">
        <v>47</v>
      </c>
      <c r="L134" s="46"/>
      <c r="M134" s="46"/>
    </row>
    <row r="135" spans="1:13" ht="17.45">
      <c r="A135" s="46"/>
      <c r="B135" s="46"/>
      <c r="C135" s="52"/>
      <c r="D135" s="46"/>
      <c r="E135" s="46"/>
      <c r="F135" s="46"/>
      <c r="G135" s="52"/>
      <c r="H135" s="46"/>
      <c r="I135" s="46"/>
      <c r="J135" s="46"/>
      <c r="K135" s="52">
        <v>11</v>
      </c>
      <c r="L135" s="46"/>
      <c r="M135" s="46"/>
    </row>
    <row r="136" spans="1:13" ht="17.45">
      <c r="A136" s="46"/>
      <c r="B136" s="46"/>
      <c r="C136" s="46"/>
      <c r="D136" s="46"/>
      <c r="E136" s="46"/>
      <c r="F136" s="46"/>
      <c r="G136" s="46"/>
      <c r="H136" s="46"/>
      <c r="I136" s="46"/>
      <c r="J136" s="46"/>
      <c r="K136" s="46"/>
      <c r="L136" s="46"/>
      <c r="M136" s="46"/>
    </row>
    <row r="137" spans="1:13" ht="17.45">
      <c r="A137" s="46"/>
      <c r="B137" s="53"/>
      <c r="C137" s="54"/>
      <c r="D137" s="46"/>
      <c r="E137" s="46"/>
      <c r="F137" s="53"/>
      <c r="G137" s="54"/>
      <c r="H137" s="46"/>
      <c r="I137" s="46"/>
      <c r="J137" s="53" t="s">
        <v>48</v>
      </c>
      <c r="K137" s="54">
        <v>0</v>
      </c>
      <c r="L137" s="46"/>
      <c r="M137" s="46"/>
    </row>
    <row r="138" spans="1:13" ht="17.45">
      <c r="A138" s="46"/>
      <c r="B138" s="53"/>
      <c r="C138" s="54"/>
      <c r="D138" s="46"/>
      <c r="E138" s="46"/>
      <c r="F138" s="53"/>
      <c r="G138" s="54"/>
      <c r="H138" s="46"/>
      <c r="I138" s="46"/>
      <c r="J138" s="53" t="s">
        <v>41</v>
      </c>
      <c r="K138" s="54">
        <v>40</v>
      </c>
      <c r="L138" s="46"/>
      <c r="M138" s="46"/>
    </row>
    <row r="139" spans="1:13" ht="17.45">
      <c r="A139" s="46"/>
      <c r="B139" s="53"/>
      <c r="C139" s="54"/>
      <c r="D139" s="46"/>
      <c r="E139" s="46"/>
      <c r="F139" s="53"/>
      <c r="G139" s="54"/>
      <c r="H139" s="46"/>
      <c r="I139" s="46"/>
      <c r="J139" s="53" t="s">
        <v>49</v>
      </c>
      <c r="K139" s="54">
        <v>40</v>
      </c>
      <c r="L139" s="46"/>
      <c r="M139" s="46"/>
    </row>
    <row r="140" spans="1:13" ht="17.45">
      <c r="A140" s="46"/>
      <c r="B140" s="53"/>
      <c r="C140" s="54"/>
      <c r="D140" s="46"/>
      <c r="E140" s="46"/>
      <c r="F140" s="53"/>
      <c r="G140" s="54"/>
      <c r="H140" s="46"/>
      <c r="I140" s="46"/>
      <c r="J140" s="53" t="s">
        <v>34</v>
      </c>
      <c r="K140" s="54">
        <v>0</v>
      </c>
      <c r="L140" s="46"/>
      <c r="M140" s="46"/>
    </row>
    <row r="141" spans="1:13" ht="18" thickBot="1">
      <c r="A141" s="46"/>
      <c r="B141" s="55"/>
      <c r="C141" s="60"/>
      <c r="D141" s="46"/>
      <c r="E141" s="46"/>
      <c r="F141" s="55"/>
      <c r="G141" s="60"/>
      <c r="H141" s="46"/>
      <c r="I141" s="46"/>
      <c r="J141" s="55" t="s">
        <v>35</v>
      </c>
      <c r="K141" s="56">
        <f>SUM(K137:K140)</f>
        <v>80</v>
      </c>
      <c r="L141" s="46"/>
      <c r="M141" s="46"/>
    </row>
    <row r="142" spans="1:13" ht="18" thickTop="1">
      <c r="A142" s="46"/>
      <c r="B142" s="46"/>
      <c r="C142" s="46"/>
      <c r="D142" s="46"/>
      <c r="E142" s="46"/>
      <c r="F142" s="46"/>
      <c r="G142" s="46"/>
      <c r="H142" s="46"/>
      <c r="I142" s="46"/>
      <c r="J142" s="46"/>
      <c r="K142" s="46"/>
      <c r="L142" s="46"/>
      <c r="M142" s="46"/>
    </row>
    <row r="143" spans="1:13" s="24" customFormat="1" ht="17.45">
      <c r="A143" s="57"/>
      <c r="B143" s="57"/>
      <c r="C143" s="57"/>
      <c r="D143" s="57"/>
      <c r="E143" s="57"/>
      <c r="F143" s="57"/>
      <c r="G143" s="57"/>
      <c r="H143" s="57"/>
      <c r="I143" s="57"/>
      <c r="J143" s="57"/>
      <c r="K143" s="57"/>
      <c r="L143" s="57"/>
      <c r="M143" s="5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0F2BB-A405-4B14-9040-9B7E700E217E}">
  <dimension ref="A1:K282"/>
  <sheetViews>
    <sheetView zoomScale="164" workbookViewId="0">
      <selection activeCell="J39" sqref="J39"/>
    </sheetView>
  </sheetViews>
  <sheetFormatPr defaultColWidth="8.85546875" defaultRowHeight="14.45"/>
  <cols>
    <col min="1" max="1" width="16.28515625" style="23" bestFit="1" customWidth="1"/>
    <col min="2" max="2" width="11.7109375" style="23" customWidth="1"/>
    <col min="3" max="3" width="7.28515625" style="23" bestFit="1" customWidth="1"/>
    <col min="4" max="4" width="22.85546875" style="23" bestFit="1" customWidth="1"/>
    <col min="5" max="5" width="21" style="23" customWidth="1"/>
    <col min="6" max="6" width="6.5703125" style="23" customWidth="1"/>
    <col min="7" max="9" width="8.85546875" style="23"/>
    <col min="10" max="10" width="10.140625" style="23" bestFit="1" customWidth="1"/>
    <col min="11" max="16384" width="8.85546875" style="23"/>
  </cols>
  <sheetData>
    <row r="1" spans="1:10" s="39" customFormat="1">
      <c r="A1" s="39" t="s">
        <v>25</v>
      </c>
      <c r="B1" s="39" t="s">
        <v>24</v>
      </c>
      <c r="C1" s="39" t="s">
        <v>50</v>
      </c>
      <c r="D1" s="39" t="s">
        <v>51</v>
      </c>
      <c r="E1" s="39" t="s">
        <v>52</v>
      </c>
      <c r="F1" s="39" t="s">
        <v>53</v>
      </c>
      <c r="G1" s="39" t="s">
        <v>54</v>
      </c>
      <c r="H1" s="39" t="s">
        <v>55</v>
      </c>
      <c r="J1" s="44" t="s">
        <v>56</v>
      </c>
    </row>
    <row r="2" spans="1:10">
      <c r="A2" s="23" t="s">
        <v>57</v>
      </c>
      <c r="B2" s="23" t="s">
        <v>58</v>
      </c>
      <c r="C2" s="23" t="s">
        <v>59</v>
      </c>
      <c r="D2" s="23" t="s">
        <v>60</v>
      </c>
      <c r="E2" s="23" t="s">
        <v>61</v>
      </c>
      <c r="F2" s="23">
        <v>26</v>
      </c>
      <c r="G2" s="23">
        <v>1</v>
      </c>
      <c r="H2" s="23" t="s">
        <v>62</v>
      </c>
      <c r="J2" s="23">
        <f>COUNTIF(Table1[Present],"Yes")</f>
        <v>139</v>
      </c>
    </row>
    <row r="3" spans="1:10">
      <c r="A3" s="23" t="s">
        <v>63</v>
      </c>
      <c r="B3" s="23" t="s">
        <v>64</v>
      </c>
      <c r="C3" s="23" t="s">
        <v>65</v>
      </c>
      <c r="D3" s="23" t="s">
        <v>66</v>
      </c>
      <c r="E3" s="23" t="s">
        <v>67</v>
      </c>
      <c r="F3" s="23">
        <v>27</v>
      </c>
      <c r="G3" s="23">
        <v>2</v>
      </c>
      <c r="H3" s="23" t="s">
        <v>62</v>
      </c>
    </row>
    <row r="4" spans="1:10">
      <c r="A4" s="23" t="s">
        <v>68</v>
      </c>
      <c r="B4" s="23" t="s">
        <v>69</v>
      </c>
      <c r="C4" s="23" t="s">
        <v>65</v>
      </c>
      <c r="D4" s="23" t="s">
        <v>70</v>
      </c>
      <c r="E4" s="23" t="s">
        <v>71</v>
      </c>
      <c r="F4" s="23">
        <v>27</v>
      </c>
      <c r="G4" s="23">
        <v>3</v>
      </c>
      <c r="H4" s="23" t="s">
        <v>62</v>
      </c>
    </row>
    <row r="5" spans="1:10">
      <c r="A5" s="23" t="s">
        <v>72</v>
      </c>
      <c r="B5" s="23" t="s">
        <v>73</v>
      </c>
      <c r="C5" s="23" t="s">
        <v>59</v>
      </c>
      <c r="D5" s="23" t="s">
        <v>74</v>
      </c>
      <c r="E5" s="23" t="s">
        <v>75</v>
      </c>
      <c r="F5" s="23">
        <v>29</v>
      </c>
      <c r="G5" s="23">
        <v>4</v>
      </c>
      <c r="H5" s="23" t="s">
        <v>62</v>
      </c>
    </row>
    <row r="6" spans="1:10">
      <c r="A6" s="23" t="s">
        <v>76</v>
      </c>
      <c r="B6" s="23" t="s">
        <v>77</v>
      </c>
      <c r="C6" s="23" t="s">
        <v>65</v>
      </c>
      <c r="D6" s="23" t="s">
        <v>78</v>
      </c>
      <c r="E6" s="23" t="s">
        <v>75</v>
      </c>
      <c r="F6" s="23">
        <v>29</v>
      </c>
      <c r="G6" s="23">
        <v>5</v>
      </c>
      <c r="H6" s="23" t="s">
        <v>62</v>
      </c>
    </row>
    <row r="7" spans="1:10">
      <c r="A7" s="23" t="s">
        <v>79</v>
      </c>
      <c r="B7" s="23" t="s">
        <v>80</v>
      </c>
      <c r="C7" s="23" t="s">
        <v>65</v>
      </c>
      <c r="D7" s="23" t="s">
        <v>78</v>
      </c>
      <c r="E7" s="23" t="s">
        <v>81</v>
      </c>
      <c r="F7" s="23">
        <v>26</v>
      </c>
      <c r="G7" s="23">
        <v>6</v>
      </c>
      <c r="H7" s="23" t="s">
        <v>62</v>
      </c>
    </row>
    <row r="8" spans="1:10">
      <c r="A8" s="23" t="s">
        <v>82</v>
      </c>
      <c r="B8" s="23" t="s">
        <v>83</v>
      </c>
      <c r="C8" s="23" t="s">
        <v>65</v>
      </c>
      <c r="D8" s="23" t="s">
        <v>84</v>
      </c>
      <c r="E8" s="23" t="s">
        <v>85</v>
      </c>
      <c r="F8" s="23">
        <v>28</v>
      </c>
      <c r="G8" s="23">
        <v>7</v>
      </c>
      <c r="H8" s="23" t="s">
        <v>62</v>
      </c>
    </row>
    <row r="9" spans="1:10">
      <c r="A9" s="23" t="s">
        <v>86</v>
      </c>
      <c r="B9" s="23" t="s">
        <v>87</v>
      </c>
      <c r="C9" s="23" t="s">
        <v>65</v>
      </c>
      <c r="D9" s="23" t="s">
        <v>74</v>
      </c>
      <c r="E9" s="23" t="s">
        <v>75</v>
      </c>
      <c r="F9" s="23">
        <v>29</v>
      </c>
      <c r="G9" s="23">
        <v>8</v>
      </c>
      <c r="H9" s="23" t="s">
        <v>62</v>
      </c>
    </row>
    <row r="10" spans="1:10">
      <c r="A10" s="23" t="s">
        <v>88</v>
      </c>
      <c r="B10" s="23" t="s">
        <v>89</v>
      </c>
      <c r="C10" s="23" t="s">
        <v>65</v>
      </c>
      <c r="D10" s="23" t="s">
        <v>74</v>
      </c>
      <c r="E10" s="23" t="s">
        <v>75</v>
      </c>
      <c r="F10" s="23">
        <v>29</v>
      </c>
      <c r="G10" s="23">
        <v>9</v>
      </c>
      <c r="H10" s="23" t="s">
        <v>62</v>
      </c>
    </row>
    <row r="11" spans="1:10">
      <c r="A11" s="23" t="s">
        <v>90</v>
      </c>
      <c r="B11" s="23" t="s">
        <v>91</v>
      </c>
      <c r="C11" s="23" t="s">
        <v>65</v>
      </c>
      <c r="D11" s="23" t="s">
        <v>92</v>
      </c>
      <c r="E11" s="23" t="s">
        <v>75</v>
      </c>
      <c r="F11" s="23">
        <v>29</v>
      </c>
      <c r="G11" s="23">
        <v>10</v>
      </c>
      <c r="H11" s="23" t="s">
        <v>62</v>
      </c>
    </row>
    <row r="12" spans="1:10">
      <c r="A12" s="23" t="s">
        <v>93</v>
      </c>
      <c r="B12" s="23" t="s">
        <v>94</v>
      </c>
      <c r="C12" s="23" t="s">
        <v>65</v>
      </c>
      <c r="D12" s="23" t="s">
        <v>95</v>
      </c>
      <c r="E12" s="23" t="s">
        <v>75</v>
      </c>
      <c r="F12" s="23">
        <v>29</v>
      </c>
      <c r="G12" s="23">
        <v>11</v>
      </c>
      <c r="H12" s="23" t="s">
        <v>62</v>
      </c>
    </row>
    <row r="13" spans="1:10">
      <c r="A13" s="23" t="s">
        <v>96</v>
      </c>
      <c r="B13" s="23" t="s">
        <v>97</v>
      </c>
      <c r="C13" s="23" t="s">
        <v>65</v>
      </c>
      <c r="D13" s="23" t="s">
        <v>98</v>
      </c>
      <c r="E13" s="23" t="s">
        <v>99</v>
      </c>
      <c r="F13" s="23">
        <v>27</v>
      </c>
      <c r="G13" s="23">
        <v>12</v>
      </c>
      <c r="H13" s="23" t="s">
        <v>62</v>
      </c>
    </row>
    <row r="14" spans="1:10">
      <c r="A14" s="23" t="s">
        <v>100</v>
      </c>
      <c r="B14" s="23" t="s">
        <v>101</v>
      </c>
      <c r="C14" s="23" t="s">
        <v>59</v>
      </c>
      <c r="D14" s="23" t="s">
        <v>102</v>
      </c>
      <c r="E14" s="23" t="s">
        <v>103</v>
      </c>
      <c r="F14" s="23">
        <v>28</v>
      </c>
      <c r="G14" s="23">
        <v>13</v>
      </c>
      <c r="H14" s="23" t="s">
        <v>62</v>
      </c>
    </row>
    <row r="15" spans="1:10">
      <c r="A15" s="23" t="s">
        <v>104</v>
      </c>
      <c r="B15" s="23" t="s">
        <v>105</v>
      </c>
      <c r="C15" s="23" t="s">
        <v>65</v>
      </c>
      <c r="D15" s="23" t="s">
        <v>66</v>
      </c>
      <c r="E15" s="23" t="s">
        <v>67</v>
      </c>
      <c r="F15" s="23">
        <v>27</v>
      </c>
      <c r="G15" s="23">
        <v>14</v>
      </c>
      <c r="H15" s="23" t="s">
        <v>62</v>
      </c>
    </row>
    <row r="16" spans="1:10">
      <c r="A16" s="23" t="s">
        <v>106</v>
      </c>
      <c r="B16" s="23" t="s">
        <v>107</v>
      </c>
      <c r="C16" s="23" t="s">
        <v>65</v>
      </c>
      <c r="D16" s="23" t="s">
        <v>108</v>
      </c>
      <c r="E16" s="23" t="s">
        <v>109</v>
      </c>
      <c r="F16" s="23">
        <v>28</v>
      </c>
      <c r="G16" s="23">
        <v>15</v>
      </c>
      <c r="H16" s="23" t="s">
        <v>62</v>
      </c>
    </row>
    <row r="17" spans="1:8">
      <c r="A17" s="23" t="s">
        <v>110</v>
      </c>
      <c r="B17" s="23" t="s">
        <v>111</v>
      </c>
      <c r="C17" s="23" t="s">
        <v>65</v>
      </c>
      <c r="D17" s="23" t="s">
        <v>70</v>
      </c>
      <c r="E17" s="23" t="s">
        <v>109</v>
      </c>
      <c r="F17" s="23">
        <v>27</v>
      </c>
      <c r="G17" s="23">
        <v>16</v>
      </c>
      <c r="H17" s="23" t="s">
        <v>62</v>
      </c>
    </row>
    <row r="18" spans="1:8">
      <c r="A18" s="23" t="s">
        <v>112</v>
      </c>
      <c r="B18" s="23" t="s">
        <v>113</v>
      </c>
      <c r="C18" s="23" t="s">
        <v>65</v>
      </c>
      <c r="D18" s="23" t="s">
        <v>70</v>
      </c>
      <c r="E18" s="23" t="s">
        <v>75</v>
      </c>
      <c r="F18" s="23">
        <v>28</v>
      </c>
      <c r="G18" s="23">
        <v>17</v>
      </c>
      <c r="H18" s="23" t="s">
        <v>62</v>
      </c>
    </row>
    <row r="19" spans="1:8">
      <c r="A19" s="23" t="s">
        <v>114</v>
      </c>
      <c r="B19" s="23" t="s">
        <v>115</v>
      </c>
      <c r="C19" s="23" t="s">
        <v>65</v>
      </c>
      <c r="D19" s="23" t="s">
        <v>116</v>
      </c>
      <c r="E19" s="23" t="s">
        <v>75</v>
      </c>
      <c r="F19" s="23">
        <v>28</v>
      </c>
      <c r="G19" s="23">
        <v>18</v>
      </c>
      <c r="H19" s="23" t="s">
        <v>62</v>
      </c>
    </row>
    <row r="20" spans="1:8">
      <c r="A20" s="23" t="s">
        <v>117</v>
      </c>
      <c r="B20" s="23" t="s">
        <v>118</v>
      </c>
      <c r="C20" s="23" t="s">
        <v>65</v>
      </c>
      <c r="D20" s="23" t="s">
        <v>66</v>
      </c>
      <c r="E20" s="23" t="s">
        <v>75</v>
      </c>
      <c r="F20" s="23">
        <v>29</v>
      </c>
      <c r="G20" s="23">
        <v>19</v>
      </c>
      <c r="H20" s="23" t="s">
        <v>62</v>
      </c>
    </row>
    <row r="21" spans="1:8">
      <c r="A21" s="23" t="s">
        <v>119</v>
      </c>
      <c r="B21" s="23" t="s">
        <v>120</v>
      </c>
      <c r="C21" s="23" t="s">
        <v>65</v>
      </c>
      <c r="D21" s="23" t="s">
        <v>121</v>
      </c>
      <c r="E21" s="23" t="s">
        <v>67</v>
      </c>
      <c r="F21" s="23">
        <v>26</v>
      </c>
      <c r="G21" s="23">
        <v>20</v>
      </c>
      <c r="H21" s="23" t="s">
        <v>62</v>
      </c>
    </row>
    <row r="22" spans="1:8">
      <c r="A22" s="23" t="s">
        <v>122</v>
      </c>
      <c r="B22" s="23" t="s">
        <v>107</v>
      </c>
      <c r="C22" s="23" t="s">
        <v>59</v>
      </c>
      <c r="D22" s="23" t="s">
        <v>60</v>
      </c>
      <c r="E22" s="23" t="s">
        <v>75</v>
      </c>
      <c r="F22" s="23">
        <v>29</v>
      </c>
      <c r="G22" s="23">
        <v>21</v>
      </c>
      <c r="H22" s="23" t="s">
        <v>62</v>
      </c>
    </row>
    <row r="23" spans="1:8">
      <c r="A23" s="23" t="s">
        <v>123</v>
      </c>
      <c r="B23" s="23" t="s">
        <v>124</v>
      </c>
      <c r="C23" s="23" t="s">
        <v>65</v>
      </c>
      <c r="D23" s="23" t="s">
        <v>125</v>
      </c>
      <c r="E23" s="23" t="s">
        <v>71</v>
      </c>
      <c r="F23" s="23">
        <v>26</v>
      </c>
      <c r="G23" s="23">
        <v>22</v>
      </c>
      <c r="H23" s="23" t="s">
        <v>62</v>
      </c>
    </row>
    <row r="24" spans="1:8">
      <c r="A24" s="23" t="s">
        <v>126</v>
      </c>
      <c r="B24" s="23" t="s">
        <v>127</v>
      </c>
      <c r="C24" s="23" t="s">
        <v>65</v>
      </c>
      <c r="D24" s="23" t="s">
        <v>108</v>
      </c>
      <c r="E24" s="23" t="s">
        <v>71</v>
      </c>
      <c r="F24" s="23">
        <v>27</v>
      </c>
      <c r="G24" s="23">
        <v>23</v>
      </c>
      <c r="H24" s="23" t="s">
        <v>62</v>
      </c>
    </row>
    <row r="25" spans="1:8">
      <c r="A25" s="23" t="s">
        <v>128</v>
      </c>
      <c r="B25" s="23" t="s">
        <v>129</v>
      </c>
      <c r="C25" s="23" t="s">
        <v>65</v>
      </c>
      <c r="D25" s="23" t="s">
        <v>84</v>
      </c>
      <c r="E25" s="23" t="s">
        <v>130</v>
      </c>
      <c r="F25" s="23">
        <v>28</v>
      </c>
      <c r="G25" s="23">
        <v>24</v>
      </c>
      <c r="H25" s="23" t="s">
        <v>62</v>
      </c>
    </row>
    <row r="26" spans="1:8">
      <c r="A26" s="23" t="s">
        <v>131</v>
      </c>
      <c r="B26" s="23" t="s">
        <v>132</v>
      </c>
      <c r="C26" s="23" t="s">
        <v>59</v>
      </c>
      <c r="D26" s="23" t="s">
        <v>98</v>
      </c>
      <c r="E26" s="23" t="s">
        <v>133</v>
      </c>
      <c r="F26" s="23">
        <v>26</v>
      </c>
      <c r="G26" s="23">
        <v>25</v>
      </c>
      <c r="H26" s="23" t="s">
        <v>62</v>
      </c>
    </row>
    <row r="27" spans="1:8">
      <c r="A27" s="23" t="s">
        <v>134</v>
      </c>
      <c r="B27" s="23" t="s">
        <v>135</v>
      </c>
      <c r="C27" s="23" t="s">
        <v>65</v>
      </c>
      <c r="D27" s="23" t="s">
        <v>92</v>
      </c>
      <c r="E27" s="23" t="s">
        <v>67</v>
      </c>
      <c r="F27" s="23">
        <v>26</v>
      </c>
      <c r="G27" s="23">
        <v>26</v>
      </c>
      <c r="H27" s="23" t="s">
        <v>62</v>
      </c>
    </row>
    <row r="28" spans="1:8">
      <c r="A28" s="23" t="s">
        <v>136</v>
      </c>
      <c r="B28" s="23" t="s">
        <v>137</v>
      </c>
      <c r="C28" s="23" t="s">
        <v>65</v>
      </c>
      <c r="D28" s="23" t="s">
        <v>121</v>
      </c>
      <c r="E28" s="23" t="s">
        <v>138</v>
      </c>
      <c r="F28" s="23">
        <v>26</v>
      </c>
      <c r="G28" s="23">
        <v>27</v>
      </c>
      <c r="H28" s="23" t="s">
        <v>62</v>
      </c>
    </row>
    <row r="29" spans="1:8">
      <c r="A29" s="23" t="s">
        <v>139</v>
      </c>
      <c r="B29" s="23" t="s">
        <v>140</v>
      </c>
      <c r="C29" s="23" t="s">
        <v>65</v>
      </c>
      <c r="D29" s="23" t="s">
        <v>141</v>
      </c>
      <c r="E29" s="23" t="s">
        <v>67</v>
      </c>
      <c r="F29" s="23">
        <v>26</v>
      </c>
      <c r="G29" s="23">
        <v>28</v>
      </c>
      <c r="H29" s="23" t="s">
        <v>62</v>
      </c>
    </row>
    <row r="30" spans="1:8">
      <c r="A30" s="23" t="s">
        <v>142</v>
      </c>
      <c r="B30" s="23" t="s">
        <v>143</v>
      </c>
      <c r="C30" s="23" t="s">
        <v>65</v>
      </c>
      <c r="D30" s="23" t="s">
        <v>70</v>
      </c>
      <c r="E30" s="23" t="s">
        <v>75</v>
      </c>
      <c r="F30" s="23">
        <v>28</v>
      </c>
      <c r="G30" s="23">
        <v>29</v>
      </c>
      <c r="H30" s="23" t="s">
        <v>62</v>
      </c>
    </row>
    <row r="31" spans="1:8">
      <c r="A31" s="23" t="s">
        <v>144</v>
      </c>
      <c r="B31" s="23" t="s">
        <v>145</v>
      </c>
      <c r="C31" s="23" t="s">
        <v>59</v>
      </c>
      <c r="D31" s="23" t="s">
        <v>116</v>
      </c>
      <c r="E31" s="23" t="s">
        <v>75</v>
      </c>
      <c r="F31" s="23">
        <v>29</v>
      </c>
      <c r="G31" s="23">
        <v>30</v>
      </c>
      <c r="H31" s="23" t="s">
        <v>62</v>
      </c>
    </row>
    <row r="32" spans="1:8">
      <c r="A32" s="23" t="s">
        <v>146</v>
      </c>
      <c r="B32" s="23" t="s">
        <v>147</v>
      </c>
      <c r="C32" s="23" t="s">
        <v>65</v>
      </c>
      <c r="D32" s="23" t="s">
        <v>108</v>
      </c>
      <c r="E32" s="23" t="s">
        <v>75</v>
      </c>
      <c r="F32" s="23">
        <v>28</v>
      </c>
      <c r="G32" s="23">
        <v>31</v>
      </c>
      <c r="H32" s="23" t="s">
        <v>62</v>
      </c>
    </row>
    <row r="33" spans="1:8">
      <c r="A33" s="23" t="s">
        <v>148</v>
      </c>
      <c r="B33" s="23" t="s">
        <v>149</v>
      </c>
      <c r="C33" s="23" t="s">
        <v>59</v>
      </c>
      <c r="D33" s="23" t="s">
        <v>84</v>
      </c>
      <c r="E33" s="23" t="s">
        <v>150</v>
      </c>
      <c r="F33" s="23">
        <v>27</v>
      </c>
      <c r="G33" s="23">
        <v>32</v>
      </c>
      <c r="H33" s="23" t="s">
        <v>62</v>
      </c>
    </row>
    <row r="34" spans="1:8">
      <c r="A34" s="23" t="s">
        <v>151</v>
      </c>
      <c r="B34" s="23" t="s">
        <v>152</v>
      </c>
      <c r="C34" s="23" t="s">
        <v>65</v>
      </c>
      <c r="D34" s="23" t="s">
        <v>66</v>
      </c>
      <c r="E34" s="23" t="s">
        <v>75</v>
      </c>
      <c r="F34" s="23">
        <v>28</v>
      </c>
      <c r="G34" s="23">
        <v>33</v>
      </c>
      <c r="H34" s="23" t="s">
        <v>62</v>
      </c>
    </row>
    <row r="35" spans="1:8">
      <c r="A35" s="23" t="s">
        <v>153</v>
      </c>
      <c r="B35" s="23" t="s">
        <v>154</v>
      </c>
      <c r="C35" s="23" t="s">
        <v>65</v>
      </c>
      <c r="D35" s="23" t="s">
        <v>70</v>
      </c>
      <c r="E35" s="23" t="s">
        <v>67</v>
      </c>
      <c r="F35" s="23">
        <v>28</v>
      </c>
      <c r="G35" s="23">
        <v>34</v>
      </c>
      <c r="H35" s="23" t="s">
        <v>62</v>
      </c>
    </row>
    <row r="36" spans="1:8">
      <c r="A36" s="23" t="s">
        <v>155</v>
      </c>
      <c r="B36" s="23" t="s">
        <v>156</v>
      </c>
      <c r="C36" s="23" t="s">
        <v>65</v>
      </c>
      <c r="D36" s="23" t="s">
        <v>95</v>
      </c>
      <c r="E36" s="23" t="s">
        <v>75</v>
      </c>
      <c r="F36" s="23">
        <v>29</v>
      </c>
      <c r="G36" s="23">
        <v>35</v>
      </c>
      <c r="H36" s="23" t="s">
        <v>62</v>
      </c>
    </row>
    <row r="37" spans="1:8">
      <c r="A37" s="23" t="s">
        <v>157</v>
      </c>
      <c r="B37" s="23" t="s">
        <v>158</v>
      </c>
      <c r="C37" s="23" t="s">
        <v>65</v>
      </c>
      <c r="D37" s="23" t="s">
        <v>70</v>
      </c>
      <c r="E37" s="23" t="s">
        <v>109</v>
      </c>
      <c r="F37" s="23">
        <v>28</v>
      </c>
      <c r="G37" s="23">
        <v>36</v>
      </c>
      <c r="H37" s="23" t="s">
        <v>62</v>
      </c>
    </row>
    <row r="38" spans="1:8">
      <c r="A38" s="23" t="s">
        <v>159</v>
      </c>
      <c r="B38" s="23" t="s">
        <v>160</v>
      </c>
      <c r="C38" s="23" t="s">
        <v>65</v>
      </c>
      <c r="D38" s="23" t="s">
        <v>102</v>
      </c>
      <c r="E38" s="23" t="s">
        <v>161</v>
      </c>
      <c r="F38" s="23">
        <v>28</v>
      </c>
      <c r="G38" s="23">
        <v>37</v>
      </c>
      <c r="H38" s="23" t="s">
        <v>62</v>
      </c>
    </row>
    <row r="39" spans="1:8">
      <c r="A39" s="23" t="s">
        <v>162</v>
      </c>
      <c r="B39" s="23" t="s">
        <v>163</v>
      </c>
      <c r="C39" s="23" t="s">
        <v>65</v>
      </c>
      <c r="D39" s="23" t="s">
        <v>121</v>
      </c>
      <c r="E39" s="23" t="s">
        <v>75</v>
      </c>
      <c r="F39" s="23">
        <v>29</v>
      </c>
      <c r="G39" s="23">
        <v>38</v>
      </c>
      <c r="H39" s="23" t="s">
        <v>62</v>
      </c>
    </row>
    <row r="40" spans="1:8">
      <c r="A40" s="23" t="s">
        <v>164</v>
      </c>
      <c r="B40" s="23" t="s">
        <v>165</v>
      </c>
      <c r="C40" s="23" t="s">
        <v>65</v>
      </c>
      <c r="D40" s="23" t="s">
        <v>108</v>
      </c>
      <c r="E40" s="23" t="s">
        <v>75</v>
      </c>
      <c r="F40" s="23">
        <v>28</v>
      </c>
      <c r="G40" s="23">
        <v>39</v>
      </c>
      <c r="H40" s="23" t="s">
        <v>62</v>
      </c>
    </row>
    <row r="41" spans="1:8">
      <c r="A41" s="23" t="s">
        <v>166</v>
      </c>
      <c r="B41" s="23" t="s">
        <v>167</v>
      </c>
      <c r="C41" s="23" t="s">
        <v>65</v>
      </c>
      <c r="D41" s="23" t="s">
        <v>125</v>
      </c>
      <c r="E41" s="23" t="s">
        <v>168</v>
      </c>
      <c r="F41" s="23">
        <v>28</v>
      </c>
      <c r="G41" s="23">
        <v>40</v>
      </c>
      <c r="H41" s="23" t="s">
        <v>62</v>
      </c>
    </row>
    <row r="42" spans="1:8">
      <c r="H42" s="23" t="s">
        <v>62</v>
      </c>
    </row>
    <row r="43" spans="1:8">
      <c r="H43" s="23" t="s">
        <v>62</v>
      </c>
    </row>
    <row r="44" spans="1:8">
      <c r="H44" s="23" t="s">
        <v>62</v>
      </c>
    </row>
    <row r="45" spans="1:8">
      <c r="H45" s="23" t="s">
        <v>62</v>
      </c>
    </row>
    <row r="46" spans="1:8">
      <c r="H46" s="23" t="s">
        <v>62</v>
      </c>
    </row>
    <row r="47" spans="1:8">
      <c r="H47" s="23" t="s">
        <v>62</v>
      </c>
    </row>
    <row r="48" spans="1:8">
      <c r="H48" s="23" t="s">
        <v>62</v>
      </c>
    </row>
    <row r="49" spans="8:8">
      <c r="H49" s="23" t="s">
        <v>62</v>
      </c>
    </row>
    <row r="50" spans="8:8">
      <c r="H50" s="23" t="s">
        <v>62</v>
      </c>
    </row>
    <row r="51" spans="8:8">
      <c r="H51" s="23" t="s">
        <v>62</v>
      </c>
    </row>
    <row r="52" spans="8:8">
      <c r="H52" s="23" t="s">
        <v>62</v>
      </c>
    </row>
    <row r="53" spans="8:8">
      <c r="H53" s="23" t="s">
        <v>62</v>
      </c>
    </row>
    <row r="54" spans="8:8">
      <c r="H54" s="23" t="s">
        <v>62</v>
      </c>
    </row>
    <row r="55" spans="8:8">
      <c r="H55" s="23" t="s">
        <v>62</v>
      </c>
    </row>
    <row r="56" spans="8:8">
      <c r="H56" s="23" t="s">
        <v>62</v>
      </c>
    </row>
    <row r="57" spans="8:8">
      <c r="H57" s="23" t="s">
        <v>62</v>
      </c>
    </row>
    <row r="58" spans="8:8">
      <c r="H58" s="23" t="s">
        <v>62</v>
      </c>
    </row>
    <row r="59" spans="8:8">
      <c r="H59" s="23" t="s">
        <v>62</v>
      </c>
    </row>
    <row r="60" spans="8:8">
      <c r="H60" s="23" t="s">
        <v>62</v>
      </c>
    </row>
    <row r="61" spans="8:8">
      <c r="H61" s="23" t="s">
        <v>62</v>
      </c>
    </row>
    <row r="62" spans="8:8">
      <c r="H62" s="23" t="s">
        <v>62</v>
      </c>
    </row>
    <row r="63" spans="8:8">
      <c r="H63" s="23" t="s">
        <v>62</v>
      </c>
    </row>
    <row r="64" spans="8:8">
      <c r="H64" s="23" t="s">
        <v>62</v>
      </c>
    </row>
    <row r="65" spans="8:8">
      <c r="H65" s="23" t="s">
        <v>62</v>
      </c>
    </row>
    <row r="66" spans="8:8">
      <c r="H66" s="23" t="s">
        <v>62</v>
      </c>
    </row>
    <row r="67" spans="8:8">
      <c r="H67" s="23" t="s">
        <v>62</v>
      </c>
    </row>
    <row r="68" spans="8:8">
      <c r="H68" s="23" t="s">
        <v>62</v>
      </c>
    </row>
    <row r="69" spans="8:8">
      <c r="H69" s="23" t="s">
        <v>62</v>
      </c>
    </row>
    <row r="70" spans="8:8">
      <c r="H70" s="23" t="s">
        <v>62</v>
      </c>
    </row>
    <row r="71" spans="8:8">
      <c r="H71" s="23" t="s">
        <v>62</v>
      </c>
    </row>
    <row r="72" spans="8:8">
      <c r="H72" s="23" t="s">
        <v>62</v>
      </c>
    </row>
    <row r="73" spans="8:8">
      <c r="H73" s="23" t="s">
        <v>62</v>
      </c>
    </row>
    <row r="74" spans="8:8">
      <c r="H74" s="23" t="s">
        <v>62</v>
      </c>
    </row>
    <row r="75" spans="8:8">
      <c r="H75" s="23" t="s">
        <v>62</v>
      </c>
    </row>
    <row r="76" spans="8:8">
      <c r="H76" s="23" t="s">
        <v>62</v>
      </c>
    </row>
    <row r="77" spans="8:8">
      <c r="H77" s="23" t="s">
        <v>62</v>
      </c>
    </row>
    <row r="78" spans="8:8">
      <c r="H78" s="23" t="s">
        <v>62</v>
      </c>
    </row>
    <row r="79" spans="8:8">
      <c r="H79" s="23" t="s">
        <v>62</v>
      </c>
    </row>
    <row r="80" spans="8:8">
      <c r="H80" s="23" t="s">
        <v>62</v>
      </c>
    </row>
    <row r="81" spans="8:8">
      <c r="H81" s="23" t="s">
        <v>62</v>
      </c>
    </row>
    <row r="82" spans="8:8">
      <c r="H82" s="23" t="s">
        <v>62</v>
      </c>
    </row>
    <row r="83" spans="8:8">
      <c r="H83" s="23" t="s">
        <v>62</v>
      </c>
    </row>
    <row r="84" spans="8:8">
      <c r="H84" s="23" t="s">
        <v>62</v>
      </c>
    </row>
    <row r="85" spans="8:8">
      <c r="H85" s="23" t="s">
        <v>62</v>
      </c>
    </row>
    <row r="86" spans="8:8">
      <c r="H86" s="23" t="s">
        <v>62</v>
      </c>
    </row>
    <row r="87" spans="8:8">
      <c r="H87" s="23" t="s">
        <v>62</v>
      </c>
    </row>
    <row r="88" spans="8:8">
      <c r="H88" s="23" t="s">
        <v>62</v>
      </c>
    </row>
    <row r="89" spans="8:8">
      <c r="H89" s="23" t="s">
        <v>62</v>
      </c>
    </row>
    <row r="90" spans="8:8">
      <c r="H90" s="23" t="s">
        <v>62</v>
      </c>
    </row>
    <row r="91" spans="8:8">
      <c r="H91" s="23" t="s">
        <v>62</v>
      </c>
    </row>
    <row r="92" spans="8:8">
      <c r="H92" s="23" t="s">
        <v>62</v>
      </c>
    </row>
    <row r="93" spans="8:8">
      <c r="H93" s="23" t="s">
        <v>62</v>
      </c>
    </row>
    <row r="94" spans="8:8">
      <c r="H94" s="23" t="s">
        <v>62</v>
      </c>
    </row>
    <row r="95" spans="8:8">
      <c r="H95" s="23" t="s">
        <v>62</v>
      </c>
    </row>
    <row r="96" spans="8:8">
      <c r="H96" s="23" t="s">
        <v>62</v>
      </c>
    </row>
    <row r="97" spans="8:8">
      <c r="H97" s="23" t="s">
        <v>62</v>
      </c>
    </row>
    <row r="98" spans="8:8">
      <c r="H98" s="23" t="s">
        <v>62</v>
      </c>
    </row>
    <row r="99" spans="8:8">
      <c r="H99" s="23" t="s">
        <v>62</v>
      </c>
    </row>
    <row r="100" spans="8:8">
      <c r="H100" s="23" t="s">
        <v>62</v>
      </c>
    </row>
    <row r="101" spans="8:8">
      <c r="H101" s="23" t="s">
        <v>62</v>
      </c>
    </row>
    <row r="102" spans="8:8">
      <c r="H102" s="23" t="s">
        <v>62</v>
      </c>
    </row>
    <row r="103" spans="8:8">
      <c r="H103" s="23" t="s">
        <v>62</v>
      </c>
    </row>
    <row r="104" spans="8:8">
      <c r="H104" s="23" t="s">
        <v>62</v>
      </c>
    </row>
    <row r="105" spans="8:8">
      <c r="H105" s="23" t="s">
        <v>62</v>
      </c>
    </row>
    <row r="106" spans="8:8">
      <c r="H106" s="23" t="s">
        <v>62</v>
      </c>
    </row>
    <row r="107" spans="8:8">
      <c r="H107" s="23" t="s">
        <v>62</v>
      </c>
    </row>
    <row r="108" spans="8:8">
      <c r="H108" s="23" t="s">
        <v>62</v>
      </c>
    </row>
    <row r="109" spans="8:8">
      <c r="H109" s="23" t="s">
        <v>62</v>
      </c>
    </row>
    <row r="110" spans="8:8">
      <c r="H110" s="23" t="s">
        <v>62</v>
      </c>
    </row>
    <row r="111" spans="8:8">
      <c r="H111" s="23" t="s">
        <v>62</v>
      </c>
    </row>
    <row r="112" spans="8:8">
      <c r="H112" s="23" t="s">
        <v>62</v>
      </c>
    </row>
    <row r="113" spans="8:8">
      <c r="H113" s="23" t="s">
        <v>62</v>
      </c>
    </row>
    <row r="114" spans="8:8">
      <c r="H114" s="23" t="s">
        <v>62</v>
      </c>
    </row>
    <row r="115" spans="8:8">
      <c r="H115" s="23" t="s">
        <v>62</v>
      </c>
    </row>
    <row r="116" spans="8:8">
      <c r="H116" s="23" t="s">
        <v>62</v>
      </c>
    </row>
    <row r="117" spans="8:8">
      <c r="H117" s="23" t="s">
        <v>62</v>
      </c>
    </row>
    <row r="118" spans="8:8">
      <c r="H118" s="23" t="s">
        <v>62</v>
      </c>
    </row>
    <row r="119" spans="8:8">
      <c r="H119" s="23" t="s">
        <v>62</v>
      </c>
    </row>
    <row r="120" spans="8:8">
      <c r="H120" s="23" t="s">
        <v>62</v>
      </c>
    </row>
    <row r="121" spans="8:8">
      <c r="H121" s="23" t="s">
        <v>62</v>
      </c>
    </row>
    <row r="122" spans="8:8">
      <c r="H122" s="23" t="s">
        <v>62</v>
      </c>
    </row>
    <row r="123" spans="8:8">
      <c r="H123" s="23" t="s">
        <v>62</v>
      </c>
    </row>
    <row r="124" spans="8:8">
      <c r="H124" s="23" t="s">
        <v>62</v>
      </c>
    </row>
    <row r="125" spans="8:8">
      <c r="H125" s="23" t="s">
        <v>62</v>
      </c>
    </row>
    <row r="126" spans="8:8">
      <c r="H126" s="23" t="s">
        <v>62</v>
      </c>
    </row>
    <row r="127" spans="8:8">
      <c r="H127" s="23" t="s">
        <v>62</v>
      </c>
    </row>
    <row r="128" spans="8:8">
      <c r="H128" s="23" t="s">
        <v>62</v>
      </c>
    </row>
    <row r="129" spans="1:11">
      <c r="H129" s="23" t="s">
        <v>62</v>
      </c>
    </row>
    <row r="130" spans="1:11">
      <c r="H130" s="23" t="s">
        <v>62</v>
      </c>
    </row>
    <row r="131" spans="1:11">
      <c r="H131" s="23" t="s">
        <v>62</v>
      </c>
    </row>
    <row r="132" spans="1:11">
      <c r="H132" s="23" t="s">
        <v>62</v>
      </c>
    </row>
    <row r="133" spans="1:11">
      <c r="H133" s="23" t="s">
        <v>62</v>
      </c>
    </row>
    <row r="134" spans="1:11">
      <c r="H134" s="23" t="s">
        <v>62</v>
      </c>
    </row>
    <row r="135" spans="1:11">
      <c r="H135" s="23" t="s">
        <v>62</v>
      </c>
    </row>
    <row r="136" spans="1:11">
      <c r="H136" s="23" t="s">
        <v>62</v>
      </c>
    </row>
    <row r="137" spans="1:11">
      <c r="H137" s="23" t="s">
        <v>62</v>
      </c>
    </row>
    <row r="138" spans="1:11">
      <c r="H138" s="23" t="s">
        <v>62</v>
      </c>
    </row>
    <row r="139" spans="1:11">
      <c r="H139" s="23" t="s">
        <v>62</v>
      </c>
    </row>
    <row r="140" spans="1:11">
      <c r="H140" s="23" t="s">
        <v>62</v>
      </c>
    </row>
    <row r="144" spans="1:11">
      <c r="A144" s="23" t="str">
        <f>I144</f>
        <v>Meena</v>
      </c>
      <c r="B144" s="23" t="str">
        <f t="shared" ref="B144:C144" si="0">J144</f>
        <v>Ambati</v>
      </c>
      <c r="C144" s="23" t="str">
        <f t="shared" si="0"/>
        <v>Trumbull College</v>
      </c>
      <c r="I144" s="23" t="str" cm="1">
        <f t="array" ref="I144:K282">_xlfn._xlws.FILTER(CHOOSE({1,2,3},Table1[First Name],Table1[Last Name],Table1[College]),Table1[Present]="Yes","")</f>
        <v>Meena</v>
      </c>
      <c r="J144" s="23" t="str">
        <v>Ambati</v>
      </c>
      <c r="K144" s="23" t="str">
        <v>Trumbull College</v>
      </c>
    </row>
    <row r="145" spans="1:11">
      <c r="A145" s="23" t="str">
        <f t="shared" ref="A145:A153" si="1">I145</f>
        <v>Erin</v>
      </c>
      <c r="B145" s="23" t="str">
        <f t="shared" ref="B145:B153" si="2">J145</f>
        <v>Daniels</v>
      </c>
      <c r="C145" s="23" t="str">
        <f t="shared" ref="C145:C153" si="3">K145</f>
        <v>Benjamin Franklin College</v>
      </c>
      <c r="I145" s="23" t="str">
        <v>Erin</v>
      </c>
      <c r="J145" s="23" t="str">
        <v>Daniels</v>
      </c>
      <c r="K145" s="23" t="str">
        <v>Benjamin Franklin College</v>
      </c>
    </row>
    <row r="146" spans="1:11">
      <c r="A146" s="23" t="str">
        <f t="shared" si="1"/>
        <v>Sydney</v>
      </c>
      <c r="B146" s="23" t="str">
        <f t="shared" si="2"/>
        <v>Mitchell</v>
      </c>
      <c r="C146" s="23" t="str">
        <f t="shared" si="3"/>
        <v>Pierson College</v>
      </c>
      <c r="I146" s="23" t="str">
        <v>Sydney</v>
      </c>
      <c r="J146" s="23" t="str">
        <v>Mitchell</v>
      </c>
      <c r="K146" s="23" t="str">
        <v>Pierson College</v>
      </c>
    </row>
    <row r="147" spans="1:11">
      <c r="A147" s="23" t="str">
        <f t="shared" si="1"/>
        <v>Claiborne</v>
      </c>
      <c r="B147" s="23" t="str">
        <f t="shared" si="2"/>
        <v>Tompkins</v>
      </c>
      <c r="C147" s="23" t="str">
        <f t="shared" si="3"/>
        <v>Saybrook College</v>
      </c>
      <c r="I147" s="23" t="str">
        <v>Claiborne</v>
      </c>
      <c r="J147" s="23" t="str">
        <v>Tompkins</v>
      </c>
      <c r="K147" s="23" t="str">
        <v>Saybrook College</v>
      </c>
    </row>
    <row r="148" spans="1:11">
      <c r="A148" s="23" t="str">
        <f t="shared" si="1"/>
        <v>Olivia</v>
      </c>
      <c r="B148" s="23" t="str">
        <f t="shared" si="2"/>
        <v>Kim</v>
      </c>
      <c r="C148" s="23" t="str">
        <f t="shared" si="3"/>
        <v>Pauli Murray College</v>
      </c>
      <c r="I148" s="23" t="str">
        <v>Olivia</v>
      </c>
      <c r="J148" s="23" t="str">
        <v>Kim</v>
      </c>
      <c r="K148" s="23" t="str">
        <v>Pauli Murray College</v>
      </c>
    </row>
    <row r="149" spans="1:11">
      <c r="A149" s="23" t="str">
        <f t="shared" si="1"/>
        <v>Kiley</v>
      </c>
      <c r="B149" s="23" t="str">
        <f t="shared" si="2"/>
        <v>Capstraw</v>
      </c>
      <c r="C149" s="23" t="str">
        <f t="shared" si="3"/>
        <v>Pauli Murray College</v>
      </c>
      <c r="I149" s="23" t="str">
        <v>Kiley</v>
      </c>
      <c r="J149" s="23" t="str">
        <v>Capstraw</v>
      </c>
      <c r="K149" s="23" t="str">
        <v>Pauli Murray College</v>
      </c>
    </row>
    <row r="150" spans="1:11">
      <c r="A150" s="23" t="str">
        <f t="shared" si="1"/>
        <v>Isaac</v>
      </c>
      <c r="B150" s="23" t="str">
        <f t="shared" si="2"/>
        <v>Monks</v>
      </c>
      <c r="C150" s="23" t="str">
        <f t="shared" si="3"/>
        <v>Timothy Dwight College</v>
      </c>
      <c r="I150" s="23" t="str">
        <v>Isaac</v>
      </c>
      <c r="J150" s="23" t="str">
        <v>Monks</v>
      </c>
      <c r="K150" s="23" t="str">
        <v>Timothy Dwight College</v>
      </c>
    </row>
    <row r="151" spans="1:11">
      <c r="A151" s="23" t="str">
        <f t="shared" si="1"/>
        <v>Ruben</v>
      </c>
      <c r="B151" s="23" t="str">
        <f t="shared" si="2"/>
        <v>Berreby</v>
      </c>
      <c r="C151" s="23" t="str">
        <f t="shared" si="3"/>
        <v>Saybrook College</v>
      </c>
      <c r="I151" s="23" t="str">
        <v>Ruben</v>
      </c>
      <c r="J151" s="23" t="str">
        <v>Berreby</v>
      </c>
      <c r="K151" s="23" t="str">
        <v>Saybrook College</v>
      </c>
    </row>
    <row r="152" spans="1:11">
      <c r="A152" s="23" t="str">
        <f t="shared" si="1"/>
        <v>Joya</v>
      </c>
      <c r="B152" s="23" t="str">
        <f t="shared" si="2"/>
        <v>Xu</v>
      </c>
      <c r="C152" s="23" t="str">
        <f t="shared" si="3"/>
        <v>Saybrook College</v>
      </c>
      <c r="I152" s="23" t="str">
        <v>Joya</v>
      </c>
      <c r="J152" s="23" t="str">
        <v>Xu</v>
      </c>
      <c r="K152" s="23" t="str">
        <v>Saybrook College</v>
      </c>
    </row>
    <row r="153" spans="1:11">
      <c r="A153" s="23" t="str">
        <f t="shared" si="1"/>
        <v>Emma</v>
      </c>
      <c r="B153" s="23" t="str">
        <f t="shared" si="2"/>
        <v>Lee</v>
      </c>
      <c r="C153" s="23" t="str">
        <f t="shared" si="3"/>
        <v>Grace Hopper College</v>
      </c>
      <c r="I153" s="23" t="str">
        <v>Emma</v>
      </c>
      <c r="J153" s="23" t="str">
        <v>Lee</v>
      </c>
      <c r="K153" s="23" t="str">
        <v>Grace Hopper College</v>
      </c>
    </row>
    <row r="154" spans="1:11">
      <c r="A154" s="23" t="str">
        <f t="shared" ref="A154" si="4">I154</f>
        <v>Lucas</v>
      </c>
      <c r="B154" s="23" t="str">
        <f t="shared" ref="B154" si="5">J154</f>
        <v>Szydlowski</v>
      </c>
      <c r="C154" s="23" t="str">
        <f t="shared" ref="C154" si="6">K154</f>
        <v>Jonathan Edwards College</v>
      </c>
      <c r="I154" s="23" t="str">
        <v>Lucas</v>
      </c>
      <c r="J154" s="23" t="str">
        <v>Szydlowski</v>
      </c>
      <c r="K154" s="23" t="str">
        <v>Jonathan Edwards College</v>
      </c>
    </row>
    <row r="155" spans="1:11">
      <c r="I155" s="23" t="str">
        <v>Noria</v>
      </c>
      <c r="J155" s="23" t="str">
        <v>Wang</v>
      </c>
      <c r="K155" s="23" t="str">
        <v>School of Public Health</v>
      </c>
    </row>
    <row r="156" spans="1:11">
      <c r="I156" s="23" t="str">
        <v>Claire</v>
      </c>
      <c r="J156" s="23" t="str">
        <v>Zhong</v>
      </c>
      <c r="K156" s="23" t="str">
        <v>Branford College</v>
      </c>
    </row>
    <row r="157" spans="1:11">
      <c r="I157" s="23" t="str">
        <v>Hettie</v>
      </c>
      <c r="J157" s="23" t="str">
        <v>Whittington</v>
      </c>
      <c r="K157" s="23" t="str">
        <v>Benjamin Franklin College</v>
      </c>
    </row>
    <row r="158" spans="1:11">
      <c r="A158" s="23" t="s">
        <v>169</v>
      </c>
      <c r="B158" s="23" t="str">
        <f>A144&amp;" "&amp;B144</f>
        <v>Meena Ambati</v>
      </c>
      <c r="D158" s="61" t="s">
        <v>170</v>
      </c>
      <c r="E158" s="74" t="str" cm="1">
        <f t="array" aca="1" ref="E158" ca="1">INDIRECT(G158)</f>
        <v>Meena Ambati</v>
      </c>
      <c r="F158" s="23">
        <v>1</v>
      </c>
      <c r="G158" s="23" t="str">
        <f>"Name"&amp;F158</f>
        <v>Name1</v>
      </c>
      <c r="I158" s="23" t="str">
        <v>Jonathan</v>
      </c>
      <c r="J158" s="23" t="str">
        <v>Bernard</v>
      </c>
      <c r="K158" s="23" t="str">
        <v>Morse College</v>
      </c>
    </row>
    <row r="159" spans="1:11">
      <c r="A159" s="23" t="s">
        <v>171</v>
      </c>
      <c r="B159" s="23" t="str">
        <f t="shared" ref="B159:B168" si="7">A145&amp;" "&amp;B145</f>
        <v>Erin Daniels</v>
      </c>
      <c r="E159" s="75" t="str" cm="1">
        <f t="array" aca="1" ref="E159" ca="1">INDIRECT(G159)</f>
        <v>Trumbull College</v>
      </c>
      <c r="G159" s="23" t="str">
        <f>"College"&amp;F158</f>
        <v>College1</v>
      </c>
      <c r="I159" s="23" t="str">
        <v>Jack</v>
      </c>
      <c r="J159" s="23" t="str">
        <v>Pankey</v>
      </c>
      <c r="K159" s="23" t="str">
        <v>Pierson College</v>
      </c>
    </row>
    <row r="160" spans="1:11">
      <c r="A160" s="23" t="s">
        <v>172</v>
      </c>
      <c r="B160" s="23" t="str">
        <f t="shared" si="7"/>
        <v>Sydney Mitchell</v>
      </c>
      <c r="D160" s="61" t="s">
        <v>173</v>
      </c>
      <c r="E160" s="74" t="str" cm="1">
        <f t="array" aca="1" ref="E160" ca="1">INDIRECT(G160)</f>
        <v>Erin Daniels</v>
      </c>
      <c r="F160" s="23">
        <v>2</v>
      </c>
      <c r="G160" s="23" t="str">
        <f t="shared" ref="G160" si="8">"Name"&amp;F160</f>
        <v>Name2</v>
      </c>
      <c r="I160" s="23" t="str">
        <v>Edward</v>
      </c>
      <c r="J160" s="23" t="str">
        <v>Liao</v>
      </c>
      <c r="K160" s="23" t="str">
        <v>Pierson College</v>
      </c>
    </row>
    <row r="161" spans="1:11">
      <c r="A161" s="23" t="s">
        <v>174</v>
      </c>
      <c r="B161" s="23" t="str">
        <f t="shared" si="7"/>
        <v>Claiborne Tompkins</v>
      </c>
      <c r="D161" s="61"/>
      <c r="E161" s="75" t="str" cm="1">
        <f t="array" aca="1" ref="E161" ca="1">INDIRECT(G161)</f>
        <v>Benjamin Franklin College</v>
      </c>
      <c r="G161" s="23" t="str">
        <f t="shared" ref="G161" si="9">"College"&amp;F160</f>
        <v>College2</v>
      </c>
      <c r="I161" s="23" t="str">
        <v>Krish</v>
      </c>
      <c r="J161" s="23" t="str">
        <v>Gupta</v>
      </c>
      <c r="K161" s="23" t="str">
        <v>Berkeley College</v>
      </c>
    </row>
    <row r="162" spans="1:11">
      <c r="A162" s="23" t="s">
        <v>175</v>
      </c>
      <c r="B162" s="23" t="str">
        <f t="shared" si="7"/>
        <v>Olivia Kim</v>
      </c>
      <c r="D162" s="61" t="s">
        <v>176</v>
      </c>
      <c r="E162" s="74" t="str" cm="1">
        <f t="array" aca="1" ref="E162" ca="1">INDIRECT(G162)</f>
        <v>Sydney Mitchell</v>
      </c>
      <c r="F162" s="23">
        <v>3</v>
      </c>
      <c r="G162" s="23" t="str">
        <f t="shared" ref="G162" si="10">"Name"&amp;F162</f>
        <v>Name3</v>
      </c>
      <c r="I162" s="23" t="str">
        <v>Shaurya</v>
      </c>
      <c r="J162" s="23" t="str">
        <v>Sharma</v>
      </c>
      <c r="K162" s="23" t="str">
        <v>Benjamin Franklin College</v>
      </c>
    </row>
    <row r="163" spans="1:11">
      <c r="A163" s="23" t="s">
        <v>177</v>
      </c>
      <c r="B163" s="23" t="str">
        <f t="shared" si="7"/>
        <v>Kiley Capstraw</v>
      </c>
      <c r="E163" s="75" t="str" cm="1">
        <f t="array" aca="1" ref="E163" ca="1">INDIRECT(G163)</f>
        <v>Pierson College</v>
      </c>
      <c r="G163" s="23" t="str">
        <f t="shared" ref="G163" si="11">"College"&amp;F162</f>
        <v>College3</v>
      </c>
      <c r="I163" s="23" t="str">
        <v>Joseph</v>
      </c>
      <c r="J163" s="23" t="str">
        <v>Farouz</v>
      </c>
      <c r="K163" s="23" t="str">
        <v>Silliman College</v>
      </c>
    </row>
    <row r="164" spans="1:11">
      <c r="A164" s="23" t="s">
        <v>178</v>
      </c>
      <c r="B164" s="23" t="str">
        <f t="shared" si="7"/>
        <v>Isaac Monks</v>
      </c>
      <c r="D164" s="61" t="s">
        <v>179</v>
      </c>
      <c r="E164" s="74" t="str" cm="1">
        <f t="array" aca="1" ref="E164" ca="1">INDIRECT(G164)</f>
        <v>Claiborne Tompkins</v>
      </c>
      <c r="F164" s="23">
        <v>4</v>
      </c>
      <c r="G164" s="23" t="str">
        <f t="shared" ref="G164" si="12">"Name"&amp;F164</f>
        <v>Name4</v>
      </c>
      <c r="I164" s="23" t="str">
        <v>Jonathan</v>
      </c>
      <c r="J164" s="23" t="str">
        <v>Adler</v>
      </c>
      <c r="K164" s="23" t="str">
        <v>Trumbull College</v>
      </c>
    </row>
    <row r="165" spans="1:11">
      <c r="A165" s="23" t="s">
        <v>180</v>
      </c>
      <c r="B165" s="23" t="str">
        <f t="shared" si="7"/>
        <v>Ruben Berreby</v>
      </c>
      <c r="D165" s="61"/>
      <c r="E165" s="75" t="str" cm="1">
        <f t="array" aca="1" ref="E165" ca="1">INDIRECT(G165)</f>
        <v>Saybrook College</v>
      </c>
      <c r="G165" s="23" t="str">
        <f t="shared" ref="G165" si="13">"College"&amp;F164</f>
        <v>College4</v>
      </c>
      <c r="I165" s="23" t="str">
        <v>Tom</v>
      </c>
      <c r="J165" s="23" t="str">
        <v>Monaghan</v>
      </c>
      <c r="K165" s="23" t="str">
        <v>Davenport College</v>
      </c>
    </row>
    <row r="166" spans="1:11">
      <c r="A166" s="23" t="s">
        <v>181</v>
      </c>
      <c r="B166" s="23" t="str">
        <f t="shared" si="7"/>
        <v>Joya Xu</v>
      </c>
      <c r="D166" s="61" t="s">
        <v>182</v>
      </c>
      <c r="E166" s="74" t="str" cm="1">
        <f t="array" aca="1" ref="E166" ca="1">INDIRECT(G166)</f>
        <v>Olivia Kim</v>
      </c>
      <c r="F166" s="23">
        <v>5</v>
      </c>
      <c r="G166" s="23" t="str">
        <f t="shared" ref="G166" si="14">"Name"&amp;F166</f>
        <v>Name5</v>
      </c>
      <c r="I166" s="23" t="str">
        <v>Lachlan</v>
      </c>
      <c r="J166" s="23" t="str">
        <v>Sutton</v>
      </c>
      <c r="K166" s="23" t="str">
        <v>Morse College</v>
      </c>
    </row>
    <row r="167" spans="1:11">
      <c r="A167" s="23" t="s">
        <v>183</v>
      </c>
      <c r="B167" s="23" t="str">
        <f t="shared" si="7"/>
        <v>Emma Lee</v>
      </c>
      <c r="E167" s="75" t="str" cm="1">
        <f t="array" aca="1" ref="E167" ca="1">INDIRECT(G167)</f>
        <v>Pauli Murray College</v>
      </c>
      <c r="G167" s="23" t="str">
        <f t="shared" ref="G167" si="15">"College"&amp;F166</f>
        <v>College5</v>
      </c>
      <c r="I167" s="23" t="str">
        <v>Issy</v>
      </c>
      <c r="J167" s="23" t="str">
        <v>Baileff</v>
      </c>
      <c r="K167" s="23" t="str">
        <v>Timothy Dwight College</v>
      </c>
    </row>
    <row r="168" spans="1:11">
      <c r="A168" s="23" t="s">
        <v>184</v>
      </c>
      <c r="B168" s="23" t="str">
        <f t="shared" si="7"/>
        <v>Lucas Szydlowski</v>
      </c>
      <c r="D168" s="61" t="s">
        <v>185</v>
      </c>
      <c r="E168" s="74" t="str" cm="1">
        <f t="array" aca="1" ref="E168" ca="1">INDIRECT(G168)</f>
        <v>Kiley Capstraw</v>
      </c>
      <c r="F168" s="23">
        <v>6</v>
      </c>
      <c r="G168" s="23" t="str">
        <f t="shared" ref="G168" si="16">"Name"&amp;F168</f>
        <v>Name6</v>
      </c>
      <c r="I168" s="23" t="str">
        <v>Ashley Haiting</v>
      </c>
      <c r="J168" s="23" t="str">
        <v>Rehn</v>
      </c>
      <c r="K168" s="23" t="str">
        <v>School of Public Health</v>
      </c>
    </row>
    <row r="169" spans="1:11">
      <c r="D169" s="61"/>
      <c r="E169" s="75" t="str" cm="1">
        <f t="array" aca="1" ref="E169" ca="1">INDIRECT(G169)</f>
        <v>Pauli Murray College</v>
      </c>
      <c r="G169" s="23" t="str">
        <f t="shared" ref="G169" si="17">"College"&amp;F168</f>
        <v>College6</v>
      </c>
      <c r="I169" s="23" t="str">
        <v>Jordan</v>
      </c>
      <c r="J169" s="23" t="str">
        <v>Messina</v>
      </c>
      <c r="K169" s="23" t="str">
        <v>Grace Hopper College</v>
      </c>
    </row>
    <row r="170" spans="1:11">
      <c r="D170" s="61" t="s">
        <v>186</v>
      </c>
      <c r="E170" s="74" t="str" cm="1">
        <f t="array" aca="1" ref="E170" ca="1">INDIRECT(G170)</f>
        <v>Isaac Monks</v>
      </c>
      <c r="F170" s="23">
        <v>7</v>
      </c>
      <c r="G170" s="23" t="str">
        <f t="shared" ref="G170" si="18">"Name"&amp;F170</f>
        <v>Name7</v>
      </c>
      <c r="I170" s="23" t="str">
        <v>Timothy</v>
      </c>
      <c r="J170" s="23" t="str">
        <v>Bang</v>
      </c>
      <c r="K170" s="23" t="str">
        <v>Silliman College</v>
      </c>
    </row>
    <row r="171" spans="1:11">
      <c r="A171" s="23" t="s">
        <v>187</v>
      </c>
      <c r="B171" s="23" t="str">
        <f>C144</f>
        <v>Trumbull College</v>
      </c>
      <c r="E171" s="75" t="str" cm="1">
        <f t="array" aca="1" ref="E171" ca="1">INDIRECT(G171)</f>
        <v>Timothy Dwight College</v>
      </c>
      <c r="G171" s="23" t="str">
        <f t="shared" ref="G171" si="19">"College"&amp;F170</f>
        <v>College7</v>
      </c>
      <c r="I171" s="23" t="str">
        <v>Jin Woo</v>
      </c>
      <c r="J171" s="23" t="str">
        <v>Park</v>
      </c>
      <c r="K171" s="23" t="str">
        <v>Ezra Stiles College</v>
      </c>
    </row>
    <row r="172" spans="1:11">
      <c r="A172" s="23" t="s">
        <v>188</v>
      </c>
      <c r="B172" s="23" t="str">
        <f t="shared" ref="B172:B181" si="20">C145</f>
        <v>Benjamin Franklin College</v>
      </c>
      <c r="D172" s="61" t="s">
        <v>189</v>
      </c>
      <c r="E172" s="74" t="str" cm="1">
        <f t="array" aca="1" ref="E172" ca="1">INDIRECT(G172)</f>
        <v>Ruben Berreby</v>
      </c>
      <c r="F172" s="23">
        <v>8</v>
      </c>
      <c r="G172" s="23" t="str">
        <f t="shared" ref="G172" si="21">"Name"&amp;F172</f>
        <v>Name8</v>
      </c>
      <c r="I172" s="23" t="str">
        <v>Matt</v>
      </c>
      <c r="J172" s="23" t="str">
        <v>Lin</v>
      </c>
      <c r="K172" s="23" t="str">
        <v>Pierson College</v>
      </c>
    </row>
    <row r="173" spans="1:11">
      <c r="A173" s="23" t="s">
        <v>190</v>
      </c>
      <c r="B173" s="23" t="str">
        <f t="shared" si="20"/>
        <v>Pierson College</v>
      </c>
      <c r="D173" s="61"/>
      <c r="E173" s="75" t="str" cm="1">
        <f t="array" aca="1" ref="E173" ca="1">INDIRECT(G173)</f>
        <v>Saybrook College</v>
      </c>
      <c r="G173" s="23" t="str">
        <f t="shared" ref="G173" si="22">"College"&amp;F172</f>
        <v>College8</v>
      </c>
      <c r="I173" s="23" t="str">
        <v>Carlos</v>
      </c>
      <c r="J173" s="23" t="str">
        <v>Perez</v>
      </c>
      <c r="K173" s="23" t="str">
        <v>Berkeley College</v>
      </c>
    </row>
    <row r="174" spans="1:11">
      <c r="A174" s="23" t="s">
        <v>191</v>
      </c>
      <c r="B174" s="23" t="str">
        <f t="shared" si="20"/>
        <v>Saybrook College</v>
      </c>
      <c r="D174" s="61" t="s">
        <v>192</v>
      </c>
      <c r="E174" s="74" t="str" cm="1">
        <f t="array" aca="1" ref="E174" ca="1">INDIRECT(G174)</f>
        <v>Joya Xu</v>
      </c>
      <c r="F174" s="23">
        <v>9</v>
      </c>
      <c r="G174" s="23" t="str">
        <f t="shared" ref="G174" si="23">"Name"&amp;F174</f>
        <v>Name9</v>
      </c>
      <c r="I174" s="23" t="str">
        <v>Julian</v>
      </c>
      <c r="J174" s="23" t="str">
        <v>Berkowitz-Sklar</v>
      </c>
      <c r="K174" s="23" t="str">
        <v>Morse College</v>
      </c>
    </row>
    <row r="175" spans="1:11">
      <c r="A175" s="23" t="s">
        <v>193</v>
      </c>
      <c r="B175" s="23" t="str">
        <f t="shared" si="20"/>
        <v>Pauli Murray College</v>
      </c>
      <c r="E175" s="75" t="str" cm="1">
        <f t="array" aca="1" ref="E175" ca="1">INDIRECT(G175)</f>
        <v>Saybrook College</v>
      </c>
      <c r="G175" s="23" t="str">
        <f t="shared" ref="G175" si="24">"College"&amp;F174</f>
        <v>College9</v>
      </c>
      <c r="I175" s="23" t="str">
        <v>Maggie</v>
      </c>
      <c r="J175" s="23" t="str">
        <v>Chang</v>
      </c>
      <c r="K175" s="23" t="str">
        <v>Timothy Dwight College</v>
      </c>
    </row>
    <row r="176" spans="1:11">
      <c r="A176" s="23" t="s">
        <v>194</v>
      </c>
      <c r="B176" s="23" t="str">
        <f t="shared" si="20"/>
        <v>Pauli Murray College</v>
      </c>
      <c r="D176" s="61" t="s">
        <v>195</v>
      </c>
      <c r="E176" s="74" t="str" cm="1">
        <f t="array" aca="1" ref="E176" ca="1">INDIRECT(G176)</f>
        <v>Emma Lee</v>
      </c>
      <c r="F176" s="23">
        <v>10</v>
      </c>
      <c r="G176" s="23" t="str">
        <f t="shared" ref="G176" si="25">"Name"&amp;F176</f>
        <v>Name10</v>
      </c>
      <c r="I176" s="23" t="str">
        <v>Angela</v>
      </c>
      <c r="J176" s="23" t="str">
        <v>Huang</v>
      </c>
      <c r="K176" s="23" t="str">
        <v>Benjamin Franklin College</v>
      </c>
    </row>
    <row r="177" spans="1:11">
      <c r="A177" s="23" t="s">
        <v>196</v>
      </c>
      <c r="B177" s="23" t="str">
        <f t="shared" si="20"/>
        <v>Timothy Dwight College</v>
      </c>
      <c r="D177" s="61"/>
      <c r="E177" s="75" t="str" cm="1">
        <f t="array" aca="1" ref="E177" ca="1">INDIRECT(G177)</f>
        <v>Grace Hopper College</v>
      </c>
      <c r="G177" s="23" t="str">
        <f t="shared" ref="G177" si="26">"College"&amp;F176</f>
        <v>College10</v>
      </c>
      <c r="I177" s="23" t="str">
        <v>Aaron</v>
      </c>
      <c r="J177" s="23" t="str">
        <v>Combs</v>
      </c>
      <c r="K177" s="23" t="str">
        <v>Pierson College</v>
      </c>
    </row>
    <row r="178" spans="1:11">
      <c r="A178" s="23" t="s">
        <v>197</v>
      </c>
      <c r="B178" s="23" t="str">
        <f t="shared" si="20"/>
        <v>Saybrook College</v>
      </c>
      <c r="D178" s="61" t="s">
        <v>198</v>
      </c>
      <c r="E178" s="74" t="str" cm="1">
        <f t="array" aca="1" ref="E178" ca="1">INDIRECT(G178)</f>
        <v>Lucas Szydlowski</v>
      </c>
      <c r="F178" s="23">
        <v>11</v>
      </c>
      <c r="G178" s="23" t="str">
        <f t="shared" ref="G178" si="27">"Name"&amp;F178</f>
        <v>Name11</v>
      </c>
      <c r="I178" s="23" t="str">
        <v>Ladia</v>
      </c>
      <c r="J178" s="23" t="str">
        <v>Khaing</v>
      </c>
      <c r="K178" s="23" t="str">
        <v>Jonathan Edwards College</v>
      </c>
    </row>
    <row r="179" spans="1:11">
      <c r="A179" s="23" t="s">
        <v>199</v>
      </c>
      <c r="B179" s="23" t="str">
        <f t="shared" si="20"/>
        <v>Saybrook College</v>
      </c>
      <c r="E179" s="75" t="str" cm="1">
        <f t="array" aca="1" ref="E179" ca="1">INDIRECT(G179)</f>
        <v>Jonathan Edwards College</v>
      </c>
      <c r="G179" s="23" t="str">
        <f t="shared" ref="G179" si="28">"College"&amp;F178</f>
        <v>College11</v>
      </c>
      <c r="I179" s="23" t="str">
        <v>Shua</v>
      </c>
      <c r="J179" s="23" t="str">
        <v>Rosenstein</v>
      </c>
      <c r="K179" s="23" t="str">
        <v>Pierson College</v>
      </c>
    </row>
    <row r="180" spans="1:11">
      <c r="A180" s="23" t="s">
        <v>200</v>
      </c>
      <c r="B180" s="23" t="str">
        <f t="shared" si="20"/>
        <v>Grace Hopper College</v>
      </c>
      <c r="D180" s="61"/>
      <c r="I180" s="23" t="str">
        <v>Ryan</v>
      </c>
      <c r="J180" s="23" t="str">
        <v>Coffey</v>
      </c>
      <c r="K180" s="23" t="str">
        <v>Branford College</v>
      </c>
    </row>
    <row r="181" spans="1:11">
      <c r="A181" s="23" t="s">
        <v>201</v>
      </c>
      <c r="B181" s="23" t="str">
        <f t="shared" si="20"/>
        <v>Jonathan Edwards College</v>
      </c>
      <c r="D181" s="61"/>
      <c r="I181" s="23" t="str">
        <v>Angelo</v>
      </c>
      <c r="J181" s="23" t="str">
        <v>Zhu</v>
      </c>
      <c r="K181" s="23" t="str">
        <v>Silliman College</v>
      </c>
    </row>
    <row r="182" spans="1:11">
      <c r="D182" s="61"/>
      <c r="I182" s="23" t="str">
        <v>Dani</v>
      </c>
      <c r="J182" s="23" t="str">
        <v>Wasserman</v>
      </c>
      <c r="K182" s="23" t="str">
        <v>Morse College</v>
      </c>
    </row>
    <row r="183" spans="1:11">
      <c r="I183" s="23" t="str">
        <v>Sophie</v>
      </c>
      <c r="J183" s="23" t="str">
        <v>Hansen</v>
      </c>
      <c r="K183" s="23" t="str">
        <v>Davenport College</v>
      </c>
    </row>
    <row r="184" spans="1:11">
      <c r="A184" s="23" t="str" cm="1">
        <f t="array" ref="A184:B193">_xlfn._xlws.FILTER(CHOOSE({1,2},Table1[First Name],Table1[Last Name]),(Table1[Rand]&gt;12)*(Table1[Rand]&lt;23),"")</f>
        <v>Claire</v>
      </c>
      <c r="B184" s="23" t="str">
        <v>Zhong</v>
      </c>
      <c r="I184" s="23">
        <v>0</v>
      </c>
      <c r="J184" s="23">
        <v>0</v>
      </c>
      <c r="K184" s="23">
        <v>0</v>
      </c>
    </row>
    <row r="185" spans="1:11">
      <c r="A185" s="23" t="str">
        <v>Hettie</v>
      </c>
      <c r="B185" s="23" t="str">
        <v>Whittington</v>
      </c>
      <c r="I185" s="23">
        <v>0</v>
      </c>
      <c r="J185" s="23">
        <v>0</v>
      </c>
      <c r="K185" s="23">
        <v>0</v>
      </c>
    </row>
    <row r="186" spans="1:11">
      <c r="A186" s="23" t="str">
        <v>Jonathan</v>
      </c>
      <c r="B186" s="23" t="str">
        <v>Bernard</v>
      </c>
      <c r="I186" s="23">
        <v>0</v>
      </c>
      <c r="J186" s="23">
        <v>0</v>
      </c>
      <c r="K186" s="23">
        <v>0</v>
      </c>
    </row>
    <row r="187" spans="1:11">
      <c r="A187" s="23" t="str">
        <v>Jack</v>
      </c>
      <c r="B187" s="23" t="str">
        <v>Pankey</v>
      </c>
      <c r="I187" s="23">
        <v>0</v>
      </c>
      <c r="J187" s="23">
        <v>0</v>
      </c>
      <c r="K187" s="23">
        <v>0</v>
      </c>
    </row>
    <row r="188" spans="1:11">
      <c r="A188" s="23" t="str">
        <v>Edward</v>
      </c>
      <c r="B188" s="23" t="str">
        <v>Liao</v>
      </c>
      <c r="I188" s="23">
        <v>0</v>
      </c>
      <c r="J188" s="23">
        <v>0</v>
      </c>
      <c r="K188" s="23">
        <v>0</v>
      </c>
    </row>
    <row r="189" spans="1:11">
      <c r="A189" s="23" t="str">
        <v>Krish</v>
      </c>
      <c r="B189" s="23" t="str">
        <v>Gupta</v>
      </c>
      <c r="I189" s="23">
        <v>0</v>
      </c>
      <c r="J189" s="23">
        <v>0</v>
      </c>
      <c r="K189" s="23">
        <v>0</v>
      </c>
    </row>
    <row r="190" spans="1:11">
      <c r="A190" s="23" t="str">
        <v>Shaurya</v>
      </c>
      <c r="B190" s="23" t="str">
        <v>Sharma</v>
      </c>
      <c r="I190" s="23">
        <v>0</v>
      </c>
      <c r="J190" s="23">
        <v>0</v>
      </c>
      <c r="K190" s="23">
        <v>0</v>
      </c>
    </row>
    <row r="191" spans="1:11">
      <c r="A191" s="23" t="str">
        <v>Joseph</v>
      </c>
      <c r="B191" s="23" t="str">
        <v>Farouz</v>
      </c>
      <c r="I191" s="23">
        <v>0</v>
      </c>
      <c r="J191" s="23">
        <v>0</v>
      </c>
      <c r="K191" s="23">
        <v>0</v>
      </c>
    </row>
    <row r="192" spans="1:11">
      <c r="A192" s="23" t="str">
        <v>Jonathan</v>
      </c>
      <c r="B192" s="23" t="str">
        <v>Adler</v>
      </c>
      <c r="I192" s="23">
        <v>0</v>
      </c>
      <c r="J192" s="23">
        <v>0</v>
      </c>
      <c r="K192" s="23">
        <v>0</v>
      </c>
    </row>
    <row r="193" spans="1:11">
      <c r="A193" s="23" t="str">
        <v>Tom</v>
      </c>
      <c r="B193" s="23" t="str">
        <v>Monaghan</v>
      </c>
      <c r="I193" s="23">
        <v>0</v>
      </c>
      <c r="J193" s="23">
        <v>0</v>
      </c>
      <c r="K193" s="23">
        <v>0</v>
      </c>
    </row>
    <row r="194" spans="1:11">
      <c r="I194" s="23">
        <v>0</v>
      </c>
      <c r="J194" s="23">
        <v>0</v>
      </c>
      <c r="K194" s="23">
        <v>0</v>
      </c>
    </row>
    <row r="195" spans="1:11">
      <c r="I195" s="23">
        <v>0</v>
      </c>
      <c r="J195" s="23">
        <v>0</v>
      </c>
      <c r="K195" s="23">
        <v>0</v>
      </c>
    </row>
    <row r="196" spans="1:11">
      <c r="I196" s="23">
        <v>0</v>
      </c>
      <c r="J196" s="23">
        <v>0</v>
      </c>
      <c r="K196" s="23">
        <v>0</v>
      </c>
    </row>
    <row r="197" spans="1:11">
      <c r="I197" s="23">
        <v>0</v>
      </c>
      <c r="J197" s="23">
        <v>0</v>
      </c>
      <c r="K197" s="23">
        <v>0</v>
      </c>
    </row>
    <row r="198" spans="1:11">
      <c r="I198" s="23">
        <v>0</v>
      </c>
      <c r="J198" s="23">
        <v>0</v>
      </c>
      <c r="K198" s="23">
        <v>0</v>
      </c>
    </row>
    <row r="199" spans="1:11">
      <c r="I199" s="23">
        <v>0</v>
      </c>
      <c r="J199" s="23">
        <v>0</v>
      </c>
      <c r="K199" s="23">
        <v>0</v>
      </c>
    </row>
    <row r="200" spans="1:11">
      <c r="I200" s="23">
        <v>0</v>
      </c>
      <c r="J200" s="23">
        <v>0</v>
      </c>
      <c r="K200" s="23">
        <v>0</v>
      </c>
    </row>
    <row r="201" spans="1:11">
      <c r="I201" s="23">
        <v>0</v>
      </c>
      <c r="J201" s="23">
        <v>0</v>
      </c>
      <c r="K201" s="23">
        <v>0</v>
      </c>
    </row>
    <row r="202" spans="1:11">
      <c r="I202" s="23">
        <v>0</v>
      </c>
      <c r="J202" s="23">
        <v>0</v>
      </c>
      <c r="K202" s="23">
        <v>0</v>
      </c>
    </row>
    <row r="203" spans="1:11">
      <c r="I203" s="23">
        <v>0</v>
      </c>
      <c r="J203" s="23">
        <v>0</v>
      </c>
      <c r="K203" s="23">
        <v>0</v>
      </c>
    </row>
    <row r="204" spans="1:11">
      <c r="I204" s="23">
        <v>0</v>
      </c>
      <c r="J204" s="23">
        <v>0</v>
      </c>
      <c r="K204" s="23">
        <v>0</v>
      </c>
    </row>
    <row r="205" spans="1:11">
      <c r="I205" s="23">
        <v>0</v>
      </c>
      <c r="J205" s="23">
        <v>0</v>
      </c>
      <c r="K205" s="23">
        <v>0</v>
      </c>
    </row>
    <row r="206" spans="1:11">
      <c r="I206" s="23">
        <v>0</v>
      </c>
      <c r="J206" s="23">
        <v>0</v>
      </c>
      <c r="K206" s="23">
        <v>0</v>
      </c>
    </row>
    <row r="207" spans="1:11">
      <c r="I207" s="23">
        <v>0</v>
      </c>
      <c r="J207" s="23">
        <v>0</v>
      </c>
      <c r="K207" s="23">
        <v>0</v>
      </c>
    </row>
    <row r="208" spans="1:11">
      <c r="I208" s="23">
        <v>0</v>
      </c>
      <c r="J208" s="23">
        <v>0</v>
      </c>
      <c r="K208" s="23">
        <v>0</v>
      </c>
    </row>
    <row r="209" spans="1:11">
      <c r="I209" s="23">
        <v>0</v>
      </c>
      <c r="J209" s="23">
        <v>0</v>
      </c>
      <c r="K209" s="23">
        <v>0</v>
      </c>
    </row>
    <row r="210" spans="1:11">
      <c r="I210" s="23">
        <v>0</v>
      </c>
      <c r="J210" s="23">
        <v>0</v>
      </c>
      <c r="K210" s="23">
        <v>0</v>
      </c>
    </row>
    <row r="211" spans="1:11">
      <c r="I211" s="23">
        <v>0</v>
      </c>
      <c r="J211" s="23">
        <v>0</v>
      </c>
      <c r="K211" s="23">
        <v>0</v>
      </c>
    </row>
    <row r="212" spans="1:11">
      <c r="I212" s="23">
        <v>0</v>
      </c>
      <c r="J212" s="23">
        <v>0</v>
      </c>
      <c r="K212" s="23">
        <v>0</v>
      </c>
    </row>
    <row r="213" spans="1:11">
      <c r="I213" s="23">
        <v>0</v>
      </c>
      <c r="J213" s="23">
        <v>0</v>
      </c>
      <c r="K213" s="23">
        <v>0</v>
      </c>
    </row>
    <row r="214" spans="1:11">
      <c r="I214" s="23">
        <v>0</v>
      </c>
      <c r="J214" s="23">
        <v>0</v>
      </c>
      <c r="K214" s="23">
        <v>0</v>
      </c>
    </row>
    <row r="215" spans="1:11">
      <c r="I215" s="23">
        <v>0</v>
      </c>
      <c r="J215" s="23">
        <v>0</v>
      </c>
      <c r="K215" s="23">
        <v>0</v>
      </c>
    </row>
    <row r="216" spans="1:11">
      <c r="I216" s="23">
        <v>0</v>
      </c>
      <c r="J216" s="23">
        <v>0</v>
      </c>
      <c r="K216" s="23">
        <v>0</v>
      </c>
    </row>
    <row r="217" spans="1:11">
      <c r="I217" s="23">
        <v>0</v>
      </c>
      <c r="J217" s="23">
        <v>0</v>
      </c>
      <c r="K217" s="23">
        <v>0</v>
      </c>
    </row>
    <row r="218" spans="1:11">
      <c r="I218" s="23">
        <v>0</v>
      </c>
      <c r="J218" s="23">
        <v>0</v>
      </c>
      <c r="K218" s="23">
        <v>0</v>
      </c>
    </row>
    <row r="219" spans="1:11">
      <c r="I219" s="23">
        <v>0</v>
      </c>
      <c r="J219" s="23">
        <v>0</v>
      </c>
      <c r="K219" s="23">
        <v>0</v>
      </c>
    </row>
    <row r="220" spans="1:11">
      <c r="A220" s="61"/>
      <c r="I220" s="23">
        <v>0</v>
      </c>
      <c r="J220" s="23">
        <v>0</v>
      </c>
      <c r="K220" s="23">
        <v>0</v>
      </c>
    </row>
    <row r="221" spans="1:11">
      <c r="A221" s="61"/>
      <c r="I221" s="23">
        <v>0</v>
      </c>
      <c r="J221" s="23">
        <v>0</v>
      </c>
      <c r="K221" s="23">
        <v>0</v>
      </c>
    </row>
    <row r="222" spans="1:11">
      <c r="I222" s="23">
        <v>0</v>
      </c>
      <c r="J222" s="23">
        <v>0</v>
      </c>
      <c r="K222" s="23">
        <v>0</v>
      </c>
    </row>
    <row r="223" spans="1:11">
      <c r="I223" s="23">
        <v>0</v>
      </c>
      <c r="J223" s="23">
        <v>0</v>
      </c>
      <c r="K223" s="23">
        <v>0</v>
      </c>
    </row>
    <row r="224" spans="1:11">
      <c r="I224" s="23">
        <v>0</v>
      </c>
      <c r="J224" s="23">
        <v>0</v>
      </c>
      <c r="K224" s="23">
        <v>0</v>
      </c>
    </row>
    <row r="225" spans="9:11">
      <c r="I225" s="23">
        <v>0</v>
      </c>
      <c r="J225" s="23">
        <v>0</v>
      </c>
      <c r="K225" s="23">
        <v>0</v>
      </c>
    </row>
    <row r="226" spans="9:11">
      <c r="I226" s="23">
        <v>0</v>
      </c>
      <c r="J226" s="23">
        <v>0</v>
      </c>
      <c r="K226" s="23">
        <v>0</v>
      </c>
    </row>
    <row r="227" spans="9:11">
      <c r="I227" s="23">
        <v>0</v>
      </c>
      <c r="J227" s="23">
        <v>0</v>
      </c>
      <c r="K227" s="23">
        <v>0</v>
      </c>
    </row>
    <row r="228" spans="9:11">
      <c r="I228" s="23">
        <v>0</v>
      </c>
      <c r="J228" s="23">
        <v>0</v>
      </c>
      <c r="K228" s="23">
        <v>0</v>
      </c>
    </row>
    <row r="229" spans="9:11">
      <c r="I229" s="23">
        <v>0</v>
      </c>
      <c r="J229" s="23">
        <v>0</v>
      </c>
      <c r="K229" s="23">
        <v>0</v>
      </c>
    </row>
    <row r="230" spans="9:11">
      <c r="I230" s="23">
        <v>0</v>
      </c>
      <c r="J230" s="23">
        <v>0</v>
      </c>
      <c r="K230" s="23">
        <v>0</v>
      </c>
    </row>
    <row r="231" spans="9:11">
      <c r="I231" s="23">
        <v>0</v>
      </c>
      <c r="J231" s="23">
        <v>0</v>
      </c>
      <c r="K231" s="23">
        <v>0</v>
      </c>
    </row>
    <row r="232" spans="9:11">
      <c r="I232" s="23">
        <v>0</v>
      </c>
      <c r="J232" s="23">
        <v>0</v>
      </c>
      <c r="K232" s="23">
        <v>0</v>
      </c>
    </row>
    <row r="233" spans="9:11">
      <c r="I233" s="23">
        <v>0</v>
      </c>
      <c r="J233" s="23">
        <v>0</v>
      </c>
      <c r="K233" s="23">
        <v>0</v>
      </c>
    </row>
    <row r="234" spans="9:11">
      <c r="I234" s="23">
        <v>0</v>
      </c>
      <c r="J234" s="23">
        <v>0</v>
      </c>
      <c r="K234" s="23">
        <v>0</v>
      </c>
    </row>
    <row r="235" spans="9:11">
      <c r="I235" s="23">
        <v>0</v>
      </c>
      <c r="J235" s="23">
        <v>0</v>
      </c>
      <c r="K235" s="23">
        <v>0</v>
      </c>
    </row>
    <row r="236" spans="9:11">
      <c r="I236" s="23">
        <v>0</v>
      </c>
      <c r="J236" s="23">
        <v>0</v>
      </c>
      <c r="K236" s="23">
        <v>0</v>
      </c>
    </row>
    <row r="237" spans="9:11">
      <c r="I237" s="23">
        <v>0</v>
      </c>
      <c r="J237" s="23">
        <v>0</v>
      </c>
      <c r="K237" s="23">
        <v>0</v>
      </c>
    </row>
    <row r="238" spans="9:11">
      <c r="I238" s="23">
        <v>0</v>
      </c>
      <c r="J238" s="23">
        <v>0</v>
      </c>
      <c r="K238" s="23">
        <v>0</v>
      </c>
    </row>
    <row r="239" spans="9:11">
      <c r="I239" s="23">
        <v>0</v>
      </c>
      <c r="J239" s="23">
        <v>0</v>
      </c>
      <c r="K239" s="23">
        <v>0</v>
      </c>
    </row>
    <row r="240" spans="9:11">
      <c r="I240" s="23">
        <v>0</v>
      </c>
      <c r="J240" s="23">
        <v>0</v>
      </c>
      <c r="K240" s="23">
        <v>0</v>
      </c>
    </row>
    <row r="241" spans="9:11">
      <c r="I241" s="23">
        <v>0</v>
      </c>
      <c r="J241" s="23">
        <v>0</v>
      </c>
      <c r="K241" s="23">
        <v>0</v>
      </c>
    </row>
    <row r="242" spans="9:11">
      <c r="I242" s="23">
        <v>0</v>
      </c>
      <c r="J242" s="23">
        <v>0</v>
      </c>
      <c r="K242" s="23">
        <v>0</v>
      </c>
    </row>
    <row r="243" spans="9:11">
      <c r="I243" s="23">
        <v>0</v>
      </c>
      <c r="J243" s="23">
        <v>0</v>
      </c>
      <c r="K243" s="23">
        <v>0</v>
      </c>
    </row>
    <row r="244" spans="9:11">
      <c r="I244" s="23">
        <v>0</v>
      </c>
      <c r="J244" s="23">
        <v>0</v>
      </c>
      <c r="K244" s="23">
        <v>0</v>
      </c>
    </row>
    <row r="245" spans="9:11">
      <c r="I245" s="23">
        <v>0</v>
      </c>
      <c r="J245" s="23">
        <v>0</v>
      </c>
      <c r="K245" s="23">
        <v>0</v>
      </c>
    </row>
    <row r="246" spans="9:11">
      <c r="I246" s="23">
        <v>0</v>
      </c>
      <c r="J246" s="23">
        <v>0</v>
      </c>
      <c r="K246" s="23">
        <v>0</v>
      </c>
    </row>
    <row r="247" spans="9:11">
      <c r="I247" s="23">
        <v>0</v>
      </c>
      <c r="J247" s="23">
        <v>0</v>
      </c>
      <c r="K247" s="23">
        <v>0</v>
      </c>
    </row>
    <row r="248" spans="9:11">
      <c r="I248" s="23">
        <v>0</v>
      </c>
      <c r="J248" s="23">
        <v>0</v>
      </c>
      <c r="K248" s="23">
        <v>0</v>
      </c>
    </row>
    <row r="249" spans="9:11">
      <c r="I249" s="23">
        <v>0</v>
      </c>
      <c r="J249" s="23">
        <v>0</v>
      </c>
      <c r="K249" s="23">
        <v>0</v>
      </c>
    </row>
    <row r="250" spans="9:11">
      <c r="I250" s="23">
        <v>0</v>
      </c>
      <c r="J250" s="23">
        <v>0</v>
      </c>
      <c r="K250" s="23">
        <v>0</v>
      </c>
    </row>
    <row r="251" spans="9:11">
      <c r="I251" s="23">
        <v>0</v>
      </c>
      <c r="J251" s="23">
        <v>0</v>
      </c>
      <c r="K251" s="23">
        <v>0</v>
      </c>
    </row>
    <row r="252" spans="9:11">
      <c r="I252" s="23">
        <v>0</v>
      </c>
      <c r="J252" s="23">
        <v>0</v>
      </c>
      <c r="K252" s="23">
        <v>0</v>
      </c>
    </row>
    <row r="253" spans="9:11">
      <c r="I253" s="23">
        <v>0</v>
      </c>
      <c r="J253" s="23">
        <v>0</v>
      </c>
      <c r="K253" s="23">
        <v>0</v>
      </c>
    </row>
    <row r="254" spans="9:11">
      <c r="I254" s="23">
        <v>0</v>
      </c>
      <c r="J254" s="23">
        <v>0</v>
      </c>
      <c r="K254" s="23">
        <v>0</v>
      </c>
    </row>
    <row r="255" spans="9:11">
      <c r="I255" s="23">
        <v>0</v>
      </c>
      <c r="J255" s="23">
        <v>0</v>
      </c>
      <c r="K255" s="23">
        <v>0</v>
      </c>
    </row>
    <row r="256" spans="9:11">
      <c r="I256" s="23">
        <v>0</v>
      </c>
      <c r="J256" s="23">
        <v>0</v>
      </c>
      <c r="K256" s="23">
        <v>0</v>
      </c>
    </row>
    <row r="257" spans="9:11">
      <c r="I257" s="23">
        <v>0</v>
      </c>
      <c r="J257" s="23">
        <v>0</v>
      </c>
      <c r="K257" s="23">
        <v>0</v>
      </c>
    </row>
    <row r="258" spans="9:11">
      <c r="I258" s="23">
        <v>0</v>
      </c>
      <c r="J258" s="23">
        <v>0</v>
      </c>
      <c r="K258" s="23">
        <v>0</v>
      </c>
    </row>
    <row r="259" spans="9:11">
      <c r="I259" s="23">
        <v>0</v>
      </c>
      <c r="J259" s="23">
        <v>0</v>
      </c>
      <c r="K259" s="23">
        <v>0</v>
      </c>
    </row>
    <row r="260" spans="9:11">
      <c r="I260" s="23">
        <v>0</v>
      </c>
      <c r="J260" s="23">
        <v>0</v>
      </c>
      <c r="K260" s="23">
        <v>0</v>
      </c>
    </row>
    <row r="261" spans="9:11">
      <c r="I261" s="23">
        <v>0</v>
      </c>
      <c r="J261" s="23">
        <v>0</v>
      </c>
      <c r="K261" s="23">
        <v>0</v>
      </c>
    </row>
    <row r="262" spans="9:11">
      <c r="I262" s="23">
        <v>0</v>
      </c>
      <c r="J262" s="23">
        <v>0</v>
      </c>
      <c r="K262" s="23">
        <v>0</v>
      </c>
    </row>
    <row r="263" spans="9:11">
      <c r="I263" s="23">
        <v>0</v>
      </c>
      <c r="J263" s="23">
        <v>0</v>
      </c>
      <c r="K263" s="23">
        <v>0</v>
      </c>
    </row>
    <row r="264" spans="9:11">
      <c r="I264" s="23">
        <v>0</v>
      </c>
      <c r="J264" s="23">
        <v>0</v>
      </c>
      <c r="K264" s="23">
        <v>0</v>
      </c>
    </row>
    <row r="265" spans="9:11">
      <c r="I265" s="23">
        <v>0</v>
      </c>
      <c r="J265" s="23">
        <v>0</v>
      </c>
      <c r="K265" s="23">
        <v>0</v>
      </c>
    </row>
    <row r="266" spans="9:11">
      <c r="I266" s="23">
        <v>0</v>
      </c>
      <c r="J266" s="23">
        <v>0</v>
      </c>
      <c r="K266" s="23">
        <v>0</v>
      </c>
    </row>
    <row r="267" spans="9:11">
      <c r="I267" s="23">
        <v>0</v>
      </c>
      <c r="J267" s="23">
        <v>0</v>
      </c>
      <c r="K267" s="23">
        <v>0</v>
      </c>
    </row>
    <row r="268" spans="9:11">
      <c r="I268" s="23">
        <v>0</v>
      </c>
      <c r="J268" s="23">
        <v>0</v>
      </c>
      <c r="K268" s="23">
        <v>0</v>
      </c>
    </row>
    <row r="269" spans="9:11">
      <c r="I269" s="23">
        <v>0</v>
      </c>
      <c r="J269" s="23">
        <v>0</v>
      </c>
      <c r="K269" s="23">
        <v>0</v>
      </c>
    </row>
    <row r="270" spans="9:11">
      <c r="I270" s="23">
        <v>0</v>
      </c>
      <c r="J270" s="23">
        <v>0</v>
      </c>
      <c r="K270" s="23">
        <v>0</v>
      </c>
    </row>
    <row r="271" spans="9:11">
      <c r="I271" s="23">
        <v>0</v>
      </c>
      <c r="J271" s="23">
        <v>0</v>
      </c>
      <c r="K271" s="23">
        <v>0</v>
      </c>
    </row>
    <row r="272" spans="9:11">
      <c r="I272" s="23">
        <v>0</v>
      </c>
      <c r="J272" s="23">
        <v>0</v>
      </c>
      <c r="K272" s="23">
        <v>0</v>
      </c>
    </row>
    <row r="273" spans="9:11">
      <c r="I273" s="23">
        <v>0</v>
      </c>
      <c r="J273" s="23">
        <v>0</v>
      </c>
      <c r="K273" s="23">
        <v>0</v>
      </c>
    </row>
    <row r="274" spans="9:11">
      <c r="I274" s="23">
        <v>0</v>
      </c>
      <c r="J274" s="23">
        <v>0</v>
      </c>
      <c r="K274" s="23">
        <v>0</v>
      </c>
    </row>
    <row r="275" spans="9:11">
      <c r="I275" s="23">
        <v>0</v>
      </c>
      <c r="J275" s="23">
        <v>0</v>
      </c>
      <c r="K275" s="23">
        <v>0</v>
      </c>
    </row>
    <row r="276" spans="9:11">
      <c r="I276" s="23">
        <v>0</v>
      </c>
      <c r="J276" s="23">
        <v>0</v>
      </c>
      <c r="K276" s="23">
        <v>0</v>
      </c>
    </row>
    <row r="277" spans="9:11">
      <c r="I277" s="23">
        <v>0</v>
      </c>
      <c r="J277" s="23">
        <v>0</v>
      </c>
      <c r="K277" s="23">
        <v>0</v>
      </c>
    </row>
    <row r="278" spans="9:11">
      <c r="I278" s="23">
        <v>0</v>
      </c>
      <c r="J278" s="23">
        <v>0</v>
      </c>
      <c r="K278" s="23">
        <v>0</v>
      </c>
    </row>
    <row r="279" spans="9:11">
      <c r="I279" s="23">
        <v>0</v>
      </c>
      <c r="J279" s="23">
        <v>0</v>
      </c>
      <c r="K279" s="23">
        <v>0</v>
      </c>
    </row>
    <row r="280" spans="9:11">
      <c r="I280" s="23">
        <v>0</v>
      </c>
      <c r="J280" s="23">
        <v>0</v>
      </c>
      <c r="K280" s="23">
        <v>0</v>
      </c>
    </row>
    <row r="281" spans="9:11">
      <c r="I281" s="23">
        <v>0</v>
      </c>
      <c r="J281" s="23">
        <v>0</v>
      </c>
      <c r="K281" s="23">
        <v>0</v>
      </c>
    </row>
    <row r="282" spans="9:11">
      <c r="I282" s="23">
        <v>0</v>
      </c>
      <c r="J282" s="23">
        <v>0</v>
      </c>
      <c r="K282" s="23">
        <v>0</v>
      </c>
    </row>
  </sheetData>
  <phoneticPr fontId="12" type="noConversion"/>
  <conditionalFormatting sqref="J2">
    <cfRule type="cellIs" dxfId="2" priority="1" operator="greaterThanOrEqual">
      <formula>11</formula>
    </cfRule>
  </conditionalFormatting>
  <dataValidations count="1">
    <dataValidation type="list" allowBlank="1" showInputMessage="1" showErrorMessage="1" sqref="H2:H140" xr:uid="{312C93C6-4F82-4DAC-AF9B-BB976D725AEE}">
      <formula1>"Yes,No"</formula1>
    </dataValidation>
  </dataValidation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CC3E0D-B37A-44F4-8052-65CB1EEA5571}"/>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2019-08-28T00:31:13Z</dcterms:created>
  <dcterms:modified xsi:type="dcterms:W3CDTF">2026-01-12T16:19:18Z</dcterms:modified>
  <cp:category/>
  <cp:contentStatus/>
</cp:coreProperties>
</file>