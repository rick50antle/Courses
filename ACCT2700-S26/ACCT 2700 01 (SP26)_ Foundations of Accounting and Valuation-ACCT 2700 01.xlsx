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Courses/ACCT270/ACCT2700-S26/"/>
    </mc:Choice>
  </mc:AlternateContent>
  <xr:revisionPtr revIDLastSave="43" documentId="8_{1E880AFF-0543-4A1C-8AE8-A8190AFAA617}" xr6:coauthVersionLast="47" xr6:coauthVersionMax="47" xr10:uidLastSave="{9BE0F83B-6364-4A1E-855E-52BA555B486A}"/>
  <bookViews>
    <workbookView xWindow="7572" yWindow="1920" windowWidth="25572" windowHeight="13560" xr2:uid="{9856E883-12D9-45D3-BA06-CAF8810BFA31}"/>
  </bookViews>
  <sheets>
    <sheet name="ACCT 2700 01 (SP26)_ Foundation" sheetId="1" r:id="rId1"/>
  </sheets>
  <calcPr calcId="0"/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Q16" i="1" l="1" a="1"/>
  <c r="Q16" i="1" s="1"/>
  <c r="Q19" i="1" a="1"/>
  <c r="Q19" i="1" s="1"/>
  <c r="Q10" i="1" a="1"/>
  <c r="Q10" i="1" s="1"/>
  <c r="Q15" i="1" a="1"/>
  <c r="Q15" i="1" s="1"/>
  <c r="Q18" i="1" a="1"/>
  <c r="Q18" i="1" s="1"/>
  <c r="Q9" i="1" a="1"/>
  <c r="Q9" i="1" s="1"/>
  <c r="Q14" i="1" a="1"/>
  <c r="Q14" i="1" s="1"/>
  <c r="Q3" i="1" a="1"/>
  <c r="Q3" i="1" s="1"/>
  <c r="Q13" i="1" a="1"/>
  <c r="Q13" i="1" s="1"/>
  <c r="Q2" i="1" a="1"/>
  <c r="Q2" i="1" s="1"/>
  <c r="Q17" i="1" a="1"/>
  <c r="Q17" i="1" s="1"/>
  <c r="Q12" i="1" a="1"/>
  <c r="Q12" i="1" s="1"/>
  <c r="Q8" i="1" a="1"/>
  <c r="Q8" i="1" s="1"/>
  <c r="Q7" i="1" a="1"/>
  <c r="Q7" i="1" s="1"/>
  <c r="Q6" i="1" a="1"/>
  <c r="Q6" i="1" s="1"/>
  <c r="Q5" i="1" a="1"/>
  <c r="Q5" i="1" s="1"/>
  <c r="Q4" i="1" a="1"/>
  <c r="Q4" i="1" s="1"/>
  <c r="Q11" i="1" a="1"/>
  <c r="Q11" i="1" s="1"/>
  <c r="R21" i="1" l="1" a="1"/>
  <c r="R21" i="1" s="1"/>
  <c r="Q30" i="1" l="1"/>
  <c r="Q31" i="1"/>
  <c r="Q32" i="1"/>
  <c r="Q21" i="1"/>
  <c r="Q22" i="1"/>
  <c r="Q23" i="1"/>
  <c r="Q24" i="1"/>
  <c r="Q25" i="1"/>
  <c r="Q26" i="1"/>
  <c r="Q27" i="1"/>
  <c r="Q28" i="1"/>
  <c r="Q2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<sst xmlns="http://schemas.openxmlformats.org/spreadsheetml/2006/main" count="473" uniqueCount="244">
  <si>
    <t>Last Name</t>
  </si>
  <si>
    <t>First Name</t>
  </si>
  <si>
    <t>Pronunciation Notes</t>
  </si>
  <si>
    <t>Gender Pronouns</t>
  </si>
  <si>
    <t>Net ID</t>
  </si>
  <si>
    <t>Email</t>
  </si>
  <si>
    <t>Role</t>
  </si>
  <si>
    <t>Enrollment Status</t>
  </si>
  <si>
    <t>Section</t>
  </si>
  <si>
    <t>College</t>
  </si>
  <si>
    <t>Major (Primary)</t>
  </si>
  <si>
    <t>Major (secondary)</t>
  </si>
  <si>
    <t>Program</t>
  </si>
  <si>
    <t>Year</t>
  </si>
  <si>
    <t>Altirs</t>
  </si>
  <si>
    <t>Billy</t>
  </si>
  <si>
    <t>wga3</t>
  </si>
  <si>
    <t>billy.altirs@yale.edu</t>
  </si>
  <si>
    <t>Student</t>
  </si>
  <si>
    <t>Officially Registered</t>
  </si>
  <si>
    <t>ACCT 2700 01 (26205)</t>
  </si>
  <si>
    <t>Grace Hopper College</t>
  </si>
  <si>
    <t>Undeclared</t>
  </si>
  <si>
    <t>BA</t>
  </si>
  <si>
    <t>Ambati</t>
  </si>
  <si>
    <t>Meena</t>
  </si>
  <si>
    <t>ma2422</t>
  </si>
  <si>
    <t>meena.ambati@yale.edu</t>
  </si>
  <si>
    <t>Visitor</t>
  </si>
  <si>
    <t>Temporary Visitor</t>
  </si>
  <si>
    <t>Trumbull College</t>
  </si>
  <si>
    <t>Ecology &amp; Evolutionary Biology</t>
  </si>
  <si>
    <t>BS</t>
  </si>
  <si>
    <t>Asare</t>
  </si>
  <si>
    <t>Berkelee</t>
  </si>
  <si>
    <t>ba499</t>
  </si>
  <si>
    <t>berkelee.asare@yale.edu</t>
  </si>
  <si>
    <t>School of Public Health</t>
  </si>
  <si>
    <t>Chronic Disease Epidemiology</t>
  </si>
  <si>
    <t>MPH</t>
  </si>
  <si>
    <t>Baileff</t>
  </si>
  <si>
    <t>Issy</t>
  </si>
  <si>
    <t>igb4</t>
  </si>
  <si>
    <t>issy.baileff@yale.edu</t>
  </si>
  <si>
    <t>Timothy Dwight College</t>
  </si>
  <si>
    <t>Environmental Studies</t>
  </si>
  <si>
    <t>Berkowitz-Sklar</t>
  </si>
  <si>
    <t>Julian</t>
  </si>
  <si>
    <t>jkb73</t>
  </si>
  <si>
    <t>julian.berkowitz-sklar@yale.edu</t>
  </si>
  <si>
    <t>Morse College</t>
  </si>
  <si>
    <t>Bernard</t>
  </si>
  <si>
    <t>Jonathan</t>
  </si>
  <si>
    <t>jb3842</t>
  </si>
  <si>
    <t>jonathan.bernard@yale.edu</t>
  </si>
  <si>
    <t>History</t>
  </si>
  <si>
    <t>Berreby</t>
  </si>
  <si>
    <t>Ruben</t>
  </si>
  <si>
    <t>rmb234</t>
  </si>
  <si>
    <t>ruben.berreby@yale.edu</t>
  </si>
  <si>
    <t>Saybrook College</t>
  </si>
  <si>
    <t>Chang</t>
  </si>
  <si>
    <t>Maggie</t>
  </si>
  <si>
    <t>mc3539</t>
  </si>
  <si>
    <t>maggie.chang@yale.edu</t>
  </si>
  <si>
    <t>Molecular Biophysics &amp; Biochem</t>
  </si>
  <si>
    <t>Coffey</t>
  </si>
  <si>
    <t>Ryan</t>
  </si>
  <si>
    <t>rtc44</t>
  </si>
  <si>
    <t>ryan.coffey@yale.edu</t>
  </si>
  <si>
    <t>Branford College</t>
  </si>
  <si>
    <t>Applied Mathematics</t>
  </si>
  <si>
    <t>Combs</t>
  </si>
  <si>
    <t>Aaron</t>
  </si>
  <si>
    <t>ac3625</t>
  </si>
  <si>
    <t>aaron.combs@yale.edu</t>
  </si>
  <si>
    <t>Pierson College</t>
  </si>
  <si>
    <t>Economics</t>
  </si>
  <si>
    <t>Daniels</t>
  </si>
  <si>
    <t>Erin</t>
  </si>
  <si>
    <t>ead82</t>
  </si>
  <si>
    <t>erin.daniels@yale.edu</t>
  </si>
  <si>
    <t>Benjamin Franklin College</t>
  </si>
  <si>
    <t>Farouz</t>
  </si>
  <si>
    <t>Joseph</t>
  </si>
  <si>
    <t>jaf275</t>
  </si>
  <si>
    <t>joseph.farouz@yale.edu</t>
  </si>
  <si>
    <t>Silliman College</t>
  </si>
  <si>
    <t>Gupta</t>
  </si>
  <si>
    <t>Krish</t>
  </si>
  <si>
    <t>kg849</t>
  </si>
  <si>
    <t>krish.gupta@yale.edu</t>
  </si>
  <si>
    <t>Berkeley College</t>
  </si>
  <si>
    <t>Hansen</t>
  </si>
  <si>
    <t>Sophie</t>
  </si>
  <si>
    <t>sdh48</t>
  </si>
  <si>
    <t>sophie.hansen@yale.edu</t>
  </si>
  <si>
    <t>Davenport College</t>
  </si>
  <si>
    <t>Economics &amp; Mathematics</t>
  </si>
  <si>
    <t>Hartman</t>
  </si>
  <si>
    <t>Gabriel</t>
  </si>
  <si>
    <t>gjh33</t>
  </si>
  <si>
    <t>gabriel.hartman@yale.edu</t>
  </si>
  <si>
    <t>Huang</t>
  </si>
  <si>
    <t>Angela</t>
  </si>
  <si>
    <t>ah2625</t>
  </si>
  <si>
    <t>angela.huang.ah2625@yale.edu</t>
  </si>
  <si>
    <t>Hwang</t>
  </si>
  <si>
    <t>Kathleen</t>
  </si>
  <si>
    <t>kjh67</t>
  </si>
  <si>
    <t>kathleen.hwang@yale.edu</t>
  </si>
  <si>
    <t>Pauli Murray College</t>
  </si>
  <si>
    <t>Jones</t>
  </si>
  <si>
    <t>Sabina Mahoney</t>
  </si>
  <si>
    <t>stj22</t>
  </si>
  <si>
    <t>sabina.jones@yale.edu</t>
  </si>
  <si>
    <t>Graduate School of Arts &amp; Sci</t>
  </si>
  <si>
    <t>Comparative Literature</t>
  </si>
  <si>
    <t>PHD</t>
  </si>
  <si>
    <t>Khaing</t>
  </si>
  <si>
    <t>Ladia</t>
  </si>
  <si>
    <t>she/her/hers</t>
  </si>
  <si>
    <t>sk3484</t>
  </si>
  <si>
    <t>ladia.khaing@yale.edu</t>
  </si>
  <si>
    <t>Jonathan Edwards College</t>
  </si>
  <si>
    <t>Lai</t>
  </si>
  <si>
    <t>Kai</t>
  </si>
  <si>
    <t>kyl9</t>
  </si>
  <si>
    <t>kai.lai@yale.edu</t>
  </si>
  <si>
    <t>Cognitive Science</t>
  </si>
  <si>
    <t>Lee</t>
  </si>
  <si>
    <t>Emma</t>
  </si>
  <si>
    <t>ejl72</t>
  </si>
  <si>
    <t>emma.lee@yale.edu</t>
  </si>
  <si>
    <t>Liao</t>
  </si>
  <si>
    <t>Edward</t>
  </si>
  <si>
    <t>el856</t>
  </si>
  <si>
    <t>edward.liao@yale.edu</t>
  </si>
  <si>
    <t>Lin</t>
  </si>
  <si>
    <t>Matt</t>
  </si>
  <si>
    <t>mwl52</t>
  </si>
  <si>
    <t>matthew.lin@yale.edu</t>
  </si>
  <si>
    <t>Mackie</t>
  </si>
  <si>
    <t>Mason</t>
  </si>
  <si>
    <t>mam477</t>
  </si>
  <si>
    <t>mason.mackie@yale.edu</t>
  </si>
  <si>
    <t>Messina</t>
  </si>
  <si>
    <t>Jordan</t>
  </si>
  <si>
    <t>jkm59</t>
  </si>
  <si>
    <t>jordan.messina@yale.edu</t>
  </si>
  <si>
    <t>Mitchell</t>
  </si>
  <si>
    <t>Sydney</t>
  </si>
  <si>
    <t>sm3499</t>
  </si>
  <si>
    <t>sydney.mitchell@yale.edu</t>
  </si>
  <si>
    <t>Political Science</t>
  </si>
  <si>
    <t>Mo</t>
  </si>
  <si>
    <t>Mel</t>
  </si>
  <si>
    <t>she/her</t>
  </si>
  <si>
    <t>mxm2</t>
  </si>
  <si>
    <t>melinda.mo@yale.edu</t>
  </si>
  <si>
    <t>Statistics and Data Science</t>
  </si>
  <si>
    <t>Monaghan</t>
  </si>
  <si>
    <t>Tom</t>
  </si>
  <si>
    <t>tom8</t>
  </si>
  <si>
    <t>tom.monaghan@yale.edu</t>
  </si>
  <si>
    <t>Monks</t>
  </si>
  <si>
    <t>Isaac</t>
  </si>
  <si>
    <t>icm24</t>
  </si>
  <si>
    <t>isaac.monks@yale.edu</t>
  </si>
  <si>
    <t>American Studies</t>
  </si>
  <si>
    <t>Pankey</t>
  </si>
  <si>
    <t>Jack</t>
  </si>
  <si>
    <t>he/him/his</t>
  </si>
  <si>
    <t>jpp49</t>
  </si>
  <si>
    <t>jack.pankey@yale.edu</t>
  </si>
  <si>
    <t>Park</t>
  </si>
  <si>
    <t>Jin Woo</t>
  </si>
  <si>
    <t>jp2774</t>
  </si>
  <si>
    <t>jinwoo.park.jp2774@yale.edu</t>
  </si>
  <si>
    <t>Ezra Stiles College</t>
  </si>
  <si>
    <t>Ramirez</t>
  </si>
  <si>
    <t>Jessica</t>
  </si>
  <si>
    <t>jr2772</t>
  </si>
  <si>
    <t>jessica.ramirez@yale.edu</t>
  </si>
  <si>
    <t>Rehn</t>
  </si>
  <si>
    <t>Ashley Haiting</t>
  </si>
  <si>
    <t>hr448</t>
  </si>
  <si>
    <t>ashley.rehn@yale.edu</t>
  </si>
  <si>
    <t>Romans</t>
  </si>
  <si>
    <t>Kyle</t>
  </si>
  <si>
    <t>kar224</t>
  </si>
  <si>
    <t>kyle.romans@yale.edu</t>
  </si>
  <si>
    <t>Rosenstein</t>
  </si>
  <si>
    <t>Shua</t>
  </si>
  <si>
    <t>sr563</t>
  </si>
  <si>
    <t>shua.rosenstein@yale.edu</t>
  </si>
  <si>
    <t>Serkov</t>
  </si>
  <si>
    <t>Sasha</t>
  </si>
  <si>
    <t>oos7</t>
  </si>
  <si>
    <t>sasha.serkov@yale.edu</t>
  </si>
  <si>
    <t>Sharma</t>
  </si>
  <si>
    <t>Shaurya</t>
  </si>
  <si>
    <t>sks69</t>
  </si>
  <si>
    <t>shaurya.sharma@yale.edu</t>
  </si>
  <si>
    <t>Sutton</t>
  </si>
  <si>
    <t>Lachlan</t>
  </si>
  <si>
    <t>lws24</t>
  </si>
  <si>
    <t>lachlan.sutton@yale.edu</t>
  </si>
  <si>
    <t>Szydlowski</t>
  </si>
  <si>
    <t>Lucas</t>
  </si>
  <si>
    <t>ls2637</t>
  </si>
  <si>
    <t>lucas.szydlowski@yale.edu</t>
  </si>
  <si>
    <t>Tompkins</t>
  </si>
  <si>
    <t>Claiborne</t>
  </si>
  <si>
    <t>clt47</t>
  </si>
  <si>
    <t>claiborne.tompkins@yale.edu</t>
  </si>
  <si>
    <t>Van Pelt</t>
  </si>
  <si>
    <t>Marley</t>
  </si>
  <si>
    <t>mv662</t>
  </si>
  <si>
    <t>marley.vanpelt@yale.edu</t>
  </si>
  <si>
    <t>Wang</t>
  </si>
  <si>
    <t>Noria</t>
  </si>
  <si>
    <t>mw2465</t>
  </si>
  <si>
    <t>noria.wang@yale.edu</t>
  </si>
  <si>
    <t>Biostatistics</t>
  </si>
  <si>
    <t>Wasserman</t>
  </si>
  <si>
    <t>Dani</t>
  </si>
  <si>
    <t>dw839</t>
  </si>
  <si>
    <t>dani.wasserman@yale.edu</t>
  </si>
  <si>
    <t>Whittington</t>
  </si>
  <si>
    <t>Hettie</t>
  </si>
  <si>
    <t>hvw2</t>
  </si>
  <si>
    <t>hettie.whittington@yale.edu</t>
  </si>
  <si>
    <t>Xu</t>
  </si>
  <si>
    <t>Joya</t>
  </si>
  <si>
    <t>jyx7</t>
  </si>
  <si>
    <t>joya.xu@yale.edu</t>
  </si>
  <si>
    <t>Zhong</t>
  </si>
  <si>
    <t>Claire</t>
  </si>
  <si>
    <t>cqz2</t>
  </si>
  <si>
    <t>claire.zhong@yale.edu</t>
  </si>
  <si>
    <t>Computer Science &amp; Mathematics</t>
  </si>
  <si>
    <t>RandomNumber</t>
  </si>
  <si>
    <t>"Volunteers"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</si>
</sst>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4" xfId="0" applyFont="1" applyFill="1" applyBorder="1" applyAlignment="1">
      <alignment horizontal="centerContinuous"/>
    </xf>
    <xf numFmtId="0" fontId="0" fillId="33" borderId="15" xfId="0" applyFill="1" applyBorder="1" applyAlignment="1">
      <alignment horizontal="centerContinuous"/>
    </xf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93A8B2-80E0-4ECB-B137-F0C22276A71B}" name="Table1" displayName="Table1" ref="A1:O47" totalsRowShown="0">
  <autoFilter ref="A1:O47" xr:uid="{C393A8B2-80E0-4ECB-B137-F0C22276A71B}"/>
  <tableColumns count="15">
    <tableColumn id="1" xr3:uid="{7DAC90CF-F1DF-47D0-8DAF-D48457F49F40}" name="Last Name"/>
    <tableColumn id="2" xr3:uid="{C86B11D6-5B3F-419B-B0C3-888B14B1200E}" name="First Name"/>
    <tableColumn id="3" xr3:uid="{5B54CB57-90F4-4E72-B5ED-BC329868CB03}" name="Pronunciation Notes"/>
    <tableColumn id="4" xr3:uid="{0C61A360-D0D3-46A1-A5C4-94D5F1F5F5A0}" name="Gender Pronouns"/>
    <tableColumn id="5" xr3:uid="{8F4651E0-7197-416D-901A-05D4818AA594}" name="Net ID"/>
    <tableColumn id="6" xr3:uid="{37EF057A-15B1-4C47-ACA1-124BB96F5CAE}" name="Email"/>
    <tableColumn id="7" xr3:uid="{891E54BA-1349-4B0A-9186-343B9667C643}" name="Role"/>
    <tableColumn id="8" xr3:uid="{A40F172E-0F64-42D5-BE47-2BEFD78F4390}" name="Enrollment Status"/>
    <tableColumn id="9" xr3:uid="{50EFF81E-0BA2-48C2-9A91-032C4AA12CF0}" name="Section"/>
    <tableColumn id="10" xr3:uid="{B9C3B908-8DD5-4AC3-A2F4-A6B1ACF48B99}" name="College"/>
    <tableColumn id="11" xr3:uid="{D238F266-CA44-423E-B2DD-5C4D17277D17}" name="Major (Primary)"/>
    <tableColumn id="12" xr3:uid="{AC4E6F54-0CD7-492D-B513-D32D11C84ECE}" name="Major (secondary)"/>
    <tableColumn id="13" xr3:uid="{0CE64545-9FEC-4F7F-8211-1DE49E9AD31D}" name="Program"/>
    <tableColumn id="14" xr3:uid="{2944AB96-EF1C-4C7A-AF68-933E30288260}" name="Year"/>
    <tableColumn id="15" xr3:uid="{22993698-195D-44BB-8923-6F940800B627}" name="RandomNumber">
      <calculatedColumnFormula>RANDBETWEEN(1,46)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786B-C075-4D6C-A572-4C960226591F}">
  <dimension ref="A1:R47"/>
  <sheetViews>
    <sheetView tabSelected="1" topLeftCell="A7" workbookViewId="0">
      <selection activeCell="P9" sqref="P9"/>
    </sheetView>
  </sheetViews>
  <sheetFormatPr defaultRowHeight="14.4" x14ac:dyDescent="0.3"/>
  <cols>
    <col min="1" max="1" width="13.5546875" bestFit="1" customWidth="1"/>
    <col min="2" max="2" width="14.109375" bestFit="1" customWidth="1"/>
    <col min="3" max="3" width="19.6640625" customWidth="1"/>
    <col min="4" max="4" width="17" customWidth="1"/>
    <col min="8" max="8" width="17.6640625" customWidth="1"/>
    <col min="9" max="9" width="9.21875" customWidth="1"/>
    <col min="10" max="10" width="9.109375" customWidth="1"/>
    <col min="11" max="11" width="15.77734375" customWidth="1"/>
    <col min="12" max="12" width="17.77734375" customWidth="1"/>
    <col min="13" max="13" width="9.88671875" customWidth="1"/>
    <col min="15" max="15" width="17" bestFit="1" customWidth="1"/>
    <col min="18" max="18" width="11.8867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242</v>
      </c>
    </row>
    <row r="2" spans="1:18" x14ac:dyDescent="0.3">
      <c r="A2" t="s">
        <v>14</v>
      </c>
      <c r="B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M2" t="s">
        <v>23</v>
      </c>
      <c r="N2">
        <v>29</v>
      </c>
      <c r="O2">
        <f ca="1">RANDBETWEEN(1,46)</f>
        <v>6</v>
      </c>
      <c r="P2">
        <v>1</v>
      </c>
      <c r="Q2" t="str" cm="1">
        <f t="array" aca="1" ref="Q2:R2" ca="1">_xlfn.XLOOKUP(P2,Table1[RandomNumber],Table1[[Last Name]:[First Name]],"None",1)</f>
        <v>Monaghan</v>
      </c>
      <c r="R2" t="str">
        <f ca="1"/>
        <v>Tom</v>
      </c>
    </row>
    <row r="3" spans="1:18" x14ac:dyDescent="0.3">
      <c r="A3" t="s">
        <v>24</v>
      </c>
      <c r="B3" t="s">
        <v>25</v>
      </c>
      <c r="E3" t="s">
        <v>26</v>
      </c>
      <c r="F3" t="s">
        <v>27</v>
      </c>
      <c r="G3" t="s">
        <v>28</v>
      </c>
      <c r="H3" t="s">
        <v>29</v>
      </c>
      <c r="J3" t="s">
        <v>30</v>
      </c>
      <c r="K3" t="s">
        <v>31</v>
      </c>
      <c r="M3" t="s">
        <v>32</v>
      </c>
      <c r="N3">
        <v>26</v>
      </c>
      <c r="O3">
        <f t="shared" ref="O3:O47" ca="1" si="0">RANDBETWEEN(1,46)</f>
        <v>40</v>
      </c>
      <c r="P3">
        <v>2</v>
      </c>
      <c r="Q3" t="str" cm="1">
        <f t="array" aca="1" ref="Q3:R3" ca="1">_xlfn.XLOOKUP(P3,Table1[RandomNumber],Table1[[Last Name]:[First Name]],"None",1)</f>
        <v>Hartman</v>
      </c>
      <c r="R3" t="str">
        <f ca="1"/>
        <v>Gabriel</v>
      </c>
    </row>
    <row r="4" spans="1:18" x14ac:dyDescent="0.3">
      <c r="A4" t="s">
        <v>33</v>
      </c>
      <c r="B4" t="s">
        <v>34</v>
      </c>
      <c r="E4" t="s">
        <v>35</v>
      </c>
      <c r="F4" t="s">
        <v>36</v>
      </c>
      <c r="G4" t="s">
        <v>18</v>
      </c>
      <c r="H4" t="s">
        <v>19</v>
      </c>
      <c r="I4" t="s">
        <v>20</v>
      </c>
      <c r="J4" t="s">
        <v>37</v>
      </c>
      <c r="K4" t="s">
        <v>38</v>
      </c>
      <c r="M4" t="s">
        <v>39</v>
      </c>
      <c r="N4">
        <v>26</v>
      </c>
      <c r="O4">
        <f t="shared" ca="1" si="0"/>
        <v>10</v>
      </c>
      <c r="P4">
        <v>3</v>
      </c>
      <c r="Q4" t="str" cm="1">
        <f t="array" aca="1" ref="Q4:R4" ca="1">_xlfn.XLOOKUP(P4,Table1[RandomNumber],Table1[[Last Name]:[First Name]],"None",1)</f>
        <v>Mackie</v>
      </c>
      <c r="R4" t="str">
        <f ca="1"/>
        <v>Mason</v>
      </c>
    </row>
    <row r="5" spans="1:18" x14ac:dyDescent="0.3">
      <c r="A5" t="s">
        <v>40</v>
      </c>
      <c r="B5" t="s">
        <v>41</v>
      </c>
      <c r="E5" t="s">
        <v>42</v>
      </c>
      <c r="F5" t="s">
        <v>43</v>
      </c>
      <c r="G5" t="s">
        <v>18</v>
      </c>
      <c r="H5" t="s">
        <v>19</v>
      </c>
      <c r="I5" t="s">
        <v>20</v>
      </c>
      <c r="J5" t="s">
        <v>44</v>
      </c>
      <c r="K5" t="s">
        <v>45</v>
      </c>
      <c r="M5" t="s">
        <v>23</v>
      </c>
      <c r="N5">
        <v>28</v>
      </c>
      <c r="O5">
        <f t="shared" ca="1" si="0"/>
        <v>38</v>
      </c>
      <c r="P5">
        <v>4</v>
      </c>
      <c r="Q5" t="str" cm="1">
        <f t="array" aca="1" ref="Q5:R5" ca="1">_xlfn.XLOOKUP(P5,Table1[RandomNumber],Table1[[Last Name]:[First Name]],"None",1)</f>
        <v>Altirs</v>
      </c>
      <c r="R5" t="str">
        <f ca="1"/>
        <v>Billy</v>
      </c>
    </row>
    <row r="6" spans="1:18" x14ac:dyDescent="0.3">
      <c r="A6" t="s">
        <v>46</v>
      </c>
      <c r="B6" t="s">
        <v>47</v>
      </c>
      <c r="E6" t="s">
        <v>48</v>
      </c>
      <c r="F6" t="s">
        <v>49</v>
      </c>
      <c r="G6" t="s">
        <v>28</v>
      </c>
      <c r="H6" t="s">
        <v>29</v>
      </c>
      <c r="J6" t="s">
        <v>50</v>
      </c>
      <c r="K6" t="s">
        <v>22</v>
      </c>
      <c r="M6" t="s">
        <v>23</v>
      </c>
      <c r="N6">
        <v>28</v>
      </c>
      <c r="O6">
        <f t="shared" ca="1" si="0"/>
        <v>31</v>
      </c>
      <c r="P6">
        <v>5</v>
      </c>
      <c r="Q6" t="str" cm="1">
        <f t="array" aca="1" ref="Q6:R6" ca="1">_xlfn.XLOOKUP(P6,Table1[RandomNumber],Table1[[Last Name]:[First Name]],"None",1)</f>
        <v>Altirs</v>
      </c>
      <c r="R6" t="str">
        <f ca="1"/>
        <v>Billy</v>
      </c>
    </row>
    <row r="7" spans="1:18" x14ac:dyDescent="0.3">
      <c r="A7" t="s">
        <v>51</v>
      </c>
      <c r="B7" t="s">
        <v>52</v>
      </c>
      <c r="E7" t="s">
        <v>53</v>
      </c>
      <c r="F7" t="s">
        <v>54</v>
      </c>
      <c r="G7" t="s">
        <v>18</v>
      </c>
      <c r="H7" t="s">
        <v>19</v>
      </c>
      <c r="I7" t="s">
        <v>20</v>
      </c>
      <c r="J7" t="s">
        <v>50</v>
      </c>
      <c r="K7" t="s">
        <v>55</v>
      </c>
      <c r="M7" t="s">
        <v>23</v>
      </c>
      <c r="N7">
        <v>28</v>
      </c>
      <c r="O7">
        <f t="shared" ca="1" si="0"/>
        <v>30</v>
      </c>
      <c r="P7">
        <v>6</v>
      </c>
      <c r="Q7" t="str" cm="1">
        <f t="array" aca="1" ref="Q7:R7" ca="1">_xlfn.XLOOKUP(P7,Table1[RandomNumber],Table1[[Last Name]:[First Name]],"None",1)</f>
        <v>Altirs</v>
      </c>
      <c r="R7" t="str">
        <f ca="1"/>
        <v>Billy</v>
      </c>
    </row>
    <row r="8" spans="1:18" x14ac:dyDescent="0.3">
      <c r="A8" t="s">
        <v>56</v>
      </c>
      <c r="B8" t="s">
        <v>57</v>
      </c>
      <c r="E8" t="s">
        <v>58</v>
      </c>
      <c r="F8" t="s">
        <v>59</v>
      </c>
      <c r="G8" t="s">
        <v>18</v>
      </c>
      <c r="H8" t="s">
        <v>19</v>
      </c>
      <c r="I8" t="s">
        <v>20</v>
      </c>
      <c r="J8" t="s">
        <v>60</v>
      </c>
      <c r="K8" t="s">
        <v>22</v>
      </c>
      <c r="M8" t="s">
        <v>23</v>
      </c>
      <c r="N8">
        <v>29</v>
      </c>
      <c r="O8">
        <f t="shared" ca="1" si="0"/>
        <v>36</v>
      </c>
      <c r="P8">
        <v>7</v>
      </c>
      <c r="Q8" t="str" cm="1">
        <f t="array" aca="1" ref="Q8:R8" ca="1">_xlfn.XLOOKUP(P8,Table1[RandomNumber],Table1[[Last Name]:[First Name]],"None",1)</f>
        <v>Lai</v>
      </c>
      <c r="R8" t="str">
        <f ca="1"/>
        <v>Kai</v>
      </c>
    </row>
    <row r="9" spans="1:18" x14ac:dyDescent="0.3">
      <c r="A9" t="s">
        <v>61</v>
      </c>
      <c r="B9" t="s">
        <v>62</v>
      </c>
      <c r="E9" t="s">
        <v>63</v>
      </c>
      <c r="F9" t="s">
        <v>64</v>
      </c>
      <c r="G9" t="s">
        <v>18</v>
      </c>
      <c r="H9" t="s">
        <v>19</v>
      </c>
      <c r="I9" t="s">
        <v>20</v>
      </c>
      <c r="J9" t="s">
        <v>44</v>
      </c>
      <c r="K9" t="s">
        <v>65</v>
      </c>
      <c r="M9" t="s">
        <v>32</v>
      </c>
      <c r="N9">
        <v>27</v>
      </c>
      <c r="O9">
        <f t="shared" ca="1" si="0"/>
        <v>33</v>
      </c>
      <c r="P9">
        <v>8</v>
      </c>
      <c r="Q9" t="str" cm="1">
        <f t="array" aca="1" ref="Q9:R9" ca="1">_xlfn.XLOOKUP(P9,Table1[RandomNumber],Table1[[Last Name]:[First Name]],"None",1)</f>
        <v>Coffey</v>
      </c>
      <c r="R9" t="str">
        <f ca="1"/>
        <v>Ryan</v>
      </c>
    </row>
    <row r="10" spans="1:18" x14ac:dyDescent="0.3">
      <c r="A10" t="s">
        <v>66</v>
      </c>
      <c r="B10" t="s">
        <v>67</v>
      </c>
      <c r="E10" t="s">
        <v>68</v>
      </c>
      <c r="F10" t="s">
        <v>69</v>
      </c>
      <c r="G10" t="s">
        <v>18</v>
      </c>
      <c r="H10" t="s">
        <v>19</v>
      </c>
      <c r="I10" t="s">
        <v>20</v>
      </c>
      <c r="J10" t="s">
        <v>70</v>
      </c>
      <c r="K10" t="s">
        <v>71</v>
      </c>
      <c r="M10" t="s">
        <v>32</v>
      </c>
      <c r="N10">
        <v>28</v>
      </c>
      <c r="O10">
        <f t="shared" ca="1" si="0"/>
        <v>8</v>
      </c>
      <c r="P10">
        <v>9</v>
      </c>
      <c r="Q10" t="str" cm="1">
        <f t="array" aca="1" ref="Q10:R10" ca="1">_xlfn.XLOOKUP(P10,Table1[RandomNumber],Table1[[Last Name]:[First Name]],"None",1)</f>
        <v>Asare</v>
      </c>
      <c r="R10" t="str">
        <f ca="1"/>
        <v>Berkelee</v>
      </c>
    </row>
    <row r="11" spans="1:18" x14ac:dyDescent="0.3">
      <c r="A11" t="s">
        <v>72</v>
      </c>
      <c r="B11" t="s">
        <v>73</v>
      </c>
      <c r="E11" t="s">
        <v>74</v>
      </c>
      <c r="F11" t="s">
        <v>75</v>
      </c>
      <c r="G11" t="s">
        <v>18</v>
      </c>
      <c r="H11" t="s">
        <v>19</v>
      </c>
      <c r="I11" t="s">
        <v>20</v>
      </c>
      <c r="J11" t="s">
        <v>76</v>
      </c>
      <c r="K11" t="s">
        <v>77</v>
      </c>
      <c r="M11" t="s">
        <v>23</v>
      </c>
      <c r="N11">
        <v>28</v>
      </c>
      <c r="O11">
        <f t="shared" ca="1" si="0"/>
        <v>21</v>
      </c>
      <c r="P11">
        <v>10</v>
      </c>
      <c r="Q11" t="str" cm="1">
        <f t="array" aca="1" ref="Q11:R11" ca="1">_xlfn.XLOOKUP(P11,Table1[RandomNumber],Table1[[Last Name]:[First Name]],"None",1)</f>
        <v>Asare</v>
      </c>
      <c r="R11" t="str">
        <f ca="1"/>
        <v>Berkelee</v>
      </c>
    </row>
    <row r="12" spans="1:18" x14ac:dyDescent="0.3">
      <c r="A12" t="s">
        <v>78</v>
      </c>
      <c r="B12" t="s">
        <v>79</v>
      </c>
      <c r="E12" t="s">
        <v>80</v>
      </c>
      <c r="F12" t="s">
        <v>81</v>
      </c>
      <c r="G12" t="s">
        <v>18</v>
      </c>
      <c r="H12" t="s">
        <v>19</v>
      </c>
      <c r="I12" t="s">
        <v>20</v>
      </c>
      <c r="J12" t="s">
        <v>82</v>
      </c>
      <c r="K12" t="s">
        <v>77</v>
      </c>
      <c r="M12" t="s">
        <v>23</v>
      </c>
      <c r="N12">
        <v>27</v>
      </c>
      <c r="O12">
        <f t="shared" ca="1" si="0"/>
        <v>20</v>
      </c>
      <c r="P12">
        <v>11</v>
      </c>
      <c r="Q12" t="str" cm="1">
        <f t="array" aca="1" ref="Q12:R12" ca="1">_xlfn.XLOOKUP(P12,Table1[RandomNumber],Table1[[Last Name]:[First Name]],"None",1)</f>
        <v>Gupta</v>
      </c>
      <c r="R12" t="str">
        <f ca="1"/>
        <v>Krish</v>
      </c>
    </row>
    <row r="13" spans="1:18" x14ac:dyDescent="0.3">
      <c r="A13" t="s">
        <v>83</v>
      </c>
      <c r="B13" t="s">
        <v>84</v>
      </c>
      <c r="E13" t="s">
        <v>85</v>
      </c>
      <c r="F13" t="s">
        <v>86</v>
      </c>
      <c r="G13" t="s">
        <v>18</v>
      </c>
      <c r="H13" t="s">
        <v>19</v>
      </c>
      <c r="I13" t="s">
        <v>20</v>
      </c>
      <c r="J13" t="s">
        <v>87</v>
      </c>
      <c r="K13" t="s">
        <v>77</v>
      </c>
      <c r="M13" t="s">
        <v>23</v>
      </c>
      <c r="N13">
        <v>26</v>
      </c>
      <c r="O13">
        <f t="shared" ca="1" si="0"/>
        <v>36</v>
      </c>
      <c r="P13">
        <v>12</v>
      </c>
      <c r="Q13" t="str" cm="1">
        <f t="array" aca="1" ref="Q13:R13" ca="1">_xlfn.XLOOKUP(P13,Table1[RandomNumber],Table1[[Last Name]:[First Name]],"None",1)</f>
        <v>Hansen</v>
      </c>
      <c r="R13" t="str">
        <f ca="1"/>
        <v>Sophie</v>
      </c>
    </row>
    <row r="14" spans="1:18" x14ac:dyDescent="0.3">
      <c r="A14" t="s">
        <v>88</v>
      </c>
      <c r="B14" t="s">
        <v>89</v>
      </c>
      <c r="E14" t="s">
        <v>90</v>
      </c>
      <c r="F14" t="s">
        <v>91</v>
      </c>
      <c r="G14" t="s">
        <v>18</v>
      </c>
      <c r="H14" t="s">
        <v>19</v>
      </c>
      <c r="I14" t="s">
        <v>20</v>
      </c>
      <c r="J14" t="s">
        <v>92</v>
      </c>
      <c r="K14" t="s">
        <v>22</v>
      </c>
      <c r="M14" t="s">
        <v>23</v>
      </c>
      <c r="N14">
        <v>28</v>
      </c>
      <c r="O14">
        <f t="shared" ca="1" si="0"/>
        <v>11</v>
      </c>
      <c r="P14">
        <v>13</v>
      </c>
      <c r="Q14" t="str" cm="1">
        <f t="array" aca="1" ref="Q14:R14" ca="1">_xlfn.XLOOKUP(P14,Table1[RandomNumber],Table1[[Last Name]:[First Name]],"None",1)</f>
        <v>Hansen</v>
      </c>
      <c r="R14" t="str">
        <f ca="1"/>
        <v>Sophie</v>
      </c>
    </row>
    <row r="15" spans="1:18" x14ac:dyDescent="0.3">
      <c r="A15" t="s">
        <v>93</v>
      </c>
      <c r="B15" t="s">
        <v>94</v>
      </c>
      <c r="E15" t="s">
        <v>95</v>
      </c>
      <c r="F15" t="s">
        <v>96</v>
      </c>
      <c r="G15" t="s">
        <v>18</v>
      </c>
      <c r="H15" t="s">
        <v>19</v>
      </c>
      <c r="I15" t="s">
        <v>20</v>
      </c>
      <c r="J15" t="s">
        <v>97</v>
      </c>
      <c r="K15" t="s">
        <v>98</v>
      </c>
      <c r="M15" t="s">
        <v>23</v>
      </c>
      <c r="N15">
        <v>28</v>
      </c>
      <c r="O15">
        <f t="shared" ca="1" si="0"/>
        <v>13</v>
      </c>
      <c r="P15">
        <v>14</v>
      </c>
      <c r="Q15" t="str" cm="1">
        <f t="array" aca="1" ref="Q15:R15" ca="1">_xlfn.XLOOKUP(P15,Table1[RandomNumber],Table1[[Last Name]:[First Name]],"None",1)</f>
        <v>Zhong</v>
      </c>
      <c r="R15" t="str">
        <f ca="1"/>
        <v>Claire</v>
      </c>
    </row>
    <row r="16" spans="1:18" x14ac:dyDescent="0.3">
      <c r="A16" t="s">
        <v>99</v>
      </c>
      <c r="B16" t="s">
        <v>100</v>
      </c>
      <c r="E16" t="s">
        <v>101</v>
      </c>
      <c r="F16" t="s">
        <v>102</v>
      </c>
      <c r="G16" t="s">
        <v>18</v>
      </c>
      <c r="H16" t="s">
        <v>19</v>
      </c>
      <c r="I16" t="s">
        <v>20</v>
      </c>
      <c r="J16" t="s">
        <v>44</v>
      </c>
      <c r="K16" t="s">
        <v>77</v>
      </c>
      <c r="M16" t="s">
        <v>23</v>
      </c>
      <c r="N16">
        <v>27</v>
      </c>
      <c r="O16">
        <f t="shared" ca="1" si="0"/>
        <v>2</v>
      </c>
      <c r="P16">
        <v>15</v>
      </c>
      <c r="Q16" t="str" cm="1">
        <f t="array" aca="1" ref="Q16:R16" ca="1">_xlfn.XLOOKUP(P16,Table1[RandomNumber],Table1[[Last Name]:[First Name]],"None",1)</f>
        <v>Hwang</v>
      </c>
      <c r="R16" t="str">
        <f ca="1"/>
        <v>Kathleen</v>
      </c>
    </row>
    <row r="17" spans="1:18" x14ac:dyDescent="0.3">
      <c r="A17" t="s">
        <v>103</v>
      </c>
      <c r="B17" t="s">
        <v>104</v>
      </c>
      <c r="E17" t="s">
        <v>105</v>
      </c>
      <c r="F17" t="s">
        <v>106</v>
      </c>
      <c r="G17" t="s">
        <v>18</v>
      </c>
      <c r="H17" t="s">
        <v>19</v>
      </c>
      <c r="I17" t="s">
        <v>20</v>
      </c>
      <c r="J17" t="s">
        <v>82</v>
      </c>
      <c r="K17" t="s">
        <v>22</v>
      </c>
      <c r="M17" t="s">
        <v>23</v>
      </c>
      <c r="N17">
        <v>28</v>
      </c>
      <c r="O17">
        <f t="shared" ca="1" si="0"/>
        <v>13</v>
      </c>
      <c r="P17">
        <v>16</v>
      </c>
      <c r="Q17" t="str" cm="1">
        <f t="array" aca="1" ref="Q17:R17" ca="1">_xlfn.XLOOKUP(P17,Table1[RandomNumber],Table1[[Last Name]:[First Name]],"None",1)</f>
        <v>Hwang</v>
      </c>
      <c r="R17" t="str">
        <f ca="1"/>
        <v>Kathleen</v>
      </c>
    </row>
    <row r="18" spans="1:18" x14ac:dyDescent="0.3">
      <c r="A18" t="s">
        <v>107</v>
      </c>
      <c r="B18" t="s">
        <v>108</v>
      </c>
      <c r="E18" t="s">
        <v>109</v>
      </c>
      <c r="F18" t="s">
        <v>110</v>
      </c>
      <c r="G18" t="s">
        <v>18</v>
      </c>
      <c r="H18" t="s">
        <v>19</v>
      </c>
      <c r="I18" t="s">
        <v>20</v>
      </c>
      <c r="J18" t="s">
        <v>111</v>
      </c>
      <c r="K18" t="s">
        <v>22</v>
      </c>
      <c r="M18" t="s">
        <v>23</v>
      </c>
      <c r="N18">
        <v>29</v>
      </c>
      <c r="O18">
        <f t="shared" ca="1" si="0"/>
        <v>16</v>
      </c>
      <c r="P18">
        <v>17</v>
      </c>
      <c r="Q18" t="str" cm="1">
        <f t="array" aca="1" ref="Q18:R18" ca="1">_xlfn.XLOOKUP(P18,Table1[RandomNumber],Table1[[Last Name]:[First Name]],"None",1)</f>
        <v>Szydlowski</v>
      </c>
      <c r="R18" t="str">
        <f ca="1"/>
        <v>Lucas</v>
      </c>
    </row>
    <row r="19" spans="1:18" ht="15" thickBot="1" x14ac:dyDescent="0.35">
      <c r="A19" t="s">
        <v>112</v>
      </c>
      <c r="B19" t="s">
        <v>113</v>
      </c>
      <c r="E19" t="s">
        <v>114</v>
      </c>
      <c r="F19" t="s">
        <v>115</v>
      </c>
      <c r="G19" t="s">
        <v>18</v>
      </c>
      <c r="H19" t="s">
        <v>19</v>
      </c>
      <c r="I19" t="s">
        <v>20</v>
      </c>
      <c r="J19" t="s">
        <v>116</v>
      </c>
      <c r="K19" t="s">
        <v>117</v>
      </c>
      <c r="M19" t="s">
        <v>118</v>
      </c>
      <c r="N19">
        <v>29</v>
      </c>
      <c r="O19">
        <f t="shared" ca="1" si="0"/>
        <v>30</v>
      </c>
      <c r="P19">
        <v>18</v>
      </c>
      <c r="Q19" t="str" cm="1">
        <f t="array" aca="1" ref="Q19:R19" ca="1">_xlfn.XLOOKUP(P19,Table1[RandomNumber],Table1[[Last Name]:[First Name]],"None",1)</f>
        <v>Szydlowski</v>
      </c>
      <c r="R19" t="str">
        <f ca="1"/>
        <v>Lucas</v>
      </c>
    </row>
    <row r="20" spans="1:18" ht="15" thickBot="1" x14ac:dyDescent="0.35">
      <c r="A20" t="s">
        <v>119</v>
      </c>
      <c r="B20" t="s">
        <v>120</v>
      </c>
      <c r="D20" t="s">
        <v>121</v>
      </c>
      <c r="E20" t="s">
        <v>122</v>
      </c>
      <c r="F20" t="s">
        <v>123</v>
      </c>
      <c r="G20" t="s">
        <v>18</v>
      </c>
      <c r="H20" t="s">
        <v>19</v>
      </c>
      <c r="I20" t="s">
        <v>20</v>
      </c>
      <c r="J20" t="s">
        <v>124</v>
      </c>
      <c r="K20" t="s">
        <v>22</v>
      </c>
      <c r="M20" t="s">
        <v>23</v>
      </c>
      <c r="N20">
        <v>29</v>
      </c>
      <c r="O20">
        <f t="shared" ca="1" si="0"/>
        <v>31</v>
      </c>
      <c r="Q20" s="1" t="s">
        <v>243</v>
      </c>
      <c r="R20" s="2"/>
    </row>
    <row r="21" spans="1:18" x14ac:dyDescent="0.3">
      <c r="A21" t="s">
        <v>125</v>
      </c>
      <c r="B21" t="s">
        <v>126</v>
      </c>
      <c r="E21" t="s">
        <v>127</v>
      </c>
      <c r="F21" t="s">
        <v>128</v>
      </c>
      <c r="G21" t="s">
        <v>18</v>
      </c>
      <c r="H21" t="s">
        <v>19</v>
      </c>
      <c r="I21" t="s">
        <v>20</v>
      </c>
      <c r="J21" t="s">
        <v>70</v>
      </c>
      <c r="K21" t="s">
        <v>129</v>
      </c>
      <c r="M21" t="s">
        <v>23</v>
      </c>
      <c r="N21">
        <v>27</v>
      </c>
      <c r="O21">
        <f t="shared" ca="1" si="0"/>
        <v>7</v>
      </c>
      <c r="Q21" s="3" t="str">
        <f ca="1">_xlfn.XLOOKUP(R21,Q2:Q19,R2:R19,"No first name found",0,1)</f>
        <v>Tom</v>
      </c>
      <c r="R21" s="4" t="str" cm="1">
        <f t="array" aca="1" ref="R21:R32" ca="1">_xlfn.UNIQUE(Q2:Q19)</f>
        <v>Monaghan</v>
      </c>
    </row>
    <row r="22" spans="1:18" x14ac:dyDescent="0.3">
      <c r="A22" t="s">
        <v>130</v>
      </c>
      <c r="B22" t="s">
        <v>131</v>
      </c>
      <c r="E22" t="s">
        <v>132</v>
      </c>
      <c r="F22" t="s">
        <v>133</v>
      </c>
      <c r="G22" t="s">
        <v>18</v>
      </c>
      <c r="H22" t="s">
        <v>19</v>
      </c>
      <c r="I22" t="s">
        <v>20</v>
      </c>
      <c r="J22" t="s">
        <v>21</v>
      </c>
      <c r="K22" t="s">
        <v>22</v>
      </c>
      <c r="M22" t="s">
        <v>23</v>
      </c>
      <c r="N22">
        <v>29</v>
      </c>
      <c r="O22">
        <f t="shared" ca="1" si="0"/>
        <v>38</v>
      </c>
      <c r="Q22" s="3" t="str">
        <f t="shared" ref="Q22:Q32" ca="1" si="1">_xlfn.XLOOKUP(R22,Q3:Q20,R3:R20,"No first name found",0,1)</f>
        <v>Gabriel</v>
      </c>
      <c r="R22" s="4" t="str">
        <f ca="1"/>
        <v>Hartman</v>
      </c>
    </row>
    <row r="23" spans="1:18" x14ac:dyDescent="0.3">
      <c r="A23" t="s">
        <v>134</v>
      </c>
      <c r="B23" t="s">
        <v>135</v>
      </c>
      <c r="E23" t="s">
        <v>136</v>
      </c>
      <c r="F23" t="s">
        <v>137</v>
      </c>
      <c r="G23" t="s">
        <v>18</v>
      </c>
      <c r="H23" t="s">
        <v>19</v>
      </c>
      <c r="I23" t="s">
        <v>20</v>
      </c>
      <c r="J23" t="s">
        <v>76</v>
      </c>
      <c r="K23" t="s">
        <v>22</v>
      </c>
      <c r="M23" t="s">
        <v>23</v>
      </c>
      <c r="N23">
        <v>28</v>
      </c>
      <c r="O23">
        <f t="shared" ca="1" si="0"/>
        <v>8</v>
      </c>
      <c r="Q23" s="3" t="str">
        <f t="shared" ca="1" si="1"/>
        <v>Mason</v>
      </c>
      <c r="R23" s="4" t="str">
        <f ca="1"/>
        <v>Mackie</v>
      </c>
    </row>
    <row r="24" spans="1:18" x14ac:dyDescent="0.3">
      <c r="A24" t="s">
        <v>138</v>
      </c>
      <c r="B24" t="s">
        <v>139</v>
      </c>
      <c r="E24" t="s">
        <v>140</v>
      </c>
      <c r="F24" t="s">
        <v>141</v>
      </c>
      <c r="G24" t="s">
        <v>18</v>
      </c>
      <c r="H24" t="s">
        <v>19</v>
      </c>
      <c r="I24" t="s">
        <v>20</v>
      </c>
      <c r="J24" t="s">
        <v>76</v>
      </c>
      <c r="K24" t="s">
        <v>22</v>
      </c>
      <c r="M24" t="s">
        <v>23</v>
      </c>
      <c r="N24">
        <v>28</v>
      </c>
      <c r="O24">
        <f t="shared" ca="1" si="0"/>
        <v>10</v>
      </c>
      <c r="Q24" s="3" t="str">
        <f t="shared" ca="1" si="1"/>
        <v>Billy</v>
      </c>
      <c r="R24" s="4" t="str">
        <f ca="1"/>
        <v>Altirs</v>
      </c>
    </row>
    <row r="25" spans="1:18" x14ac:dyDescent="0.3">
      <c r="A25" t="s">
        <v>142</v>
      </c>
      <c r="B25" t="s">
        <v>143</v>
      </c>
      <c r="E25" t="s">
        <v>144</v>
      </c>
      <c r="F25" t="s">
        <v>145</v>
      </c>
      <c r="G25" t="s">
        <v>18</v>
      </c>
      <c r="H25" t="s">
        <v>19</v>
      </c>
      <c r="I25" t="s">
        <v>20</v>
      </c>
      <c r="J25" t="s">
        <v>70</v>
      </c>
      <c r="K25" t="s">
        <v>77</v>
      </c>
      <c r="M25" t="s">
        <v>23</v>
      </c>
      <c r="N25">
        <v>27</v>
      </c>
      <c r="O25">
        <f t="shared" ca="1" si="0"/>
        <v>3</v>
      </c>
      <c r="Q25" s="3" t="str">
        <f t="shared" ca="1" si="1"/>
        <v>Kai</v>
      </c>
      <c r="R25" s="4" t="str">
        <f ca="1"/>
        <v>Lai</v>
      </c>
    </row>
    <row r="26" spans="1:18" x14ac:dyDescent="0.3">
      <c r="A26" t="s">
        <v>146</v>
      </c>
      <c r="B26" t="s">
        <v>147</v>
      </c>
      <c r="E26" t="s">
        <v>148</v>
      </c>
      <c r="F26" t="s">
        <v>149</v>
      </c>
      <c r="G26" t="s">
        <v>18</v>
      </c>
      <c r="H26" t="s">
        <v>19</v>
      </c>
      <c r="I26" t="s">
        <v>20</v>
      </c>
      <c r="J26" t="s">
        <v>21</v>
      </c>
      <c r="K26" t="s">
        <v>77</v>
      </c>
      <c r="M26" t="s">
        <v>23</v>
      </c>
      <c r="N26">
        <v>26</v>
      </c>
      <c r="O26">
        <f t="shared" ca="1" si="0"/>
        <v>43</v>
      </c>
      <c r="Q26" s="3" t="str">
        <f t="shared" ca="1" si="1"/>
        <v>Ryan</v>
      </c>
      <c r="R26" s="4" t="str">
        <f ca="1"/>
        <v>Coffey</v>
      </c>
    </row>
    <row r="27" spans="1:18" ht="15" thickBot="1" x14ac:dyDescent="0.35">
      <c r="A27" t="s">
        <v>150</v>
      </c>
      <c r="B27" t="s">
        <v>151</v>
      </c>
      <c r="E27" t="s">
        <v>152</v>
      </c>
      <c r="F27" t="s">
        <v>153</v>
      </c>
      <c r="G27" t="s">
        <v>18</v>
      </c>
      <c r="H27" t="s">
        <v>19</v>
      </c>
      <c r="I27" t="s">
        <v>20</v>
      </c>
      <c r="J27" t="s">
        <v>76</v>
      </c>
      <c r="K27" t="s">
        <v>154</v>
      </c>
      <c r="M27" t="s">
        <v>23</v>
      </c>
      <c r="N27">
        <v>27</v>
      </c>
      <c r="O27">
        <f t="shared" ca="1" si="0"/>
        <v>44</v>
      </c>
      <c r="Q27" s="5" t="str">
        <f t="shared" ca="1" si="1"/>
        <v>Berkelee</v>
      </c>
      <c r="R27" s="6" t="str">
        <f ca="1"/>
        <v>Asare</v>
      </c>
    </row>
    <row r="28" spans="1:18" x14ac:dyDescent="0.3">
      <c r="A28" t="s">
        <v>155</v>
      </c>
      <c r="B28" t="s">
        <v>156</v>
      </c>
      <c r="D28" t="s">
        <v>157</v>
      </c>
      <c r="E28" t="s">
        <v>158</v>
      </c>
      <c r="F28" t="s">
        <v>159</v>
      </c>
      <c r="G28" t="s">
        <v>18</v>
      </c>
      <c r="H28" t="s">
        <v>19</v>
      </c>
      <c r="I28" t="s">
        <v>20</v>
      </c>
      <c r="J28" t="s">
        <v>76</v>
      </c>
      <c r="K28" t="s">
        <v>160</v>
      </c>
      <c r="M28" t="s">
        <v>23</v>
      </c>
      <c r="N28">
        <v>28</v>
      </c>
      <c r="O28">
        <f t="shared" ca="1" si="0"/>
        <v>28</v>
      </c>
      <c r="Q28" t="str">
        <f t="shared" ca="1" si="1"/>
        <v>Krish</v>
      </c>
      <c r="R28" t="str">
        <f ca="1"/>
        <v>Gupta</v>
      </c>
    </row>
    <row r="29" spans="1:18" x14ac:dyDescent="0.3">
      <c r="A29" t="s">
        <v>161</v>
      </c>
      <c r="B29" t="s">
        <v>162</v>
      </c>
      <c r="E29" t="s">
        <v>163</v>
      </c>
      <c r="F29" t="s">
        <v>164</v>
      </c>
      <c r="G29" t="s">
        <v>18</v>
      </c>
      <c r="H29" t="s">
        <v>19</v>
      </c>
      <c r="I29" t="s">
        <v>20</v>
      </c>
      <c r="J29" t="s">
        <v>97</v>
      </c>
      <c r="K29" t="s">
        <v>154</v>
      </c>
      <c r="M29" t="s">
        <v>23</v>
      </c>
      <c r="N29">
        <v>26</v>
      </c>
      <c r="O29">
        <f t="shared" ca="1" si="0"/>
        <v>1</v>
      </c>
      <c r="Q29" t="str">
        <f t="shared" ca="1" si="1"/>
        <v>Sophie</v>
      </c>
      <c r="R29" t="str">
        <f ca="1"/>
        <v>Hansen</v>
      </c>
    </row>
    <row r="30" spans="1:18" x14ac:dyDescent="0.3">
      <c r="A30" t="s">
        <v>165</v>
      </c>
      <c r="B30" t="s">
        <v>166</v>
      </c>
      <c r="E30" t="s">
        <v>167</v>
      </c>
      <c r="F30" t="s">
        <v>168</v>
      </c>
      <c r="G30" t="s">
        <v>18</v>
      </c>
      <c r="H30" t="s">
        <v>19</v>
      </c>
      <c r="I30" t="s">
        <v>20</v>
      </c>
      <c r="J30" t="s">
        <v>44</v>
      </c>
      <c r="K30" t="s">
        <v>169</v>
      </c>
      <c r="M30" t="s">
        <v>23</v>
      </c>
      <c r="N30">
        <v>28</v>
      </c>
      <c r="O30">
        <f t="shared" ca="1" si="0"/>
        <v>36</v>
      </c>
      <c r="Q30" t="str">
        <f t="shared" ca="1" si="1"/>
        <v>Claire</v>
      </c>
      <c r="R30" t="str">
        <f ca="1"/>
        <v>Zhong</v>
      </c>
    </row>
    <row r="31" spans="1:18" x14ac:dyDescent="0.3">
      <c r="A31" t="s">
        <v>170</v>
      </c>
      <c r="B31" t="s">
        <v>171</v>
      </c>
      <c r="D31" t="s">
        <v>172</v>
      </c>
      <c r="E31" t="s">
        <v>173</v>
      </c>
      <c r="F31" t="s">
        <v>174</v>
      </c>
      <c r="G31" t="s">
        <v>18</v>
      </c>
      <c r="H31" t="s">
        <v>19</v>
      </c>
      <c r="I31" t="s">
        <v>20</v>
      </c>
      <c r="J31" t="s">
        <v>76</v>
      </c>
      <c r="K31" t="s">
        <v>55</v>
      </c>
      <c r="M31" t="s">
        <v>23</v>
      </c>
      <c r="N31">
        <v>27</v>
      </c>
      <c r="O31">
        <f t="shared" ca="1" si="0"/>
        <v>46</v>
      </c>
      <c r="Q31" t="str">
        <f t="shared" ca="1" si="1"/>
        <v>Kathleen</v>
      </c>
      <c r="R31" t="str">
        <f ca="1"/>
        <v>Hwang</v>
      </c>
    </row>
    <row r="32" spans="1:18" x14ac:dyDescent="0.3">
      <c r="A32" t="s">
        <v>175</v>
      </c>
      <c r="B32" t="s">
        <v>176</v>
      </c>
      <c r="E32" t="s">
        <v>177</v>
      </c>
      <c r="F32" t="s">
        <v>178</v>
      </c>
      <c r="G32" t="s">
        <v>18</v>
      </c>
      <c r="H32" t="s">
        <v>19</v>
      </c>
      <c r="I32" t="s">
        <v>20</v>
      </c>
      <c r="J32" t="s">
        <v>179</v>
      </c>
      <c r="K32" t="s">
        <v>77</v>
      </c>
      <c r="M32" t="s">
        <v>23</v>
      </c>
      <c r="N32">
        <v>26</v>
      </c>
      <c r="O32">
        <f t="shared" ca="1" si="0"/>
        <v>33</v>
      </c>
      <c r="Q32" t="str">
        <f t="shared" ca="1" si="1"/>
        <v>Lucas</v>
      </c>
      <c r="R32" t="str">
        <f ca="1"/>
        <v>Szydlowski</v>
      </c>
    </row>
    <row r="33" spans="1:15" x14ac:dyDescent="0.3">
      <c r="A33" t="s">
        <v>180</v>
      </c>
      <c r="B33" t="s">
        <v>181</v>
      </c>
      <c r="E33" t="s">
        <v>182</v>
      </c>
      <c r="F33" t="s">
        <v>183</v>
      </c>
      <c r="G33" t="s">
        <v>28</v>
      </c>
      <c r="H33" t="s">
        <v>29</v>
      </c>
      <c r="J33" t="s">
        <v>76</v>
      </c>
      <c r="K33" t="s">
        <v>22</v>
      </c>
      <c r="M33" t="s">
        <v>23</v>
      </c>
      <c r="N33">
        <v>28</v>
      </c>
      <c r="O33">
        <f t="shared" ca="1" si="0"/>
        <v>40</v>
      </c>
    </row>
    <row r="34" spans="1:15" x14ac:dyDescent="0.3">
      <c r="A34" t="s">
        <v>184</v>
      </c>
      <c r="B34" t="s">
        <v>185</v>
      </c>
      <c r="E34" t="s">
        <v>186</v>
      </c>
      <c r="F34" t="s">
        <v>187</v>
      </c>
      <c r="G34" t="s">
        <v>28</v>
      </c>
      <c r="H34" t="s">
        <v>29</v>
      </c>
      <c r="J34" t="s">
        <v>37</v>
      </c>
      <c r="K34" t="s">
        <v>38</v>
      </c>
      <c r="M34" t="s">
        <v>39</v>
      </c>
      <c r="N34">
        <v>26</v>
      </c>
      <c r="O34">
        <f t="shared" ca="1" si="0"/>
        <v>25</v>
      </c>
    </row>
    <row r="35" spans="1:15" x14ac:dyDescent="0.3">
      <c r="A35" t="s">
        <v>188</v>
      </c>
      <c r="B35" t="s">
        <v>189</v>
      </c>
      <c r="E35" t="s">
        <v>190</v>
      </c>
      <c r="F35" t="s">
        <v>191</v>
      </c>
      <c r="G35" t="s">
        <v>18</v>
      </c>
      <c r="H35" t="s">
        <v>19</v>
      </c>
      <c r="I35" t="s">
        <v>20</v>
      </c>
      <c r="J35" t="s">
        <v>50</v>
      </c>
      <c r="K35" t="s">
        <v>154</v>
      </c>
      <c r="M35" t="s">
        <v>23</v>
      </c>
      <c r="N35">
        <v>27</v>
      </c>
      <c r="O35">
        <f t="shared" ca="1" si="0"/>
        <v>30</v>
      </c>
    </row>
    <row r="36" spans="1:15" x14ac:dyDescent="0.3">
      <c r="A36" t="s">
        <v>192</v>
      </c>
      <c r="B36" t="s">
        <v>193</v>
      </c>
      <c r="E36" t="s">
        <v>194</v>
      </c>
      <c r="F36" t="s">
        <v>195</v>
      </c>
      <c r="G36" t="s">
        <v>18</v>
      </c>
      <c r="H36" t="s">
        <v>19</v>
      </c>
      <c r="I36" t="s">
        <v>20</v>
      </c>
      <c r="J36" t="s">
        <v>76</v>
      </c>
      <c r="K36" t="s">
        <v>55</v>
      </c>
      <c r="M36" t="s">
        <v>23</v>
      </c>
      <c r="N36">
        <v>28</v>
      </c>
      <c r="O36">
        <f t="shared" ca="1" si="0"/>
        <v>10</v>
      </c>
    </row>
    <row r="37" spans="1:15" x14ac:dyDescent="0.3">
      <c r="A37" t="s">
        <v>196</v>
      </c>
      <c r="B37" t="s">
        <v>197</v>
      </c>
      <c r="E37" t="s">
        <v>198</v>
      </c>
      <c r="F37" t="s">
        <v>199</v>
      </c>
      <c r="G37" t="s">
        <v>18</v>
      </c>
      <c r="H37" t="s">
        <v>19</v>
      </c>
      <c r="I37" t="s">
        <v>20</v>
      </c>
      <c r="J37" t="s">
        <v>44</v>
      </c>
      <c r="K37" t="s">
        <v>22</v>
      </c>
      <c r="M37" t="s">
        <v>23</v>
      </c>
      <c r="N37">
        <v>29</v>
      </c>
      <c r="O37">
        <f t="shared" ca="1" si="0"/>
        <v>10</v>
      </c>
    </row>
    <row r="38" spans="1:15" x14ac:dyDescent="0.3">
      <c r="A38" t="s">
        <v>200</v>
      </c>
      <c r="B38" t="s">
        <v>201</v>
      </c>
      <c r="E38" t="s">
        <v>202</v>
      </c>
      <c r="F38" t="s">
        <v>203</v>
      </c>
      <c r="G38" t="s">
        <v>18</v>
      </c>
      <c r="H38" t="s">
        <v>19</v>
      </c>
      <c r="I38" t="s">
        <v>20</v>
      </c>
      <c r="J38" t="s">
        <v>82</v>
      </c>
      <c r="K38" t="s">
        <v>22</v>
      </c>
      <c r="M38" t="s">
        <v>23</v>
      </c>
      <c r="N38">
        <v>29</v>
      </c>
      <c r="O38">
        <f t="shared" ca="1" si="0"/>
        <v>16</v>
      </c>
    </row>
    <row r="39" spans="1:15" x14ac:dyDescent="0.3">
      <c r="A39" t="s">
        <v>204</v>
      </c>
      <c r="B39" t="s">
        <v>205</v>
      </c>
      <c r="E39" t="s">
        <v>206</v>
      </c>
      <c r="F39" t="s">
        <v>207</v>
      </c>
      <c r="G39" t="s">
        <v>18</v>
      </c>
      <c r="H39" t="s">
        <v>19</v>
      </c>
      <c r="I39" t="s">
        <v>20</v>
      </c>
      <c r="J39" t="s">
        <v>50</v>
      </c>
      <c r="K39" t="s">
        <v>154</v>
      </c>
      <c r="M39" t="s">
        <v>23</v>
      </c>
      <c r="N39">
        <v>27</v>
      </c>
      <c r="O39">
        <f t="shared" ca="1" si="0"/>
        <v>45</v>
      </c>
    </row>
    <row r="40" spans="1:15" x14ac:dyDescent="0.3">
      <c r="A40" t="s">
        <v>208</v>
      </c>
      <c r="B40" t="s">
        <v>209</v>
      </c>
      <c r="E40" t="s">
        <v>210</v>
      </c>
      <c r="F40" t="s">
        <v>211</v>
      </c>
      <c r="G40" t="s">
        <v>18</v>
      </c>
      <c r="H40" t="s">
        <v>19</v>
      </c>
      <c r="I40" t="s">
        <v>20</v>
      </c>
      <c r="J40" t="s">
        <v>124</v>
      </c>
      <c r="K40" t="s">
        <v>22</v>
      </c>
      <c r="M40" t="s">
        <v>23</v>
      </c>
      <c r="N40">
        <v>29</v>
      </c>
      <c r="O40">
        <f t="shared" ca="1" si="0"/>
        <v>19</v>
      </c>
    </row>
    <row r="41" spans="1:15" x14ac:dyDescent="0.3">
      <c r="A41" t="s">
        <v>212</v>
      </c>
      <c r="B41" t="s">
        <v>213</v>
      </c>
      <c r="E41" t="s">
        <v>214</v>
      </c>
      <c r="F41" t="s">
        <v>215</v>
      </c>
      <c r="G41" t="s">
        <v>18</v>
      </c>
      <c r="H41" t="s">
        <v>19</v>
      </c>
      <c r="I41" t="s">
        <v>20</v>
      </c>
      <c r="J41" t="s">
        <v>60</v>
      </c>
      <c r="K41" t="s">
        <v>22</v>
      </c>
      <c r="M41" t="s">
        <v>23</v>
      </c>
      <c r="N41">
        <v>29</v>
      </c>
      <c r="O41">
        <f t="shared" ca="1" si="0"/>
        <v>40</v>
      </c>
    </row>
    <row r="42" spans="1:15" x14ac:dyDescent="0.3">
      <c r="A42" t="s">
        <v>216</v>
      </c>
      <c r="B42" t="s">
        <v>217</v>
      </c>
      <c r="E42" t="s">
        <v>218</v>
      </c>
      <c r="F42" t="s">
        <v>219</v>
      </c>
      <c r="G42" t="s">
        <v>28</v>
      </c>
      <c r="H42" t="s">
        <v>29</v>
      </c>
      <c r="J42" t="s">
        <v>60</v>
      </c>
      <c r="K42" t="s">
        <v>22</v>
      </c>
      <c r="M42" t="s">
        <v>23</v>
      </c>
      <c r="N42">
        <v>29</v>
      </c>
      <c r="O42">
        <f t="shared" ca="1" si="0"/>
        <v>32</v>
      </c>
    </row>
    <row r="43" spans="1:15" x14ac:dyDescent="0.3">
      <c r="A43" t="s">
        <v>220</v>
      </c>
      <c r="B43" t="s">
        <v>221</v>
      </c>
      <c r="E43" t="s">
        <v>222</v>
      </c>
      <c r="F43" t="s">
        <v>223</v>
      </c>
      <c r="G43" t="s">
        <v>18</v>
      </c>
      <c r="H43" t="s">
        <v>19</v>
      </c>
      <c r="I43" t="s">
        <v>20</v>
      </c>
      <c r="J43" t="s">
        <v>37</v>
      </c>
      <c r="K43" t="s">
        <v>224</v>
      </c>
      <c r="M43" t="s">
        <v>39</v>
      </c>
      <c r="N43">
        <v>27</v>
      </c>
      <c r="O43">
        <f t="shared" ca="1" si="0"/>
        <v>2</v>
      </c>
    </row>
    <row r="44" spans="1:15" x14ac:dyDescent="0.3">
      <c r="A44" t="s">
        <v>225</v>
      </c>
      <c r="B44" t="s">
        <v>226</v>
      </c>
      <c r="E44" t="s">
        <v>227</v>
      </c>
      <c r="F44" t="s">
        <v>228</v>
      </c>
      <c r="G44" t="s">
        <v>18</v>
      </c>
      <c r="H44" t="s">
        <v>19</v>
      </c>
      <c r="I44" t="s">
        <v>20</v>
      </c>
      <c r="J44" t="s">
        <v>50</v>
      </c>
      <c r="K44" t="s">
        <v>22</v>
      </c>
      <c r="M44" t="s">
        <v>23</v>
      </c>
      <c r="N44">
        <v>28</v>
      </c>
      <c r="O44">
        <f t="shared" ca="1" si="0"/>
        <v>37</v>
      </c>
    </row>
    <row r="45" spans="1:15" x14ac:dyDescent="0.3">
      <c r="A45" t="s">
        <v>229</v>
      </c>
      <c r="B45" t="s">
        <v>230</v>
      </c>
      <c r="E45" t="s">
        <v>231</v>
      </c>
      <c r="F45" t="s">
        <v>232</v>
      </c>
      <c r="G45" t="s">
        <v>18</v>
      </c>
      <c r="H45" t="s">
        <v>19</v>
      </c>
      <c r="I45" t="s">
        <v>20</v>
      </c>
      <c r="J45" t="s">
        <v>82</v>
      </c>
      <c r="K45" t="s">
        <v>77</v>
      </c>
      <c r="M45" t="s">
        <v>23</v>
      </c>
      <c r="N45">
        <v>27</v>
      </c>
      <c r="O45">
        <f t="shared" ca="1" si="0"/>
        <v>3</v>
      </c>
    </row>
    <row r="46" spans="1:15" x14ac:dyDescent="0.3">
      <c r="A46" t="s">
        <v>233</v>
      </c>
      <c r="B46" t="s">
        <v>234</v>
      </c>
      <c r="E46" t="s">
        <v>235</v>
      </c>
      <c r="F46" t="s">
        <v>236</v>
      </c>
      <c r="G46" t="s">
        <v>18</v>
      </c>
      <c r="H46" t="s">
        <v>19</v>
      </c>
      <c r="I46" t="s">
        <v>20</v>
      </c>
      <c r="J46" t="s">
        <v>60</v>
      </c>
      <c r="K46" t="s">
        <v>22</v>
      </c>
      <c r="M46" t="s">
        <v>23</v>
      </c>
      <c r="N46">
        <v>29</v>
      </c>
      <c r="O46">
        <f t="shared" ca="1" si="0"/>
        <v>41</v>
      </c>
    </row>
    <row r="47" spans="1:15" x14ac:dyDescent="0.3">
      <c r="A47" t="s">
        <v>237</v>
      </c>
      <c r="B47" t="s">
        <v>238</v>
      </c>
      <c r="E47" t="s">
        <v>239</v>
      </c>
      <c r="F47" t="s">
        <v>240</v>
      </c>
      <c r="G47" t="s">
        <v>28</v>
      </c>
      <c r="H47" t="s">
        <v>29</v>
      </c>
      <c r="J47" t="s">
        <v>70</v>
      </c>
      <c r="K47" t="s">
        <v>241</v>
      </c>
      <c r="M47" t="s">
        <v>32</v>
      </c>
      <c r="N47">
        <v>28</v>
      </c>
      <c r="O47">
        <f t="shared" ca="1" si="0"/>
        <v>14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d8cbebb-2139-4df8-b411-4e3e87abeb5c}" enabled="0" method="" siteId="{dd8cbebb-2139-4df8-b411-4e3e87abe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ACCT 2700 01 (SP26)_ Foundation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Antle, Rick</cp:lastModifiedBy>
  <dcterms:created xsi:type="dcterms:W3CDTF">2026-01-22T20:06:30Z</dcterms:created>
  <dcterms:modified xsi:type="dcterms:W3CDTF">2026-01-22T20:32:10Z</dcterms:modified>
</cp:coreProperties>
</file>