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trlProps/ctrlProp12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Courses/ACCT270/ACCT270-S25/Class/04/"/>
    </mc:Choice>
  </mc:AlternateContent>
  <xr:revisionPtr revIDLastSave="189" documentId="8_{BEDA7E7B-A896-41D4-8B08-CC3D1AD692C9}" xr6:coauthVersionLast="47" xr6:coauthVersionMax="47" xr10:uidLastSave="{9B435CD0-F0D7-44F4-ABA0-9FCC82376A87}"/>
  <workbookProtection workbookAlgorithmName="SHA-512" workbookHashValue="zl1qm0VyGgD/RpbwHVZdj12lJOYWcGcbUhPstMyYzbr0OUcrm4eWiHqc6iesaanw/dr7oVG+DyL+io3x86Ka0w==" workbookSaltValue="0zxKRJ6i/JPDwu3UwFqnSQ==" workbookSpinCount="100000" lockStructure="1"/>
  <bookViews>
    <workbookView xWindow="15528" yWindow="1884" windowWidth="27216" windowHeight="15372" xr2:uid="{1B038EA8-29B0-4A16-A0F1-8E923D7F77C6}"/>
  </bookViews>
  <sheets>
    <sheet name="Instructions" sheetId="5" r:id="rId1"/>
    <sheet name="Coupon Bond Value Through Time" sheetId="1" r:id="rId2"/>
    <sheet name="Change in Interest Rate" sheetId="3" r:id="rId3"/>
    <sheet name="CBVTT" sheetId="6" state="hidden" r:id="rId4"/>
    <sheet name="CIR" sheetId="7" state="hidden" r:id="rId5"/>
  </sheets>
  <definedNames>
    <definedName name="Coupon_Rate" localSheetId="2">'Change in Interest Rate'!$B$4</definedName>
    <definedName name="Coupon_Rate" localSheetId="4">CIR!$B$4</definedName>
    <definedName name="Coupon_Rate">'Coupon Bond Value Through Time'!$B$4</definedName>
    <definedName name="Face_Value" localSheetId="2">'Change in Interest Rate'!$B$3</definedName>
    <definedName name="Face_Value" localSheetId="4">CIR!$B$3</definedName>
    <definedName name="Face_Value">'Coupon Bond Value Through Time'!$B$3</definedName>
    <definedName name="Initial_Interest_Rate" localSheetId="2">'Change in Interest Rate'!$B$6</definedName>
    <definedName name="Initial_Interest_Rate" localSheetId="4">CIR!$B$6</definedName>
    <definedName name="Initial_Interest_Rate">'Coupon Bond Value Through Time'!$B$6</definedName>
    <definedName name="Interest_Rate" localSheetId="2">'Change in Interest Rate'!$B$6</definedName>
    <definedName name="Interest_Rate" localSheetId="4">CIR!$B$6</definedName>
    <definedName name="Interest_Rate">'Coupon Bond Value Through Time'!$B$6</definedName>
    <definedName name="Life" localSheetId="2">'Change in Interest Rate'!$B$5</definedName>
    <definedName name="Life" localSheetId="4">CIR!$B$5</definedName>
    <definedName name="Life">'Coupon Bond Value Through Time'!$B$5</definedName>
    <definedName name="New_Interest_Rate" localSheetId="2">'Change in Interest Rate'!$B$7</definedName>
    <definedName name="New_Interest_Rate" localSheetId="4">CIR!$B$7</definedName>
    <definedName name="New_Interest_Rate">'Coupon Bond Value Through Time'!$B$7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3" l="1"/>
  <c r="B36" i="3"/>
  <c r="B36" i="1"/>
  <c r="Y151" i="7"/>
  <c r="Y152" i="7" s="1"/>
  <c r="C151" i="7"/>
  <c r="B151" i="7"/>
  <c r="D151" i="7" s="1"/>
  <c r="B150" i="7"/>
  <c r="D150" i="7" s="1"/>
  <c r="B149" i="7"/>
  <c r="D149" i="7" s="1"/>
  <c r="B148" i="7"/>
  <c r="D148" i="7" s="1"/>
  <c r="B147" i="7"/>
  <c r="D147" i="7" s="1"/>
  <c r="B146" i="7"/>
  <c r="D146" i="7" s="1"/>
  <c r="B145" i="7"/>
  <c r="D145" i="7" s="1"/>
  <c r="B144" i="7"/>
  <c r="D144" i="7" s="1"/>
  <c r="B143" i="7"/>
  <c r="D143" i="7" s="1"/>
  <c r="B142" i="7"/>
  <c r="D142" i="7" s="1"/>
  <c r="B141" i="7"/>
  <c r="D141" i="7" s="1"/>
  <c r="B140" i="7"/>
  <c r="D140" i="7" s="1"/>
  <c r="L139" i="7"/>
  <c r="K139" i="7"/>
  <c r="J139" i="7"/>
  <c r="D139" i="7"/>
  <c r="I139" i="7" s="1"/>
  <c r="B139" i="7"/>
  <c r="B138" i="7"/>
  <c r="D138" i="7" s="1"/>
  <c r="B137" i="7"/>
  <c r="D137" i="7" s="1"/>
  <c r="D136" i="7"/>
  <c r="I136" i="7" s="1"/>
  <c r="B136" i="7"/>
  <c r="B135" i="7"/>
  <c r="D135" i="7" s="1"/>
  <c r="B134" i="7"/>
  <c r="D134" i="7" s="1"/>
  <c r="D133" i="7"/>
  <c r="F133" i="7" s="1"/>
  <c r="B133" i="7"/>
  <c r="D132" i="7"/>
  <c r="E132" i="7" s="1"/>
  <c r="B132" i="7"/>
  <c r="Y128" i="7"/>
  <c r="Y127" i="7"/>
  <c r="C127" i="7"/>
  <c r="B127" i="7"/>
  <c r="D127" i="7" s="1"/>
  <c r="W126" i="7"/>
  <c r="V126" i="7"/>
  <c r="D126" i="7"/>
  <c r="U126" i="7" s="1"/>
  <c r="B126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H125" i="7"/>
  <c r="D125" i="7"/>
  <c r="I125" i="7" s="1"/>
  <c r="B125" i="7"/>
  <c r="G124" i="7"/>
  <c r="F124" i="7"/>
  <c r="D124" i="7"/>
  <c r="U124" i="7" s="1"/>
  <c r="B124" i="7"/>
  <c r="B123" i="7"/>
  <c r="D123" i="7" s="1"/>
  <c r="B122" i="7"/>
  <c r="D122" i="7" s="1"/>
  <c r="B121" i="7"/>
  <c r="D121" i="7" s="1"/>
  <c r="I120" i="7"/>
  <c r="H120" i="7"/>
  <c r="F120" i="7"/>
  <c r="D120" i="7"/>
  <c r="Q120" i="7" s="1"/>
  <c r="B120" i="7"/>
  <c r="B119" i="7"/>
  <c r="D119" i="7" s="1"/>
  <c r="B118" i="7"/>
  <c r="D118" i="7" s="1"/>
  <c r="N117" i="7"/>
  <c r="M117" i="7"/>
  <c r="L117" i="7"/>
  <c r="K117" i="7"/>
  <c r="J117" i="7"/>
  <c r="I117" i="7"/>
  <c r="H117" i="7"/>
  <c r="G117" i="7"/>
  <c r="F117" i="7"/>
  <c r="D117" i="7"/>
  <c r="E117" i="7" s="1"/>
  <c r="B117" i="7"/>
  <c r="D116" i="7"/>
  <c r="M116" i="7" s="1"/>
  <c r="B116" i="7"/>
  <c r="D115" i="7"/>
  <c r="L115" i="7" s="1"/>
  <c r="B115" i="7"/>
  <c r="K114" i="7"/>
  <c r="I114" i="7"/>
  <c r="G114" i="7"/>
  <c r="F114" i="7"/>
  <c r="D114" i="7"/>
  <c r="J114" i="7" s="1"/>
  <c r="B114" i="7"/>
  <c r="B113" i="7"/>
  <c r="D113" i="7" s="1"/>
  <c r="B112" i="7"/>
  <c r="D112" i="7" s="1"/>
  <c r="B111" i="7"/>
  <c r="D111" i="7" s="1"/>
  <c r="B110" i="7"/>
  <c r="D110" i="7" s="1"/>
  <c r="D109" i="7"/>
  <c r="F109" i="7" s="1"/>
  <c r="B109" i="7"/>
  <c r="B108" i="7"/>
  <c r="D108" i="7" s="1"/>
  <c r="E108" i="7" s="1"/>
  <c r="B7" i="7"/>
  <c r="B6" i="7"/>
  <c r="H139" i="7" s="1"/>
  <c r="Y125" i="6"/>
  <c r="Y126" i="6" s="1"/>
  <c r="C125" i="6"/>
  <c r="B125" i="6"/>
  <c r="D125" i="6" s="1"/>
  <c r="B124" i="6"/>
  <c r="D124" i="6" s="1"/>
  <c r="B123" i="6"/>
  <c r="D123" i="6" s="1"/>
  <c r="B122" i="6"/>
  <c r="D122" i="6" s="1"/>
  <c r="B121" i="6"/>
  <c r="D121" i="6" s="1"/>
  <c r="B120" i="6"/>
  <c r="D120" i="6" s="1"/>
  <c r="B119" i="6"/>
  <c r="D119" i="6" s="1"/>
  <c r="B118" i="6"/>
  <c r="D118" i="6" s="1"/>
  <c r="B117" i="6"/>
  <c r="D117" i="6" s="1"/>
  <c r="B116" i="6"/>
  <c r="D116" i="6" s="1"/>
  <c r="B115" i="6"/>
  <c r="D115" i="6" s="1"/>
  <c r="B114" i="6"/>
  <c r="D114" i="6" s="1"/>
  <c r="B113" i="6"/>
  <c r="D113" i="6" s="1"/>
  <c r="B112" i="6"/>
  <c r="D112" i="6" s="1"/>
  <c r="B111" i="6"/>
  <c r="D111" i="6" s="1"/>
  <c r="B110" i="6"/>
  <c r="D110" i="6" s="1"/>
  <c r="B109" i="6"/>
  <c r="D109" i="6" s="1"/>
  <c r="B108" i="6"/>
  <c r="D108" i="6" s="1"/>
  <c r="B107" i="6"/>
  <c r="D107" i="6" s="1"/>
  <c r="B106" i="6"/>
  <c r="D106" i="6" s="1"/>
  <c r="B6" i="6"/>
  <c r="B7" i="3"/>
  <c r="P143" i="3" s="1"/>
  <c r="Y151" i="3"/>
  <c r="Y152" i="3"/>
  <c r="B151" i="3"/>
  <c r="D151" i="3" s="1"/>
  <c r="C151" i="3"/>
  <c r="B150" i="3"/>
  <c r="D150" i="3" s="1"/>
  <c r="B149" i="3"/>
  <c r="D149" i="3" s="1"/>
  <c r="B148" i="3"/>
  <c r="D148" i="3"/>
  <c r="B147" i="3"/>
  <c r="D147" i="3"/>
  <c r="B146" i="3"/>
  <c r="D146" i="3"/>
  <c r="B145" i="3"/>
  <c r="D145" i="3" s="1"/>
  <c r="B144" i="3"/>
  <c r="D144" i="3"/>
  <c r="B143" i="3"/>
  <c r="D143" i="3"/>
  <c r="B142" i="3"/>
  <c r="D142" i="3"/>
  <c r="B141" i="3"/>
  <c r="D141" i="3"/>
  <c r="B140" i="3"/>
  <c r="D140" i="3"/>
  <c r="B139" i="3"/>
  <c r="D139" i="3"/>
  <c r="B138" i="3"/>
  <c r="D138" i="3" s="1"/>
  <c r="B6" i="3"/>
  <c r="B137" i="3"/>
  <c r="D137" i="3" s="1"/>
  <c r="B136" i="3"/>
  <c r="D136" i="3" s="1"/>
  <c r="B135" i="3"/>
  <c r="D135" i="3"/>
  <c r="B134" i="3"/>
  <c r="D134" i="3" s="1"/>
  <c r="B133" i="3"/>
  <c r="D133" i="3"/>
  <c r="B132" i="3"/>
  <c r="D132" i="3"/>
  <c r="Y127" i="3"/>
  <c r="Y128" i="3"/>
  <c r="B127" i="3"/>
  <c r="C127" i="3"/>
  <c r="D127" i="3"/>
  <c r="B126" i="3"/>
  <c r="D126" i="3"/>
  <c r="B125" i="3"/>
  <c r="D125" i="3"/>
  <c r="B124" i="3"/>
  <c r="D124" i="3"/>
  <c r="B123" i="3"/>
  <c r="D123" i="3" s="1"/>
  <c r="B122" i="3"/>
  <c r="D122" i="3" s="1"/>
  <c r="B121" i="3"/>
  <c r="D121" i="3" s="1"/>
  <c r="B120" i="3"/>
  <c r="D120" i="3" s="1"/>
  <c r="B119" i="3"/>
  <c r="D119" i="3" s="1"/>
  <c r="B118" i="3"/>
  <c r="D118" i="3"/>
  <c r="B117" i="3"/>
  <c r="D117" i="3" s="1"/>
  <c r="B116" i="3"/>
  <c r="D116" i="3"/>
  <c r="B115" i="3"/>
  <c r="D115" i="3"/>
  <c r="B114" i="3"/>
  <c r="D114" i="3"/>
  <c r="B113" i="3"/>
  <c r="D113" i="3"/>
  <c r="B112" i="3"/>
  <c r="D112" i="3"/>
  <c r="B111" i="3"/>
  <c r="D111" i="3"/>
  <c r="B110" i="3"/>
  <c r="D110" i="3"/>
  <c r="B109" i="3"/>
  <c r="D109" i="3" s="1"/>
  <c r="B108" i="3"/>
  <c r="D108" i="3"/>
  <c r="B6" i="1"/>
  <c r="B106" i="1"/>
  <c r="D106" i="1" s="1"/>
  <c r="B107" i="1"/>
  <c r="D107" i="1" s="1"/>
  <c r="B108" i="1"/>
  <c r="D108" i="1" s="1"/>
  <c r="B109" i="1"/>
  <c r="D109" i="1" s="1"/>
  <c r="B110" i="1"/>
  <c r="D110" i="1" s="1"/>
  <c r="B111" i="1"/>
  <c r="D111" i="1" s="1"/>
  <c r="B112" i="1"/>
  <c r="D112" i="1" s="1"/>
  <c r="B113" i="1"/>
  <c r="D113" i="1"/>
  <c r="B114" i="1"/>
  <c r="D114" i="1" s="1"/>
  <c r="B115" i="1"/>
  <c r="D115" i="1" s="1"/>
  <c r="B116" i="1"/>
  <c r="D116" i="1" s="1"/>
  <c r="B117" i="1"/>
  <c r="D117" i="1" s="1"/>
  <c r="B118" i="1"/>
  <c r="D118" i="1" s="1"/>
  <c r="B119" i="1"/>
  <c r="D119" i="1" s="1"/>
  <c r="B120" i="1"/>
  <c r="D120" i="1" s="1"/>
  <c r="B121" i="1"/>
  <c r="D121" i="1" s="1"/>
  <c r="B122" i="1"/>
  <c r="D122" i="1" s="1"/>
  <c r="B123" i="1"/>
  <c r="D123" i="1" s="1"/>
  <c r="B124" i="1"/>
  <c r="D124" i="1" s="1"/>
  <c r="B125" i="1"/>
  <c r="D125" i="1" s="1"/>
  <c r="C125" i="1"/>
  <c r="Y125" i="1"/>
  <c r="Y126" i="1"/>
  <c r="I110" i="6" l="1"/>
  <c r="L148" i="3"/>
  <c r="N148" i="3"/>
  <c r="S147" i="3"/>
  <c r="T147" i="3"/>
  <c r="T148" i="3"/>
  <c r="U151" i="3"/>
  <c r="S150" i="3"/>
  <c r="M122" i="3"/>
  <c r="H110" i="1"/>
  <c r="G110" i="1"/>
  <c r="J111" i="6"/>
  <c r="M123" i="1"/>
  <c r="F112" i="1"/>
  <c r="G109" i="1"/>
  <c r="K123" i="1"/>
  <c r="L114" i="6"/>
  <c r="F114" i="6"/>
  <c r="G114" i="6"/>
  <c r="H114" i="6"/>
  <c r="I114" i="6"/>
  <c r="J114" i="6"/>
  <c r="K114" i="6"/>
  <c r="M114" i="6"/>
  <c r="E123" i="1"/>
  <c r="S121" i="6"/>
  <c r="E119" i="1"/>
  <c r="N116" i="1"/>
  <c r="E106" i="6"/>
  <c r="G121" i="6"/>
  <c r="H121" i="6"/>
  <c r="I121" i="6"/>
  <c r="E114" i="1"/>
  <c r="G108" i="6"/>
  <c r="K121" i="6"/>
  <c r="L121" i="6"/>
  <c r="E110" i="6"/>
  <c r="E112" i="1"/>
  <c r="F110" i="6"/>
  <c r="G110" i="6"/>
  <c r="H110" i="6"/>
  <c r="E112" i="6"/>
  <c r="G112" i="6"/>
  <c r="K112" i="6"/>
  <c r="F112" i="6"/>
  <c r="J112" i="6"/>
  <c r="I112" i="6"/>
  <c r="H112" i="6"/>
  <c r="F108" i="1"/>
  <c r="G108" i="1"/>
  <c r="L113" i="6"/>
  <c r="K113" i="6"/>
  <c r="J113" i="6"/>
  <c r="I113" i="6"/>
  <c r="H113" i="6"/>
  <c r="G113" i="6"/>
  <c r="F113" i="6"/>
  <c r="E113" i="6"/>
  <c r="G110" i="7"/>
  <c r="F110" i="7"/>
  <c r="F128" i="7" s="1"/>
  <c r="E110" i="7"/>
  <c r="O121" i="7"/>
  <c r="N121" i="7"/>
  <c r="M121" i="7"/>
  <c r="L121" i="7"/>
  <c r="K121" i="7"/>
  <c r="J121" i="7"/>
  <c r="I121" i="7"/>
  <c r="H121" i="7"/>
  <c r="G121" i="7"/>
  <c r="F121" i="7"/>
  <c r="E121" i="7"/>
  <c r="R121" i="7"/>
  <c r="Q121" i="7"/>
  <c r="Q128" i="7" s="1"/>
  <c r="P121" i="7"/>
  <c r="H111" i="7"/>
  <c r="G111" i="7"/>
  <c r="F111" i="7"/>
  <c r="E111" i="7"/>
  <c r="Q122" i="7"/>
  <c r="S122" i="7"/>
  <c r="R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I112" i="7"/>
  <c r="H112" i="7"/>
  <c r="G112" i="7"/>
  <c r="F112" i="7"/>
  <c r="E112" i="7"/>
  <c r="N123" i="7"/>
  <c r="M123" i="7"/>
  <c r="L123" i="7"/>
  <c r="K123" i="7"/>
  <c r="J123" i="7"/>
  <c r="I123" i="7"/>
  <c r="H123" i="7"/>
  <c r="G123" i="7"/>
  <c r="F123" i="7"/>
  <c r="E123" i="7"/>
  <c r="T123" i="7"/>
  <c r="S123" i="7"/>
  <c r="R123" i="7"/>
  <c r="Q123" i="7"/>
  <c r="P123" i="7"/>
  <c r="O123" i="7"/>
  <c r="J113" i="7"/>
  <c r="I113" i="7"/>
  <c r="H113" i="7"/>
  <c r="G113" i="7"/>
  <c r="F113" i="7"/>
  <c r="E113" i="7"/>
  <c r="G134" i="7"/>
  <c r="F134" i="7"/>
  <c r="F152" i="7" s="1"/>
  <c r="E134" i="7"/>
  <c r="P125" i="1"/>
  <c r="Q125" i="1"/>
  <c r="G125" i="1"/>
  <c r="S125" i="1"/>
  <c r="F125" i="1"/>
  <c r="W125" i="1"/>
  <c r="M125" i="1"/>
  <c r="U128" i="7"/>
  <c r="G135" i="7"/>
  <c r="F135" i="7"/>
  <c r="E135" i="7"/>
  <c r="H135" i="7"/>
  <c r="G124" i="1"/>
  <c r="E124" i="1"/>
  <c r="P124" i="1"/>
  <c r="W124" i="1"/>
  <c r="F124" i="1"/>
  <c r="M124" i="1"/>
  <c r="J137" i="7"/>
  <c r="I137" i="7"/>
  <c r="I152" i="7" s="1"/>
  <c r="H137" i="7"/>
  <c r="G137" i="7"/>
  <c r="F137" i="7"/>
  <c r="E137" i="7"/>
  <c r="N122" i="1"/>
  <c r="Q122" i="1"/>
  <c r="K122" i="1"/>
  <c r="I115" i="6"/>
  <c r="G115" i="6"/>
  <c r="N115" i="6"/>
  <c r="M115" i="6"/>
  <c r="J115" i="6"/>
  <c r="L115" i="6"/>
  <c r="H115" i="6"/>
  <c r="K115" i="6"/>
  <c r="F115" i="6"/>
  <c r="E115" i="6"/>
  <c r="K138" i="7"/>
  <c r="K152" i="7" s="1"/>
  <c r="J138" i="7"/>
  <c r="I138" i="7"/>
  <c r="H138" i="7"/>
  <c r="G138" i="7"/>
  <c r="F138" i="7"/>
  <c r="E138" i="7"/>
  <c r="K121" i="1"/>
  <c r="N121" i="1"/>
  <c r="T121" i="1"/>
  <c r="L116" i="6"/>
  <c r="K116" i="6"/>
  <c r="J116" i="6"/>
  <c r="I116" i="6"/>
  <c r="H116" i="6"/>
  <c r="G116" i="6"/>
  <c r="F116" i="6"/>
  <c r="E116" i="6"/>
  <c r="O116" i="6"/>
  <c r="N116" i="6"/>
  <c r="M116" i="6"/>
  <c r="O117" i="6"/>
  <c r="P117" i="6"/>
  <c r="N117" i="6"/>
  <c r="M117" i="6"/>
  <c r="L117" i="6"/>
  <c r="K117" i="6"/>
  <c r="J117" i="6"/>
  <c r="I117" i="6"/>
  <c r="H117" i="6"/>
  <c r="G117" i="6"/>
  <c r="F117" i="6"/>
  <c r="E117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M140" i="7"/>
  <c r="M152" i="7" s="1"/>
  <c r="L140" i="7"/>
  <c r="K140" i="7"/>
  <c r="J140" i="7"/>
  <c r="I140" i="7"/>
  <c r="H140" i="7"/>
  <c r="G140" i="7"/>
  <c r="F140" i="7"/>
  <c r="E140" i="7"/>
  <c r="N141" i="7"/>
  <c r="M141" i="7"/>
  <c r="L141" i="7"/>
  <c r="K141" i="7"/>
  <c r="J141" i="7"/>
  <c r="I141" i="7"/>
  <c r="H141" i="7"/>
  <c r="G141" i="7"/>
  <c r="F141" i="7"/>
  <c r="E141" i="7"/>
  <c r="H142" i="7"/>
  <c r="G142" i="7"/>
  <c r="F142" i="7"/>
  <c r="E142" i="7"/>
  <c r="O142" i="7"/>
  <c r="N142" i="7"/>
  <c r="M142" i="7"/>
  <c r="L142" i="7"/>
  <c r="K142" i="7"/>
  <c r="J142" i="7"/>
  <c r="I142" i="7"/>
  <c r="E107" i="6"/>
  <c r="F107" i="6"/>
  <c r="P143" i="7"/>
  <c r="O143" i="7"/>
  <c r="N143" i="7"/>
  <c r="M143" i="7"/>
  <c r="L143" i="7"/>
  <c r="K143" i="7"/>
  <c r="J143" i="7"/>
  <c r="I143" i="7"/>
  <c r="H143" i="7"/>
  <c r="G143" i="7"/>
  <c r="F143" i="7"/>
  <c r="E143" i="7"/>
  <c r="M144" i="7"/>
  <c r="L144" i="7"/>
  <c r="K144" i="7"/>
  <c r="J144" i="7"/>
  <c r="I144" i="7"/>
  <c r="H144" i="7"/>
  <c r="G144" i="7"/>
  <c r="F144" i="7"/>
  <c r="E144" i="7"/>
  <c r="Q144" i="7"/>
  <c r="P144" i="7"/>
  <c r="O144" i="7"/>
  <c r="N144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E115" i="1"/>
  <c r="M115" i="1"/>
  <c r="N115" i="1"/>
  <c r="H109" i="6"/>
  <c r="G109" i="6"/>
  <c r="F109" i="6"/>
  <c r="E109" i="6"/>
  <c r="N146" i="7"/>
  <c r="M146" i="7"/>
  <c r="L146" i="7"/>
  <c r="K146" i="7"/>
  <c r="J146" i="7"/>
  <c r="I146" i="7"/>
  <c r="H146" i="7"/>
  <c r="G146" i="7"/>
  <c r="F146" i="7"/>
  <c r="E146" i="7"/>
  <c r="S146" i="7"/>
  <c r="R146" i="7"/>
  <c r="Q146" i="7"/>
  <c r="P146" i="7"/>
  <c r="O146" i="7"/>
  <c r="O122" i="6"/>
  <c r="N122" i="6"/>
  <c r="M122" i="6"/>
  <c r="L122" i="6"/>
  <c r="K122" i="6"/>
  <c r="J122" i="6"/>
  <c r="I122" i="6"/>
  <c r="H122" i="6"/>
  <c r="G122" i="6"/>
  <c r="F122" i="6"/>
  <c r="E122" i="6"/>
  <c r="U122" i="6"/>
  <c r="T122" i="6"/>
  <c r="S122" i="6"/>
  <c r="R122" i="6"/>
  <c r="Q122" i="6"/>
  <c r="P122" i="6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N123" i="6"/>
  <c r="L123" i="6"/>
  <c r="V123" i="6"/>
  <c r="M123" i="6"/>
  <c r="U123" i="6"/>
  <c r="T123" i="6"/>
  <c r="S123" i="6"/>
  <c r="R123" i="6"/>
  <c r="Q123" i="6"/>
  <c r="P123" i="6"/>
  <c r="O123" i="6"/>
  <c r="K123" i="6"/>
  <c r="J123" i="6"/>
  <c r="I123" i="6"/>
  <c r="H123" i="6"/>
  <c r="G123" i="6"/>
  <c r="F123" i="6"/>
  <c r="E123" i="6"/>
  <c r="K148" i="7"/>
  <c r="J148" i="7"/>
  <c r="I148" i="7"/>
  <c r="H148" i="7"/>
  <c r="G148" i="7"/>
  <c r="F148" i="7"/>
  <c r="E148" i="7"/>
  <c r="U148" i="7"/>
  <c r="T148" i="7"/>
  <c r="S148" i="7"/>
  <c r="R148" i="7"/>
  <c r="Q148" i="7"/>
  <c r="P148" i="7"/>
  <c r="O148" i="7"/>
  <c r="N148" i="7"/>
  <c r="M148" i="7"/>
  <c r="L148" i="7"/>
  <c r="Q118" i="1"/>
  <c r="F118" i="1"/>
  <c r="M118" i="1"/>
  <c r="H124" i="6"/>
  <c r="G124" i="6"/>
  <c r="F124" i="6"/>
  <c r="E124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V149" i="7"/>
  <c r="V152" i="7" s="1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W150" i="7"/>
  <c r="W152" i="7" s="1"/>
  <c r="V150" i="7"/>
  <c r="U150" i="7"/>
  <c r="T150" i="7"/>
  <c r="S150" i="7"/>
  <c r="R150" i="7"/>
  <c r="Q150" i="7"/>
  <c r="P150" i="7"/>
  <c r="O150" i="7"/>
  <c r="N150" i="7"/>
  <c r="M150" i="7"/>
  <c r="L150" i="7"/>
  <c r="L152" i="7" s="1"/>
  <c r="K150" i="7"/>
  <c r="J150" i="7"/>
  <c r="I150" i="7"/>
  <c r="H150" i="7"/>
  <c r="G150" i="7"/>
  <c r="F150" i="7"/>
  <c r="E150" i="7"/>
  <c r="J118" i="7"/>
  <c r="O118" i="7"/>
  <c r="N118" i="7"/>
  <c r="M118" i="7"/>
  <c r="K118" i="7"/>
  <c r="L118" i="7"/>
  <c r="I118" i="7"/>
  <c r="H118" i="7"/>
  <c r="G118" i="7"/>
  <c r="F118" i="7"/>
  <c r="E118" i="7"/>
  <c r="R120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S120" i="6"/>
  <c r="N151" i="7"/>
  <c r="M151" i="7"/>
  <c r="L151" i="7"/>
  <c r="K151" i="7"/>
  <c r="J151" i="7"/>
  <c r="I151" i="7"/>
  <c r="H151" i="7"/>
  <c r="G151" i="7"/>
  <c r="F151" i="7"/>
  <c r="E151" i="7"/>
  <c r="X151" i="7"/>
  <c r="X152" i="7" s="1"/>
  <c r="W151" i="7"/>
  <c r="V151" i="7"/>
  <c r="U151" i="7"/>
  <c r="T151" i="7"/>
  <c r="S151" i="7"/>
  <c r="R151" i="7"/>
  <c r="Q151" i="7"/>
  <c r="P151" i="7"/>
  <c r="O151" i="7"/>
  <c r="L119" i="7"/>
  <c r="K119" i="7"/>
  <c r="J119" i="7"/>
  <c r="I119" i="7"/>
  <c r="H119" i="7"/>
  <c r="G119" i="7"/>
  <c r="F119" i="7"/>
  <c r="E119" i="7"/>
  <c r="P119" i="7"/>
  <c r="O119" i="7"/>
  <c r="N119" i="7"/>
  <c r="N128" i="7" s="1"/>
  <c r="M119" i="7"/>
  <c r="M128" i="7" s="1"/>
  <c r="W128" i="7"/>
  <c r="R125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X125" i="6"/>
  <c r="X126" i="6" s="1"/>
  <c r="W125" i="6"/>
  <c r="V125" i="6"/>
  <c r="U125" i="6"/>
  <c r="T125" i="6"/>
  <c r="S125" i="6"/>
  <c r="F111" i="1"/>
  <c r="H111" i="1"/>
  <c r="X127" i="7"/>
  <c r="X128" i="7" s="1"/>
  <c r="W127" i="7"/>
  <c r="V127" i="7"/>
  <c r="V128" i="7" s="1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J142" i="3"/>
  <c r="E114" i="6"/>
  <c r="E114" i="7"/>
  <c r="E121" i="6"/>
  <c r="E109" i="7"/>
  <c r="E128" i="7" s="1"/>
  <c r="E136" i="7"/>
  <c r="M119" i="1"/>
  <c r="F121" i="6"/>
  <c r="H114" i="7"/>
  <c r="F136" i="7"/>
  <c r="G136" i="7"/>
  <c r="E111" i="6"/>
  <c r="E120" i="7"/>
  <c r="H136" i="7"/>
  <c r="F111" i="6"/>
  <c r="F107" i="1"/>
  <c r="G111" i="6"/>
  <c r="J121" i="6"/>
  <c r="G120" i="7"/>
  <c r="E124" i="7"/>
  <c r="H111" i="6"/>
  <c r="I111" i="6"/>
  <c r="E115" i="7"/>
  <c r="M121" i="6"/>
  <c r="F115" i="7"/>
  <c r="J120" i="7"/>
  <c r="H124" i="7"/>
  <c r="N121" i="6"/>
  <c r="G115" i="7"/>
  <c r="K120" i="7"/>
  <c r="I124" i="7"/>
  <c r="O121" i="6"/>
  <c r="H115" i="7"/>
  <c r="L120" i="7"/>
  <c r="J124" i="7"/>
  <c r="P121" i="6"/>
  <c r="I115" i="7"/>
  <c r="M120" i="7"/>
  <c r="K124" i="7"/>
  <c r="J115" i="7"/>
  <c r="N120" i="7"/>
  <c r="L124" i="7"/>
  <c r="E126" i="7"/>
  <c r="O120" i="7"/>
  <c r="M124" i="7"/>
  <c r="F126" i="7"/>
  <c r="N124" i="7"/>
  <c r="P120" i="7"/>
  <c r="T121" i="6"/>
  <c r="O124" i="7"/>
  <c r="H126" i="7"/>
  <c r="P124" i="7"/>
  <c r="I126" i="7"/>
  <c r="K115" i="7"/>
  <c r="K128" i="7" s="1"/>
  <c r="E108" i="6"/>
  <c r="E116" i="7"/>
  <c r="Q124" i="7"/>
  <c r="J126" i="7"/>
  <c r="E133" i="7"/>
  <c r="E152" i="7" s="1"/>
  <c r="S148" i="3"/>
  <c r="F108" i="6"/>
  <c r="F116" i="7"/>
  <c r="R124" i="7"/>
  <c r="K126" i="7"/>
  <c r="S123" i="1"/>
  <c r="G116" i="7"/>
  <c r="S124" i="7"/>
  <c r="L126" i="7"/>
  <c r="F109" i="1"/>
  <c r="H116" i="7"/>
  <c r="T124" i="7"/>
  <c r="M126" i="7"/>
  <c r="R121" i="6"/>
  <c r="I116" i="7"/>
  <c r="N126" i="7"/>
  <c r="Q121" i="6"/>
  <c r="J116" i="7"/>
  <c r="O126" i="7"/>
  <c r="K116" i="7"/>
  <c r="P126" i="7"/>
  <c r="G126" i="7"/>
  <c r="L116" i="7"/>
  <c r="L128" i="7" s="1"/>
  <c r="E125" i="7"/>
  <c r="Q126" i="7"/>
  <c r="E139" i="7"/>
  <c r="N123" i="1"/>
  <c r="F125" i="7"/>
  <c r="R126" i="7"/>
  <c r="F139" i="7"/>
  <c r="G125" i="7"/>
  <c r="S126" i="7"/>
  <c r="G139" i="7"/>
  <c r="G123" i="1"/>
  <c r="T126" i="7"/>
  <c r="M117" i="1"/>
  <c r="M116" i="1"/>
  <c r="K112" i="1"/>
  <c r="J113" i="1"/>
  <c r="J120" i="1"/>
  <c r="I113" i="1"/>
  <c r="K120" i="1"/>
  <c r="H122" i="1"/>
  <c r="K119" i="1"/>
  <c r="K115" i="1"/>
  <c r="K114" i="1"/>
  <c r="X125" i="1"/>
  <c r="X126" i="1" s="1"/>
  <c r="K113" i="1"/>
  <c r="R125" i="1"/>
  <c r="H121" i="1"/>
  <c r="R124" i="1"/>
  <c r="J125" i="1"/>
  <c r="R119" i="1"/>
  <c r="J121" i="1"/>
  <c r="Q124" i="1"/>
  <c r="J119" i="1"/>
  <c r="Q123" i="1"/>
  <c r="J117" i="1"/>
  <c r="N125" i="1"/>
  <c r="H120" i="1"/>
  <c r="P123" i="1"/>
  <c r="I115" i="1"/>
  <c r="P122" i="1"/>
  <c r="I114" i="1"/>
  <c r="N120" i="1"/>
  <c r="H119" i="1"/>
  <c r="I112" i="1"/>
  <c r="I111" i="1"/>
  <c r="H123" i="1"/>
  <c r="R123" i="1"/>
  <c r="N119" i="1"/>
  <c r="K118" i="1"/>
  <c r="I110" i="1"/>
  <c r="F123" i="1"/>
  <c r="R121" i="1"/>
  <c r="N118" i="1"/>
  <c r="K117" i="1"/>
  <c r="H125" i="1"/>
  <c r="F121" i="1"/>
  <c r="R120" i="1"/>
  <c r="N117" i="1"/>
  <c r="K116" i="1"/>
  <c r="H124" i="1"/>
  <c r="F120" i="1"/>
  <c r="M122" i="1"/>
  <c r="H118" i="1"/>
  <c r="Q120" i="1"/>
  <c r="M121" i="1"/>
  <c r="J123" i="1"/>
  <c r="H116" i="1"/>
  <c r="Q121" i="1"/>
  <c r="J124" i="1"/>
  <c r="E125" i="1"/>
  <c r="Q119" i="1"/>
  <c r="M120" i="1"/>
  <c r="J122" i="1"/>
  <c r="H112" i="1"/>
  <c r="E113" i="1"/>
  <c r="V125" i="1"/>
  <c r="M114" i="1"/>
  <c r="G122" i="1"/>
  <c r="E111" i="1"/>
  <c r="V124" i="1"/>
  <c r="P120" i="1"/>
  <c r="L125" i="1"/>
  <c r="J111" i="1"/>
  <c r="G121" i="1"/>
  <c r="P121" i="1"/>
  <c r="J112" i="1"/>
  <c r="V123" i="1"/>
  <c r="P119" i="1"/>
  <c r="L124" i="1"/>
  <c r="I124" i="1"/>
  <c r="G119" i="1"/>
  <c r="E122" i="1"/>
  <c r="U125" i="1"/>
  <c r="L122" i="1"/>
  <c r="G118" i="1"/>
  <c r="E110" i="1"/>
  <c r="P117" i="1"/>
  <c r="I122" i="1"/>
  <c r="U123" i="1"/>
  <c r="L117" i="1"/>
  <c r="G116" i="1"/>
  <c r="U122" i="1"/>
  <c r="O124" i="1"/>
  <c r="I120" i="1"/>
  <c r="G115" i="1"/>
  <c r="T125" i="1"/>
  <c r="L114" i="1"/>
  <c r="I119" i="1"/>
  <c r="O121" i="1"/>
  <c r="I118" i="1"/>
  <c r="G113" i="1"/>
  <c r="T123" i="1"/>
  <c r="O117" i="1"/>
  <c r="K125" i="1"/>
  <c r="I117" i="1"/>
  <c r="G112" i="1"/>
  <c r="P118" i="1"/>
  <c r="I123" i="1"/>
  <c r="U124" i="1"/>
  <c r="L118" i="1"/>
  <c r="G117" i="1"/>
  <c r="O125" i="1"/>
  <c r="I121" i="1"/>
  <c r="E121" i="1"/>
  <c r="L116" i="1"/>
  <c r="E109" i="1"/>
  <c r="O123" i="1"/>
  <c r="G114" i="1"/>
  <c r="T124" i="1"/>
  <c r="L113" i="1"/>
  <c r="E120" i="1"/>
  <c r="T122" i="1"/>
  <c r="O116" i="1"/>
  <c r="K124" i="1"/>
  <c r="I116" i="1"/>
  <c r="G111" i="1"/>
  <c r="F122" i="1"/>
  <c r="E108" i="1"/>
  <c r="S124" i="1"/>
  <c r="O122" i="1"/>
  <c r="L123" i="1"/>
  <c r="J118" i="1"/>
  <c r="H117" i="1"/>
  <c r="F119" i="1"/>
  <c r="E107" i="1"/>
  <c r="S122" i="1"/>
  <c r="O120" i="1"/>
  <c r="L121" i="1"/>
  <c r="J116" i="1"/>
  <c r="H115" i="1"/>
  <c r="F117" i="1"/>
  <c r="S121" i="1"/>
  <c r="O119" i="1"/>
  <c r="L120" i="1"/>
  <c r="J115" i="1"/>
  <c r="H114" i="1"/>
  <c r="F116" i="1"/>
  <c r="E117" i="1"/>
  <c r="S120" i="1"/>
  <c r="O118" i="1"/>
  <c r="L119" i="1"/>
  <c r="J114" i="1"/>
  <c r="H113" i="1"/>
  <c r="F115" i="1"/>
  <c r="E106" i="1"/>
  <c r="F114" i="1"/>
  <c r="E116" i="1"/>
  <c r="R122" i="1"/>
  <c r="N124" i="1"/>
  <c r="L115" i="1"/>
  <c r="I125" i="1"/>
  <c r="H109" i="1"/>
  <c r="F110" i="1"/>
  <c r="E118" i="1"/>
  <c r="F113" i="1"/>
  <c r="G120" i="1"/>
  <c r="M150" i="3"/>
  <c r="M151" i="3"/>
  <c r="M147" i="3"/>
  <c r="M146" i="3"/>
  <c r="M144" i="3"/>
  <c r="N151" i="3"/>
  <c r="J139" i="3"/>
  <c r="J138" i="3"/>
  <c r="J140" i="3"/>
  <c r="J141" i="3"/>
  <c r="E124" i="3"/>
  <c r="E120" i="3"/>
  <c r="K151" i="3"/>
  <c r="E119" i="3"/>
  <c r="K146" i="3"/>
  <c r="E113" i="3"/>
  <c r="K144" i="3"/>
  <c r="E108" i="3"/>
  <c r="E123" i="3"/>
  <c r="J137" i="3"/>
  <c r="E122" i="3"/>
  <c r="E121" i="3"/>
  <c r="I122" i="3"/>
  <c r="I121" i="3"/>
  <c r="J125" i="3"/>
  <c r="J124" i="3"/>
  <c r="J123" i="3"/>
  <c r="X127" i="3"/>
  <c r="X128" i="3" s="1"/>
  <c r="J121" i="3"/>
  <c r="I113" i="3"/>
  <c r="E127" i="3"/>
  <c r="E125" i="3"/>
  <c r="M123" i="3"/>
  <c r="J151" i="3"/>
  <c r="K150" i="3"/>
  <c r="E116" i="3"/>
  <c r="K149" i="3"/>
  <c r="E115" i="3"/>
  <c r="K148" i="3"/>
  <c r="E114" i="3"/>
  <c r="K147" i="3"/>
  <c r="M116" i="3"/>
  <c r="E150" i="3"/>
  <c r="E149" i="3"/>
  <c r="M119" i="3"/>
  <c r="N127" i="3"/>
  <c r="E148" i="3"/>
  <c r="M117" i="3"/>
  <c r="H126" i="3"/>
  <c r="N126" i="3"/>
  <c r="F109" i="3"/>
  <c r="H125" i="3"/>
  <c r="N125" i="3"/>
  <c r="I126" i="3"/>
  <c r="I125" i="3"/>
  <c r="M118" i="3"/>
  <c r="I124" i="3"/>
  <c r="P121" i="3"/>
  <c r="I123" i="3"/>
  <c r="J116" i="3"/>
  <c r="Q127" i="3"/>
  <c r="E144" i="3"/>
  <c r="J114" i="3"/>
  <c r="E143" i="3"/>
  <c r="Q126" i="3"/>
  <c r="G126" i="3"/>
  <c r="J113" i="3"/>
  <c r="G127" i="3"/>
  <c r="G125" i="3"/>
  <c r="G124" i="3"/>
  <c r="R127" i="3"/>
  <c r="F150" i="3"/>
  <c r="G123" i="3"/>
  <c r="R126" i="3"/>
  <c r="F149" i="3"/>
  <c r="G121" i="3"/>
  <c r="R125" i="3"/>
  <c r="F148" i="3"/>
  <c r="G120" i="3"/>
  <c r="L123" i="3"/>
  <c r="R122" i="3"/>
  <c r="F147" i="3"/>
  <c r="J117" i="3"/>
  <c r="G114" i="3"/>
  <c r="L120" i="3"/>
  <c r="G113" i="3"/>
  <c r="G112" i="3"/>
  <c r="S127" i="3"/>
  <c r="L119" i="3"/>
  <c r="S126" i="3"/>
  <c r="M126" i="3"/>
  <c r="S125" i="3"/>
  <c r="H127" i="3"/>
  <c r="M124" i="3"/>
  <c r="H122" i="3"/>
  <c r="N124" i="3"/>
  <c r="T127" i="3"/>
  <c r="F142" i="3"/>
  <c r="H121" i="3"/>
  <c r="K127" i="3"/>
  <c r="N120" i="3"/>
  <c r="T126" i="3"/>
  <c r="F141" i="3"/>
  <c r="F125" i="3"/>
  <c r="H120" i="3"/>
  <c r="K126" i="3"/>
  <c r="N117" i="3"/>
  <c r="T123" i="3"/>
  <c r="F140" i="3"/>
  <c r="F124" i="3"/>
  <c r="H119" i="3"/>
  <c r="K125" i="3"/>
  <c r="F139" i="3"/>
  <c r="F123" i="3"/>
  <c r="H118" i="3"/>
  <c r="K124" i="3"/>
  <c r="F135" i="3"/>
  <c r="F120" i="3"/>
  <c r="H117" i="3"/>
  <c r="K123" i="3"/>
  <c r="O125" i="3"/>
  <c r="U126" i="3"/>
  <c r="F134" i="3"/>
  <c r="F119" i="3"/>
  <c r="H116" i="3"/>
  <c r="K122" i="3"/>
  <c r="O124" i="3"/>
  <c r="U125" i="3"/>
  <c r="F133" i="3"/>
  <c r="F118" i="3"/>
  <c r="H114" i="3"/>
  <c r="K121" i="3"/>
  <c r="O119" i="3"/>
  <c r="U124" i="3"/>
  <c r="F117" i="3"/>
  <c r="H113" i="3"/>
  <c r="K120" i="3"/>
  <c r="O118" i="3"/>
  <c r="F146" i="3"/>
  <c r="F114" i="3"/>
  <c r="H112" i="3"/>
  <c r="K119" i="3"/>
  <c r="F113" i="3"/>
  <c r="H111" i="3"/>
  <c r="K118" i="3"/>
  <c r="F112" i="3"/>
  <c r="K117" i="3"/>
  <c r="P125" i="3"/>
  <c r="H148" i="3"/>
  <c r="F111" i="3"/>
  <c r="P124" i="3"/>
  <c r="F110" i="3"/>
  <c r="I127" i="3"/>
  <c r="P123" i="3"/>
  <c r="N149" i="3"/>
  <c r="M143" i="3"/>
  <c r="M141" i="3"/>
  <c r="T150" i="3"/>
  <c r="T151" i="3"/>
  <c r="M140" i="3"/>
  <c r="T149" i="3"/>
  <c r="U150" i="3"/>
  <c r="N146" i="3"/>
  <c r="U149" i="3"/>
  <c r="N147" i="3"/>
  <c r="N145" i="3"/>
  <c r="U148" i="3"/>
  <c r="V151" i="3"/>
  <c r="O147" i="3"/>
  <c r="O146" i="3"/>
  <c r="O145" i="3"/>
  <c r="N144" i="3"/>
  <c r="O144" i="3"/>
  <c r="P144" i="3"/>
  <c r="O143" i="3"/>
  <c r="O142" i="3"/>
  <c r="L151" i="3"/>
  <c r="L150" i="3"/>
  <c r="L149" i="3"/>
  <c r="P146" i="3"/>
  <c r="L145" i="3"/>
  <c r="K145" i="3"/>
  <c r="I114" i="3"/>
  <c r="L118" i="3"/>
  <c r="P122" i="3"/>
  <c r="G148" i="3"/>
  <c r="E118" i="3"/>
  <c r="G119" i="3"/>
  <c r="I112" i="3"/>
  <c r="P120" i="3"/>
  <c r="W127" i="3"/>
  <c r="G145" i="3"/>
  <c r="E117" i="3"/>
  <c r="G115" i="3"/>
  <c r="M127" i="3"/>
  <c r="P119" i="3"/>
  <c r="W126" i="3"/>
  <c r="G144" i="3"/>
  <c r="G143" i="3"/>
  <c r="G142" i="3"/>
  <c r="G138" i="3"/>
  <c r="G134" i="3"/>
  <c r="E109" i="3"/>
  <c r="J122" i="3"/>
  <c r="M121" i="3"/>
  <c r="Q123" i="3"/>
  <c r="G135" i="3"/>
  <c r="K143" i="3"/>
  <c r="K142" i="3"/>
  <c r="E112" i="3"/>
  <c r="G118" i="3"/>
  <c r="I120" i="3"/>
  <c r="O123" i="3"/>
  <c r="S124" i="3"/>
  <c r="E147" i="3"/>
  <c r="E111" i="3"/>
  <c r="G117" i="3"/>
  <c r="I119" i="3"/>
  <c r="L127" i="3"/>
  <c r="O121" i="3"/>
  <c r="S122" i="3"/>
  <c r="E146" i="3"/>
  <c r="H151" i="3"/>
  <c r="E110" i="3"/>
  <c r="G116" i="3"/>
  <c r="I118" i="3"/>
  <c r="L126" i="3"/>
  <c r="O120" i="3"/>
  <c r="E145" i="3"/>
  <c r="H150" i="3"/>
  <c r="H149" i="3"/>
  <c r="E142" i="3"/>
  <c r="H147" i="3"/>
  <c r="H146" i="3"/>
  <c r="F127" i="3"/>
  <c r="L116" i="3"/>
  <c r="P127" i="3"/>
  <c r="T125" i="3"/>
  <c r="H145" i="3"/>
  <c r="F126" i="3"/>
  <c r="J126" i="3"/>
  <c r="P126" i="3"/>
  <c r="T124" i="3"/>
  <c r="F151" i="3"/>
  <c r="H144" i="3"/>
  <c r="K141" i="3"/>
  <c r="K140" i="3"/>
  <c r="K139" i="3"/>
  <c r="G111" i="3"/>
  <c r="I117" i="3"/>
  <c r="K116" i="3"/>
  <c r="N123" i="3"/>
  <c r="Q122" i="3"/>
  <c r="V127" i="3"/>
  <c r="F145" i="3"/>
  <c r="H137" i="3"/>
  <c r="F122" i="3"/>
  <c r="G110" i="3"/>
  <c r="I116" i="3"/>
  <c r="K115" i="3"/>
  <c r="N122" i="3"/>
  <c r="Q121" i="3"/>
  <c r="V125" i="3"/>
  <c r="F144" i="3"/>
  <c r="F121" i="3"/>
  <c r="I115" i="3"/>
  <c r="K114" i="3"/>
  <c r="N121" i="3"/>
  <c r="F143" i="3"/>
  <c r="I151" i="3"/>
  <c r="I150" i="3"/>
  <c r="I148" i="3"/>
  <c r="I144" i="3"/>
  <c r="E126" i="3"/>
  <c r="F116" i="3"/>
  <c r="H124" i="3"/>
  <c r="L125" i="3"/>
  <c r="O127" i="3"/>
  <c r="R124" i="3"/>
  <c r="F138" i="3"/>
  <c r="I143" i="3"/>
  <c r="F115" i="3"/>
  <c r="H123" i="3"/>
  <c r="J127" i="3"/>
  <c r="L124" i="3"/>
  <c r="O126" i="3"/>
  <c r="R123" i="3"/>
  <c r="F137" i="3"/>
  <c r="I149" i="3"/>
  <c r="I147" i="3"/>
  <c r="H115" i="3"/>
  <c r="J118" i="3"/>
  <c r="L115" i="3"/>
  <c r="O122" i="3"/>
  <c r="F136" i="3"/>
  <c r="I146" i="3"/>
  <c r="I145" i="3"/>
  <c r="I137" i="3"/>
  <c r="G122" i="3"/>
  <c r="M125" i="3"/>
  <c r="S123" i="3"/>
  <c r="E151" i="3"/>
  <c r="I142" i="3"/>
  <c r="I141" i="3"/>
  <c r="J120" i="3"/>
  <c r="L122" i="3"/>
  <c r="N119" i="3"/>
  <c r="Q125" i="3"/>
  <c r="E137" i="3"/>
  <c r="G141" i="3"/>
  <c r="I140" i="3"/>
  <c r="J119" i="3"/>
  <c r="L121" i="3"/>
  <c r="N118" i="3"/>
  <c r="Q124" i="3"/>
  <c r="U127" i="3"/>
  <c r="E135" i="3"/>
  <c r="G140" i="3"/>
  <c r="I139" i="3"/>
  <c r="E132" i="3"/>
  <c r="G139" i="3"/>
  <c r="I138" i="3"/>
  <c r="G137" i="3"/>
  <c r="I136" i="3"/>
  <c r="J115" i="3"/>
  <c r="L117" i="3"/>
  <c r="Q120" i="3"/>
  <c r="G136" i="3"/>
  <c r="K138" i="3"/>
  <c r="E141" i="3"/>
  <c r="H143" i="3"/>
  <c r="J150" i="3"/>
  <c r="E140" i="3"/>
  <c r="H142" i="3"/>
  <c r="J149" i="3"/>
  <c r="E139" i="3"/>
  <c r="H141" i="3"/>
  <c r="J148" i="3"/>
  <c r="E138" i="3"/>
  <c r="G151" i="3"/>
  <c r="H140" i="3"/>
  <c r="J147" i="3"/>
  <c r="G150" i="3"/>
  <c r="H139" i="3"/>
  <c r="J146" i="3"/>
  <c r="V126" i="3"/>
  <c r="E136" i="3"/>
  <c r="G149" i="3"/>
  <c r="H138" i="3"/>
  <c r="J145" i="3"/>
  <c r="J144" i="3"/>
  <c r="E134" i="3"/>
  <c r="G147" i="3"/>
  <c r="H136" i="3"/>
  <c r="J143" i="3"/>
  <c r="M120" i="3"/>
  <c r="R121" i="3"/>
  <c r="E133" i="3"/>
  <c r="G146" i="3"/>
  <c r="H135" i="3"/>
  <c r="L143" i="3"/>
  <c r="L142" i="3"/>
  <c r="L141" i="3"/>
  <c r="P151" i="3"/>
  <c r="L139" i="3"/>
  <c r="P150" i="3"/>
  <c r="M149" i="3"/>
  <c r="Q151" i="3"/>
  <c r="P149" i="3"/>
  <c r="P148" i="3"/>
  <c r="M148" i="3"/>
  <c r="P145" i="3"/>
  <c r="M142" i="3"/>
  <c r="Q148" i="3"/>
  <c r="Q150" i="3"/>
  <c r="Q149" i="3"/>
  <c r="Q147" i="3"/>
  <c r="Q146" i="3"/>
  <c r="N150" i="3"/>
  <c r="Q145" i="3"/>
  <c r="V150" i="3"/>
  <c r="V149" i="3"/>
  <c r="L147" i="3"/>
  <c r="N143" i="3"/>
  <c r="Q144" i="3"/>
  <c r="L146" i="3"/>
  <c r="N142" i="3"/>
  <c r="N141" i="3"/>
  <c r="L144" i="3"/>
  <c r="R151" i="3"/>
  <c r="R150" i="3"/>
  <c r="O151" i="3"/>
  <c r="R149" i="3"/>
  <c r="O150" i="3"/>
  <c r="R146" i="3"/>
  <c r="L140" i="3"/>
  <c r="O149" i="3"/>
  <c r="R145" i="3"/>
  <c r="W151" i="3"/>
  <c r="W150" i="3"/>
  <c r="R148" i="3"/>
  <c r="O148" i="3"/>
  <c r="R147" i="3"/>
  <c r="S151" i="3"/>
  <c r="M145" i="3"/>
  <c r="S149" i="3"/>
  <c r="X151" i="3"/>
  <c r="X152" i="3" s="1"/>
  <c r="P147" i="3"/>
  <c r="S146" i="3"/>
  <c r="W126" i="1" l="1"/>
  <c r="W152" i="3"/>
  <c r="E126" i="6"/>
  <c r="J126" i="6"/>
  <c r="M126" i="6"/>
  <c r="I126" i="6"/>
  <c r="S126" i="6"/>
  <c r="T126" i="6"/>
  <c r="G126" i="6"/>
  <c r="R152" i="7"/>
  <c r="U152" i="7"/>
  <c r="S152" i="7"/>
  <c r="I128" i="7"/>
  <c r="P128" i="7"/>
  <c r="O152" i="7"/>
  <c r="N126" i="6"/>
  <c r="Q152" i="7"/>
  <c r="P126" i="6"/>
  <c r="G152" i="7"/>
  <c r="G128" i="7"/>
  <c r="O126" i="6"/>
  <c r="T152" i="7"/>
  <c r="R126" i="6"/>
  <c r="J128" i="7"/>
  <c r="F126" i="6"/>
  <c r="H126" i="6"/>
  <c r="J152" i="7"/>
  <c r="W126" i="6"/>
  <c r="S128" i="7"/>
  <c r="L126" i="6"/>
  <c r="U126" i="6"/>
  <c r="N152" i="7"/>
  <c r="T128" i="7"/>
  <c r="H128" i="7"/>
  <c r="H152" i="7"/>
  <c r="K126" i="6"/>
  <c r="V126" i="6"/>
  <c r="R128" i="7"/>
  <c r="O128" i="7"/>
  <c r="Q126" i="6"/>
  <c r="P152" i="7"/>
  <c r="P126" i="1"/>
  <c r="Q126" i="1"/>
  <c r="U126" i="1"/>
  <c r="M126" i="1"/>
  <c r="V126" i="1"/>
  <c r="O126" i="1"/>
  <c r="K126" i="1"/>
  <c r="N126" i="1"/>
  <c r="R126" i="1"/>
  <c r="T126" i="1"/>
  <c r="I126" i="1"/>
  <c r="L126" i="1"/>
  <c r="J126" i="1"/>
  <c r="G126" i="1"/>
  <c r="H126" i="1"/>
  <c r="S126" i="1"/>
  <c r="E126" i="1"/>
  <c r="F126" i="1"/>
  <c r="T152" i="3"/>
  <c r="U152" i="3"/>
  <c r="T128" i="3"/>
  <c r="U128" i="3"/>
  <c r="P128" i="3"/>
  <c r="K128" i="3"/>
  <c r="R128" i="3"/>
  <c r="O128" i="3"/>
  <c r="V152" i="3"/>
  <c r="N152" i="3"/>
  <c r="Q152" i="3"/>
  <c r="P152" i="3"/>
  <c r="M152" i="3"/>
  <c r="G128" i="3"/>
  <c r="K152" i="3"/>
  <c r="W128" i="3"/>
  <c r="I128" i="3"/>
  <c r="F152" i="3"/>
  <c r="E128" i="3"/>
  <c r="H128" i="3"/>
  <c r="F128" i="3"/>
  <c r="S128" i="3"/>
  <c r="V128" i="3"/>
  <c r="J128" i="3"/>
  <c r="J152" i="3"/>
  <c r="I152" i="3"/>
  <c r="L128" i="3"/>
  <c r="M128" i="3"/>
  <c r="N128" i="3"/>
  <c r="Q128" i="3"/>
  <c r="G152" i="3"/>
  <c r="H152" i="3"/>
  <c r="E152" i="3"/>
  <c r="L152" i="3"/>
  <c r="O152" i="3"/>
  <c r="R152" i="3"/>
  <c r="S152" i="3"/>
</calcChain>
</file>

<file path=xl/sharedStrings.xml><?xml version="1.0" encoding="utf-8"?>
<sst xmlns="http://schemas.openxmlformats.org/spreadsheetml/2006/main" count="124" uniqueCount="20">
  <si>
    <t>Coupon Bond</t>
  </si>
  <si>
    <t>Face_Value</t>
  </si>
  <si>
    <t>Coupon_Rate</t>
  </si>
  <si>
    <t>per period</t>
  </si>
  <si>
    <t>Life</t>
  </si>
  <si>
    <t>periods</t>
  </si>
  <si>
    <t>Initial_Interest_Rate</t>
  </si>
  <si>
    <t>Interest Rate</t>
  </si>
  <si>
    <t>Time</t>
  </si>
  <si>
    <t>Bond Value</t>
  </si>
  <si>
    <r>
      <t xml:space="preserve">Move the </t>
    </r>
    <r>
      <rPr>
        <b/>
        <sz val="11"/>
        <color theme="1"/>
        <rFont val="Calibri"/>
        <family val="2"/>
        <scheme val="minor"/>
      </rPr>
      <t>Slider</t>
    </r>
    <r>
      <rPr>
        <sz val="11"/>
        <color theme="1"/>
        <rFont val="Calibri"/>
        <family val="2"/>
        <scheme val="minor"/>
      </rPr>
      <t xml:space="preserve"> to see how the present value and the path </t>
    </r>
    <r>
      <rPr>
        <b/>
        <sz val="11"/>
        <color theme="1"/>
        <rFont val="Calibri"/>
        <family val="2"/>
        <scheme val="minor"/>
      </rPr>
      <t>vary</t>
    </r>
    <r>
      <rPr>
        <sz val="11"/>
        <color theme="1"/>
        <rFont val="Calibri"/>
        <family val="2"/>
        <scheme val="minor"/>
      </rPr>
      <t xml:space="preserve"> with the interest rate.</t>
    </r>
  </si>
  <si>
    <t>End of Period</t>
  </si>
  <si>
    <t>Coupon Payment</t>
  </si>
  <si>
    <t>Face Value Payment</t>
  </si>
  <si>
    <t>Total Cash Flow</t>
  </si>
  <si>
    <t>New_Interest_Rate</t>
  </si>
  <si>
    <t>Initial Interest Rate</t>
  </si>
  <si>
    <t>New Interest Rate</t>
  </si>
  <si>
    <r>
      <t>This Slider changes the</t>
    </r>
    <r>
      <rPr>
        <b/>
        <sz val="11"/>
        <color theme="1"/>
        <rFont val="Calibri"/>
        <family val="2"/>
        <scheme val="minor"/>
      </rPr>
      <t xml:space="preserve"> Initial_Interest_Rate</t>
    </r>
  </si>
  <si>
    <r>
      <t xml:space="preserve">This Slider changes the </t>
    </r>
    <r>
      <rPr>
        <b/>
        <sz val="11"/>
        <color theme="1"/>
        <rFont val="Calibri"/>
        <family val="2"/>
        <scheme val="minor"/>
      </rPr>
      <t>New_Interest_Rate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</si>
</sst>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;;;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0" borderId="0" xfId="0" applyAlignment="1">
      <alignment horizontal="center"/>
    </xf>
    <xf numFmtId="164" fontId="0" fillId="0" borderId="0" xfId="0" applyNumberFormat="1"/>
    <xf numFmtId="44" fontId="0" fillId="0" borderId="0" xfId="0" applyNumberFormat="1"/>
    <xf numFmtId="164" fontId="0" fillId="0" borderId="0" xfId="1" applyNumberFormat="1" applyFont="1" applyFill="1"/>
    <xf numFmtId="9" fontId="0" fillId="0" borderId="0" xfId="0" applyNumberFormat="1"/>
    <xf numFmtId="0" fontId="0" fillId="3" borderId="0" xfId="0" applyFill="1"/>
    <xf numFmtId="9" fontId="0" fillId="3" borderId="0" xfId="0" applyNumberFormat="1" applyFill="1"/>
    <xf numFmtId="9" fontId="0" fillId="4" borderId="0" xfId="0" applyNumberFormat="1" applyFill="1"/>
    <xf numFmtId="0" fontId="0" fillId="4" borderId="0" xfId="0" applyFill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9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4" fontId="0" fillId="5" borderId="0" xfId="1" applyNumberFormat="1" applyFont="1" applyFill="1" applyBorder="1"/>
    <xf numFmtId="164" fontId="0" fillId="5" borderId="1" xfId="1" applyNumberFormat="1" applyFont="1" applyFill="1" applyBorder="1"/>
    <xf numFmtId="0" fontId="2" fillId="0" borderId="0" xfId="0" applyFont="1"/>
    <xf numFmtId="164" fontId="2" fillId="0" borderId="0" xfId="1" applyNumberFormat="1" applyFont="1" applyFill="1" applyBorder="1"/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1" applyNumberFormat="1" applyFont="1" applyFill="1" applyBorder="1"/>
    <xf numFmtId="9" fontId="0" fillId="6" borderId="4" xfId="0" applyNumberFormat="1" applyFill="1" applyBorder="1" applyAlignment="1">
      <alignment horizontal="center"/>
    </xf>
    <xf numFmtId="9" fontId="0" fillId="6" borderId="6" xfId="0" applyNumberFormat="1" applyFill="1" applyBorder="1" applyAlignment="1">
      <alignment horizontal="center"/>
    </xf>
    <xf numFmtId="9" fontId="0" fillId="6" borderId="0" xfId="0" applyNumberFormat="1" applyFill="1"/>
    <xf numFmtId="9" fontId="0" fillId="3" borderId="0" xfId="2" applyFont="1" applyFill="1"/>
    <xf numFmtId="9" fontId="0" fillId="3" borderId="0" xfId="2" applyFont="1" applyFill="1" applyAlignment="1">
      <alignment horizontal="center"/>
    </xf>
    <xf numFmtId="9" fontId="0" fillId="4" borderId="0" xfId="2" applyFont="1" applyFill="1"/>
    <xf numFmtId="165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of Bond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62-4554-AE66-B3659EF86C7F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62-4554-AE66-B3659EF86C7F}"/>
                </c:ext>
              </c:extLst>
            </c:dLbl>
            <c:dLbl>
              <c:idx val="2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62-4554-AE66-B3659EF86C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'Coupon Bond Value Through Time'!$A$105:$A$125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'Coupon Bond Value Through Time'!$E$126:$Y$126</c:f>
              <c:numCache>
                <c:formatCode>_("$"* #,##0.00_);_("$"* \(#,##0.00\);_("$"* "-"??_);_(@_)</c:formatCode>
                <c:ptCount val="21"/>
                <c:pt idx="0">
                  <c:v>7881.1971508967654</c:v>
                </c:pt>
                <c:pt idx="1">
                  <c:v>7932.8809514595396</c:v>
                </c:pt>
                <c:pt idx="2">
                  <c:v>7988.1826180617081</c:v>
                </c:pt>
                <c:pt idx="3">
                  <c:v>8047.3554013260282</c:v>
                </c:pt>
                <c:pt idx="4">
                  <c:v>8110.6702794188504</c:v>
                </c:pt>
                <c:pt idx="5">
                  <c:v>8178.4171989781698</c:v>
                </c:pt>
                <c:pt idx="6">
                  <c:v>8250.9064029066431</c:v>
                </c:pt>
                <c:pt idx="7">
                  <c:v>8328.4698511101069</c:v>
                </c:pt>
                <c:pt idx="8">
                  <c:v>8411.4627406878135</c:v>
                </c:pt>
                <c:pt idx="9">
                  <c:v>8500.2651325359602</c:v>
                </c:pt>
                <c:pt idx="10">
                  <c:v>8595.2836918134781</c:v>
                </c:pt>
                <c:pt idx="11">
                  <c:v>8696.9535502404215</c:v>
                </c:pt>
                <c:pt idx="12">
                  <c:v>8805.7402987572532</c:v>
                </c:pt>
                <c:pt idx="13">
                  <c:v>8922.1421196702595</c:v>
                </c:pt>
                <c:pt idx="14">
                  <c:v>9046.6920680471776</c:v>
                </c:pt>
                <c:pt idx="15">
                  <c:v>9179.9605128104813</c:v>
                </c:pt>
                <c:pt idx="16">
                  <c:v>9322.5577487072151</c:v>
                </c:pt>
                <c:pt idx="17">
                  <c:v>9475.1367911167199</c:v>
                </c:pt>
                <c:pt idx="18">
                  <c:v>9638.3963664948897</c:v>
                </c:pt>
                <c:pt idx="19">
                  <c:v>9813.0841121495323</c:v>
                </c:pt>
                <c:pt idx="2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62-4554-AE66-B3659EF86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326408"/>
        <c:axId val="1451326736"/>
      </c:lineChart>
      <c:catAx>
        <c:axId val="145132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736"/>
        <c:crosses val="autoZero"/>
        <c:auto val="1"/>
        <c:lblAlgn val="ctr"/>
        <c:lblOffset val="100"/>
        <c:noMultiLvlLbl val="0"/>
      </c:catAx>
      <c:valAx>
        <c:axId val="1451326736"/>
        <c:scaling>
          <c:orientation val="minMax"/>
          <c:max val="2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of Bond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Bond Value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91-487D-8F4F-14767B3F245C}"/>
                </c:ext>
              </c:extLst>
            </c:dLbl>
            <c:dLbl>
              <c:idx val="6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91-487D-8F4F-14767B3F245C}"/>
                </c:ext>
              </c:extLst>
            </c:dLbl>
            <c:dLbl>
              <c:idx val="7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291-487D-8F4F-14767B3F245C}"/>
                </c:ext>
              </c:extLst>
            </c:dLbl>
            <c:dLbl>
              <c:idx val="2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291-487D-8F4F-14767B3F24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'Change in Interest Rate'!$A$131:$A$151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'Change in Interest Rate'!$E$152:$Y$152</c:f>
              <c:numCache>
                <c:formatCode>_("$"* #,##0.00_);_("$"* \(#,##0.00\);_("$"* "-"??_);_(@_)</c:formatCode>
                <c:ptCount val="21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6448.3218986834363</c:v>
                </c:pt>
                <c:pt idx="8">
                  <c:v>6593.1540885517798</c:v>
                </c:pt>
                <c:pt idx="9">
                  <c:v>6752.469497406958</c:v>
                </c:pt>
                <c:pt idx="10">
                  <c:v>6927.7164471476544</c:v>
                </c:pt>
                <c:pt idx="11">
                  <c:v>7120.4880918624203</c:v>
                </c:pt>
                <c:pt idx="12">
                  <c:v>7332.5369010486638</c:v>
                </c:pt>
                <c:pt idx="13">
                  <c:v>7565.7905911535308</c:v>
                </c:pt>
                <c:pt idx="14">
                  <c:v>7822.3696502688836</c:v>
                </c:pt>
                <c:pt idx="15">
                  <c:v>8104.6066152957737</c:v>
                </c:pt>
                <c:pt idx="16">
                  <c:v>8415.0672768253517</c:v>
                </c:pt>
                <c:pt idx="17">
                  <c:v>8756.5740045078855</c:v>
                </c:pt>
                <c:pt idx="18">
                  <c:v>9132.2314049586766</c:v>
                </c:pt>
                <c:pt idx="19">
                  <c:v>9545.4545454545441</c:v>
                </c:pt>
                <c:pt idx="2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91-487D-8F4F-14767B3F2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326408"/>
        <c:axId val="1451326736"/>
      </c:lineChart>
      <c:catAx>
        <c:axId val="145132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736"/>
        <c:crosses val="autoZero"/>
        <c:auto val="1"/>
        <c:lblAlgn val="ctr"/>
        <c:lblOffset val="100"/>
        <c:noMultiLvlLbl val="0"/>
      </c:catAx>
      <c:valAx>
        <c:axId val="1451326736"/>
        <c:scaling>
          <c:orientation val="minMax"/>
          <c:max val="2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of Bond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6E-4C89-9A25-BFF42064B500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6E-4C89-9A25-BFF42064B500}"/>
                </c:ext>
              </c:extLst>
            </c:dLbl>
            <c:dLbl>
              <c:idx val="2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86E-4C89-9A25-BFF42064B5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CBVTT!$A$105:$A$125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CBVTT!$E$126:$Y$126</c:f>
              <c:numCache>
                <c:formatCode>_("$"* #,##0.00_);_("$"* \(#,##0.00\);_("$"* "-"??_);_(@_)</c:formatCode>
                <c:ptCount val="21"/>
                <c:pt idx="0">
                  <c:v>7881.1971508967654</c:v>
                </c:pt>
                <c:pt idx="1">
                  <c:v>7932.8809514595396</c:v>
                </c:pt>
                <c:pt idx="2">
                  <c:v>7988.1826180617081</c:v>
                </c:pt>
                <c:pt idx="3">
                  <c:v>8047.3554013260282</c:v>
                </c:pt>
                <c:pt idx="4">
                  <c:v>8110.6702794188504</c:v>
                </c:pt>
                <c:pt idx="5">
                  <c:v>8178.4171989781698</c:v>
                </c:pt>
                <c:pt idx="6">
                  <c:v>8250.9064029066431</c:v>
                </c:pt>
                <c:pt idx="7">
                  <c:v>8328.4698511101069</c:v>
                </c:pt>
                <c:pt idx="8">
                  <c:v>8411.4627406878135</c:v>
                </c:pt>
                <c:pt idx="9">
                  <c:v>8500.2651325359602</c:v>
                </c:pt>
                <c:pt idx="10">
                  <c:v>8595.2836918134781</c:v>
                </c:pt>
                <c:pt idx="11">
                  <c:v>8696.9535502404215</c:v>
                </c:pt>
                <c:pt idx="12">
                  <c:v>8805.7402987572532</c:v>
                </c:pt>
                <c:pt idx="13">
                  <c:v>8922.1421196702595</c:v>
                </c:pt>
                <c:pt idx="14">
                  <c:v>9046.6920680471776</c:v>
                </c:pt>
                <c:pt idx="15">
                  <c:v>9179.9605128104813</c:v>
                </c:pt>
                <c:pt idx="16">
                  <c:v>9322.5577487072151</c:v>
                </c:pt>
                <c:pt idx="17">
                  <c:v>9475.1367911167199</c:v>
                </c:pt>
                <c:pt idx="18">
                  <c:v>9638.3963664948897</c:v>
                </c:pt>
                <c:pt idx="19">
                  <c:v>9813.0841121495323</c:v>
                </c:pt>
                <c:pt idx="2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6E-4C89-9A25-BFF42064B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326408"/>
        <c:axId val="1451326736"/>
      </c:lineChart>
      <c:catAx>
        <c:axId val="145132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736"/>
        <c:crosses val="autoZero"/>
        <c:auto val="1"/>
        <c:lblAlgn val="ctr"/>
        <c:lblOffset val="100"/>
        <c:noMultiLvlLbl val="0"/>
      </c:catAx>
      <c:valAx>
        <c:axId val="1451326736"/>
        <c:scaling>
          <c:orientation val="minMax"/>
          <c:max val="2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of Bond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Bond Value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C1B-4DB5-93CA-574F51DF8383}"/>
                </c:ext>
              </c:extLst>
            </c:dLbl>
            <c:dLbl>
              <c:idx val="6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1B-4DB5-93CA-574F51DF8383}"/>
                </c:ext>
              </c:extLst>
            </c:dLbl>
            <c:dLbl>
              <c:idx val="7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C1B-4DB5-93CA-574F51DF8383}"/>
                </c:ext>
              </c:extLst>
            </c:dLbl>
            <c:dLbl>
              <c:idx val="2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1B-4DB5-93CA-574F51DF83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CIR!$A$131:$A$151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CIR!$E$152:$Y$152</c:f>
              <c:numCache>
                <c:formatCode>_("$"* #,##0.00_);_("$"* \(#,##0.00\);_("$"* "-"??_);_(@_)</c:formatCode>
                <c:ptCount val="21"/>
                <c:pt idx="0">
                  <c:v>20000</c:v>
                </c:pt>
                <c:pt idx="1">
                  <c:v>19500</c:v>
                </c:pt>
                <c:pt idx="2">
                  <c:v>19000</c:v>
                </c:pt>
                <c:pt idx="3">
                  <c:v>18500</c:v>
                </c:pt>
                <c:pt idx="4">
                  <c:v>18000</c:v>
                </c:pt>
                <c:pt idx="5">
                  <c:v>17500</c:v>
                </c:pt>
                <c:pt idx="6">
                  <c:v>17000</c:v>
                </c:pt>
                <c:pt idx="7">
                  <c:v>14853.496029102824</c:v>
                </c:pt>
                <c:pt idx="8">
                  <c:v>14502.030989393852</c:v>
                </c:pt>
                <c:pt idx="9">
                  <c:v>14147.051299287792</c:v>
                </c:pt>
                <c:pt idx="10">
                  <c:v>13788.521812280665</c:v>
                </c:pt>
                <c:pt idx="11">
                  <c:v>13426.407030403472</c:v>
                </c:pt>
                <c:pt idx="12">
                  <c:v>13060.671100707508</c:v>
                </c:pt>
                <c:pt idx="13">
                  <c:v>12691.277811714586</c:v>
                </c:pt>
                <c:pt idx="14">
                  <c:v>12318.190589831729</c:v>
                </c:pt>
                <c:pt idx="15">
                  <c:v>11941.372495730049</c:v>
                </c:pt>
                <c:pt idx="16">
                  <c:v>11560.786220687349</c:v>
                </c:pt>
                <c:pt idx="17">
                  <c:v>11176.394082894223</c:v>
                </c:pt>
                <c:pt idx="18">
                  <c:v>10788.158023723165</c:v>
                </c:pt>
                <c:pt idx="19">
                  <c:v>10396.039603960397</c:v>
                </c:pt>
                <c:pt idx="2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1B-4DB5-93CA-574F51DF8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326408"/>
        <c:axId val="1451326736"/>
      </c:lineChart>
      <c:catAx>
        <c:axId val="145132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736"/>
        <c:crosses val="autoZero"/>
        <c:auto val="1"/>
        <c:lblAlgn val="ctr"/>
        <c:lblOffset val="100"/>
        <c:noMultiLvlLbl val="0"/>
      </c:catAx>
      <c:valAx>
        <c:axId val="1451326736"/>
        <c:scaling>
          <c:orientation val="minMax"/>
          <c:max val="2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$D$19" horiz="1" max="20" page="10" val="7"/>
</file>

<file path=xl/ctrlProps/ctrlProp2.xml><?xml version="1.0" encoding="utf-8"?>
<formControlPr xmlns="http://schemas.microsoft.com/office/spreadsheetml/2009/9/main" objectType="CheckBox" fmlaLink="$I$8" lockText="1" noThreeD="1"/>
</file>

<file path=xl/ctrlProps/ctrlProp3.xml><?xml version="1.0" encoding="utf-8"?>
<formControlPr xmlns="http://schemas.microsoft.com/office/spreadsheetml/2009/9/main" objectType="CheckBox" fmlaLink="$I$16" lockText="1" noThreeD="1"/>
</file>

<file path=xl/ctrlProps/ctrlProp4.xml><?xml version="1.0" encoding="utf-8"?>
<formControlPr xmlns="http://schemas.microsoft.com/office/spreadsheetml/2009/9/main" objectType="CheckBox" fmlaLink="$I$25" lockText="1" noThreeD="1"/>
</file>

<file path=xl/ctrlProps/ctrlProp5.xml><?xml version="1.0" encoding="utf-8"?>
<formControlPr xmlns="http://schemas.microsoft.com/office/spreadsheetml/2009/9/main" objectType="Scroll" dx="22" fmlaLink="$D$21" horiz="1" max="20" page="10" val="5"/>
</file>

<file path=xl/ctrlProps/ctrlProp6.xml><?xml version="1.0" encoding="utf-8"?>
<formControlPr xmlns="http://schemas.microsoft.com/office/spreadsheetml/2009/9/main" objectType="Scroll" dx="22" fmlaLink="$D$22" horiz="1" max="20" page="10" val="10"/>
</file>

<file path=xl/ctrlProps/ctrlProp7.xml><?xml version="1.0" encoding="utf-8"?>
<formControlPr xmlns="http://schemas.microsoft.com/office/spreadsheetml/2009/9/main" objectType="CheckBox" fmlaLink="$I$9" lockText="1" noThreeD="1"/>
</file>

<file path=xl/ctrlProps/ctrlProp8.xml><?xml version="1.0" encoding="utf-8"?>
<formControlPr xmlns="http://schemas.microsoft.com/office/spreadsheetml/2009/9/main" objectType="CheckBox" fmlaLink="$I$18" lockText="1" noThreeD="1"/>
</file>

<file path=xl/ctrlProps/ctrlProp9.xml><?xml version="1.0" encoding="utf-8"?>
<formControlPr xmlns="http://schemas.microsoft.com/office/spreadsheetml/2009/9/main" objectType="CheckBox" fmlaLink="$I$27" lockText="1" noThreeD="1"/>
</file>

<file path=xl/ctrlProps/ctrlProp10.xml><?xml version="1.0" encoding="utf-8"?>
<formControlPr xmlns="http://schemas.microsoft.com/office/spreadsheetml/2009/9/main" objectType="CheckBox" fmlaLink="$I$36" lockText="1" noThreeD="1"/>
</file>

<file path=xl/ctrlProps/ctrlProp11.xml><?xml version="1.0" encoding="utf-8"?>
<formControlPr xmlns="http://schemas.microsoft.com/office/spreadsheetml/2009/9/main" objectType="CheckBox" fmlaLink="$I$45" lockText="1" noThreeD="1"/>
</file>

<file path=xl/ctrlProps/ctrlProp12.xml><?xml version="1.0" encoding="utf-8"?>
<formControlPr xmlns="http://schemas.microsoft.com/office/spreadsheetml/2009/9/main" objectType="Scroll" dx="22" fmlaLink="$D$19" horiz="1" max="20" page="10" val="6"/>
</file>

<file path=xl/ctrlProps/ctrlProp13.xml><?xml version="1.0" encoding="utf-8"?>
<formControlPr xmlns="http://schemas.microsoft.com/office/spreadsheetml/2009/9/main" objectType="Scroll" dx="22" fmlaLink="$D$21" horiz="1" max="20" page="10" val="0"/>
</file>

<file path=xl/ctrlProps/ctrlProp14.xml><?xml version="1.0" encoding="utf-8"?>
<formControlPr xmlns="http://schemas.microsoft.com/office/spreadsheetml/2009/9/main" objectType="Scroll" dx="22" fmlaLink="$D$22" horiz="1" max="20" page="10" val="0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552451</xdr:colOff>
      <xdr:row>1</xdr:row>
      <xdr:rowOff>142875</xdr:rowOff>
    </xdr:from>
    <xdr:ext cx="6442709" cy="60103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52451" y="325755"/>
          <a:ext cx="6442709" cy="60103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/>
            <a:t>On</a:t>
          </a:r>
          <a:r>
            <a:rPr lang="en-US" sz="1800" baseline="0"/>
            <a:t> the tab:</a:t>
          </a:r>
        </a:p>
        <a:p>
          <a:endParaRPr lang="en-US" sz="1800" baseline="0"/>
        </a:p>
        <a:p>
          <a:r>
            <a:rPr lang="en-US" sz="1800" b="1" baseline="0"/>
            <a:t>Coupon Bond Value Through Time</a:t>
          </a:r>
        </a:p>
        <a:p>
          <a:endParaRPr lang="en-US" sz="1800" baseline="0"/>
        </a:p>
        <a:p>
          <a:r>
            <a:rPr lang="en-US" sz="1800" baseline="0"/>
            <a:t>Use the Slider to vary the interest rate and fill in the Bond Value at different points in time in the Tables in Column I.</a:t>
          </a:r>
        </a:p>
        <a:p>
          <a:endParaRPr lang="en-US" sz="1800" baseline="0"/>
        </a:p>
        <a:p>
          <a:r>
            <a:rPr lang="en-US" sz="1800" baseline="0"/>
            <a:t>On the tab:</a:t>
          </a:r>
        </a:p>
        <a:p>
          <a:endParaRPr lang="en-US" sz="1800" baseline="0"/>
        </a:p>
        <a:p>
          <a:r>
            <a:rPr lang="en-US" sz="1800" b="1" baseline="0"/>
            <a:t>Change in Interest Rate</a:t>
          </a:r>
        </a:p>
        <a:p>
          <a:endParaRPr lang="en-US" sz="1800" baseline="0"/>
        </a:p>
        <a:p>
          <a:r>
            <a:rPr lang="en-US" sz="1800"/>
            <a:t>Use the Sliders to vary the Intial</a:t>
          </a:r>
          <a:r>
            <a:rPr lang="en-US" sz="1800" baseline="0"/>
            <a:t> </a:t>
          </a:r>
          <a:r>
            <a:rPr lang="en-US" sz="1800"/>
            <a:t>Interest Rate and the New Interest Rate to fill in the Bond Value at different points in time in the Tables in Column I.</a:t>
          </a:r>
        </a:p>
        <a:p>
          <a:endParaRPr lang="en-US" sz="1800"/>
        </a:p>
        <a:p>
          <a:r>
            <a:rPr lang="en-US" sz="1800" b="1"/>
            <a:t>Feedback</a:t>
          </a:r>
        </a:p>
        <a:p>
          <a:endParaRPr lang="en-US" sz="1800"/>
        </a:p>
        <a:p>
          <a:r>
            <a:rPr lang="en-US" sz="1800"/>
            <a:t>Check the box and any</a:t>
          </a:r>
          <a:r>
            <a:rPr lang="en-US" sz="1800" baseline="0"/>
            <a:t> answer that does not agree with mine will be highlighted in YELLOW. If your answer agrees with mine, nothing will happen.</a:t>
          </a:r>
          <a:endParaRPr lang="en-US" sz="1800"/>
        </a:p>
        <a:p>
          <a:endParaRPr lang="en-US" sz="18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1161317</xdr:colOff>
      <xdr:row>9</xdr:row>
      <xdr:rowOff>104772</xdr:rowOff>
    </xdr:from>
    <xdr:to>
      <xdr:col>6</xdr:col>
      <xdr:colOff>527538</xdr:colOff>
      <xdr:row>32</xdr:row>
      <xdr:rowOff>65941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33</xdr:row>
          <xdr:rowOff>121920</xdr:rowOff>
        </xdr:from>
        <xdr:to>
          <xdr:col>6</xdr:col>
          <xdr:colOff>495300</xdr:colOff>
          <xdr:row>37</xdr:row>
          <xdr:rowOff>1905</xdr:rowOff>
        </xdr:to>
        <xdr:sp macro="" textlink="">
          <xdr:nvSpPr>
            <xdr:cNvPr id="1030" name="Scroll Bar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762000</xdr:colOff>
      <xdr:row>6</xdr:row>
      <xdr:rowOff>109904</xdr:rowOff>
    </xdr:from>
    <xdr:ext cx="7385163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762000" y="1252904"/>
          <a:ext cx="7385163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This chart shows the preset value of the bond and the path of its value through time when the interest rate remains constant.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6</xdr:row>
          <xdr:rowOff>152400</xdr:rowOff>
        </xdr:from>
        <xdr:to>
          <xdr:col>9</xdr:col>
          <xdr:colOff>3810</xdr:colOff>
          <xdr:row>8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</xdr:colOff>
          <xdr:row>14</xdr:row>
          <xdr:rowOff>160020</xdr:rowOff>
        </xdr:from>
        <xdr:to>
          <xdr:col>9</xdr:col>
          <xdr:colOff>7620</xdr:colOff>
          <xdr:row>16</xdr:row>
          <xdr:rowOff>7620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23</xdr:row>
          <xdr:rowOff>160020</xdr:rowOff>
        </xdr:from>
        <xdr:to>
          <xdr:col>8</xdr:col>
          <xdr:colOff>1101090</xdr:colOff>
          <xdr:row>25</xdr:row>
          <xdr:rowOff>7620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128222</xdr:colOff>
      <xdr:row>10</xdr:row>
      <xdr:rowOff>141407</xdr:rowOff>
    </xdr:from>
    <xdr:to>
      <xdr:col>6</xdr:col>
      <xdr:colOff>791308</xdr:colOff>
      <xdr:row>33</xdr:row>
      <xdr:rowOff>102576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35</xdr:row>
          <xdr:rowOff>0</xdr:rowOff>
        </xdr:from>
        <xdr:to>
          <xdr:col>6</xdr:col>
          <xdr:colOff>464820</xdr:colOff>
          <xdr:row>38</xdr:row>
          <xdr:rowOff>45720</xdr:rowOff>
        </xdr:to>
        <xdr:sp macro="" textlink="">
          <xdr:nvSpPr>
            <xdr:cNvPr id="3073" name="Scroll Bar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40</xdr:row>
          <xdr:rowOff>160020</xdr:rowOff>
        </xdr:from>
        <xdr:to>
          <xdr:col>6</xdr:col>
          <xdr:colOff>411480</xdr:colOff>
          <xdr:row>44</xdr:row>
          <xdr:rowOff>38100</xdr:rowOff>
        </xdr:to>
        <xdr:sp macro="" textlink="">
          <xdr:nvSpPr>
            <xdr:cNvPr id="3074" name="Scroll Bar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197828</xdr:colOff>
      <xdr:row>7</xdr:row>
      <xdr:rowOff>58616</xdr:rowOff>
    </xdr:from>
    <xdr:ext cx="7884594" cy="436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97828" y="1392116"/>
          <a:ext cx="7884594" cy="436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This chart shows the bond's</a:t>
          </a:r>
          <a:r>
            <a:rPr lang="en-US" sz="1100" baseline="0"/>
            <a:t> </a:t>
          </a:r>
          <a:r>
            <a:rPr lang="en-US" sz="1100"/>
            <a:t>preset value and the path of its value through time when the interest rate changes</a:t>
          </a:r>
          <a:r>
            <a:rPr lang="en-US" sz="1100" baseline="0"/>
            <a:t> at the end of period 6.</a:t>
          </a:r>
        </a:p>
        <a:p>
          <a:r>
            <a:rPr lang="en-US" sz="1100"/>
            <a:t>Play with the Sliders and observe how the present value and the value path are affected when the rates are varied.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190500</xdr:colOff>
          <xdr:row>7</xdr:row>
          <xdr:rowOff>160020</xdr:rowOff>
        </xdr:from>
        <xdr:to>
          <xdr:col>8</xdr:col>
          <xdr:colOff>1287780</xdr:colOff>
          <xdr:row>9</xdr:row>
          <xdr:rowOff>7620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167640</xdr:colOff>
          <xdr:row>16</xdr:row>
          <xdr:rowOff>160020</xdr:rowOff>
        </xdr:from>
        <xdr:to>
          <xdr:col>8</xdr:col>
          <xdr:colOff>1257300</xdr:colOff>
          <xdr:row>18</xdr:row>
          <xdr:rowOff>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220980</xdr:colOff>
          <xdr:row>25</xdr:row>
          <xdr:rowOff>175260</xdr:rowOff>
        </xdr:from>
        <xdr:to>
          <xdr:col>8</xdr:col>
          <xdr:colOff>1291590</xdr:colOff>
          <xdr:row>27</xdr:row>
          <xdr:rowOff>7620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236220</xdr:colOff>
          <xdr:row>34</xdr:row>
          <xdr:rowOff>167640</xdr:rowOff>
        </xdr:from>
        <xdr:to>
          <xdr:col>9</xdr:col>
          <xdr:colOff>1905</xdr:colOff>
          <xdr:row>36</xdr:row>
          <xdr:rowOff>7620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243840</xdr:colOff>
          <xdr:row>43</xdr:row>
          <xdr:rowOff>175260</xdr:rowOff>
        </xdr:from>
        <xdr:to>
          <xdr:col>9</xdr:col>
          <xdr:colOff>0</xdr:colOff>
          <xdr:row>45</xdr:row>
          <xdr:rowOff>7620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1161317</xdr:colOff>
      <xdr:row>9</xdr:row>
      <xdr:rowOff>104772</xdr:rowOff>
    </xdr:from>
    <xdr:to>
      <xdr:col>6</xdr:col>
      <xdr:colOff>527538</xdr:colOff>
      <xdr:row>32</xdr:row>
      <xdr:rowOff>65941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DCD611-E7D7-486F-AA17-E579B2EE9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33</xdr:row>
          <xdr:rowOff>121920</xdr:rowOff>
        </xdr:from>
        <xdr:to>
          <xdr:col>6</xdr:col>
          <xdr:colOff>495300</xdr:colOff>
          <xdr:row>37</xdr:row>
          <xdr:rowOff>0</xdr:rowOff>
        </xdr:to>
        <xdr:sp macro="" textlink="">
          <xdr:nvSpPr>
            <xdr:cNvPr id="7169" name="Scroll Bar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3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762000</xdr:colOff>
      <xdr:row>6</xdr:row>
      <xdr:rowOff>109904</xdr:rowOff>
    </xdr:from>
    <xdr:ext cx="7385163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72C65EE-C70E-4DF7-A1C8-392E27591283}"/>
            </a:ext>
          </a:extLst>
        </xdr:cNvPr>
        <xdr:cNvSpPr txBox="1"/>
      </xdr:nvSpPr>
      <xdr:spPr>
        <a:xfrm>
          <a:off x="762000" y="1207184"/>
          <a:ext cx="7385163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This chart shows the preset value of the bond and the path of its value through time when the interest rate remains constant.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128222</xdr:colOff>
      <xdr:row>10</xdr:row>
      <xdr:rowOff>141407</xdr:rowOff>
    </xdr:from>
    <xdr:to>
      <xdr:col>6</xdr:col>
      <xdr:colOff>791308</xdr:colOff>
      <xdr:row>33</xdr:row>
      <xdr:rowOff>102576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49691C-234F-407E-96E6-87A703FAEB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35</xdr:row>
          <xdr:rowOff>0</xdr:rowOff>
        </xdr:from>
        <xdr:to>
          <xdr:col>6</xdr:col>
          <xdr:colOff>464820</xdr:colOff>
          <xdr:row>38</xdr:row>
          <xdr:rowOff>45720</xdr:rowOff>
        </xdr:to>
        <xdr:sp macro="" textlink="">
          <xdr:nvSpPr>
            <xdr:cNvPr id="8193" name="Scroll Ba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40</xdr:row>
          <xdr:rowOff>160020</xdr:rowOff>
        </xdr:from>
        <xdr:to>
          <xdr:col>6</xdr:col>
          <xdr:colOff>411480</xdr:colOff>
          <xdr:row>44</xdr:row>
          <xdr:rowOff>38100</xdr:rowOff>
        </xdr:to>
        <xdr:sp macro="" textlink="">
          <xdr:nvSpPr>
            <xdr:cNvPr id="8194" name="Scroll Bar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4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197828</xdr:colOff>
      <xdr:row>7</xdr:row>
      <xdr:rowOff>58616</xdr:rowOff>
    </xdr:from>
    <xdr:ext cx="7884594" cy="436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CE033A5-1AAD-43C1-B0C2-856900898649}"/>
            </a:ext>
          </a:extLst>
        </xdr:cNvPr>
        <xdr:cNvSpPr txBox="1"/>
      </xdr:nvSpPr>
      <xdr:spPr>
        <a:xfrm>
          <a:off x="197828" y="1338776"/>
          <a:ext cx="7884594" cy="436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This chart shows the bond's</a:t>
          </a:r>
          <a:r>
            <a:rPr lang="en-US" sz="1100" baseline="0"/>
            <a:t> </a:t>
          </a:r>
          <a:r>
            <a:rPr lang="en-US" sz="1100"/>
            <a:t>preset value and the path of its value through time when the interest rate changes</a:t>
          </a:r>
          <a:r>
            <a:rPr lang="en-US" sz="1100" baseline="0"/>
            <a:t> at the end of period 6.</a:t>
          </a:r>
        </a:p>
        <a:p>
          <a:r>
            <a:rPr lang="en-US" sz="1100"/>
            <a:t>Play with the Sliders and observe how the present value and the value path are affected when the rates are varied.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.xml"/><Relationship Id="rId3" Type="http://schemas.openxmlformats.org/officeDocument/2006/relationships/ctrlProp" Target="../ctrlProps/ctrlProp5.xml"/><Relationship Id="rId7" Type="http://schemas.openxmlformats.org/officeDocument/2006/relationships/ctrlProp" Target="../ctrlProps/ctrlProp9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Relationship Id="rId9" Type="http://schemas.openxmlformats.org/officeDocument/2006/relationships/ctrlProp" Target="../ctrlProps/ctrlProp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Relationship Id="rId4" Type="http://schemas.openxmlformats.org/officeDocument/2006/relationships/ctrlProp" Target="../ctrlProps/ctrlProp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B3E3-243E-4F9C-B752-C4B06CC0DED6}">
  <dimension ref="A1"/>
  <sheetViews>
    <sheetView tabSelected="1" workbookViewId="0"/>
  </sheetViews>
  <sheetFormatPr defaultRowHeight="14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10AF3-A9FF-421B-9421-13F28F2C4889}">
  <sheetPr codeName="Sheet1"/>
  <dimension ref="A1:AA150"/>
  <sheetViews>
    <sheetView zoomScale="130" zoomScaleNormal="130" workbookViewId="0">
      <selection activeCell="A7" sqref="A7"/>
    </sheetView>
  </sheetViews>
  <sheetFormatPr defaultRowHeight="14.45"/>
  <cols>
    <col min="1" max="1" width="19.42578125" bestFit="1" customWidth="1"/>
    <col min="2" max="2" width="16.7109375" customWidth="1"/>
    <col min="3" max="3" width="19.140625" bestFit="1" customWidth="1"/>
    <col min="4" max="4" width="19.140625" customWidth="1"/>
    <col min="5" max="25" width="16.5703125" customWidth="1"/>
    <col min="26" max="26" width="10.7109375" customWidth="1"/>
  </cols>
  <sheetData>
    <row r="1" spans="1:27">
      <c r="A1" s="2" t="s">
        <v>0</v>
      </c>
    </row>
    <row r="3" spans="1:27">
      <c r="A3" t="s">
        <v>1</v>
      </c>
      <c r="B3" s="6">
        <v>10000</v>
      </c>
    </row>
    <row r="4" spans="1:27">
      <c r="A4" t="s">
        <v>2</v>
      </c>
      <c r="B4" s="7">
        <v>0.05</v>
      </c>
      <c r="C4" t="s">
        <v>3</v>
      </c>
    </row>
    <row r="5" spans="1:27">
      <c r="A5" t="s">
        <v>4</v>
      </c>
      <c r="B5">
        <v>20</v>
      </c>
      <c r="C5" t="s">
        <v>5</v>
      </c>
    </row>
    <row r="6" spans="1:27">
      <c r="A6" t="s">
        <v>6</v>
      </c>
      <c r="B6" s="32">
        <f>D19/100</f>
        <v>7.0000000000000007E-2</v>
      </c>
      <c r="C6" t="s">
        <v>3</v>
      </c>
    </row>
    <row r="7" spans="1:27">
      <c r="B7" s="7"/>
    </row>
    <row r="8" spans="1:27" ht="15" thickBot="1">
      <c r="I8" s="36" t="b">
        <v>0</v>
      </c>
    </row>
    <row r="9" spans="1:27">
      <c r="H9" s="13"/>
      <c r="I9" s="14" t="s">
        <v>7</v>
      </c>
      <c r="J9" s="30">
        <v>0.05</v>
      </c>
    </row>
    <row r="10" spans="1:27">
      <c r="H10" s="15"/>
      <c r="J10" s="16"/>
      <c r="Z10" s="3"/>
      <c r="AA10" s="3"/>
    </row>
    <row r="11" spans="1:27" ht="15" thickBot="1">
      <c r="H11" s="17" t="s">
        <v>8</v>
      </c>
      <c r="I11" s="12" t="s">
        <v>9</v>
      </c>
      <c r="J11" s="16"/>
    </row>
    <row r="12" spans="1:27">
      <c r="H12" s="19">
        <v>0</v>
      </c>
      <c r="I12" s="23"/>
      <c r="J12" s="16"/>
    </row>
    <row r="13" spans="1:27">
      <c r="H13" s="19">
        <v>10</v>
      </c>
      <c r="I13" s="23"/>
      <c r="J13" s="16"/>
      <c r="L13" s="3"/>
      <c r="M13" s="29"/>
      <c r="N13" s="3"/>
    </row>
    <row r="14" spans="1:27" ht="15" thickBot="1">
      <c r="H14" s="17">
        <v>20</v>
      </c>
      <c r="I14" s="24"/>
      <c r="J14" s="22"/>
    </row>
    <row r="15" spans="1:27">
      <c r="J15" s="3"/>
    </row>
    <row r="16" spans="1:27" ht="15" thickBot="1">
      <c r="I16" s="36" t="b">
        <v>0</v>
      </c>
    </row>
    <row r="17" spans="4:10">
      <c r="H17" s="13"/>
      <c r="I17" s="14" t="s">
        <v>7</v>
      </c>
      <c r="J17" s="30">
        <v>0.1</v>
      </c>
    </row>
    <row r="18" spans="4:10">
      <c r="H18" s="15"/>
      <c r="J18" s="21"/>
    </row>
    <row r="19" spans="4:10" ht="15" thickBot="1">
      <c r="D19">
        <v>7</v>
      </c>
      <c r="H19" s="17" t="s">
        <v>8</v>
      </c>
      <c r="I19" s="12" t="s">
        <v>9</v>
      </c>
      <c r="J19" s="16"/>
    </row>
    <row r="20" spans="4:10">
      <c r="H20" s="19">
        <v>0</v>
      </c>
      <c r="I20" s="23"/>
      <c r="J20" s="16"/>
    </row>
    <row r="21" spans="4:10">
      <c r="H21" s="19">
        <v>10</v>
      </c>
      <c r="I21" s="23"/>
      <c r="J21" s="16"/>
    </row>
    <row r="22" spans="4:10" ht="15" thickBot="1">
      <c r="H22" s="17">
        <v>20</v>
      </c>
      <c r="I22" s="24"/>
      <c r="J22" s="22"/>
    </row>
    <row r="24" spans="4:10">
      <c r="J24" s="3"/>
    </row>
    <row r="25" spans="4:10" ht="15" thickBot="1">
      <c r="I25" s="36" t="b">
        <v>0</v>
      </c>
    </row>
    <row r="26" spans="4:10">
      <c r="H26" s="13"/>
      <c r="I26" s="14" t="s">
        <v>7</v>
      </c>
      <c r="J26" s="30">
        <v>0.01</v>
      </c>
    </row>
    <row r="27" spans="4:10">
      <c r="H27" s="15"/>
      <c r="J27" s="21"/>
    </row>
    <row r="28" spans="4:10" ht="15" thickBot="1">
      <c r="H28" s="17" t="s">
        <v>8</v>
      </c>
      <c r="I28" s="12" t="s">
        <v>9</v>
      </c>
      <c r="J28" s="16"/>
    </row>
    <row r="29" spans="4:10">
      <c r="H29" s="19">
        <v>0</v>
      </c>
      <c r="I29" s="23"/>
      <c r="J29" s="16"/>
    </row>
    <row r="30" spans="4:10">
      <c r="H30" s="19">
        <v>10</v>
      </c>
      <c r="I30" s="23"/>
      <c r="J30" s="16"/>
    </row>
    <row r="31" spans="4:10" ht="15" thickBot="1">
      <c r="H31" s="17">
        <v>20</v>
      </c>
      <c r="I31" s="24"/>
      <c r="J31" s="22"/>
    </row>
    <row r="33" spans="2:10">
      <c r="J33" s="3"/>
    </row>
    <row r="34" spans="2:10">
      <c r="H34" s="25"/>
      <c r="I34" s="25"/>
      <c r="J34" s="27"/>
    </row>
    <row r="35" spans="2:10">
      <c r="H35" s="25"/>
      <c r="I35" s="25"/>
      <c r="J35" s="27"/>
    </row>
    <row r="36" spans="2:10">
      <c r="B36" s="34">
        <f>$D$19/100</f>
        <v>7.0000000000000007E-2</v>
      </c>
      <c r="H36" s="25"/>
      <c r="I36" s="25"/>
      <c r="J36" s="28"/>
    </row>
    <row r="37" spans="2:10">
      <c r="H37" s="28"/>
      <c r="I37" s="28"/>
      <c r="J37" s="25"/>
    </row>
    <row r="38" spans="2:10">
      <c r="B38" t="s">
        <v>10</v>
      </c>
      <c r="H38" s="28"/>
      <c r="I38" s="26"/>
      <c r="J38" s="25"/>
    </row>
    <row r="39" spans="2:10">
      <c r="H39" s="28"/>
      <c r="I39" s="26"/>
      <c r="J39" s="25"/>
    </row>
    <row r="40" spans="2:10">
      <c r="H40" s="28"/>
      <c r="I40" s="26"/>
      <c r="J40" s="25"/>
    </row>
    <row r="41" spans="2:10">
      <c r="H41" s="28"/>
      <c r="I41" s="26"/>
      <c r="J41" s="25"/>
    </row>
    <row r="42" spans="2:10">
      <c r="H42" s="25"/>
      <c r="I42" s="25"/>
      <c r="J42" s="25"/>
    </row>
    <row r="43" spans="2:10">
      <c r="H43" s="25"/>
      <c r="I43" s="25"/>
      <c r="J43" s="27"/>
    </row>
    <row r="44" spans="2:10">
      <c r="H44" s="25"/>
      <c r="I44" s="25"/>
      <c r="J44" s="27"/>
    </row>
    <row r="45" spans="2:10">
      <c r="H45" s="25"/>
      <c r="I45" s="25"/>
      <c r="J45" s="28"/>
    </row>
    <row r="46" spans="2:10">
      <c r="H46" s="28"/>
      <c r="I46" s="28"/>
      <c r="J46" s="25"/>
    </row>
    <row r="47" spans="2:10">
      <c r="H47" s="28"/>
      <c r="I47" s="26"/>
      <c r="J47" s="25"/>
    </row>
    <row r="48" spans="2:10">
      <c r="H48" s="28"/>
      <c r="I48" s="26"/>
      <c r="J48" s="25"/>
    </row>
    <row r="49" spans="8:10">
      <c r="H49" s="28"/>
      <c r="I49" s="26"/>
      <c r="J49" s="25"/>
    </row>
    <row r="50" spans="8:10">
      <c r="H50" s="28"/>
      <c r="I50" s="26"/>
      <c r="J50" s="25"/>
    </row>
    <row r="104" spans="1:25">
      <c r="A104" s="3" t="s">
        <v>11</v>
      </c>
      <c r="B104" s="3" t="s">
        <v>12</v>
      </c>
      <c r="C104" s="3" t="s">
        <v>13</v>
      </c>
      <c r="D104" s="3" t="s">
        <v>14</v>
      </c>
      <c r="E104" s="3">
        <v>0</v>
      </c>
      <c r="F104" s="3">
        <v>1</v>
      </c>
      <c r="G104" s="3">
        <v>2</v>
      </c>
      <c r="H104" s="3">
        <v>3</v>
      </c>
      <c r="I104" s="3">
        <v>4</v>
      </c>
      <c r="J104" s="3">
        <v>5</v>
      </c>
      <c r="K104" s="3">
        <v>6</v>
      </c>
      <c r="L104" s="3">
        <v>7</v>
      </c>
      <c r="M104" s="3">
        <v>8</v>
      </c>
      <c r="N104" s="3">
        <v>9</v>
      </c>
      <c r="O104" s="3">
        <v>10</v>
      </c>
      <c r="P104" s="3">
        <v>11</v>
      </c>
      <c r="Q104" s="3">
        <v>12</v>
      </c>
      <c r="R104" s="3">
        <v>13</v>
      </c>
      <c r="S104" s="3">
        <v>14</v>
      </c>
      <c r="T104" s="3">
        <v>15</v>
      </c>
      <c r="U104" s="3">
        <v>16</v>
      </c>
      <c r="V104" s="3">
        <v>17</v>
      </c>
      <c r="W104" s="3">
        <v>18</v>
      </c>
      <c r="X104" s="3">
        <v>19</v>
      </c>
      <c r="Y104" s="3">
        <v>20</v>
      </c>
    </row>
    <row r="105" spans="1:25">
      <c r="A105" s="3">
        <v>0</v>
      </c>
    </row>
    <row r="106" spans="1:25">
      <c r="A106" s="3">
        <v>1</v>
      </c>
      <c r="B106" s="1">
        <f t="shared" ref="B106:B125" si="0">Face_Value*Coupon_Rate</f>
        <v>500</v>
      </c>
      <c r="D106" s="4">
        <f>B106+C106</f>
        <v>500</v>
      </c>
      <c r="E106" s="5">
        <f t="shared" ref="E106:E125" si="1">$D106/(1+Initial_Interest_Rate)^($A106-E$104)</f>
        <v>467.28971962616822</v>
      </c>
    </row>
    <row r="107" spans="1:25">
      <c r="A107" s="3">
        <v>2</v>
      </c>
      <c r="B107" s="1">
        <f t="shared" si="0"/>
        <v>500</v>
      </c>
      <c r="D107" s="4">
        <f t="shared" ref="D107:D125" si="2">B107+C107</f>
        <v>500</v>
      </c>
      <c r="E107" s="5">
        <f t="shared" si="1"/>
        <v>436.7193641366058</v>
      </c>
      <c r="F107" s="5">
        <f t="shared" ref="F107:F125" si="3">$D107/(1+Initial_Interest_Rate)^($A107-F$104)</f>
        <v>467.28971962616822</v>
      </c>
    </row>
    <row r="108" spans="1:25">
      <c r="A108" s="3">
        <v>3</v>
      </c>
      <c r="B108" s="1">
        <f t="shared" si="0"/>
        <v>500</v>
      </c>
      <c r="D108" s="4">
        <f t="shared" si="2"/>
        <v>500</v>
      </c>
      <c r="E108" s="5">
        <f t="shared" si="1"/>
        <v>408.14893844542598</v>
      </c>
      <c r="F108" s="5">
        <f t="shared" si="3"/>
        <v>436.7193641366058</v>
      </c>
      <c r="G108" s="5">
        <f t="shared" ref="G108:G125" si="4">$D108/(1+Initial_Interest_Rate)^($A108-G$104)</f>
        <v>467.28971962616822</v>
      </c>
    </row>
    <row r="109" spans="1:25">
      <c r="A109" s="3">
        <v>4</v>
      </c>
      <c r="B109" s="1">
        <f t="shared" si="0"/>
        <v>500</v>
      </c>
      <c r="D109" s="4">
        <f t="shared" si="2"/>
        <v>500</v>
      </c>
      <c r="E109" s="5">
        <f t="shared" si="1"/>
        <v>381.4476060237626</v>
      </c>
      <c r="F109" s="5">
        <f t="shared" si="3"/>
        <v>408.14893844542598</v>
      </c>
      <c r="G109" s="5">
        <f t="shared" si="4"/>
        <v>436.7193641366058</v>
      </c>
      <c r="H109" s="5">
        <f t="shared" ref="H109:H125" si="5">$D109/(1+Initial_Interest_Rate)^($A109-H$104)</f>
        <v>467.28971962616822</v>
      </c>
    </row>
    <row r="110" spans="1:25">
      <c r="A110" s="3">
        <v>5</v>
      </c>
      <c r="B110" s="1">
        <f t="shared" si="0"/>
        <v>500</v>
      </c>
      <c r="D110" s="4">
        <f t="shared" si="2"/>
        <v>500</v>
      </c>
      <c r="E110" s="5">
        <f t="shared" si="1"/>
        <v>356.49308974183418</v>
      </c>
      <c r="F110" s="5">
        <f t="shared" si="3"/>
        <v>381.4476060237626</v>
      </c>
      <c r="G110" s="5">
        <f t="shared" si="4"/>
        <v>408.14893844542598</v>
      </c>
      <c r="H110" s="5">
        <f t="shared" si="5"/>
        <v>436.7193641366058</v>
      </c>
      <c r="I110" s="5">
        <f t="shared" ref="I110:I125" si="6">$D110/(1+Initial_Interest_Rate)^($A110-I$104)</f>
        <v>467.28971962616822</v>
      </c>
    </row>
    <row r="111" spans="1:25">
      <c r="A111" s="3">
        <v>6</v>
      </c>
      <c r="B111" s="1">
        <f t="shared" si="0"/>
        <v>500</v>
      </c>
      <c r="D111" s="4">
        <f t="shared" si="2"/>
        <v>500</v>
      </c>
      <c r="E111" s="5">
        <f t="shared" si="1"/>
        <v>333.17111190825625</v>
      </c>
      <c r="F111" s="5">
        <f t="shared" si="3"/>
        <v>356.49308974183418</v>
      </c>
      <c r="G111" s="5">
        <f t="shared" si="4"/>
        <v>381.4476060237626</v>
      </c>
      <c r="H111" s="5">
        <f t="shared" si="5"/>
        <v>408.14893844542598</v>
      </c>
      <c r="I111" s="5">
        <f t="shared" si="6"/>
        <v>436.7193641366058</v>
      </c>
      <c r="J111" s="5">
        <f t="shared" ref="J111:J125" si="7">$D111/(1+Initial_Interest_Rate)^($A111-J$104)</f>
        <v>467.28971962616822</v>
      </c>
    </row>
    <row r="112" spans="1:25">
      <c r="A112" s="3">
        <v>7</v>
      </c>
      <c r="B112" s="1">
        <f t="shared" si="0"/>
        <v>500</v>
      </c>
      <c r="D112" s="4">
        <f t="shared" si="2"/>
        <v>500</v>
      </c>
      <c r="E112" s="5">
        <f t="shared" si="1"/>
        <v>311.37487094229556</v>
      </c>
      <c r="F112" s="5">
        <f t="shared" si="3"/>
        <v>333.17111190825625</v>
      </c>
      <c r="G112" s="5">
        <f t="shared" si="4"/>
        <v>356.49308974183418</v>
      </c>
      <c r="H112" s="5">
        <f t="shared" si="5"/>
        <v>381.4476060237626</v>
      </c>
      <c r="I112" s="5">
        <f t="shared" si="6"/>
        <v>408.14893844542598</v>
      </c>
      <c r="J112" s="5">
        <f t="shared" si="7"/>
        <v>436.7193641366058</v>
      </c>
      <c r="K112" s="5">
        <f t="shared" ref="K112:K125" si="8">$D112/(1+Initial_Interest_Rate)^($A112-K$104)</f>
        <v>467.28971962616822</v>
      </c>
    </row>
    <row r="113" spans="1:25">
      <c r="A113" s="3">
        <v>8</v>
      </c>
      <c r="B113" s="1">
        <f t="shared" si="0"/>
        <v>500</v>
      </c>
      <c r="D113" s="4">
        <f t="shared" si="2"/>
        <v>500</v>
      </c>
      <c r="E113" s="5">
        <f t="shared" si="1"/>
        <v>291.00455228251923</v>
      </c>
      <c r="F113" s="5">
        <f t="shared" si="3"/>
        <v>311.37487094229556</v>
      </c>
      <c r="G113" s="5">
        <f t="shared" si="4"/>
        <v>333.17111190825625</v>
      </c>
      <c r="H113" s="5">
        <f t="shared" si="5"/>
        <v>356.49308974183418</v>
      </c>
      <c r="I113" s="5">
        <f t="shared" si="6"/>
        <v>381.4476060237626</v>
      </c>
      <c r="J113" s="5">
        <f t="shared" si="7"/>
        <v>408.14893844542598</v>
      </c>
      <c r="K113" s="5">
        <f t="shared" si="8"/>
        <v>436.7193641366058</v>
      </c>
      <c r="L113" s="5">
        <f t="shared" ref="L113:L125" si="9">$D113/(1+Initial_Interest_Rate)^($A113-L$104)</f>
        <v>467.28971962616822</v>
      </c>
    </row>
    <row r="114" spans="1:25">
      <c r="A114" s="3">
        <v>9</v>
      </c>
      <c r="B114" s="1">
        <f t="shared" si="0"/>
        <v>500</v>
      </c>
      <c r="D114" s="4">
        <f t="shared" si="2"/>
        <v>500</v>
      </c>
      <c r="E114" s="5">
        <f t="shared" si="1"/>
        <v>271.96687129207402</v>
      </c>
      <c r="F114" s="5">
        <f t="shared" si="3"/>
        <v>291.00455228251923</v>
      </c>
      <c r="G114" s="5">
        <f t="shared" si="4"/>
        <v>311.37487094229556</v>
      </c>
      <c r="H114" s="5">
        <f t="shared" si="5"/>
        <v>333.17111190825625</v>
      </c>
      <c r="I114" s="5">
        <f t="shared" si="6"/>
        <v>356.49308974183418</v>
      </c>
      <c r="J114" s="5">
        <f t="shared" si="7"/>
        <v>381.4476060237626</v>
      </c>
      <c r="K114" s="5">
        <f t="shared" si="8"/>
        <v>408.14893844542598</v>
      </c>
      <c r="L114" s="5">
        <f t="shared" si="9"/>
        <v>436.7193641366058</v>
      </c>
      <c r="M114" s="5">
        <f t="shared" ref="M114:M125" si="10">$D114/(1+Initial_Interest_Rate)^($A114-M$104)</f>
        <v>467.28971962616822</v>
      </c>
    </row>
    <row r="115" spans="1:25">
      <c r="A115" s="3">
        <v>10</v>
      </c>
      <c r="B115" s="1">
        <f t="shared" si="0"/>
        <v>500</v>
      </c>
      <c r="D115" s="4">
        <f t="shared" si="2"/>
        <v>500</v>
      </c>
      <c r="E115" s="5">
        <f t="shared" si="1"/>
        <v>254.17464606735891</v>
      </c>
      <c r="F115" s="5">
        <f t="shared" si="3"/>
        <v>271.96687129207402</v>
      </c>
      <c r="G115" s="5">
        <f t="shared" si="4"/>
        <v>291.00455228251923</v>
      </c>
      <c r="H115" s="5">
        <f t="shared" si="5"/>
        <v>311.37487094229556</v>
      </c>
      <c r="I115" s="5">
        <f t="shared" si="6"/>
        <v>333.17111190825625</v>
      </c>
      <c r="J115" s="5">
        <f t="shared" si="7"/>
        <v>356.49308974183418</v>
      </c>
      <c r="K115" s="5">
        <f t="shared" si="8"/>
        <v>381.4476060237626</v>
      </c>
      <c r="L115" s="5">
        <f t="shared" si="9"/>
        <v>408.14893844542598</v>
      </c>
      <c r="M115" s="5">
        <f t="shared" si="10"/>
        <v>436.7193641366058</v>
      </c>
      <c r="N115" s="5">
        <f t="shared" ref="N115:N125" si="11">$D115/(1+Initial_Interest_Rate)^($A115-N$104)</f>
        <v>467.28971962616822</v>
      </c>
    </row>
    <row r="116" spans="1:25">
      <c r="A116" s="3">
        <v>11</v>
      </c>
      <c r="B116" s="1">
        <f t="shared" si="0"/>
        <v>500</v>
      </c>
      <c r="D116" s="4">
        <f t="shared" si="2"/>
        <v>500</v>
      </c>
      <c r="E116" s="5">
        <f t="shared" si="1"/>
        <v>237.54639819379332</v>
      </c>
      <c r="F116" s="5">
        <f t="shared" si="3"/>
        <v>254.17464606735891</v>
      </c>
      <c r="G116" s="5">
        <f t="shared" si="4"/>
        <v>271.96687129207402</v>
      </c>
      <c r="H116" s="5">
        <f t="shared" si="5"/>
        <v>291.00455228251923</v>
      </c>
      <c r="I116" s="5">
        <f t="shared" si="6"/>
        <v>311.37487094229556</v>
      </c>
      <c r="J116" s="5">
        <f t="shared" si="7"/>
        <v>333.17111190825625</v>
      </c>
      <c r="K116" s="5">
        <f t="shared" si="8"/>
        <v>356.49308974183418</v>
      </c>
      <c r="L116" s="5">
        <f t="shared" si="9"/>
        <v>381.4476060237626</v>
      </c>
      <c r="M116" s="5">
        <f t="shared" si="10"/>
        <v>408.14893844542598</v>
      </c>
      <c r="N116" s="5">
        <f t="shared" si="11"/>
        <v>436.7193641366058</v>
      </c>
      <c r="O116" s="5">
        <f t="shared" ref="O116:O125" si="12">$D116/(1+Initial_Interest_Rate)^($A116-O$104)</f>
        <v>467.28971962616822</v>
      </c>
    </row>
    <row r="117" spans="1:25">
      <c r="A117" s="3">
        <v>12</v>
      </c>
      <c r="B117" s="1">
        <f t="shared" si="0"/>
        <v>500</v>
      </c>
      <c r="D117" s="4">
        <f t="shared" si="2"/>
        <v>500</v>
      </c>
      <c r="E117" s="5">
        <f t="shared" si="1"/>
        <v>222.00597962036764</v>
      </c>
      <c r="F117" s="5">
        <f t="shared" si="3"/>
        <v>237.54639819379332</v>
      </c>
      <c r="G117" s="5">
        <f t="shared" si="4"/>
        <v>254.17464606735891</v>
      </c>
      <c r="H117" s="5">
        <f t="shared" si="5"/>
        <v>271.96687129207402</v>
      </c>
      <c r="I117" s="5">
        <f t="shared" si="6"/>
        <v>291.00455228251923</v>
      </c>
      <c r="J117" s="5">
        <f t="shared" si="7"/>
        <v>311.37487094229556</v>
      </c>
      <c r="K117" s="5">
        <f t="shared" si="8"/>
        <v>333.17111190825625</v>
      </c>
      <c r="L117" s="5">
        <f t="shared" si="9"/>
        <v>356.49308974183418</v>
      </c>
      <c r="M117" s="5">
        <f t="shared" si="10"/>
        <v>381.4476060237626</v>
      </c>
      <c r="N117" s="5">
        <f t="shared" si="11"/>
        <v>408.14893844542598</v>
      </c>
      <c r="O117" s="5">
        <f t="shared" si="12"/>
        <v>436.7193641366058</v>
      </c>
      <c r="P117" s="5">
        <f t="shared" ref="P117:P125" si="13">$D117/(1+Initial_Interest_Rate)^($A117-P$104)</f>
        <v>467.28971962616822</v>
      </c>
    </row>
    <row r="118" spans="1:25">
      <c r="A118" s="3">
        <v>13</v>
      </c>
      <c r="B118" s="1">
        <f t="shared" si="0"/>
        <v>500</v>
      </c>
      <c r="D118" s="4">
        <f t="shared" si="2"/>
        <v>500</v>
      </c>
      <c r="E118" s="5">
        <f t="shared" si="1"/>
        <v>207.48222394426881</v>
      </c>
      <c r="F118" s="5">
        <f t="shared" si="3"/>
        <v>222.00597962036764</v>
      </c>
      <c r="G118" s="5">
        <f t="shared" si="4"/>
        <v>237.54639819379332</v>
      </c>
      <c r="H118" s="5">
        <f t="shared" si="5"/>
        <v>254.17464606735891</v>
      </c>
      <c r="I118" s="5">
        <f t="shared" si="6"/>
        <v>271.96687129207402</v>
      </c>
      <c r="J118" s="5">
        <f t="shared" si="7"/>
        <v>291.00455228251923</v>
      </c>
      <c r="K118" s="5">
        <f t="shared" si="8"/>
        <v>311.37487094229556</v>
      </c>
      <c r="L118" s="5">
        <f t="shared" si="9"/>
        <v>333.17111190825625</v>
      </c>
      <c r="M118" s="5">
        <f t="shared" si="10"/>
        <v>356.49308974183418</v>
      </c>
      <c r="N118" s="5">
        <f t="shared" si="11"/>
        <v>381.4476060237626</v>
      </c>
      <c r="O118" s="5">
        <f t="shared" si="12"/>
        <v>408.14893844542598</v>
      </c>
      <c r="P118" s="5">
        <f t="shared" si="13"/>
        <v>436.7193641366058</v>
      </c>
      <c r="Q118" s="5">
        <f t="shared" ref="Q118:Q125" si="14">$D118/(1+Initial_Interest_Rate)^($A118-Q$104)</f>
        <v>467.28971962616822</v>
      </c>
    </row>
    <row r="119" spans="1:25">
      <c r="A119" s="3">
        <v>14</v>
      </c>
      <c r="B119" s="1">
        <f t="shared" si="0"/>
        <v>500</v>
      </c>
      <c r="D119" s="4">
        <f t="shared" si="2"/>
        <v>500</v>
      </c>
      <c r="E119" s="5">
        <f t="shared" si="1"/>
        <v>193.90862050866244</v>
      </c>
      <c r="F119" s="5">
        <f t="shared" si="3"/>
        <v>207.48222394426881</v>
      </c>
      <c r="G119" s="5">
        <f t="shared" si="4"/>
        <v>222.00597962036764</v>
      </c>
      <c r="H119" s="5">
        <f t="shared" si="5"/>
        <v>237.54639819379332</v>
      </c>
      <c r="I119" s="5">
        <f t="shared" si="6"/>
        <v>254.17464606735891</v>
      </c>
      <c r="J119" s="5">
        <f t="shared" si="7"/>
        <v>271.96687129207402</v>
      </c>
      <c r="K119" s="5">
        <f t="shared" si="8"/>
        <v>291.00455228251923</v>
      </c>
      <c r="L119" s="5">
        <f t="shared" si="9"/>
        <v>311.37487094229556</v>
      </c>
      <c r="M119" s="5">
        <f t="shared" si="10"/>
        <v>333.17111190825625</v>
      </c>
      <c r="N119" s="5">
        <f t="shared" si="11"/>
        <v>356.49308974183418</v>
      </c>
      <c r="O119" s="5">
        <f t="shared" si="12"/>
        <v>381.4476060237626</v>
      </c>
      <c r="P119" s="5">
        <f t="shared" si="13"/>
        <v>408.14893844542598</v>
      </c>
      <c r="Q119" s="5">
        <f t="shared" si="14"/>
        <v>436.7193641366058</v>
      </c>
      <c r="R119" s="5">
        <f t="shared" ref="R119:R125" si="15">$D119/(1+Initial_Interest_Rate)^($A119-R$104)</f>
        <v>467.28971962616822</v>
      </c>
    </row>
    <row r="120" spans="1:25">
      <c r="A120" s="3">
        <v>15</v>
      </c>
      <c r="B120" s="1">
        <f t="shared" si="0"/>
        <v>500</v>
      </c>
      <c r="D120" s="4">
        <f t="shared" si="2"/>
        <v>500</v>
      </c>
      <c r="E120" s="5">
        <f t="shared" si="1"/>
        <v>181.22300982117983</v>
      </c>
      <c r="F120" s="5">
        <f t="shared" si="3"/>
        <v>193.90862050866244</v>
      </c>
      <c r="G120" s="5">
        <f t="shared" si="4"/>
        <v>207.48222394426881</v>
      </c>
      <c r="H120" s="5">
        <f t="shared" si="5"/>
        <v>222.00597962036764</v>
      </c>
      <c r="I120" s="5">
        <f t="shared" si="6"/>
        <v>237.54639819379332</v>
      </c>
      <c r="J120" s="5">
        <f t="shared" si="7"/>
        <v>254.17464606735891</v>
      </c>
      <c r="K120" s="5">
        <f t="shared" si="8"/>
        <v>271.96687129207402</v>
      </c>
      <c r="L120" s="5">
        <f t="shared" si="9"/>
        <v>291.00455228251923</v>
      </c>
      <c r="M120" s="5">
        <f t="shared" si="10"/>
        <v>311.37487094229556</v>
      </c>
      <c r="N120" s="5">
        <f t="shared" si="11"/>
        <v>333.17111190825625</v>
      </c>
      <c r="O120" s="5">
        <f t="shared" si="12"/>
        <v>356.49308974183418</v>
      </c>
      <c r="P120" s="5">
        <f t="shared" si="13"/>
        <v>381.4476060237626</v>
      </c>
      <c r="Q120" s="5">
        <f t="shared" si="14"/>
        <v>408.14893844542598</v>
      </c>
      <c r="R120" s="5">
        <f t="shared" si="15"/>
        <v>436.7193641366058</v>
      </c>
      <c r="S120" s="5">
        <f t="shared" ref="S120:S125" si="16">$D120/(1+Initial_Interest_Rate)^($A120-S$104)</f>
        <v>467.28971962616822</v>
      </c>
    </row>
    <row r="121" spans="1:25">
      <c r="A121" s="3">
        <v>16</v>
      </c>
      <c r="B121" s="1">
        <f t="shared" si="0"/>
        <v>500</v>
      </c>
      <c r="D121" s="4">
        <f t="shared" si="2"/>
        <v>500</v>
      </c>
      <c r="E121" s="5">
        <f t="shared" si="1"/>
        <v>169.36729889829894</v>
      </c>
      <c r="F121" s="5">
        <f t="shared" si="3"/>
        <v>181.22300982117983</v>
      </c>
      <c r="G121" s="5">
        <f t="shared" si="4"/>
        <v>193.90862050866244</v>
      </c>
      <c r="H121" s="5">
        <f t="shared" si="5"/>
        <v>207.48222394426881</v>
      </c>
      <c r="I121" s="5">
        <f t="shared" si="6"/>
        <v>222.00597962036764</v>
      </c>
      <c r="J121" s="5">
        <f t="shared" si="7"/>
        <v>237.54639819379332</v>
      </c>
      <c r="K121" s="5">
        <f t="shared" si="8"/>
        <v>254.17464606735891</v>
      </c>
      <c r="L121" s="5">
        <f t="shared" si="9"/>
        <v>271.96687129207402</v>
      </c>
      <c r="M121" s="5">
        <f t="shared" si="10"/>
        <v>291.00455228251923</v>
      </c>
      <c r="N121" s="5">
        <f t="shared" si="11"/>
        <v>311.37487094229556</v>
      </c>
      <c r="O121" s="5">
        <f t="shared" si="12"/>
        <v>333.17111190825625</v>
      </c>
      <c r="P121" s="5">
        <f t="shared" si="13"/>
        <v>356.49308974183418</v>
      </c>
      <c r="Q121" s="5">
        <f t="shared" si="14"/>
        <v>381.4476060237626</v>
      </c>
      <c r="R121" s="5">
        <f t="shared" si="15"/>
        <v>408.14893844542598</v>
      </c>
      <c r="S121" s="5">
        <f t="shared" si="16"/>
        <v>436.7193641366058</v>
      </c>
      <c r="T121" s="5">
        <f>$D121/(1+Initial_Interest_Rate)^($A121-T$104)</f>
        <v>467.28971962616822</v>
      </c>
    </row>
    <row r="122" spans="1:25">
      <c r="A122" s="3">
        <v>17</v>
      </c>
      <c r="B122" s="1">
        <f t="shared" si="0"/>
        <v>500</v>
      </c>
      <c r="D122" s="4">
        <f t="shared" si="2"/>
        <v>500</v>
      </c>
      <c r="E122" s="5">
        <f t="shared" si="1"/>
        <v>158.28719523205507</v>
      </c>
      <c r="F122" s="5">
        <f t="shared" si="3"/>
        <v>169.36729889829894</v>
      </c>
      <c r="G122" s="5">
        <f t="shared" si="4"/>
        <v>181.22300982117983</v>
      </c>
      <c r="H122" s="5">
        <f t="shared" si="5"/>
        <v>193.90862050866244</v>
      </c>
      <c r="I122" s="5">
        <f t="shared" si="6"/>
        <v>207.48222394426881</v>
      </c>
      <c r="J122" s="5">
        <f t="shared" si="7"/>
        <v>222.00597962036764</v>
      </c>
      <c r="K122" s="5">
        <f t="shared" si="8"/>
        <v>237.54639819379332</v>
      </c>
      <c r="L122" s="5">
        <f t="shared" si="9"/>
        <v>254.17464606735891</v>
      </c>
      <c r="M122" s="5">
        <f t="shared" si="10"/>
        <v>271.96687129207402</v>
      </c>
      <c r="N122" s="5">
        <f t="shared" si="11"/>
        <v>291.00455228251923</v>
      </c>
      <c r="O122" s="5">
        <f t="shared" si="12"/>
        <v>311.37487094229556</v>
      </c>
      <c r="P122" s="5">
        <f t="shared" si="13"/>
        <v>333.17111190825625</v>
      </c>
      <c r="Q122" s="5">
        <f t="shared" si="14"/>
        <v>356.49308974183418</v>
      </c>
      <c r="R122" s="5">
        <f t="shared" si="15"/>
        <v>381.4476060237626</v>
      </c>
      <c r="S122" s="5">
        <f t="shared" si="16"/>
        <v>408.14893844542598</v>
      </c>
      <c r="T122" s="5">
        <f>$D122/(1+Initial_Interest_Rate)^($A122-T$104)</f>
        <v>436.7193641366058</v>
      </c>
      <c r="U122" s="5">
        <f>$D122/(1+Initial_Interest_Rate)^($A122-U$104)</f>
        <v>467.28971962616822</v>
      </c>
    </row>
    <row r="123" spans="1:25">
      <c r="A123" s="3">
        <v>18</v>
      </c>
      <c r="B123" s="1">
        <f t="shared" si="0"/>
        <v>500</v>
      </c>
      <c r="D123" s="4">
        <f t="shared" si="2"/>
        <v>500</v>
      </c>
      <c r="E123" s="5">
        <f t="shared" si="1"/>
        <v>147.93195816079913</v>
      </c>
      <c r="F123" s="5">
        <f t="shared" si="3"/>
        <v>158.28719523205507</v>
      </c>
      <c r="G123" s="5">
        <f t="shared" si="4"/>
        <v>169.36729889829894</v>
      </c>
      <c r="H123" s="5">
        <f t="shared" si="5"/>
        <v>181.22300982117983</v>
      </c>
      <c r="I123" s="5">
        <f t="shared" si="6"/>
        <v>193.90862050866244</v>
      </c>
      <c r="J123" s="5">
        <f t="shared" si="7"/>
        <v>207.48222394426881</v>
      </c>
      <c r="K123" s="5">
        <f t="shared" si="8"/>
        <v>222.00597962036764</v>
      </c>
      <c r="L123" s="5">
        <f t="shared" si="9"/>
        <v>237.54639819379332</v>
      </c>
      <c r="M123" s="5">
        <f t="shared" si="10"/>
        <v>254.17464606735891</v>
      </c>
      <c r="N123" s="5">
        <f t="shared" si="11"/>
        <v>271.96687129207402</v>
      </c>
      <c r="O123" s="5">
        <f t="shared" si="12"/>
        <v>291.00455228251923</v>
      </c>
      <c r="P123" s="5">
        <f t="shared" si="13"/>
        <v>311.37487094229556</v>
      </c>
      <c r="Q123" s="5">
        <f t="shared" si="14"/>
        <v>333.17111190825625</v>
      </c>
      <c r="R123" s="5">
        <f t="shared" si="15"/>
        <v>356.49308974183418</v>
      </c>
      <c r="S123" s="5">
        <f t="shared" si="16"/>
        <v>381.4476060237626</v>
      </c>
      <c r="T123" s="5">
        <f>$D123/(1+Initial_Interest_Rate)^($A123-T$104)</f>
        <v>408.14893844542598</v>
      </c>
      <c r="U123" s="5">
        <f>$D123/(1+Initial_Interest_Rate)^($A123-U$104)</f>
        <v>436.7193641366058</v>
      </c>
      <c r="V123" s="5">
        <f>$D123/(1+Initial_Interest_Rate)^($A123-V$104)</f>
        <v>467.28971962616822</v>
      </c>
    </row>
    <row r="124" spans="1:25">
      <c r="A124" s="3">
        <v>19</v>
      </c>
      <c r="B124" s="1">
        <f t="shared" si="0"/>
        <v>500</v>
      </c>
      <c r="D124" s="4">
        <f t="shared" si="2"/>
        <v>500</v>
      </c>
      <c r="E124" s="5">
        <f t="shared" si="1"/>
        <v>138.25416650541973</v>
      </c>
      <c r="F124" s="5">
        <f t="shared" si="3"/>
        <v>147.93195816079913</v>
      </c>
      <c r="G124" s="5">
        <f t="shared" si="4"/>
        <v>158.28719523205507</v>
      </c>
      <c r="H124" s="5">
        <f t="shared" si="5"/>
        <v>169.36729889829894</v>
      </c>
      <c r="I124" s="5">
        <f t="shared" si="6"/>
        <v>181.22300982117983</v>
      </c>
      <c r="J124" s="5">
        <f t="shared" si="7"/>
        <v>193.90862050866244</v>
      </c>
      <c r="K124" s="5">
        <f t="shared" si="8"/>
        <v>207.48222394426881</v>
      </c>
      <c r="L124" s="5">
        <f t="shared" si="9"/>
        <v>222.00597962036764</v>
      </c>
      <c r="M124" s="5">
        <f t="shared" si="10"/>
        <v>237.54639819379332</v>
      </c>
      <c r="N124" s="5">
        <f t="shared" si="11"/>
        <v>254.17464606735891</v>
      </c>
      <c r="O124" s="5">
        <f t="shared" si="12"/>
        <v>271.96687129207402</v>
      </c>
      <c r="P124" s="5">
        <f t="shared" si="13"/>
        <v>291.00455228251923</v>
      </c>
      <c r="Q124" s="5">
        <f t="shared" si="14"/>
        <v>311.37487094229556</v>
      </c>
      <c r="R124" s="5">
        <f t="shared" si="15"/>
        <v>333.17111190825625</v>
      </c>
      <c r="S124" s="5">
        <f t="shared" si="16"/>
        <v>356.49308974183418</v>
      </c>
      <c r="T124" s="5">
        <f>$D124/(1+Initial_Interest_Rate)^($A124-T$104)</f>
        <v>381.4476060237626</v>
      </c>
      <c r="U124" s="5">
        <f>$D124/(1+Initial_Interest_Rate)^($A124-U$104)</f>
        <v>408.14893844542598</v>
      </c>
      <c r="V124" s="5">
        <f>$D124/(1+Initial_Interest_Rate)^($A124-V$104)</f>
        <v>436.7193641366058</v>
      </c>
      <c r="W124" s="5">
        <f>$D124/(1+Initial_Interest_Rate)^($A124-W$104)</f>
        <v>467.28971962616822</v>
      </c>
    </row>
    <row r="125" spans="1:25">
      <c r="A125" s="3">
        <v>20</v>
      </c>
      <c r="B125" s="1">
        <f t="shared" si="0"/>
        <v>500</v>
      </c>
      <c r="C125" s="1">
        <f>Face_Value</f>
        <v>10000</v>
      </c>
      <c r="D125" s="4">
        <f t="shared" si="2"/>
        <v>10500</v>
      </c>
      <c r="E125" s="5">
        <f t="shared" si="1"/>
        <v>2713.3995295456211</v>
      </c>
      <c r="F125" s="5">
        <f t="shared" si="3"/>
        <v>2903.3374966138144</v>
      </c>
      <c r="G125" s="5">
        <f t="shared" si="4"/>
        <v>3106.5711213767818</v>
      </c>
      <c r="H125" s="5">
        <f t="shared" si="5"/>
        <v>3324.0310998731566</v>
      </c>
      <c r="I125" s="5">
        <f t="shared" si="6"/>
        <v>3556.7132768642778</v>
      </c>
      <c r="J125" s="5">
        <f t="shared" si="7"/>
        <v>3805.6832062447766</v>
      </c>
      <c r="K125" s="5">
        <f t="shared" si="8"/>
        <v>4072.0810306819112</v>
      </c>
      <c r="L125" s="5">
        <f t="shared" si="9"/>
        <v>4357.1267028296452</v>
      </c>
      <c r="M125" s="5">
        <f t="shared" si="10"/>
        <v>4662.1255720277204</v>
      </c>
      <c r="N125" s="5">
        <f t="shared" si="11"/>
        <v>4988.4743620696599</v>
      </c>
      <c r="O125" s="5">
        <f t="shared" si="12"/>
        <v>5337.6675674145372</v>
      </c>
      <c r="P125" s="5">
        <f t="shared" si="13"/>
        <v>5711.3042971335544</v>
      </c>
      <c r="Q125" s="5">
        <f t="shared" si="14"/>
        <v>6111.0955979329037</v>
      </c>
      <c r="R125" s="5">
        <f t="shared" si="15"/>
        <v>6538.8722897882062</v>
      </c>
      <c r="S125" s="5">
        <f t="shared" si="16"/>
        <v>6996.5933500733818</v>
      </c>
      <c r="T125" s="5">
        <f>$D125/(1+Initial_Interest_Rate)^($A125-T$104)</f>
        <v>7486.3548845785181</v>
      </c>
      <c r="U125" s="5">
        <f>$D125/(1+Initial_Interest_Rate)^($A125-U$104)</f>
        <v>8010.3997264990148</v>
      </c>
      <c r="V125" s="5">
        <f>$D125/(1+Initial_Interest_Rate)^($A125-V$104)</f>
        <v>8571.1277073539459</v>
      </c>
      <c r="W125" s="5">
        <f>$D125/(1+Initial_Interest_Rate)^($A125-W$104)</f>
        <v>9171.1066468687222</v>
      </c>
      <c r="X125" s="5">
        <f>$D125/(1+Initial_Interest_Rate)^($A125-X$104)</f>
        <v>9813.0841121495323</v>
      </c>
      <c r="Y125" s="5">
        <f>Face_Value</f>
        <v>10000</v>
      </c>
    </row>
    <row r="126" spans="1:25">
      <c r="E126" s="5">
        <f t="shared" ref="E126:Y126" si="17">SUM(E106:E125)</f>
        <v>7881.1971508967654</v>
      </c>
      <c r="F126" s="5">
        <f t="shared" si="17"/>
        <v>7932.8809514595396</v>
      </c>
      <c r="G126" s="5">
        <f t="shared" si="17"/>
        <v>7988.1826180617081</v>
      </c>
      <c r="H126" s="5">
        <f t="shared" si="17"/>
        <v>8047.3554013260282</v>
      </c>
      <c r="I126" s="5">
        <f t="shared" si="17"/>
        <v>8110.6702794188504</v>
      </c>
      <c r="J126" s="5">
        <f t="shared" si="17"/>
        <v>8178.4171989781698</v>
      </c>
      <c r="K126" s="5">
        <f t="shared" si="17"/>
        <v>8250.9064029066431</v>
      </c>
      <c r="L126" s="5">
        <f t="shared" si="17"/>
        <v>8328.4698511101069</v>
      </c>
      <c r="M126" s="5">
        <f t="shared" si="17"/>
        <v>8411.4627406878135</v>
      </c>
      <c r="N126" s="5">
        <f t="shared" si="17"/>
        <v>8500.2651325359602</v>
      </c>
      <c r="O126" s="5">
        <f t="shared" si="17"/>
        <v>8595.2836918134781</v>
      </c>
      <c r="P126" s="5">
        <f t="shared" si="17"/>
        <v>8696.9535502404215</v>
      </c>
      <c r="Q126" s="5">
        <f t="shared" si="17"/>
        <v>8805.7402987572532</v>
      </c>
      <c r="R126" s="5">
        <f t="shared" si="17"/>
        <v>8922.1421196702595</v>
      </c>
      <c r="S126" s="5">
        <f t="shared" si="17"/>
        <v>9046.6920680471776</v>
      </c>
      <c r="T126" s="5">
        <f t="shared" si="17"/>
        <v>9179.9605128104813</v>
      </c>
      <c r="U126" s="5">
        <f t="shared" si="17"/>
        <v>9322.5577487072151</v>
      </c>
      <c r="V126" s="5">
        <f t="shared" si="17"/>
        <v>9475.1367911167199</v>
      </c>
      <c r="W126" s="5">
        <f t="shared" si="17"/>
        <v>9638.3963664948897</v>
      </c>
      <c r="X126" s="5">
        <f t="shared" si="17"/>
        <v>9813.0841121495323</v>
      </c>
      <c r="Y126" s="5">
        <f t="shared" si="17"/>
        <v>10000</v>
      </c>
    </row>
    <row r="128" spans="1: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19">
      <c r="A129" s="3"/>
    </row>
    <row r="130" spans="1:19">
      <c r="A130" s="3"/>
      <c r="B130" s="1"/>
      <c r="D130" s="4"/>
      <c r="E130" s="5"/>
    </row>
    <row r="131" spans="1:19">
      <c r="A131" s="3"/>
      <c r="B131" s="1"/>
      <c r="D131" s="4"/>
      <c r="E131" s="5"/>
      <c r="F131" s="5"/>
    </row>
    <row r="132" spans="1:19">
      <c r="A132" s="3"/>
      <c r="B132" s="1"/>
      <c r="D132" s="4"/>
      <c r="E132" s="5"/>
      <c r="F132" s="5"/>
      <c r="G132" s="5"/>
    </row>
    <row r="133" spans="1:19">
      <c r="A133" s="3"/>
      <c r="B133" s="1"/>
      <c r="D133" s="4"/>
      <c r="E133" s="5"/>
      <c r="F133" s="5"/>
      <c r="G133" s="5"/>
      <c r="H133" s="5"/>
    </row>
    <row r="134" spans="1:19">
      <c r="A134" s="3"/>
      <c r="B134" s="1"/>
      <c r="D134" s="4"/>
      <c r="E134" s="5"/>
      <c r="F134" s="5"/>
      <c r="G134" s="5"/>
      <c r="H134" s="5"/>
      <c r="I134" s="5"/>
    </row>
    <row r="135" spans="1:19">
      <c r="A135" s="3"/>
      <c r="B135" s="1"/>
      <c r="D135" s="4"/>
      <c r="E135" s="5"/>
      <c r="F135" s="5"/>
      <c r="G135" s="5"/>
      <c r="H135" s="5"/>
      <c r="I135" s="5"/>
      <c r="J135" s="5"/>
    </row>
    <row r="136" spans="1:19">
      <c r="A136" s="3"/>
      <c r="B136" s="1"/>
      <c r="D136" s="4"/>
      <c r="E136" s="5"/>
      <c r="F136" s="5"/>
      <c r="G136" s="5"/>
      <c r="H136" s="5"/>
      <c r="I136" s="5"/>
      <c r="J136" s="5"/>
      <c r="K136" s="5"/>
    </row>
    <row r="137" spans="1:19">
      <c r="A137" s="3"/>
      <c r="B137" s="1"/>
      <c r="D137" s="4"/>
      <c r="E137" s="5"/>
      <c r="F137" s="5"/>
      <c r="G137" s="5"/>
      <c r="H137" s="5"/>
      <c r="I137" s="5"/>
      <c r="J137" s="5"/>
      <c r="K137" s="5"/>
      <c r="L137" s="5"/>
    </row>
    <row r="138" spans="1:19">
      <c r="A138" s="3"/>
      <c r="B138" s="1"/>
      <c r="D138" s="4"/>
      <c r="E138" s="5"/>
      <c r="F138" s="5"/>
      <c r="G138" s="5"/>
      <c r="H138" s="5"/>
      <c r="I138" s="5"/>
      <c r="J138" s="5"/>
      <c r="K138" s="5"/>
      <c r="L138" s="5"/>
      <c r="M138" s="5"/>
    </row>
    <row r="139" spans="1:19">
      <c r="A139" s="3"/>
      <c r="B139" s="1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9">
      <c r="A140" s="3"/>
      <c r="B140" s="1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9">
      <c r="A141" s="3"/>
      <c r="B141" s="1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9">
      <c r="A142" s="3"/>
      <c r="B142" s="1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9">
      <c r="A143" s="3"/>
      <c r="B143" s="1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9">
      <c r="A144" s="3"/>
      <c r="B144" s="1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1:25">
      <c r="A145" s="3"/>
      <c r="B145" s="1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spans="1:25">
      <c r="A146" s="3"/>
      <c r="B146" s="1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5">
      <c r="A147" s="3"/>
      <c r="B147" s="1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5">
      <c r="A148" s="3"/>
      <c r="B148" s="1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5">
      <c r="A149" s="3"/>
      <c r="B149" s="1"/>
      <c r="C149" s="1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3" name="Scroll Bar 6">
              <controlPr defaultSize="0" autoPict="0">
                <anchor moveWithCells="1">
                  <from>
                    <xdr:col>2</xdr:col>
                    <xdr:colOff>68580</xdr:colOff>
                    <xdr:row>33</xdr:row>
                    <xdr:rowOff>121920</xdr:rowOff>
                  </from>
                  <to>
                    <xdr:col>6</xdr:col>
                    <xdr:colOff>495300</xdr:colOff>
                    <xdr:row>37</xdr:row>
                    <xdr:rowOff>1905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4" name="Check Box 7">
              <controlPr defaultSize="0" autoFill="0" autoLine="0" autoPict="0">
                <anchor moveWithCells="1">
                  <from>
                    <xdr:col>8</xdr:col>
                    <xdr:colOff>38100</xdr:colOff>
                    <xdr:row>6</xdr:row>
                    <xdr:rowOff>152400</xdr:rowOff>
                  </from>
                  <to>
                    <xdr:col>9</xdr:col>
                    <xdr:colOff>3810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>
                  <from>
                    <xdr:col>8</xdr:col>
                    <xdr:colOff>53340</xdr:colOff>
                    <xdr:row>14</xdr:row>
                    <xdr:rowOff>160020</xdr:rowOff>
                  </from>
                  <to>
                    <xdr:col>9</xdr:col>
                    <xdr:colOff>7620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6" name="Check Box 9">
              <controlPr defaultSize="0" autoFill="0" autoLine="0" autoPict="0">
                <anchor moveWithCells="1">
                  <from>
                    <xdr:col>8</xdr:col>
                    <xdr:colOff>30480</xdr:colOff>
                    <xdr:row>23</xdr:row>
                    <xdr:rowOff>160020</xdr:rowOff>
                  </from>
                  <to>
                    <xdr:col>8</xdr:col>
                    <xdr:colOff>1101090</xdr:colOff>
                    <xdr:row>25</xdr:row>
                    <xdr:rowOff>7620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985F3B21-E871-48D6-B6E8-16D8977D2F44}">
            <xm:f>AND($I$8,I12&lt;&gt;CBVTT!I12)</xm:f>
            <x14:dxf>
              <fill>
                <patternFill>
                  <bgColor rgb="FFFFFF00"/>
                </patternFill>
              </fill>
            </x14:dxf>
          </x14:cfRule>
          <xm:sqref>I12:I14</xm:sqref>
        </x14:conditionalFormatting>
        <x14:conditionalFormatting xmlns:xm="http://schemas.microsoft.com/office/excel/2006/main">
          <x14:cfRule type="expression" priority="3" id="{D8C7BE50-DE09-41EC-BB55-DD083FD7885A}">
            <xm:f>AND($I$16,I20&lt;&gt;CBVTT!I20)</xm:f>
            <x14:dxf>
              <fill>
                <patternFill>
                  <bgColor rgb="FFFFFF00"/>
                </patternFill>
              </fill>
            </x14:dxf>
          </x14:cfRule>
          <xm:sqref>I20:I22</xm:sqref>
        </x14:conditionalFormatting>
        <x14:conditionalFormatting xmlns:xm="http://schemas.microsoft.com/office/excel/2006/main">
          <x14:cfRule type="expression" priority="1" id="{75505331-7136-49B8-9622-AD56D98A0E1B}">
            <xm:f>AND($I$25,I29&lt;&gt;CBVTT!I29)</xm:f>
            <x14:dxf>
              <fill>
                <patternFill>
                  <bgColor rgb="FFFFFF00"/>
                </patternFill>
              </fill>
            </x14:dxf>
          </x14:cfRule>
          <xm:sqref>I29:I31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8DE6-DA66-44AB-9450-F022844E3A67}">
  <sheetPr codeName="Sheet2"/>
  <dimension ref="A1:AA152"/>
  <sheetViews>
    <sheetView topLeftCell="B7" zoomScale="130" zoomScaleNormal="130" workbookViewId="0">
      <selection activeCell="L10" sqref="L10"/>
    </sheetView>
  </sheetViews>
  <sheetFormatPr defaultRowHeight="14.45"/>
  <cols>
    <col min="1" max="1" width="19.42578125" bestFit="1" customWidth="1"/>
    <col min="2" max="2" width="14" customWidth="1"/>
    <col min="3" max="3" width="19.140625" bestFit="1" customWidth="1"/>
    <col min="4" max="4" width="19.140625" customWidth="1"/>
    <col min="5" max="7" width="16.5703125" customWidth="1"/>
    <col min="8" max="8" width="8.140625" customWidth="1"/>
    <col min="9" max="9" width="19.42578125" bestFit="1" customWidth="1"/>
    <col min="10" max="10" width="11.140625" bestFit="1" customWidth="1"/>
    <col min="11" max="25" width="16.5703125" customWidth="1"/>
    <col min="26" max="26" width="10.7109375" customWidth="1"/>
  </cols>
  <sheetData>
    <row r="1" spans="1:27">
      <c r="A1" s="2" t="s">
        <v>0</v>
      </c>
    </row>
    <row r="3" spans="1:27">
      <c r="A3" t="s">
        <v>1</v>
      </c>
      <c r="B3" s="6">
        <v>10000</v>
      </c>
    </row>
    <row r="4" spans="1:27">
      <c r="A4" t="s">
        <v>2</v>
      </c>
      <c r="B4" s="7">
        <v>0.05</v>
      </c>
      <c r="C4" t="s">
        <v>3</v>
      </c>
    </row>
    <row r="5" spans="1:27">
      <c r="A5" t="s">
        <v>4</v>
      </c>
      <c r="B5">
        <v>20</v>
      </c>
      <c r="C5" t="s">
        <v>5</v>
      </c>
    </row>
    <row r="6" spans="1:27">
      <c r="A6" t="s">
        <v>6</v>
      </c>
      <c r="B6" s="9">
        <f>D21/100</f>
        <v>0.05</v>
      </c>
      <c r="C6" t="s">
        <v>3</v>
      </c>
    </row>
    <row r="7" spans="1:27">
      <c r="A7" t="s">
        <v>15</v>
      </c>
      <c r="B7" s="10">
        <f>D22/100</f>
        <v>0.1</v>
      </c>
      <c r="C7" t="s">
        <v>3</v>
      </c>
    </row>
    <row r="9" spans="1:27" ht="15" thickBot="1">
      <c r="I9" s="36" t="b">
        <v>0</v>
      </c>
    </row>
    <row r="10" spans="1:27">
      <c r="H10" s="13"/>
      <c r="I10" s="14" t="s">
        <v>16</v>
      </c>
      <c r="J10" s="30">
        <v>0.05</v>
      </c>
    </row>
    <row r="11" spans="1:27">
      <c r="H11" s="15"/>
      <c r="I11" t="s">
        <v>17</v>
      </c>
      <c r="J11" s="31">
        <v>0.05</v>
      </c>
    </row>
    <row r="12" spans="1:27">
      <c r="H12" s="15"/>
      <c r="J12" s="16"/>
      <c r="Z12" s="3"/>
      <c r="AA12" s="3"/>
    </row>
    <row r="13" spans="1:27" ht="15" thickBot="1">
      <c r="H13" s="17" t="s">
        <v>8</v>
      </c>
      <c r="I13" s="12" t="s">
        <v>9</v>
      </c>
      <c r="J13" s="16"/>
    </row>
    <row r="14" spans="1:27">
      <c r="H14" s="19">
        <v>0</v>
      </c>
      <c r="I14" s="23"/>
      <c r="J14" s="16"/>
    </row>
    <row r="15" spans="1:27">
      <c r="H15" s="19">
        <v>6</v>
      </c>
      <c r="I15" s="23"/>
      <c r="J15" s="16"/>
    </row>
    <row r="16" spans="1:27">
      <c r="H16" s="19">
        <v>7</v>
      </c>
      <c r="I16" s="23"/>
      <c r="J16" s="16"/>
    </row>
    <row r="17" spans="4:10" ht="15" thickBot="1">
      <c r="H17" s="17">
        <v>20</v>
      </c>
      <c r="I17" s="24"/>
      <c r="J17" s="22"/>
    </row>
    <row r="18" spans="4:10" ht="15" thickBot="1">
      <c r="I18" s="36" t="b">
        <v>0</v>
      </c>
      <c r="J18" s="3"/>
    </row>
    <row r="19" spans="4:10">
      <c r="H19" s="13"/>
      <c r="I19" s="14" t="s">
        <v>16</v>
      </c>
      <c r="J19" s="30">
        <v>0.05</v>
      </c>
    </row>
    <row r="20" spans="4:10">
      <c r="H20" s="15"/>
      <c r="I20" t="s">
        <v>17</v>
      </c>
      <c r="J20" s="31">
        <v>0.1</v>
      </c>
    </row>
    <row r="21" spans="4:10">
      <c r="D21">
        <v>5</v>
      </c>
      <c r="H21" s="15"/>
      <c r="J21" s="16"/>
    </row>
    <row r="22" spans="4:10" ht="15" thickBot="1">
      <c r="D22">
        <v>10</v>
      </c>
      <c r="H22" s="17" t="s">
        <v>8</v>
      </c>
      <c r="I22" s="12" t="s">
        <v>9</v>
      </c>
      <c r="J22" s="16"/>
    </row>
    <row r="23" spans="4:10">
      <c r="H23" s="19">
        <v>0</v>
      </c>
      <c r="I23" s="23"/>
      <c r="J23" s="16"/>
    </row>
    <row r="24" spans="4:10">
      <c r="H24" s="19">
        <v>6</v>
      </c>
      <c r="I24" s="23"/>
      <c r="J24" s="16"/>
    </row>
    <row r="25" spans="4:10">
      <c r="H25" s="19">
        <v>7</v>
      </c>
      <c r="I25" s="23"/>
      <c r="J25" s="16"/>
    </row>
    <row r="26" spans="4:10" ht="15" thickBot="1">
      <c r="H26" s="17">
        <v>20</v>
      </c>
      <c r="I26" s="24"/>
      <c r="J26" s="22"/>
    </row>
    <row r="27" spans="4:10" ht="15" thickBot="1">
      <c r="I27" s="36" t="b">
        <v>0</v>
      </c>
      <c r="J27" s="3"/>
    </row>
    <row r="28" spans="4:10">
      <c r="H28" s="13"/>
      <c r="I28" s="14" t="s">
        <v>16</v>
      </c>
      <c r="J28" s="30">
        <v>0.05</v>
      </c>
    </row>
    <row r="29" spans="4:10">
      <c r="H29" s="15"/>
      <c r="I29" t="s">
        <v>17</v>
      </c>
      <c r="J29" s="31">
        <v>0.01</v>
      </c>
    </row>
    <row r="30" spans="4:10">
      <c r="H30" s="15"/>
      <c r="J30" s="16"/>
    </row>
    <row r="31" spans="4:10" ht="15" thickBot="1">
      <c r="H31" s="17" t="s">
        <v>8</v>
      </c>
      <c r="I31" s="12" t="s">
        <v>9</v>
      </c>
      <c r="J31" s="16"/>
    </row>
    <row r="32" spans="4:10">
      <c r="H32" s="19">
        <v>0</v>
      </c>
      <c r="I32" s="23"/>
      <c r="J32" s="16"/>
    </row>
    <row r="33" spans="2:10">
      <c r="H33" s="19">
        <v>6</v>
      </c>
      <c r="I33" s="23"/>
      <c r="J33" s="16"/>
    </row>
    <row r="34" spans="2:10">
      <c r="H34" s="19">
        <v>7</v>
      </c>
      <c r="I34" s="23"/>
      <c r="J34" s="16"/>
    </row>
    <row r="35" spans="2:10" ht="15" thickBot="1">
      <c r="H35" s="17">
        <v>20</v>
      </c>
      <c r="I35" s="24"/>
      <c r="J35" s="22"/>
    </row>
    <row r="36" spans="2:10" ht="15" thickBot="1">
      <c r="B36" s="33">
        <f>$D$21/100</f>
        <v>0.05</v>
      </c>
      <c r="I36" s="36" t="b">
        <v>0</v>
      </c>
      <c r="J36" s="3"/>
    </row>
    <row r="37" spans="2:10">
      <c r="H37" s="13"/>
      <c r="I37" s="14" t="s">
        <v>16</v>
      </c>
      <c r="J37" s="30">
        <v>0.1</v>
      </c>
    </row>
    <row r="38" spans="2:10">
      <c r="H38" s="15"/>
      <c r="I38" t="s">
        <v>17</v>
      </c>
      <c r="J38" s="31">
        <v>0.01</v>
      </c>
    </row>
    <row r="39" spans="2:10">
      <c r="H39" s="15"/>
      <c r="J39" s="16"/>
    </row>
    <row r="40" spans="2:10" ht="15" thickBot="1">
      <c r="C40" t="s">
        <v>18</v>
      </c>
      <c r="H40" s="17" t="s">
        <v>8</v>
      </c>
      <c r="I40" s="12" t="s">
        <v>9</v>
      </c>
      <c r="J40" s="18"/>
    </row>
    <row r="41" spans="2:10">
      <c r="H41" s="19">
        <v>0</v>
      </c>
      <c r="I41" s="23"/>
      <c r="J41" s="18"/>
    </row>
    <row r="42" spans="2:10">
      <c r="H42" s="19">
        <v>6</v>
      </c>
      <c r="I42" s="23"/>
      <c r="J42" s="18"/>
    </row>
    <row r="43" spans="2:10">
      <c r="B43" s="35">
        <f>$D$22/100</f>
        <v>0.1</v>
      </c>
      <c r="H43" s="19">
        <v>7</v>
      </c>
      <c r="I43" s="23"/>
      <c r="J43" s="18"/>
    </row>
    <row r="44" spans="2:10" ht="15" thickBot="1">
      <c r="H44" s="17">
        <v>20</v>
      </c>
      <c r="I44" s="24"/>
      <c r="J44" s="20"/>
    </row>
    <row r="45" spans="2:10" ht="15" thickBot="1">
      <c r="I45" s="36" t="b">
        <v>0</v>
      </c>
    </row>
    <row r="46" spans="2:10">
      <c r="C46" t="s">
        <v>19</v>
      </c>
      <c r="H46" s="13"/>
      <c r="I46" s="14" t="s">
        <v>16</v>
      </c>
      <c r="J46" s="30">
        <v>0.01</v>
      </c>
    </row>
    <row r="47" spans="2:10">
      <c r="H47" s="15"/>
      <c r="I47" t="s">
        <v>17</v>
      </c>
      <c r="J47" s="31">
        <v>0.1</v>
      </c>
    </row>
    <row r="48" spans="2:10">
      <c r="H48" s="15"/>
      <c r="J48" s="16"/>
    </row>
    <row r="49" spans="8:10" ht="15" thickBot="1">
      <c r="H49" s="17" t="s">
        <v>8</v>
      </c>
      <c r="I49" s="12" t="s">
        <v>9</v>
      </c>
      <c r="J49" s="18"/>
    </row>
    <row r="50" spans="8:10">
      <c r="H50" s="19">
        <v>0</v>
      </c>
      <c r="I50" s="23"/>
      <c r="J50" s="18"/>
    </row>
    <row r="51" spans="8:10">
      <c r="H51" s="19">
        <v>6</v>
      </c>
      <c r="I51" s="23"/>
      <c r="J51" s="18"/>
    </row>
    <row r="52" spans="8:10">
      <c r="H52" s="19">
        <v>7</v>
      </c>
      <c r="I52" s="23"/>
      <c r="J52" s="18"/>
    </row>
    <row r="53" spans="8:10" ht="15" thickBot="1">
      <c r="H53" s="17">
        <v>20</v>
      </c>
      <c r="I53" s="24"/>
      <c r="J53" s="20"/>
    </row>
    <row r="106" spans="1:25">
      <c r="A106" s="3" t="s">
        <v>11</v>
      </c>
      <c r="B106" s="3" t="s">
        <v>12</v>
      </c>
      <c r="C106" s="3" t="s">
        <v>13</v>
      </c>
      <c r="D106" s="3" t="s">
        <v>14</v>
      </c>
      <c r="E106" s="3">
        <v>0</v>
      </c>
      <c r="F106" s="3">
        <v>1</v>
      </c>
      <c r="G106" s="3">
        <v>2</v>
      </c>
      <c r="H106" s="3">
        <v>3</v>
      </c>
      <c r="I106" s="3">
        <v>4</v>
      </c>
      <c r="J106" s="3">
        <v>5</v>
      </c>
      <c r="K106" s="3">
        <v>6</v>
      </c>
      <c r="L106" s="3">
        <v>7</v>
      </c>
      <c r="M106" s="3">
        <v>8</v>
      </c>
      <c r="N106" s="3">
        <v>9</v>
      </c>
      <c r="O106" s="3">
        <v>10</v>
      </c>
      <c r="P106" s="3">
        <v>11</v>
      </c>
      <c r="Q106" s="3">
        <v>12</v>
      </c>
      <c r="R106" s="3">
        <v>13</v>
      </c>
      <c r="S106" s="3">
        <v>14</v>
      </c>
      <c r="T106" s="3">
        <v>15</v>
      </c>
      <c r="U106" s="3">
        <v>16</v>
      </c>
      <c r="V106" s="3">
        <v>17</v>
      </c>
      <c r="W106" s="3">
        <v>18</v>
      </c>
      <c r="X106" s="3">
        <v>19</v>
      </c>
      <c r="Y106" s="3">
        <v>20</v>
      </c>
    </row>
    <row r="107" spans="1:25">
      <c r="A107" s="3">
        <v>0</v>
      </c>
    </row>
    <row r="108" spans="1:25">
      <c r="A108" s="3">
        <v>1</v>
      </c>
      <c r="B108" s="1">
        <f t="shared" ref="B108:B127" si="0">Face_Value*Coupon_Rate</f>
        <v>500</v>
      </c>
      <c r="D108" s="4">
        <f>B108+C108</f>
        <v>500</v>
      </c>
      <c r="E108" s="5">
        <f t="shared" ref="E108:E127" si="1">$D108/(1+Initial_Interest_Rate)^($A108-E$106)</f>
        <v>476.19047619047615</v>
      </c>
    </row>
    <row r="109" spans="1:25">
      <c r="A109" s="3">
        <v>2</v>
      </c>
      <c r="B109" s="1">
        <f t="shared" si="0"/>
        <v>500</v>
      </c>
      <c r="D109" s="4">
        <f t="shared" ref="D109:D127" si="2">B109+C109</f>
        <v>500</v>
      </c>
      <c r="E109" s="5">
        <f t="shared" si="1"/>
        <v>453.51473922902494</v>
      </c>
      <c r="F109" s="5">
        <f t="shared" ref="F109:F127" si="3">$D109/(1+Initial_Interest_Rate)^($A109-F$106)</f>
        <v>476.19047619047615</v>
      </c>
    </row>
    <row r="110" spans="1:25">
      <c r="A110" s="3">
        <v>3</v>
      </c>
      <c r="B110" s="1">
        <f t="shared" si="0"/>
        <v>500</v>
      </c>
      <c r="D110" s="4">
        <f t="shared" si="2"/>
        <v>500</v>
      </c>
      <c r="E110" s="5">
        <f t="shared" si="1"/>
        <v>431.91879926573802</v>
      </c>
      <c r="F110" s="5">
        <f t="shared" si="3"/>
        <v>453.51473922902494</v>
      </c>
      <c r="G110" s="5">
        <f t="shared" ref="G110:G127" si="4">$D110/(1+Initial_Interest_Rate)^($A110-G$106)</f>
        <v>476.19047619047615</v>
      </c>
    </row>
    <row r="111" spans="1:25">
      <c r="A111" s="3">
        <v>4</v>
      </c>
      <c r="B111" s="1">
        <f t="shared" si="0"/>
        <v>500</v>
      </c>
      <c r="D111" s="4">
        <f t="shared" si="2"/>
        <v>500</v>
      </c>
      <c r="E111" s="5">
        <f t="shared" si="1"/>
        <v>411.35123739594098</v>
      </c>
      <c r="F111" s="5">
        <f t="shared" si="3"/>
        <v>431.91879926573802</v>
      </c>
      <c r="G111" s="5">
        <f t="shared" si="4"/>
        <v>453.51473922902494</v>
      </c>
      <c r="H111" s="5">
        <f t="shared" ref="H111:H127" si="5">$D111/(1+Initial_Interest_Rate)^($A111-H$106)</f>
        <v>476.19047619047615</v>
      </c>
    </row>
    <row r="112" spans="1:25">
      <c r="A112" s="3">
        <v>5</v>
      </c>
      <c r="B112" s="1">
        <f t="shared" si="0"/>
        <v>500</v>
      </c>
      <c r="D112" s="4">
        <f t="shared" si="2"/>
        <v>500</v>
      </c>
      <c r="E112" s="5">
        <f t="shared" si="1"/>
        <v>391.7630832342295</v>
      </c>
      <c r="F112" s="5">
        <f t="shared" si="3"/>
        <v>411.35123739594098</v>
      </c>
      <c r="G112" s="5">
        <f t="shared" si="4"/>
        <v>431.91879926573802</v>
      </c>
      <c r="H112" s="5">
        <f t="shared" si="5"/>
        <v>453.51473922902494</v>
      </c>
      <c r="I112" s="5">
        <f t="shared" ref="I112:I127" si="6">$D112/(1+Initial_Interest_Rate)^($A112-I$106)</f>
        <v>476.19047619047615</v>
      </c>
    </row>
    <row r="113" spans="1:25">
      <c r="A113" s="3">
        <v>6</v>
      </c>
      <c r="B113" s="1">
        <f t="shared" si="0"/>
        <v>500</v>
      </c>
      <c r="D113" s="4">
        <f t="shared" si="2"/>
        <v>500</v>
      </c>
      <c r="E113" s="5">
        <f t="shared" si="1"/>
        <v>373.10769831831385</v>
      </c>
      <c r="F113" s="5">
        <f t="shared" si="3"/>
        <v>391.7630832342295</v>
      </c>
      <c r="G113" s="5">
        <f t="shared" si="4"/>
        <v>411.35123739594098</v>
      </c>
      <c r="H113" s="5">
        <f t="shared" si="5"/>
        <v>431.91879926573802</v>
      </c>
      <c r="I113" s="5">
        <f t="shared" si="6"/>
        <v>453.51473922902494</v>
      </c>
      <c r="J113" s="5">
        <f t="shared" ref="J113:J127" si="7">$D113/(1+Initial_Interest_Rate)^($A113-J$106)</f>
        <v>476.19047619047615</v>
      </c>
    </row>
    <row r="114" spans="1:25">
      <c r="A114" s="3">
        <v>7</v>
      </c>
      <c r="B114" s="1">
        <f t="shared" si="0"/>
        <v>500</v>
      </c>
      <c r="D114" s="4">
        <f t="shared" si="2"/>
        <v>500</v>
      </c>
      <c r="E114" s="5">
        <f t="shared" si="1"/>
        <v>355.3406650650607</v>
      </c>
      <c r="F114" s="5">
        <f t="shared" si="3"/>
        <v>373.10769831831385</v>
      </c>
      <c r="G114" s="5">
        <f t="shared" si="4"/>
        <v>391.7630832342295</v>
      </c>
      <c r="H114" s="5">
        <f t="shared" si="5"/>
        <v>411.35123739594098</v>
      </c>
      <c r="I114" s="5">
        <f t="shared" si="6"/>
        <v>431.91879926573802</v>
      </c>
      <c r="J114" s="5">
        <f t="shared" si="7"/>
        <v>453.51473922902494</v>
      </c>
      <c r="K114" s="5">
        <f t="shared" ref="K114:K127" si="8">$D114/(1+Initial_Interest_Rate)^($A114-K$106)</f>
        <v>476.19047619047615</v>
      </c>
    </row>
    <row r="115" spans="1:25">
      <c r="A115" s="3">
        <v>8</v>
      </c>
      <c r="B115" s="1">
        <f t="shared" si="0"/>
        <v>500</v>
      </c>
      <c r="D115" s="4">
        <f t="shared" si="2"/>
        <v>500</v>
      </c>
      <c r="E115" s="5">
        <f t="shared" si="1"/>
        <v>338.41968101434361</v>
      </c>
      <c r="F115" s="5">
        <f t="shared" si="3"/>
        <v>355.3406650650607</v>
      </c>
      <c r="G115" s="5">
        <f t="shared" si="4"/>
        <v>373.10769831831385</v>
      </c>
      <c r="H115" s="5">
        <f t="shared" si="5"/>
        <v>391.7630832342295</v>
      </c>
      <c r="I115" s="5">
        <f t="shared" si="6"/>
        <v>411.35123739594098</v>
      </c>
      <c r="J115" s="5">
        <f t="shared" si="7"/>
        <v>431.91879926573802</v>
      </c>
      <c r="K115" s="5">
        <f t="shared" si="8"/>
        <v>453.51473922902494</v>
      </c>
      <c r="L115" s="5">
        <f t="shared" ref="L115:L127" si="9">$D115/(1+Initial_Interest_Rate)^($A115-L$106)</f>
        <v>476.19047619047615</v>
      </c>
    </row>
    <row r="116" spans="1:25">
      <c r="A116" s="3">
        <v>9</v>
      </c>
      <c r="B116" s="1">
        <f t="shared" si="0"/>
        <v>500</v>
      </c>
      <c r="D116" s="4">
        <f t="shared" si="2"/>
        <v>500</v>
      </c>
      <c r="E116" s="5">
        <f t="shared" si="1"/>
        <v>322.30445810889864</v>
      </c>
      <c r="F116" s="5">
        <f t="shared" si="3"/>
        <v>338.41968101434361</v>
      </c>
      <c r="G116" s="5">
        <f t="shared" si="4"/>
        <v>355.3406650650607</v>
      </c>
      <c r="H116" s="5">
        <f t="shared" si="5"/>
        <v>373.10769831831385</v>
      </c>
      <c r="I116" s="5">
        <f t="shared" si="6"/>
        <v>391.7630832342295</v>
      </c>
      <c r="J116" s="5">
        <f t="shared" si="7"/>
        <v>411.35123739594098</v>
      </c>
      <c r="K116" s="5">
        <f t="shared" si="8"/>
        <v>431.91879926573802</v>
      </c>
      <c r="L116" s="5">
        <f t="shared" si="9"/>
        <v>453.51473922902494</v>
      </c>
      <c r="M116" s="5">
        <f t="shared" ref="M116:M127" si="10">$D116/(1+Initial_Interest_Rate)^($A116-M$106)</f>
        <v>476.19047619047615</v>
      </c>
    </row>
    <row r="117" spans="1:25">
      <c r="A117" s="3">
        <v>10</v>
      </c>
      <c r="B117" s="1">
        <f t="shared" si="0"/>
        <v>500</v>
      </c>
      <c r="D117" s="4">
        <f t="shared" si="2"/>
        <v>500</v>
      </c>
      <c r="E117" s="5">
        <f t="shared" si="1"/>
        <v>306.95662677037967</v>
      </c>
      <c r="F117" s="5">
        <f t="shared" si="3"/>
        <v>322.30445810889864</v>
      </c>
      <c r="G117" s="5">
        <f t="shared" si="4"/>
        <v>338.41968101434361</v>
      </c>
      <c r="H117" s="5">
        <f t="shared" si="5"/>
        <v>355.3406650650607</v>
      </c>
      <c r="I117" s="5">
        <f t="shared" si="6"/>
        <v>373.10769831831385</v>
      </c>
      <c r="J117" s="5">
        <f t="shared" si="7"/>
        <v>391.7630832342295</v>
      </c>
      <c r="K117" s="5">
        <f t="shared" si="8"/>
        <v>411.35123739594098</v>
      </c>
      <c r="L117" s="5">
        <f t="shared" si="9"/>
        <v>431.91879926573802</v>
      </c>
      <c r="M117" s="5">
        <f t="shared" si="10"/>
        <v>453.51473922902494</v>
      </c>
      <c r="N117" s="5">
        <f t="shared" ref="N117:N127" si="11">$D117/(1+Initial_Interest_Rate)^($A117-N$106)</f>
        <v>476.19047619047615</v>
      </c>
    </row>
    <row r="118" spans="1:25">
      <c r="A118" s="3">
        <v>11</v>
      </c>
      <c r="B118" s="1">
        <f t="shared" si="0"/>
        <v>500</v>
      </c>
      <c r="D118" s="4">
        <f t="shared" si="2"/>
        <v>500</v>
      </c>
      <c r="E118" s="5">
        <f t="shared" si="1"/>
        <v>292.3396445432187</v>
      </c>
      <c r="F118" s="5">
        <f t="shared" si="3"/>
        <v>306.95662677037967</v>
      </c>
      <c r="G118" s="5">
        <f t="shared" si="4"/>
        <v>322.30445810889864</v>
      </c>
      <c r="H118" s="5">
        <f t="shared" si="5"/>
        <v>338.41968101434361</v>
      </c>
      <c r="I118" s="5">
        <f t="shared" si="6"/>
        <v>355.3406650650607</v>
      </c>
      <c r="J118" s="5">
        <f t="shared" si="7"/>
        <v>373.10769831831385</v>
      </c>
      <c r="K118" s="5">
        <f t="shared" si="8"/>
        <v>391.7630832342295</v>
      </c>
      <c r="L118" s="5">
        <f t="shared" si="9"/>
        <v>411.35123739594098</v>
      </c>
      <c r="M118" s="5">
        <f t="shared" si="10"/>
        <v>431.91879926573802</v>
      </c>
      <c r="N118" s="5">
        <f t="shared" si="11"/>
        <v>453.51473922902494</v>
      </c>
      <c r="O118" s="5">
        <f t="shared" ref="O118:O127" si="12">$D118/(1+Initial_Interest_Rate)^($A118-O$106)</f>
        <v>476.19047619047615</v>
      </c>
    </row>
    <row r="119" spans="1:25">
      <c r="A119" s="3">
        <v>12</v>
      </c>
      <c r="B119" s="1">
        <f t="shared" si="0"/>
        <v>500</v>
      </c>
      <c r="D119" s="4">
        <f t="shared" si="2"/>
        <v>500</v>
      </c>
      <c r="E119" s="5">
        <f t="shared" si="1"/>
        <v>278.41870908877974</v>
      </c>
      <c r="F119" s="5">
        <f t="shared" si="3"/>
        <v>292.3396445432187</v>
      </c>
      <c r="G119" s="5">
        <f t="shared" si="4"/>
        <v>306.95662677037967</v>
      </c>
      <c r="H119" s="5">
        <f t="shared" si="5"/>
        <v>322.30445810889864</v>
      </c>
      <c r="I119" s="5">
        <f t="shared" si="6"/>
        <v>338.41968101434361</v>
      </c>
      <c r="J119" s="5">
        <f t="shared" si="7"/>
        <v>355.3406650650607</v>
      </c>
      <c r="K119" s="5">
        <f t="shared" si="8"/>
        <v>373.10769831831385</v>
      </c>
      <c r="L119" s="5">
        <f t="shared" si="9"/>
        <v>391.7630832342295</v>
      </c>
      <c r="M119" s="5">
        <f t="shared" si="10"/>
        <v>411.35123739594098</v>
      </c>
      <c r="N119" s="5">
        <f t="shared" si="11"/>
        <v>431.91879926573802</v>
      </c>
      <c r="O119" s="5">
        <f t="shared" si="12"/>
        <v>453.51473922902494</v>
      </c>
      <c r="P119" s="5">
        <f t="shared" ref="P119:P127" si="13">$D119/(1+Initial_Interest_Rate)^($A119-P$106)</f>
        <v>476.19047619047615</v>
      </c>
    </row>
    <row r="120" spans="1:25">
      <c r="A120" s="3">
        <v>13</v>
      </c>
      <c r="B120" s="1">
        <f t="shared" si="0"/>
        <v>500</v>
      </c>
      <c r="D120" s="4">
        <f t="shared" si="2"/>
        <v>500</v>
      </c>
      <c r="E120" s="5">
        <f t="shared" si="1"/>
        <v>265.16067532264736</v>
      </c>
      <c r="F120" s="5">
        <f t="shared" si="3"/>
        <v>278.41870908877974</v>
      </c>
      <c r="G120" s="5">
        <f t="shared" si="4"/>
        <v>292.3396445432187</v>
      </c>
      <c r="H120" s="5">
        <f t="shared" si="5"/>
        <v>306.95662677037967</v>
      </c>
      <c r="I120" s="5">
        <f t="shared" si="6"/>
        <v>322.30445810889864</v>
      </c>
      <c r="J120" s="5">
        <f t="shared" si="7"/>
        <v>338.41968101434361</v>
      </c>
      <c r="K120" s="5">
        <f t="shared" si="8"/>
        <v>355.3406650650607</v>
      </c>
      <c r="L120" s="5">
        <f t="shared" si="9"/>
        <v>373.10769831831385</v>
      </c>
      <c r="M120" s="5">
        <f t="shared" si="10"/>
        <v>391.7630832342295</v>
      </c>
      <c r="N120" s="5">
        <f t="shared" si="11"/>
        <v>411.35123739594098</v>
      </c>
      <c r="O120" s="5">
        <f t="shared" si="12"/>
        <v>431.91879926573802</v>
      </c>
      <c r="P120" s="5">
        <f t="shared" si="13"/>
        <v>453.51473922902494</v>
      </c>
      <c r="Q120" s="5">
        <f t="shared" ref="Q120:Q127" si="14">$D120/(1+Initial_Interest_Rate)^($A120-Q$106)</f>
        <v>476.19047619047615</v>
      </c>
    </row>
    <row r="121" spans="1:25">
      <c r="A121" s="3">
        <v>14</v>
      </c>
      <c r="B121" s="1">
        <f t="shared" si="0"/>
        <v>500</v>
      </c>
      <c r="D121" s="4">
        <f t="shared" si="2"/>
        <v>500</v>
      </c>
      <c r="E121" s="5">
        <f t="shared" si="1"/>
        <v>252.53397649775943</v>
      </c>
      <c r="F121" s="5">
        <f t="shared" si="3"/>
        <v>265.16067532264736</v>
      </c>
      <c r="G121" s="5">
        <f t="shared" si="4"/>
        <v>278.41870908877974</v>
      </c>
      <c r="H121" s="5">
        <f t="shared" si="5"/>
        <v>292.3396445432187</v>
      </c>
      <c r="I121" s="5">
        <f t="shared" si="6"/>
        <v>306.95662677037967</v>
      </c>
      <c r="J121" s="5">
        <f t="shared" si="7"/>
        <v>322.30445810889864</v>
      </c>
      <c r="K121" s="5">
        <f t="shared" si="8"/>
        <v>338.41968101434361</v>
      </c>
      <c r="L121" s="5">
        <f t="shared" si="9"/>
        <v>355.3406650650607</v>
      </c>
      <c r="M121" s="5">
        <f t="shared" si="10"/>
        <v>373.10769831831385</v>
      </c>
      <c r="N121" s="5">
        <f t="shared" si="11"/>
        <v>391.7630832342295</v>
      </c>
      <c r="O121" s="5">
        <f t="shared" si="12"/>
        <v>411.35123739594098</v>
      </c>
      <c r="P121" s="5">
        <f t="shared" si="13"/>
        <v>431.91879926573802</v>
      </c>
      <c r="Q121" s="5">
        <f t="shared" si="14"/>
        <v>453.51473922902494</v>
      </c>
      <c r="R121" s="5">
        <f t="shared" ref="R121:R127" si="15">$D121/(1+Initial_Interest_Rate)^($A121-R$106)</f>
        <v>476.19047619047615</v>
      </c>
    </row>
    <row r="122" spans="1:25">
      <c r="A122" s="3">
        <v>15</v>
      </c>
      <c r="B122" s="1">
        <f t="shared" si="0"/>
        <v>500</v>
      </c>
      <c r="D122" s="4">
        <f t="shared" si="2"/>
        <v>500</v>
      </c>
      <c r="E122" s="5">
        <f t="shared" si="1"/>
        <v>240.5085490454851</v>
      </c>
      <c r="F122" s="5">
        <f t="shared" si="3"/>
        <v>252.53397649775943</v>
      </c>
      <c r="G122" s="5">
        <f t="shared" si="4"/>
        <v>265.16067532264736</v>
      </c>
      <c r="H122" s="5">
        <f t="shared" si="5"/>
        <v>278.41870908877974</v>
      </c>
      <c r="I122" s="5">
        <f t="shared" si="6"/>
        <v>292.3396445432187</v>
      </c>
      <c r="J122" s="5">
        <f t="shared" si="7"/>
        <v>306.95662677037967</v>
      </c>
      <c r="K122" s="5">
        <f t="shared" si="8"/>
        <v>322.30445810889864</v>
      </c>
      <c r="L122" s="5">
        <f t="shared" si="9"/>
        <v>338.41968101434361</v>
      </c>
      <c r="M122" s="5">
        <f t="shared" si="10"/>
        <v>355.3406650650607</v>
      </c>
      <c r="N122" s="5">
        <f t="shared" si="11"/>
        <v>373.10769831831385</v>
      </c>
      <c r="O122" s="5">
        <f t="shared" si="12"/>
        <v>391.7630832342295</v>
      </c>
      <c r="P122" s="5">
        <f t="shared" si="13"/>
        <v>411.35123739594098</v>
      </c>
      <c r="Q122" s="5">
        <f t="shared" si="14"/>
        <v>431.91879926573802</v>
      </c>
      <c r="R122" s="5">
        <f t="shared" si="15"/>
        <v>453.51473922902494</v>
      </c>
      <c r="S122" s="5">
        <f t="shared" ref="S122:S127" si="16">$D122/(1+Initial_Interest_Rate)^($A122-S$106)</f>
        <v>476.19047619047615</v>
      </c>
    </row>
    <row r="123" spans="1:25">
      <c r="A123" s="3">
        <v>16</v>
      </c>
      <c r="B123" s="1">
        <f t="shared" si="0"/>
        <v>500</v>
      </c>
      <c r="D123" s="4">
        <f t="shared" si="2"/>
        <v>500</v>
      </c>
      <c r="E123" s="5">
        <f t="shared" si="1"/>
        <v>229.0557609957001</v>
      </c>
      <c r="F123" s="5">
        <f t="shared" si="3"/>
        <v>240.5085490454851</v>
      </c>
      <c r="G123" s="5">
        <f t="shared" si="4"/>
        <v>252.53397649775943</v>
      </c>
      <c r="H123" s="5">
        <f t="shared" si="5"/>
        <v>265.16067532264736</v>
      </c>
      <c r="I123" s="5">
        <f t="shared" si="6"/>
        <v>278.41870908877974</v>
      </c>
      <c r="J123" s="5">
        <f t="shared" si="7"/>
        <v>292.3396445432187</v>
      </c>
      <c r="K123" s="5">
        <f t="shared" si="8"/>
        <v>306.95662677037967</v>
      </c>
      <c r="L123" s="5">
        <f t="shared" si="9"/>
        <v>322.30445810889864</v>
      </c>
      <c r="M123" s="5">
        <f t="shared" si="10"/>
        <v>338.41968101434361</v>
      </c>
      <c r="N123" s="5">
        <f t="shared" si="11"/>
        <v>355.3406650650607</v>
      </c>
      <c r="O123" s="5">
        <f t="shared" si="12"/>
        <v>373.10769831831385</v>
      </c>
      <c r="P123" s="5">
        <f t="shared" si="13"/>
        <v>391.7630832342295</v>
      </c>
      <c r="Q123" s="5">
        <f t="shared" si="14"/>
        <v>411.35123739594098</v>
      </c>
      <c r="R123" s="5">
        <f t="shared" si="15"/>
        <v>431.91879926573802</v>
      </c>
      <c r="S123" s="5">
        <f t="shared" si="16"/>
        <v>453.51473922902494</v>
      </c>
      <c r="T123" s="5">
        <f>$D123/(1+Initial_Interest_Rate)^($A123-T$106)</f>
        <v>476.19047619047615</v>
      </c>
    </row>
    <row r="124" spans="1:25">
      <c r="A124" s="3">
        <v>17</v>
      </c>
      <c r="B124" s="1">
        <f t="shared" si="0"/>
        <v>500</v>
      </c>
      <c r="D124" s="4">
        <f t="shared" si="2"/>
        <v>500</v>
      </c>
      <c r="E124" s="5">
        <f t="shared" si="1"/>
        <v>218.14834380542865</v>
      </c>
      <c r="F124" s="5">
        <f t="shared" si="3"/>
        <v>229.0557609957001</v>
      </c>
      <c r="G124" s="5">
        <f t="shared" si="4"/>
        <v>240.5085490454851</v>
      </c>
      <c r="H124" s="5">
        <f t="shared" si="5"/>
        <v>252.53397649775943</v>
      </c>
      <c r="I124" s="5">
        <f t="shared" si="6"/>
        <v>265.16067532264736</v>
      </c>
      <c r="J124" s="5">
        <f t="shared" si="7"/>
        <v>278.41870908877974</v>
      </c>
      <c r="K124" s="5">
        <f t="shared" si="8"/>
        <v>292.3396445432187</v>
      </c>
      <c r="L124" s="5">
        <f t="shared" si="9"/>
        <v>306.95662677037967</v>
      </c>
      <c r="M124" s="5">
        <f t="shared" si="10"/>
        <v>322.30445810889864</v>
      </c>
      <c r="N124" s="5">
        <f t="shared" si="11"/>
        <v>338.41968101434361</v>
      </c>
      <c r="O124" s="5">
        <f t="shared" si="12"/>
        <v>355.3406650650607</v>
      </c>
      <c r="P124" s="5">
        <f t="shared" si="13"/>
        <v>373.10769831831385</v>
      </c>
      <c r="Q124" s="5">
        <f t="shared" si="14"/>
        <v>391.7630832342295</v>
      </c>
      <c r="R124" s="5">
        <f t="shared" si="15"/>
        <v>411.35123739594098</v>
      </c>
      <c r="S124" s="5">
        <f t="shared" si="16"/>
        <v>431.91879926573802</v>
      </c>
      <c r="T124" s="5">
        <f>$D124/(1+Initial_Interest_Rate)^($A124-T$106)</f>
        <v>453.51473922902494</v>
      </c>
      <c r="U124" s="5">
        <f>$D124/(1+Initial_Interest_Rate)^($A124-U$106)</f>
        <v>476.19047619047615</v>
      </c>
    </row>
    <row r="125" spans="1:25">
      <c r="A125" s="3">
        <v>18</v>
      </c>
      <c r="B125" s="1">
        <f t="shared" si="0"/>
        <v>500</v>
      </c>
      <c r="D125" s="4">
        <f t="shared" si="2"/>
        <v>500</v>
      </c>
      <c r="E125" s="5">
        <f t="shared" si="1"/>
        <v>207.76032743374157</v>
      </c>
      <c r="F125" s="5">
        <f t="shared" si="3"/>
        <v>218.14834380542865</v>
      </c>
      <c r="G125" s="5">
        <f t="shared" si="4"/>
        <v>229.0557609957001</v>
      </c>
      <c r="H125" s="5">
        <f t="shared" si="5"/>
        <v>240.5085490454851</v>
      </c>
      <c r="I125" s="5">
        <f t="shared" si="6"/>
        <v>252.53397649775943</v>
      </c>
      <c r="J125" s="5">
        <f t="shared" si="7"/>
        <v>265.16067532264736</v>
      </c>
      <c r="K125" s="5">
        <f t="shared" si="8"/>
        <v>278.41870908877974</v>
      </c>
      <c r="L125" s="5">
        <f t="shared" si="9"/>
        <v>292.3396445432187</v>
      </c>
      <c r="M125" s="5">
        <f t="shared" si="10"/>
        <v>306.95662677037967</v>
      </c>
      <c r="N125" s="5">
        <f t="shared" si="11"/>
        <v>322.30445810889864</v>
      </c>
      <c r="O125" s="5">
        <f t="shared" si="12"/>
        <v>338.41968101434361</v>
      </c>
      <c r="P125" s="5">
        <f t="shared" si="13"/>
        <v>355.3406650650607</v>
      </c>
      <c r="Q125" s="5">
        <f t="shared" si="14"/>
        <v>373.10769831831385</v>
      </c>
      <c r="R125" s="5">
        <f t="shared" si="15"/>
        <v>391.7630832342295</v>
      </c>
      <c r="S125" s="5">
        <f t="shared" si="16"/>
        <v>411.35123739594098</v>
      </c>
      <c r="T125" s="5">
        <f>$D125/(1+Initial_Interest_Rate)^($A125-T$106)</f>
        <v>431.91879926573802</v>
      </c>
      <c r="U125" s="5">
        <f>$D125/(1+Initial_Interest_Rate)^($A125-U$106)</f>
        <v>453.51473922902494</v>
      </c>
      <c r="V125" s="5">
        <f>$D125/(1+Initial_Interest_Rate)^($A125-V$106)</f>
        <v>476.19047619047615</v>
      </c>
    </row>
    <row r="126" spans="1:25">
      <c r="A126" s="3">
        <v>19</v>
      </c>
      <c r="B126" s="1">
        <f t="shared" si="0"/>
        <v>500</v>
      </c>
      <c r="D126" s="4">
        <f t="shared" si="2"/>
        <v>500</v>
      </c>
      <c r="E126" s="5">
        <f t="shared" si="1"/>
        <v>197.8669785083253</v>
      </c>
      <c r="F126" s="5">
        <f t="shared" si="3"/>
        <v>207.76032743374157</v>
      </c>
      <c r="G126" s="5">
        <f t="shared" si="4"/>
        <v>218.14834380542865</v>
      </c>
      <c r="H126" s="5">
        <f t="shared" si="5"/>
        <v>229.0557609957001</v>
      </c>
      <c r="I126" s="5">
        <f t="shared" si="6"/>
        <v>240.5085490454851</v>
      </c>
      <c r="J126" s="5">
        <f t="shared" si="7"/>
        <v>252.53397649775943</v>
      </c>
      <c r="K126" s="5">
        <f t="shared" si="8"/>
        <v>265.16067532264736</v>
      </c>
      <c r="L126" s="5">
        <f t="shared" si="9"/>
        <v>278.41870908877974</v>
      </c>
      <c r="M126" s="5">
        <f t="shared" si="10"/>
        <v>292.3396445432187</v>
      </c>
      <c r="N126" s="5">
        <f t="shared" si="11"/>
        <v>306.95662677037967</v>
      </c>
      <c r="O126" s="5">
        <f t="shared" si="12"/>
        <v>322.30445810889864</v>
      </c>
      <c r="P126" s="5">
        <f t="shared" si="13"/>
        <v>338.41968101434361</v>
      </c>
      <c r="Q126" s="5">
        <f t="shared" si="14"/>
        <v>355.3406650650607</v>
      </c>
      <c r="R126" s="5">
        <f t="shared" si="15"/>
        <v>373.10769831831385</v>
      </c>
      <c r="S126" s="5">
        <f t="shared" si="16"/>
        <v>391.7630832342295</v>
      </c>
      <c r="T126" s="5">
        <f>$D126/(1+Initial_Interest_Rate)^($A126-T$106)</f>
        <v>411.35123739594098</v>
      </c>
      <c r="U126" s="5">
        <f>$D126/(1+Initial_Interest_Rate)^($A126-U$106)</f>
        <v>431.91879926573802</v>
      </c>
      <c r="V126" s="5">
        <f>$D126/(1+Initial_Interest_Rate)^($A126-V$106)</f>
        <v>453.51473922902494</v>
      </c>
      <c r="W126" s="5">
        <f>$D126/(1+Initial_Interest_Rate)^($A126-W$106)</f>
        <v>476.19047619047615</v>
      </c>
    </row>
    <row r="127" spans="1:25">
      <c r="A127" s="3">
        <v>20</v>
      </c>
      <c r="B127" s="1">
        <f t="shared" si="0"/>
        <v>500</v>
      </c>
      <c r="C127" s="1">
        <f>Face_Value</f>
        <v>10000</v>
      </c>
      <c r="D127" s="4">
        <f t="shared" si="2"/>
        <v>10500</v>
      </c>
      <c r="E127" s="5">
        <f t="shared" si="1"/>
        <v>3957.3395701665063</v>
      </c>
      <c r="F127" s="5">
        <f t="shared" si="3"/>
        <v>4155.2065486748315</v>
      </c>
      <c r="G127" s="5">
        <f t="shared" si="4"/>
        <v>4362.9668761085732</v>
      </c>
      <c r="H127" s="5">
        <f t="shared" si="5"/>
        <v>4581.1152199140015</v>
      </c>
      <c r="I127" s="5">
        <f t="shared" si="6"/>
        <v>4810.1709809097019</v>
      </c>
      <c r="J127" s="5">
        <f t="shared" si="7"/>
        <v>5050.6795299551868</v>
      </c>
      <c r="K127" s="5">
        <f t="shared" si="8"/>
        <v>5303.2135064529484</v>
      </c>
      <c r="L127" s="5">
        <f t="shared" si="9"/>
        <v>5568.3741817755945</v>
      </c>
      <c r="M127" s="5">
        <f t="shared" si="10"/>
        <v>5846.7928908643753</v>
      </c>
      <c r="N127" s="5">
        <f t="shared" si="11"/>
        <v>6139.1325354075925</v>
      </c>
      <c r="O127" s="5">
        <f t="shared" si="12"/>
        <v>6446.0891621779729</v>
      </c>
      <c r="P127" s="5">
        <f t="shared" si="13"/>
        <v>6768.3936202868717</v>
      </c>
      <c r="Q127" s="5">
        <f t="shared" si="14"/>
        <v>7106.8133013012157</v>
      </c>
      <c r="R127" s="5">
        <f t="shared" si="15"/>
        <v>7462.1539663662752</v>
      </c>
      <c r="S127" s="5">
        <f t="shared" si="16"/>
        <v>7835.2616646845909</v>
      </c>
      <c r="T127" s="5">
        <f>$D127/(1+Initial_Interest_Rate)^($A127-T$106)</f>
        <v>8227.0247479188183</v>
      </c>
      <c r="U127" s="5">
        <f>$D127/(1+Initial_Interest_Rate)^($A127-U$106)</f>
        <v>8638.3759853147603</v>
      </c>
      <c r="V127" s="5">
        <f>$D127/(1+Initial_Interest_Rate)^($A127-V$106)</f>
        <v>9070.2947845804974</v>
      </c>
      <c r="W127" s="5">
        <f>$D127/(1+Initial_Interest_Rate)^($A127-W$106)</f>
        <v>9523.8095238095229</v>
      </c>
      <c r="X127" s="5">
        <f>$D127/(1+Initial_Interest_Rate)^($A127-X$106)</f>
        <v>10000</v>
      </c>
      <c r="Y127" s="5">
        <f>Face_Value</f>
        <v>10000</v>
      </c>
    </row>
    <row r="128" spans="1:25">
      <c r="E128" s="5">
        <f t="shared" ref="E128:Y128" si="17">SUM(E108:E127)</f>
        <v>10000</v>
      </c>
      <c r="F128" s="5">
        <f t="shared" si="17"/>
        <v>10000</v>
      </c>
      <c r="G128" s="5">
        <f t="shared" si="17"/>
        <v>10000</v>
      </c>
      <c r="H128" s="5">
        <f t="shared" si="17"/>
        <v>10000</v>
      </c>
      <c r="I128" s="5">
        <f t="shared" si="17"/>
        <v>10000</v>
      </c>
      <c r="J128" s="5">
        <f t="shared" si="17"/>
        <v>10000</v>
      </c>
      <c r="K128" s="5">
        <f t="shared" si="17"/>
        <v>10000</v>
      </c>
      <c r="L128" s="5">
        <f t="shared" si="17"/>
        <v>10000</v>
      </c>
      <c r="M128" s="5">
        <f t="shared" si="17"/>
        <v>10000</v>
      </c>
      <c r="N128" s="5">
        <f t="shared" si="17"/>
        <v>10000</v>
      </c>
      <c r="O128" s="5">
        <f t="shared" si="17"/>
        <v>10000</v>
      </c>
      <c r="P128" s="5">
        <f t="shared" si="17"/>
        <v>10000</v>
      </c>
      <c r="Q128" s="5">
        <f t="shared" si="17"/>
        <v>10000</v>
      </c>
      <c r="R128" s="5">
        <f t="shared" si="17"/>
        <v>10000</v>
      </c>
      <c r="S128" s="5">
        <f t="shared" si="17"/>
        <v>10000</v>
      </c>
      <c r="T128" s="5">
        <f t="shared" si="17"/>
        <v>9999.9999999999982</v>
      </c>
      <c r="U128" s="5">
        <f t="shared" si="17"/>
        <v>10000</v>
      </c>
      <c r="V128" s="5">
        <f t="shared" si="17"/>
        <v>9999.9999999999982</v>
      </c>
      <c r="W128" s="5">
        <f t="shared" si="17"/>
        <v>10000</v>
      </c>
      <c r="X128" s="5">
        <f t="shared" si="17"/>
        <v>10000</v>
      </c>
      <c r="Y128" s="5">
        <f t="shared" si="17"/>
        <v>10000</v>
      </c>
    </row>
    <row r="130" spans="1:25">
      <c r="A130" s="3" t="s">
        <v>11</v>
      </c>
      <c r="B130" s="3" t="s">
        <v>12</v>
      </c>
      <c r="C130" s="3" t="s">
        <v>13</v>
      </c>
      <c r="D130" s="3" t="s">
        <v>14</v>
      </c>
      <c r="E130" s="3">
        <v>0</v>
      </c>
      <c r="F130" s="3">
        <v>1</v>
      </c>
      <c r="G130" s="3">
        <v>2</v>
      </c>
      <c r="H130" s="3">
        <v>3</v>
      </c>
      <c r="I130" s="3">
        <v>4</v>
      </c>
      <c r="J130" s="3">
        <v>5</v>
      </c>
      <c r="K130" s="3">
        <v>6</v>
      </c>
      <c r="L130" s="3">
        <v>7</v>
      </c>
      <c r="M130" s="3">
        <v>8</v>
      </c>
      <c r="N130" s="3">
        <v>9</v>
      </c>
      <c r="O130" s="3">
        <v>10</v>
      </c>
      <c r="P130" s="3">
        <v>11</v>
      </c>
      <c r="Q130" s="3">
        <v>12</v>
      </c>
      <c r="R130" s="3">
        <v>13</v>
      </c>
      <c r="S130" s="3">
        <v>14</v>
      </c>
      <c r="T130" s="3">
        <v>15</v>
      </c>
      <c r="U130" s="3">
        <v>16</v>
      </c>
      <c r="V130" s="3">
        <v>17</v>
      </c>
      <c r="W130" s="3">
        <v>18</v>
      </c>
      <c r="X130" s="3">
        <v>19</v>
      </c>
      <c r="Y130" s="3">
        <v>20</v>
      </c>
    </row>
    <row r="131" spans="1:25">
      <c r="A131" s="3">
        <v>0</v>
      </c>
    </row>
    <row r="132" spans="1:25">
      <c r="A132" s="3">
        <v>1</v>
      </c>
      <c r="B132" s="1">
        <f t="shared" ref="B132:B151" si="18">Face_Value*Coupon_Rate</f>
        <v>500</v>
      </c>
      <c r="D132" s="4">
        <f>B132+C132</f>
        <v>500</v>
      </c>
      <c r="E132" s="5">
        <f t="shared" ref="E132:E151" si="19">$D132/(1+Initial_Interest_Rate)^($A132-E$106)</f>
        <v>476.19047619047615</v>
      </c>
    </row>
    <row r="133" spans="1:25">
      <c r="A133" s="3">
        <v>2</v>
      </c>
      <c r="B133" s="1">
        <f t="shared" si="18"/>
        <v>500</v>
      </c>
      <c r="D133" s="4">
        <f t="shared" ref="D133:D151" si="20">B133+C133</f>
        <v>500</v>
      </c>
      <c r="E133" s="5">
        <f t="shared" si="19"/>
        <v>453.51473922902494</v>
      </c>
      <c r="F133" s="5">
        <f t="shared" ref="F133:F151" si="21">$D133/(1+Initial_Interest_Rate)^($A133-F$106)</f>
        <v>476.19047619047615</v>
      </c>
    </row>
    <row r="134" spans="1:25">
      <c r="A134" s="3">
        <v>3</v>
      </c>
      <c r="B134" s="1">
        <f t="shared" si="18"/>
        <v>500</v>
      </c>
      <c r="D134" s="4">
        <f t="shared" si="20"/>
        <v>500</v>
      </c>
      <c r="E134" s="5">
        <f t="shared" si="19"/>
        <v>431.91879926573802</v>
      </c>
      <c r="F134" s="5">
        <f t="shared" si="21"/>
        <v>453.51473922902494</v>
      </c>
      <c r="G134" s="5">
        <f t="shared" ref="G134:G151" si="22">$D134/(1+Initial_Interest_Rate)^($A134-G$106)</f>
        <v>476.19047619047615</v>
      </c>
    </row>
    <row r="135" spans="1:25">
      <c r="A135" s="3">
        <v>4</v>
      </c>
      <c r="B135" s="1">
        <f t="shared" si="18"/>
        <v>500</v>
      </c>
      <c r="D135" s="4">
        <f t="shared" si="20"/>
        <v>500</v>
      </c>
      <c r="E135" s="5">
        <f t="shared" si="19"/>
        <v>411.35123739594098</v>
      </c>
      <c r="F135" s="5">
        <f t="shared" si="21"/>
        <v>431.91879926573802</v>
      </c>
      <c r="G135" s="5">
        <f t="shared" si="22"/>
        <v>453.51473922902494</v>
      </c>
      <c r="H135" s="5">
        <f t="shared" ref="H135:H151" si="23">$D135/(1+Initial_Interest_Rate)^($A135-H$106)</f>
        <v>476.19047619047615</v>
      </c>
    </row>
    <row r="136" spans="1:25">
      <c r="A136" s="3">
        <v>5</v>
      </c>
      <c r="B136" s="1">
        <f t="shared" si="18"/>
        <v>500</v>
      </c>
      <c r="D136" s="4">
        <f t="shared" si="20"/>
        <v>500</v>
      </c>
      <c r="E136" s="5">
        <f t="shared" si="19"/>
        <v>391.7630832342295</v>
      </c>
      <c r="F136" s="5">
        <f t="shared" si="21"/>
        <v>411.35123739594098</v>
      </c>
      <c r="G136" s="5">
        <f t="shared" si="22"/>
        <v>431.91879926573802</v>
      </c>
      <c r="H136" s="5">
        <f t="shared" si="23"/>
        <v>453.51473922902494</v>
      </c>
      <c r="I136" s="5">
        <f t="shared" ref="I136:I151" si="24">$D136/(1+Initial_Interest_Rate)^($A136-I$106)</f>
        <v>476.19047619047615</v>
      </c>
    </row>
    <row r="137" spans="1:25">
      <c r="A137" s="3">
        <v>6</v>
      </c>
      <c r="B137" s="1">
        <f t="shared" si="18"/>
        <v>500</v>
      </c>
      <c r="D137" s="4">
        <f t="shared" si="20"/>
        <v>500</v>
      </c>
      <c r="E137" s="5">
        <f t="shared" si="19"/>
        <v>373.10769831831385</v>
      </c>
      <c r="F137" s="5">
        <f t="shared" si="21"/>
        <v>391.7630832342295</v>
      </c>
      <c r="G137" s="5">
        <f t="shared" si="22"/>
        <v>411.35123739594098</v>
      </c>
      <c r="H137" s="5">
        <f t="shared" si="23"/>
        <v>431.91879926573802</v>
      </c>
      <c r="I137" s="5">
        <f t="shared" si="24"/>
        <v>453.51473922902494</v>
      </c>
      <c r="J137" s="5">
        <f t="shared" ref="J137:J151" si="25">$D137/(1+Initial_Interest_Rate)^($A137-J$106)</f>
        <v>476.19047619047615</v>
      </c>
    </row>
    <row r="138" spans="1:25">
      <c r="A138" s="3">
        <v>7</v>
      </c>
      <c r="B138" s="1">
        <f t="shared" si="18"/>
        <v>500</v>
      </c>
      <c r="D138" s="4">
        <f t="shared" si="20"/>
        <v>500</v>
      </c>
      <c r="E138" s="5">
        <f t="shared" si="19"/>
        <v>355.3406650650607</v>
      </c>
      <c r="F138" s="5">
        <f t="shared" si="21"/>
        <v>373.10769831831385</v>
      </c>
      <c r="G138" s="5">
        <f t="shared" si="22"/>
        <v>391.7630832342295</v>
      </c>
      <c r="H138" s="5">
        <f t="shared" si="23"/>
        <v>411.35123739594098</v>
      </c>
      <c r="I138" s="5">
        <f t="shared" si="24"/>
        <v>431.91879926573802</v>
      </c>
      <c r="J138" s="5">
        <f t="shared" si="25"/>
        <v>453.51473922902494</v>
      </c>
      <c r="K138" s="5">
        <f t="shared" ref="K138:K151" si="26">$D138/(1+Initial_Interest_Rate)^($A138-K$106)</f>
        <v>476.19047619047615</v>
      </c>
    </row>
    <row r="139" spans="1:25">
      <c r="A139" s="3">
        <v>8</v>
      </c>
      <c r="B139" s="1">
        <f t="shared" si="18"/>
        <v>500</v>
      </c>
      <c r="D139" s="4">
        <f t="shared" si="20"/>
        <v>500</v>
      </c>
      <c r="E139" s="5">
        <f t="shared" si="19"/>
        <v>338.41968101434361</v>
      </c>
      <c r="F139" s="5">
        <f t="shared" si="21"/>
        <v>355.3406650650607</v>
      </c>
      <c r="G139" s="5">
        <f t="shared" si="22"/>
        <v>373.10769831831385</v>
      </c>
      <c r="H139" s="5">
        <f t="shared" si="23"/>
        <v>391.7630832342295</v>
      </c>
      <c r="I139" s="5">
        <f t="shared" si="24"/>
        <v>411.35123739594098</v>
      </c>
      <c r="J139" s="5">
        <f t="shared" si="25"/>
        <v>431.91879926573802</v>
      </c>
      <c r="K139" s="5">
        <f t="shared" si="26"/>
        <v>453.51473922902494</v>
      </c>
      <c r="L139" s="5">
        <f t="shared" ref="L139:L151" si="27">$D139/(1+New_Interest_Rate)^($A139-L$106)</f>
        <v>454.5454545454545</v>
      </c>
    </row>
    <row r="140" spans="1:25">
      <c r="A140" s="3">
        <v>9</v>
      </c>
      <c r="B140" s="1">
        <f t="shared" si="18"/>
        <v>500</v>
      </c>
      <c r="D140" s="4">
        <f t="shared" si="20"/>
        <v>500</v>
      </c>
      <c r="E140" s="5">
        <f t="shared" si="19"/>
        <v>322.30445810889864</v>
      </c>
      <c r="F140" s="5">
        <f t="shared" si="21"/>
        <v>338.41968101434361</v>
      </c>
      <c r="G140" s="5">
        <f t="shared" si="22"/>
        <v>355.3406650650607</v>
      </c>
      <c r="H140" s="5">
        <f t="shared" si="23"/>
        <v>373.10769831831385</v>
      </c>
      <c r="I140" s="5">
        <f t="shared" si="24"/>
        <v>391.7630832342295</v>
      </c>
      <c r="J140" s="5">
        <f t="shared" si="25"/>
        <v>411.35123739594098</v>
      </c>
      <c r="K140" s="5">
        <f t="shared" si="26"/>
        <v>431.91879926573802</v>
      </c>
      <c r="L140" s="5">
        <f t="shared" si="27"/>
        <v>413.22314049586771</v>
      </c>
      <c r="M140" s="5">
        <f t="shared" ref="M140:M151" si="28">$D140/(1+New_Interest_Rate)^($A140-M$106)</f>
        <v>454.5454545454545</v>
      </c>
    </row>
    <row r="141" spans="1:25">
      <c r="A141" s="3">
        <v>10</v>
      </c>
      <c r="B141" s="1">
        <f t="shared" si="18"/>
        <v>500</v>
      </c>
      <c r="D141" s="4">
        <f t="shared" si="20"/>
        <v>500</v>
      </c>
      <c r="E141" s="5">
        <f t="shared" si="19"/>
        <v>306.95662677037967</v>
      </c>
      <c r="F141" s="5">
        <f t="shared" si="21"/>
        <v>322.30445810889864</v>
      </c>
      <c r="G141" s="5">
        <f t="shared" si="22"/>
        <v>338.41968101434361</v>
      </c>
      <c r="H141" s="5">
        <f t="shared" si="23"/>
        <v>355.3406650650607</v>
      </c>
      <c r="I141" s="5">
        <f t="shared" si="24"/>
        <v>373.10769831831385</v>
      </c>
      <c r="J141" s="5">
        <f t="shared" si="25"/>
        <v>391.7630832342295</v>
      </c>
      <c r="K141" s="5">
        <f t="shared" si="26"/>
        <v>411.35123739594098</v>
      </c>
      <c r="L141" s="5">
        <f t="shared" si="27"/>
        <v>375.65740045078877</v>
      </c>
      <c r="M141" s="5">
        <f t="shared" si="28"/>
        <v>413.22314049586771</v>
      </c>
      <c r="N141" s="5">
        <f t="shared" ref="N141:N151" si="29">$D141/(1+New_Interest_Rate)^($A141-N$106)</f>
        <v>454.5454545454545</v>
      </c>
    </row>
    <row r="142" spans="1:25">
      <c r="A142" s="3">
        <v>11</v>
      </c>
      <c r="B142" s="1">
        <f t="shared" si="18"/>
        <v>500</v>
      </c>
      <c r="D142" s="4">
        <f t="shared" si="20"/>
        <v>500</v>
      </c>
      <c r="E142" s="5">
        <f t="shared" si="19"/>
        <v>292.3396445432187</v>
      </c>
      <c r="F142" s="5">
        <f t="shared" si="21"/>
        <v>306.95662677037967</v>
      </c>
      <c r="G142" s="5">
        <f t="shared" si="22"/>
        <v>322.30445810889864</v>
      </c>
      <c r="H142" s="5">
        <f t="shared" si="23"/>
        <v>338.41968101434361</v>
      </c>
      <c r="I142" s="5">
        <f t="shared" si="24"/>
        <v>355.3406650650607</v>
      </c>
      <c r="J142" s="5">
        <f t="shared" si="25"/>
        <v>373.10769831831385</v>
      </c>
      <c r="K142" s="5">
        <f t="shared" si="26"/>
        <v>391.7630832342295</v>
      </c>
      <c r="L142" s="5">
        <f t="shared" si="27"/>
        <v>341.50672768253526</v>
      </c>
      <c r="M142" s="5">
        <f t="shared" si="28"/>
        <v>375.65740045078877</v>
      </c>
      <c r="N142" s="5">
        <f t="shared" si="29"/>
        <v>413.22314049586771</v>
      </c>
      <c r="O142" s="5">
        <f t="shared" ref="O142:O151" si="30">$D142/(1+New_Interest_Rate)^($A142-O$106)</f>
        <v>454.5454545454545</v>
      </c>
    </row>
    <row r="143" spans="1:25">
      <c r="A143" s="3">
        <v>12</v>
      </c>
      <c r="B143" s="1">
        <f t="shared" si="18"/>
        <v>500</v>
      </c>
      <c r="D143" s="4">
        <f t="shared" si="20"/>
        <v>500</v>
      </c>
      <c r="E143" s="5">
        <f t="shared" si="19"/>
        <v>278.41870908877974</v>
      </c>
      <c r="F143" s="5">
        <f t="shared" si="21"/>
        <v>292.3396445432187</v>
      </c>
      <c r="G143" s="5">
        <f t="shared" si="22"/>
        <v>306.95662677037967</v>
      </c>
      <c r="H143" s="5">
        <f t="shared" si="23"/>
        <v>322.30445810889864</v>
      </c>
      <c r="I143" s="5">
        <f t="shared" si="24"/>
        <v>338.41968101434361</v>
      </c>
      <c r="J143" s="5">
        <f t="shared" si="25"/>
        <v>355.3406650650607</v>
      </c>
      <c r="K143" s="5">
        <f t="shared" si="26"/>
        <v>373.10769831831385</v>
      </c>
      <c r="L143" s="5">
        <f t="shared" si="27"/>
        <v>310.46066152957746</v>
      </c>
      <c r="M143" s="5">
        <f t="shared" si="28"/>
        <v>341.50672768253526</v>
      </c>
      <c r="N143" s="5">
        <f t="shared" si="29"/>
        <v>375.65740045078877</v>
      </c>
      <c r="O143" s="5">
        <f t="shared" si="30"/>
        <v>413.22314049586771</v>
      </c>
      <c r="P143" s="5">
        <f t="shared" ref="P143:P151" si="31">$D143/(1+New_Interest_Rate)^($A143-P$106)</f>
        <v>454.5454545454545</v>
      </c>
    </row>
    <row r="144" spans="1:25">
      <c r="A144" s="3">
        <v>13</v>
      </c>
      <c r="B144" s="1">
        <f t="shared" si="18"/>
        <v>500</v>
      </c>
      <c r="D144" s="4">
        <f t="shared" si="20"/>
        <v>500</v>
      </c>
      <c r="E144" s="5">
        <f t="shared" si="19"/>
        <v>265.16067532264736</v>
      </c>
      <c r="F144" s="5">
        <f t="shared" si="21"/>
        <v>278.41870908877974</v>
      </c>
      <c r="G144" s="5">
        <f t="shared" si="22"/>
        <v>292.3396445432187</v>
      </c>
      <c r="H144" s="5">
        <f t="shared" si="23"/>
        <v>306.95662677037967</v>
      </c>
      <c r="I144" s="5">
        <f t="shared" si="24"/>
        <v>322.30445810889864</v>
      </c>
      <c r="J144" s="5">
        <f t="shared" si="25"/>
        <v>338.41968101434361</v>
      </c>
      <c r="K144" s="5">
        <f t="shared" si="26"/>
        <v>355.3406650650607</v>
      </c>
      <c r="L144" s="5">
        <f t="shared" si="27"/>
        <v>282.23696502688858</v>
      </c>
      <c r="M144" s="5">
        <f t="shared" si="28"/>
        <v>310.46066152957746</v>
      </c>
      <c r="N144" s="5">
        <f t="shared" si="29"/>
        <v>341.50672768253526</v>
      </c>
      <c r="O144" s="5">
        <f t="shared" si="30"/>
        <v>375.65740045078877</v>
      </c>
      <c r="P144" s="5">
        <f t="shared" si="31"/>
        <v>413.22314049586771</v>
      </c>
      <c r="Q144" s="5">
        <f t="shared" ref="Q144:Q151" si="32">$D144/(1+New_Interest_Rate)^($A144-Q$106)</f>
        <v>454.5454545454545</v>
      </c>
    </row>
    <row r="145" spans="1:25">
      <c r="A145" s="3">
        <v>14</v>
      </c>
      <c r="B145" s="1">
        <f t="shared" si="18"/>
        <v>500</v>
      </c>
      <c r="D145" s="4">
        <f t="shared" si="20"/>
        <v>500</v>
      </c>
      <c r="E145" s="5">
        <f t="shared" si="19"/>
        <v>252.53397649775943</v>
      </c>
      <c r="F145" s="5">
        <f t="shared" si="21"/>
        <v>265.16067532264736</v>
      </c>
      <c r="G145" s="5">
        <f t="shared" si="22"/>
        <v>278.41870908877974</v>
      </c>
      <c r="H145" s="5">
        <f t="shared" si="23"/>
        <v>292.3396445432187</v>
      </c>
      <c r="I145" s="5">
        <f t="shared" si="24"/>
        <v>306.95662677037967</v>
      </c>
      <c r="J145" s="5">
        <f t="shared" si="25"/>
        <v>322.30445810889864</v>
      </c>
      <c r="K145" s="5">
        <f t="shared" si="26"/>
        <v>338.41968101434361</v>
      </c>
      <c r="L145" s="5">
        <f t="shared" si="27"/>
        <v>256.57905911535323</v>
      </c>
      <c r="M145" s="5">
        <f t="shared" si="28"/>
        <v>282.23696502688858</v>
      </c>
      <c r="N145" s="5">
        <f t="shared" si="29"/>
        <v>310.46066152957746</v>
      </c>
      <c r="O145" s="5">
        <f t="shared" si="30"/>
        <v>341.50672768253526</v>
      </c>
      <c r="P145" s="5">
        <f t="shared" si="31"/>
        <v>375.65740045078877</v>
      </c>
      <c r="Q145" s="5">
        <f t="shared" si="32"/>
        <v>413.22314049586771</v>
      </c>
      <c r="R145" s="5">
        <f t="shared" ref="R145:R151" si="33">$D145/(1+New_Interest_Rate)^($A145-R$106)</f>
        <v>454.5454545454545</v>
      </c>
    </row>
    <row r="146" spans="1:25">
      <c r="A146" s="3">
        <v>15</v>
      </c>
      <c r="B146" s="1">
        <f t="shared" si="18"/>
        <v>500</v>
      </c>
      <c r="D146" s="4">
        <f t="shared" si="20"/>
        <v>500</v>
      </c>
      <c r="E146" s="5">
        <f t="shared" si="19"/>
        <v>240.5085490454851</v>
      </c>
      <c r="F146" s="5">
        <f t="shared" si="21"/>
        <v>252.53397649775943</v>
      </c>
      <c r="G146" s="5">
        <f t="shared" si="22"/>
        <v>265.16067532264736</v>
      </c>
      <c r="H146" s="5">
        <f t="shared" si="23"/>
        <v>278.41870908877974</v>
      </c>
      <c r="I146" s="5">
        <f t="shared" si="24"/>
        <v>292.3396445432187</v>
      </c>
      <c r="J146" s="5">
        <f t="shared" si="25"/>
        <v>306.95662677037967</v>
      </c>
      <c r="K146" s="5">
        <f t="shared" si="26"/>
        <v>322.30445810889864</v>
      </c>
      <c r="L146" s="5">
        <f t="shared" si="27"/>
        <v>233.25369010486659</v>
      </c>
      <c r="M146" s="5">
        <f t="shared" si="28"/>
        <v>256.57905911535323</v>
      </c>
      <c r="N146" s="5">
        <f t="shared" si="29"/>
        <v>282.23696502688858</v>
      </c>
      <c r="O146" s="5">
        <f t="shared" si="30"/>
        <v>310.46066152957746</v>
      </c>
      <c r="P146" s="5">
        <f t="shared" si="31"/>
        <v>341.50672768253526</v>
      </c>
      <c r="Q146" s="5">
        <f t="shared" si="32"/>
        <v>375.65740045078877</v>
      </c>
      <c r="R146" s="5">
        <f t="shared" si="33"/>
        <v>413.22314049586771</v>
      </c>
      <c r="S146" s="5">
        <f t="shared" ref="S146:S151" si="34">$D146/(1+New_Interest_Rate)^($A146-S$106)</f>
        <v>454.5454545454545</v>
      </c>
    </row>
    <row r="147" spans="1:25">
      <c r="A147" s="3">
        <v>16</v>
      </c>
      <c r="B147" s="1">
        <f t="shared" si="18"/>
        <v>500</v>
      </c>
      <c r="D147" s="4">
        <f t="shared" si="20"/>
        <v>500</v>
      </c>
      <c r="E147" s="5">
        <f t="shared" si="19"/>
        <v>229.0557609957001</v>
      </c>
      <c r="F147" s="5">
        <f t="shared" si="21"/>
        <v>240.5085490454851</v>
      </c>
      <c r="G147" s="5">
        <f t="shared" si="22"/>
        <v>252.53397649775943</v>
      </c>
      <c r="H147" s="5">
        <f t="shared" si="23"/>
        <v>265.16067532264736</v>
      </c>
      <c r="I147" s="5">
        <f t="shared" si="24"/>
        <v>278.41870908877974</v>
      </c>
      <c r="J147" s="5">
        <f t="shared" si="25"/>
        <v>292.3396445432187</v>
      </c>
      <c r="K147" s="5">
        <f t="shared" si="26"/>
        <v>306.95662677037967</v>
      </c>
      <c r="L147" s="5">
        <f t="shared" si="27"/>
        <v>212.04880918624232</v>
      </c>
      <c r="M147" s="5">
        <f t="shared" si="28"/>
        <v>233.25369010486659</v>
      </c>
      <c r="N147" s="5">
        <f t="shared" si="29"/>
        <v>256.57905911535323</v>
      </c>
      <c r="O147" s="5">
        <f t="shared" si="30"/>
        <v>282.23696502688858</v>
      </c>
      <c r="P147" s="5">
        <f t="shared" si="31"/>
        <v>310.46066152957746</v>
      </c>
      <c r="Q147" s="5">
        <f t="shared" si="32"/>
        <v>341.50672768253526</v>
      </c>
      <c r="R147" s="5">
        <f t="shared" si="33"/>
        <v>375.65740045078877</v>
      </c>
      <c r="S147" s="5">
        <f t="shared" si="34"/>
        <v>413.22314049586771</v>
      </c>
      <c r="T147" s="5">
        <f>$D147/(1+New_Interest_Rate)^($A147-T$106)</f>
        <v>454.5454545454545</v>
      </c>
    </row>
    <row r="148" spans="1:25">
      <c r="A148" s="3">
        <v>17</v>
      </c>
      <c r="B148" s="1">
        <f t="shared" si="18"/>
        <v>500</v>
      </c>
      <c r="D148" s="4">
        <f t="shared" si="20"/>
        <v>500</v>
      </c>
      <c r="E148" s="5">
        <f t="shared" si="19"/>
        <v>218.14834380542865</v>
      </c>
      <c r="F148" s="5">
        <f t="shared" si="21"/>
        <v>229.0557609957001</v>
      </c>
      <c r="G148" s="5">
        <f t="shared" si="22"/>
        <v>240.5085490454851</v>
      </c>
      <c r="H148" s="5">
        <f t="shared" si="23"/>
        <v>252.53397649775943</v>
      </c>
      <c r="I148" s="5">
        <f t="shared" si="24"/>
        <v>265.16067532264736</v>
      </c>
      <c r="J148" s="5">
        <f t="shared" si="25"/>
        <v>278.41870908877974</v>
      </c>
      <c r="K148" s="5">
        <f t="shared" si="26"/>
        <v>292.3396445432187</v>
      </c>
      <c r="L148" s="5">
        <f t="shared" si="27"/>
        <v>192.77164471476573</v>
      </c>
      <c r="M148" s="5">
        <f t="shared" si="28"/>
        <v>212.04880918624232</v>
      </c>
      <c r="N148" s="5">
        <f t="shared" si="29"/>
        <v>233.25369010486659</v>
      </c>
      <c r="O148" s="5">
        <f t="shared" si="30"/>
        <v>256.57905911535323</v>
      </c>
      <c r="P148" s="5">
        <f t="shared" si="31"/>
        <v>282.23696502688858</v>
      </c>
      <c r="Q148" s="5">
        <f t="shared" si="32"/>
        <v>310.46066152957746</v>
      </c>
      <c r="R148" s="5">
        <f t="shared" si="33"/>
        <v>341.50672768253526</v>
      </c>
      <c r="S148" s="5">
        <f t="shared" si="34"/>
        <v>375.65740045078877</v>
      </c>
      <c r="T148" s="5">
        <f>$D148/(1+New_Interest_Rate)^($A148-T$106)</f>
        <v>413.22314049586771</v>
      </c>
      <c r="U148" s="5">
        <f>$D148/(1+New_Interest_Rate)^($A148-U$106)</f>
        <v>454.5454545454545</v>
      </c>
    </row>
    <row r="149" spans="1:25">
      <c r="A149" s="3">
        <v>18</v>
      </c>
      <c r="B149" s="1">
        <f t="shared" si="18"/>
        <v>500</v>
      </c>
      <c r="D149" s="4">
        <f t="shared" si="20"/>
        <v>500</v>
      </c>
      <c r="E149" s="5">
        <f t="shared" si="19"/>
        <v>207.76032743374157</v>
      </c>
      <c r="F149" s="5">
        <f t="shared" si="21"/>
        <v>218.14834380542865</v>
      </c>
      <c r="G149" s="5">
        <f t="shared" si="22"/>
        <v>229.0557609957001</v>
      </c>
      <c r="H149" s="5">
        <f t="shared" si="23"/>
        <v>240.5085490454851</v>
      </c>
      <c r="I149" s="5">
        <f t="shared" si="24"/>
        <v>252.53397649775943</v>
      </c>
      <c r="J149" s="5">
        <f t="shared" si="25"/>
        <v>265.16067532264736</v>
      </c>
      <c r="K149" s="5">
        <f t="shared" si="26"/>
        <v>278.41870908877974</v>
      </c>
      <c r="L149" s="5">
        <f t="shared" si="27"/>
        <v>175.2469497406961</v>
      </c>
      <c r="M149" s="5">
        <f t="shared" si="28"/>
        <v>192.77164471476573</v>
      </c>
      <c r="N149" s="5">
        <f t="shared" si="29"/>
        <v>212.04880918624232</v>
      </c>
      <c r="O149" s="5">
        <f t="shared" si="30"/>
        <v>233.25369010486659</v>
      </c>
      <c r="P149" s="5">
        <f t="shared" si="31"/>
        <v>256.57905911535323</v>
      </c>
      <c r="Q149" s="5">
        <f t="shared" si="32"/>
        <v>282.23696502688858</v>
      </c>
      <c r="R149" s="5">
        <f t="shared" si="33"/>
        <v>310.46066152957746</v>
      </c>
      <c r="S149" s="5">
        <f t="shared" si="34"/>
        <v>341.50672768253526</v>
      </c>
      <c r="T149" s="5">
        <f>$D149/(1+New_Interest_Rate)^($A149-T$106)</f>
        <v>375.65740045078877</v>
      </c>
      <c r="U149" s="5">
        <f>$D149/(1+New_Interest_Rate)^($A149-U$106)</f>
        <v>413.22314049586771</v>
      </c>
      <c r="V149" s="5">
        <f>$D149/(1+New_Interest_Rate)^($A149-V$106)</f>
        <v>454.5454545454545</v>
      </c>
    </row>
    <row r="150" spans="1:25">
      <c r="A150" s="3">
        <v>19</v>
      </c>
      <c r="B150" s="1">
        <f t="shared" si="18"/>
        <v>500</v>
      </c>
      <c r="D150" s="4">
        <f t="shared" si="20"/>
        <v>500</v>
      </c>
      <c r="E150" s="5">
        <f t="shared" si="19"/>
        <v>197.8669785083253</v>
      </c>
      <c r="F150" s="5">
        <f t="shared" si="21"/>
        <v>207.76032743374157</v>
      </c>
      <c r="G150" s="5">
        <f t="shared" si="22"/>
        <v>218.14834380542865</v>
      </c>
      <c r="H150" s="5">
        <f t="shared" si="23"/>
        <v>229.0557609957001</v>
      </c>
      <c r="I150" s="5">
        <f t="shared" si="24"/>
        <v>240.5085490454851</v>
      </c>
      <c r="J150" s="5">
        <f t="shared" si="25"/>
        <v>252.53397649775943</v>
      </c>
      <c r="K150" s="5">
        <f t="shared" si="26"/>
        <v>265.16067532264736</v>
      </c>
      <c r="L150" s="5">
        <f t="shared" si="27"/>
        <v>159.31540885517828</v>
      </c>
      <c r="M150" s="5">
        <f t="shared" si="28"/>
        <v>175.2469497406961</v>
      </c>
      <c r="N150" s="5">
        <f t="shared" si="29"/>
        <v>192.77164471476573</v>
      </c>
      <c r="O150" s="5">
        <f t="shared" si="30"/>
        <v>212.04880918624232</v>
      </c>
      <c r="P150" s="5">
        <f t="shared" si="31"/>
        <v>233.25369010486659</v>
      </c>
      <c r="Q150" s="5">
        <f t="shared" si="32"/>
        <v>256.57905911535323</v>
      </c>
      <c r="R150" s="5">
        <f t="shared" si="33"/>
        <v>282.23696502688858</v>
      </c>
      <c r="S150" s="5">
        <f t="shared" si="34"/>
        <v>310.46066152957746</v>
      </c>
      <c r="T150" s="5">
        <f>$D150/(1+New_Interest_Rate)^($A150-T$106)</f>
        <v>341.50672768253526</v>
      </c>
      <c r="U150" s="5">
        <f>$D150/(1+New_Interest_Rate)^($A150-U$106)</f>
        <v>375.65740045078877</v>
      </c>
      <c r="V150" s="5">
        <f>$D150/(1+New_Interest_Rate)^($A150-V$106)</f>
        <v>413.22314049586771</v>
      </c>
      <c r="W150" s="5">
        <f>$D150/(1+New_Interest_Rate)^($A150-W$106)</f>
        <v>454.5454545454545</v>
      </c>
    </row>
    <row r="151" spans="1:25">
      <c r="A151" s="3">
        <v>20</v>
      </c>
      <c r="B151" s="1">
        <f t="shared" si="18"/>
        <v>500</v>
      </c>
      <c r="C151" s="1">
        <f>Face_Value</f>
        <v>10000</v>
      </c>
      <c r="D151" s="4">
        <f t="shared" si="20"/>
        <v>10500</v>
      </c>
      <c r="E151" s="5">
        <f t="shared" si="19"/>
        <v>3957.3395701665063</v>
      </c>
      <c r="F151" s="5">
        <f t="shared" si="21"/>
        <v>4155.2065486748315</v>
      </c>
      <c r="G151" s="5">
        <f t="shared" si="22"/>
        <v>4362.9668761085732</v>
      </c>
      <c r="H151" s="5">
        <f t="shared" si="23"/>
        <v>4581.1152199140015</v>
      </c>
      <c r="I151" s="5">
        <f t="shared" si="24"/>
        <v>4810.1709809097019</v>
      </c>
      <c r="J151" s="5">
        <f t="shared" si="25"/>
        <v>5050.6795299551868</v>
      </c>
      <c r="K151" s="5">
        <f t="shared" si="26"/>
        <v>5303.2135064529484</v>
      </c>
      <c r="L151" s="5">
        <f t="shared" si="27"/>
        <v>3041.4759872352215</v>
      </c>
      <c r="M151" s="5">
        <f t="shared" si="28"/>
        <v>3345.6235859587437</v>
      </c>
      <c r="N151" s="5">
        <f t="shared" si="29"/>
        <v>3680.1859445546179</v>
      </c>
      <c r="O151" s="5">
        <f t="shared" si="30"/>
        <v>4048.2045390100802</v>
      </c>
      <c r="P151" s="5">
        <f t="shared" si="31"/>
        <v>4453.0249929110887</v>
      </c>
      <c r="Q151" s="5">
        <f t="shared" si="32"/>
        <v>4898.3274922021983</v>
      </c>
      <c r="R151" s="5">
        <f t="shared" si="33"/>
        <v>5388.160241422418</v>
      </c>
      <c r="S151" s="5">
        <f t="shared" si="34"/>
        <v>5926.97626556466</v>
      </c>
      <c r="T151" s="5">
        <f>$D151/(1+New_Interest_Rate)^($A151-T$106)</f>
        <v>6519.6738921211272</v>
      </c>
      <c r="U151" s="5">
        <f>$D151/(1+New_Interest_Rate)^($A151-U$106)</f>
        <v>7171.6412813332399</v>
      </c>
      <c r="V151" s="5">
        <f>$D151/(1+New_Interest_Rate)^($A151-V$106)</f>
        <v>7888.805409466564</v>
      </c>
      <c r="W151" s="5">
        <f>$D151/(1+New_Interest_Rate)^($A151-W$106)</f>
        <v>8677.6859504132226</v>
      </c>
      <c r="X151" s="5">
        <f>$D151/(1+New_Interest_Rate)^($A151-X$106)</f>
        <v>9545.4545454545441</v>
      </c>
      <c r="Y151" s="5">
        <f>Face_Value</f>
        <v>10000</v>
      </c>
    </row>
    <row r="152" spans="1:25">
      <c r="E152" s="5">
        <f t="shared" ref="E152:Y152" si="35">SUM(E132:E151)</f>
        <v>10000</v>
      </c>
      <c r="F152" s="5">
        <f t="shared" si="35"/>
        <v>10000</v>
      </c>
      <c r="G152" s="5">
        <f t="shared" si="35"/>
        <v>10000</v>
      </c>
      <c r="H152" s="5">
        <f t="shared" si="35"/>
        <v>10000</v>
      </c>
      <c r="I152" s="5">
        <f t="shared" si="35"/>
        <v>10000</v>
      </c>
      <c r="J152" s="5">
        <f t="shared" si="35"/>
        <v>10000</v>
      </c>
      <c r="K152" s="5">
        <f t="shared" si="35"/>
        <v>10000</v>
      </c>
      <c r="L152" s="5">
        <f t="shared" si="35"/>
        <v>6448.3218986834363</v>
      </c>
      <c r="M152" s="5">
        <f t="shared" si="35"/>
        <v>6593.1540885517798</v>
      </c>
      <c r="N152" s="5">
        <f t="shared" si="35"/>
        <v>6752.469497406958</v>
      </c>
      <c r="O152" s="5">
        <f t="shared" si="35"/>
        <v>6927.7164471476544</v>
      </c>
      <c r="P152" s="5">
        <f t="shared" si="35"/>
        <v>7120.4880918624203</v>
      </c>
      <c r="Q152" s="5">
        <f t="shared" si="35"/>
        <v>7332.5369010486638</v>
      </c>
      <c r="R152" s="5">
        <f t="shared" si="35"/>
        <v>7565.7905911535308</v>
      </c>
      <c r="S152" s="5">
        <f t="shared" si="35"/>
        <v>7822.3696502688836</v>
      </c>
      <c r="T152" s="5">
        <f t="shared" si="35"/>
        <v>8104.6066152957737</v>
      </c>
      <c r="U152" s="5">
        <f t="shared" si="35"/>
        <v>8415.0672768253517</v>
      </c>
      <c r="V152" s="5">
        <f t="shared" si="35"/>
        <v>8756.5740045078855</v>
      </c>
      <c r="W152" s="5">
        <f t="shared" si="35"/>
        <v>9132.2314049586766</v>
      </c>
      <c r="X152" s="5">
        <f t="shared" si="35"/>
        <v>9545.4545454545441</v>
      </c>
      <c r="Y152" s="5">
        <f t="shared" si="35"/>
        <v>10000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Scroll Bar 1">
              <controlPr defaultSize="0" autoPict="0">
                <anchor moveWithCells="1">
                  <from>
                    <xdr:col>2</xdr:col>
                    <xdr:colOff>38100</xdr:colOff>
                    <xdr:row>35</xdr:row>
                    <xdr:rowOff>0</xdr:rowOff>
                  </from>
                  <to>
                    <xdr:col>6</xdr:col>
                    <xdr:colOff>464820</xdr:colOff>
                    <xdr:row>38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Scroll Bar 2">
              <controlPr defaultSize="0" autoPict="0">
                <anchor moveWithCells="1">
                  <from>
                    <xdr:col>2</xdr:col>
                    <xdr:colOff>45720</xdr:colOff>
                    <xdr:row>40</xdr:row>
                    <xdr:rowOff>160020</xdr:rowOff>
                  </from>
                  <to>
                    <xdr:col>6</xdr:col>
                    <xdr:colOff>411480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Check Box 3">
              <controlPr defaultSize="0" autoFill="0" autoLine="0" autoPict="0">
                <anchor moveWithCells="1">
                  <from>
                    <xdr:col>8</xdr:col>
                    <xdr:colOff>190500</xdr:colOff>
                    <xdr:row>7</xdr:row>
                    <xdr:rowOff>160020</xdr:rowOff>
                  </from>
                  <to>
                    <xdr:col>8</xdr:col>
                    <xdr:colOff>1287780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6" name="Check Box 4">
              <controlPr defaultSize="0" autoFill="0" autoLine="0" autoPict="0">
                <anchor moveWithCells="1">
                  <from>
                    <xdr:col>8</xdr:col>
                    <xdr:colOff>167640</xdr:colOff>
                    <xdr:row>16</xdr:row>
                    <xdr:rowOff>160020</xdr:rowOff>
                  </from>
                  <to>
                    <xdr:col>8</xdr:col>
                    <xdr:colOff>1257300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7" name="Check Box 5">
              <controlPr defaultSize="0" autoFill="0" autoLine="0" autoPict="0">
                <anchor moveWithCells="1">
                  <from>
                    <xdr:col>8</xdr:col>
                    <xdr:colOff>220980</xdr:colOff>
                    <xdr:row>25</xdr:row>
                    <xdr:rowOff>175260</xdr:rowOff>
                  </from>
                  <to>
                    <xdr:col>8</xdr:col>
                    <xdr:colOff>1291590</xdr:colOff>
                    <xdr:row>27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8" name="Check Box 6">
              <controlPr defaultSize="0" autoFill="0" autoLine="0" autoPict="0">
                <anchor moveWithCells="1">
                  <from>
                    <xdr:col>8</xdr:col>
                    <xdr:colOff>236220</xdr:colOff>
                    <xdr:row>34</xdr:row>
                    <xdr:rowOff>167640</xdr:rowOff>
                  </from>
                  <to>
                    <xdr:col>9</xdr:col>
                    <xdr:colOff>1905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9" name="Check Box 7">
              <controlPr defaultSize="0" autoFill="0" autoLine="0" autoPict="0">
                <anchor moveWithCells="1">
                  <from>
                    <xdr:col>8</xdr:col>
                    <xdr:colOff>243840</xdr:colOff>
                    <xdr:row>43</xdr:row>
                    <xdr:rowOff>175260</xdr:rowOff>
                  </from>
                  <to>
                    <xdr:col>9</xdr:col>
                    <xdr:colOff>0</xdr:colOff>
                    <xdr:row>45</xdr:row>
                    <xdr:rowOff>7620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D4DA6386-B20F-4FE6-9954-9301B46F4547}">
            <xm:f>AND($I$9,I14&lt;&gt;CIR!I14)</xm:f>
            <x14:dxf>
              <fill>
                <patternFill>
                  <bgColor rgb="FFFFFF00"/>
                </patternFill>
              </fill>
            </x14:dxf>
          </x14:cfRule>
          <xm:sqref>I14:I17</xm:sqref>
        </x14:conditionalFormatting>
        <x14:conditionalFormatting xmlns:xm="http://schemas.microsoft.com/office/excel/2006/main">
          <x14:cfRule type="expression" priority="4" id="{26530B07-0551-4548-B79B-C2E8309322A7}">
            <xm:f>AND($I$18,I23&lt;&gt;CIR!I23)</xm:f>
            <x14:dxf>
              <fill>
                <patternFill>
                  <bgColor rgb="FFFFFF00"/>
                </patternFill>
              </fill>
            </x14:dxf>
          </x14:cfRule>
          <xm:sqref>I23:I26</xm:sqref>
        </x14:conditionalFormatting>
        <x14:conditionalFormatting xmlns:xm="http://schemas.microsoft.com/office/excel/2006/main">
          <x14:cfRule type="expression" priority="3" id="{06E4D3F9-0AE5-4098-B48A-4610F6C6C5C0}">
            <xm:f>AND($I$27,I32&lt;&gt;CIR!I32)</xm:f>
            <x14:dxf>
              <fill>
                <patternFill>
                  <bgColor rgb="FFFFFF00"/>
                </patternFill>
              </fill>
            </x14:dxf>
          </x14:cfRule>
          <xm:sqref>I32:I35</xm:sqref>
        </x14:conditionalFormatting>
        <x14:conditionalFormatting xmlns:xm="http://schemas.microsoft.com/office/excel/2006/main">
          <x14:cfRule type="expression" priority="2" id="{5A44B7F6-E61A-4DE8-8418-1B7CE5BA3DDF}">
            <xm:f>AND($I$36,I41&lt;&gt;CIR!I41)</xm:f>
            <x14:dxf>
              <fill>
                <patternFill>
                  <bgColor rgb="FFFFFF00"/>
                </patternFill>
              </fill>
            </x14:dxf>
          </x14:cfRule>
          <xm:sqref>I41:I44</xm:sqref>
        </x14:conditionalFormatting>
        <x14:conditionalFormatting xmlns:xm="http://schemas.microsoft.com/office/excel/2006/main">
          <x14:cfRule type="expression" priority="1" id="{C9513D49-BD29-4FE2-99C4-B8CCF619B9F1}">
            <xm:f>AND($I$45,I50&lt;&gt;CIR!I50)</xm:f>
            <x14:dxf>
              <fill>
                <patternFill>
                  <bgColor rgb="FFFFFF00"/>
                </patternFill>
              </fill>
            </x14:dxf>
          </x14:cfRule>
          <xm:sqref>I50:I53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DA3D-DC91-4FBB-B7C9-FEFE7F3F9705}">
  <dimension ref="A1:AA150"/>
  <sheetViews>
    <sheetView zoomScale="130" zoomScaleNormal="130" workbookViewId="0">
      <selection activeCell="G37" sqref="G37"/>
    </sheetView>
  </sheetViews>
  <sheetFormatPr defaultRowHeight="14.45"/>
  <cols>
    <col min="1" max="1" width="19.42578125" bestFit="1" customWidth="1"/>
    <col min="2" max="2" width="16.7109375" customWidth="1"/>
    <col min="3" max="3" width="19.140625" bestFit="1" customWidth="1"/>
    <col min="4" max="4" width="19.140625" customWidth="1"/>
    <col min="5" max="25" width="16.5703125" customWidth="1"/>
    <col min="26" max="26" width="10.7109375" customWidth="1"/>
  </cols>
  <sheetData>
    <row r="1" spans="1:27">
      <c r="A1" s="2" t="s">
        <v>0</v>
      </c>
    </row>
    <row r="3" spans="1:27">
      <c r="A3" t="s">
        <v>1</v>
      </c>
      <c r="B3" s="6">
        <v>10000</v>
      </c>
    </row>
    <row r="4" spans="1:27">
      <c r="A4" t="s">
        <v>2</v>
      </c>
      <c r="B4" s="7">
        <v>0.05</v>
      </c>
      <c r="C4" t="s">
        <v>3</v>
      </c>
    </row>
    <row r="5" spans="1:27">
      <c r="A5" t="s">
        <v>4</v>
      </c>
      <c r="B5">
        <v>20</v>
      </c>
      <c r="C5" t="s">
        <v>5</v>
      </c>
    </row>
    <row r="6" spans="1:27">
      <c r="A6" t="s">
        <v>6</v>
      </c>
      <c r="B6" s="9">
        <f>D19/100</f>
        <v>0.06</v>
      </c>
      <c r="C6" t="s">
        <v>3</v>
      </c>
    </row>
    <row r="7" spans="1:27">
      <c r="B7" s="7"/>
    </row>
    <row r="8" spans="1:27" ht="15" thickBot="1"/>
    <row r="9" spans="1:27">
      <c r="H9" s="13"/>
      <c r="I9" s="14" t="s">
        <v>7</v>
      </c>
      <c r="J9" s="30">
        <v>0.05</v>
      </c>
    </row>
    <row r="10" spans="1:27">
      <c r="H10" s="15"/>
      <c r="J10" s="16"/>
      <c r="Z10" s="3"/>
      <c r="AA10" s="3"/>
    </row>
    <row r="11" spans="1:27" ht="15" thickBot="1">
      <c r="H11" s="17" t="s">
        <v>8</v>
      </c>
      <c r="I11" s="12" t="s">
        <v>9</v>
      </c>
      <c r="J11" s="16"/>
    </row>
    <row r="12" spans="1:27">
      <c r="H12" s="19">
        <v>0</v>
      </c>
      <c r="I12" s="23">
        <v>10000</v>
      </c>
      <c r="J12" s="16"/>
    </row>
    <row r="13" spans="1:27">
      <c r="H13" s="19">
        <v>10</v>
      </c>
      <c r="I13" s="23">
        <v>10000</v>
      </c>
      <c r="J13" s="3"/>
      <c r="L13" s="3"/>
      <c r="M13" s="29"/>
      <c r="N13" s="3"/>
    </row>
    <row r="14" spans="1:27" ht="15" thickBot="1">
      <c r="H14" s="17">
        <v>20</v>
      </c>
      <c r="I14" s="24">
        <v>10000</v>
      </c>
      <c r="J14" s="22"/>
    </row>
    <row r="15" spans="1:27">
      <c r="J15" s="3"/>
    </row>
    <row r="16" spans="1:27" ht="15" thickBot="1"/>
    <row r="17" spans="4:10">
      <c r="H17" s="13"/>
      <c r="I17" s="14" t="s">
        <v>7</v>
      </c>
      <c r="J17" s="30">
        <v>0.1</v>
      </c>
    </row>
    <row r="18" spans="4:10">
      <c r="H18" s="15"/>
      <c r="J18" s="21"/>
    </row>
    <row r="19" spans="4:10" ht="15" thickBot="1">
      <c r="D19">
        <v>6</v>
      </c>
      <c r="H19" s="17" t="s">
        <v>8</v>
      </c>
      <c r="I19" s="12" t="s">
        <v>9</v>
      </c>
      <c r="J19" s="16"/>
    </row>
    <row r="20" spans="4:10">
      <c r="H20" s="19">
        <v>0</v>
      </c>
      <c r="I20" s="23">
        <v>5743.22</v>
      </c>
      <c r="J20" s="16"/>
    </row>
    <row r="21" spans="4:10">
      <c r="H21" s="19">
        <v>10</v>
      </c>
      <c r="I21" s="23">
        <v>6927.72</v>
      </c>
      <c r="J21" s="16"/>
    </row>
    <row r="22" spans="4:10" ht="15" thickBot="1">
      <c r="H22" s="17">
        <v>20</v>
      </c>
      <c r="I22" s="24">
        <v>10000</v>
      </c>
      <c r="J22" s="22"/>
    </row>
    <row r="24" spans="4:10">
      <c r="J24" s="3"/>
    </row>
    <row r="25" spans="4:10" ht="15" thickBot="1"/>
    <row r="26" spans="4:10">
      <c r="H26" s="13"/>
      <c r="I26" s="14" t="s">
        <v>7</v>
      </c>
      <c r="J26" s="30">
        <v>0.01</v>
      </c>
    </row>
    <row r="27" spans="4:10">
      <c r="H27" s="15"/>
      <c r="J27" s="21"/>
    </row>
    <row r="28" spans="4:10" ht="15" thickBot="1">
      <c r="H28" s="17" t="s">
        <v>8</v>
      </c>
      <c r="I28" s="12" t="s">
        <v>9</v>
      </c>
      <c r="J28" s="16"/>
    </row>
    <row r="29" spans="4:10">
      <c r="H29" s="19">
        <v>0</v>
      </c>
      <c r="I29" s="23">
        <v>17218.22</v>
      </c>
      <c r="J29" s="16"/>
    </row>
    <row r="30" spans="4:10">
      <c r="H30" s="19">
        <v>10</v>
      </c>
      <c r="I30" s="23">
        <v>13788.52</v>
      </c>
      <c r="J30" s="16"/>
    </row>
    <row r="31" spans="4:10" ht="15" thickBot="1">
      <c r="H31" s="17">
        <v>20</v>
      </c>
      <c r="I31" s="24">
        <v>10000</v>
      </c>
      <c r="J31" s="22"/>
    </row>
    <row r="33" spans="2:10">
      <c r="J33" s="3"/>
    </row>
    <row r="34" spans="2:10">
      <c r="H34" s="25"/>
      <c r="I34" s="25"/>
      <c r="J34" s="27"/>
    </row>
    <row r="35" spans="2:10">
      <c r="H35" s="25"/>
      <c r="I35" s="25"/>
      <c r="J35" s="27"/>
    </row>
    <row r="36" spans="2:10">
      <c r="B36" s="8"/>
      <c r="H36" s="25"/>
      <c r="I36" s="25"/>
      <c r="J36" s="28"/>
    </row>
    <row r="37" spans="2:10">
      <c r="H37" s="28"/>
      <c r="I37" s="28"/>
      <c r="J37" s="25"/>
    </row>
    <row r="38" spans="2:10">
      <c r="B38" t="s">
        <v>10</v>
      </c>
      <c r="H38" s="28"/>
      <c r="I38" s="26"/>
      <c r="J38" s="25"/>
    </row>
    <row r="39" spans="2:10">
      <c r="H39" s="28"/>
      <c r="I39" s="26"/>
      <c r="J39" s="25"/>
    </row>
    <row r="40" spans="2:10">
      <c r="H40" s="28"/>
      <c r="I40" s="26"/>
      <c r="J40" s="25"/>
    </row>
    <row r="41" spans="2:10">
      <c r="H41" s="28"/>
      <c r="I41" s="26"/>
      <c r="J41" s="25"/>
    </row>
    <row r="42" spans="2:10">
      <c r="H42" s="25"/>
      <c r="I42" s="25"/>
      <c r="J42" s="25"/>
    </row>
    <row r="43" spans="2:10">
      <c r="H43" s="25"/>
      <c r="I43" s="25"/>
      <c r="J43" s="27"/>
    </row>
    <row r="44" spans="2:10">
      <c r="H44" s="25"/>
      <c r="I44" s="25"/>
      <c r="J44" s="27"/>
    </row>
    <row r="45" spans="2:10">
      <c r="H45" s="25"/>
      <c r="I45" s="25"/>
      <c r="J45" s="28"/>
    </row>
    <row r="46" spans="2:10">
      <c r="H46" s="28"/>
      <c r="I46" s="28"/>
      <c r="J46" s="25"/>
    </row>
    <row r="47" spans="2:10">
      <c r="H47" s="28"/>
      <c r="I47" s="26"/>
      <c r="J47" s="25"/>
    </row>
    <row r="48" spans="2:10">
      <c r="H48" s="28"/>
      <c r="I48" s="26"/>
      <c r="J48" s="25"/>
    </row>
    <row r="49" spans="8:10">
      <c r="H49" s="28"/>
      <c r="I49" s="26"/>
      <c r="J49" s="25"/>
    </row>
    <row r="50" spans="8:10">
      <c r="H50" s="28"/>
      <c r="I50" s="26"/>
      <c r="J50" s="25"/>
    </row>
    <row r="104" spans="1:25">
      <c r="A104" s="3" t="s">
        <v>11</v>
      </c>
      <c r="B104" s="3" t="s">
        <v>12</v>
      </c>
      <c r="C104" s="3" t="s">
        <v>13</v>
      </c>
      <c r="D104" s="3" t="s">
        <v>14</v>
      </c>
      <c r="E104" s="3">
        <v>0</v>
      </c>
      <c r="F104" s="3">
        <v>1</v>
      </c>
      <c r="G104" s="3">
        <v>2</v>
      </c>
      <c r="H104" s="3">
        <v>3</v>
      </c>
      <c r="I104" s="3">
        <v>4</v>
      </c>
      <c r="J104" s="3">
        <v>5</v>
      </c>
      <c r="K104" s="3">
        <v>6</v>
      </c>
      <c r="L104" s="3">
        <v>7</v>
      </c>
      <c r="M104" s="3">
        <v>8</v>
      </c>
      <c r="N104" s="3">
        <v>9</v>
      </c>
      <c r="O104" s="3">
        <v>10</v>
      </c>
      <c r="P104" s="3">
        <v>11</v>
      </c>
      <c r="Q104" s="3">
        <v>12</v>
      </c>
      <c r="R104" s="3">
        <v>13</v>
      </c>
      <c r="S104" s="3">
        <v>14</v>
      </c>
      <c r="T104" s="3">
        <v>15</v>
      </c>
      <c r="U104" s="3">
        <v>16</v>
      </c>
      <c r="V104" s="3">
        <v>17</v>
      </c>
      <c r="W104" s="3">
        <v>18</v>
      </c>
      <c r="X104" s="3">
        <v>19</v>
      </c>
      <c r="Y104" s="3">
        <v>20</v>
      </c>
    </row>
    <row r="105" spans="1:25">
      <c r="A105" s="3">
        <v>0</v>
      </c>
    </row>
    <row r="106" spans="1:25">
      <c r="A106" s="3">
        <v>1</v>
      </c>
      <c r="B106" s="1">
        <f t="shared" ref="B106:B125" si="0">Face_Value*Coupon_Rate</f>
        <v>500</v>
      </c>
      <c r="D106" s="4">
        <f>B106+C106</f>
        <v>500</v>
      </c>
      <c r="E106" s="5">
        <f t="shared" ref="E106:S125" si="1">$D106/(1+Initial_Interest_Rate)^($A106-E$104)</f>
        <v>467.28971962616822</v>
      </c>
    </row>
    <row r="107" spans="1:25">
      <c r="A107" s="3">
        <v>2</v>
      </c>
      <c r="B107" s="1">
        <f t="shared" si="0"/>
        <v>500</v>
      </c>
      <c r="D107" s="4">
        <f t="shared" ref="D107:D125" si="2">B107+C107</f>
        <v>500</v>
      </c>
      <c r="E107" s="5">
        <f t="shared" si="1"/>
        <v>436.7193641366058</v>
      </c>
      <c r="F107" s="5">
        <f t="shared" si="1"/>
        <v>467.28971962616822</v>
      </c>
    </row>
    <row r="108" spans="1:25">
      <c r="A108" s="3">
        <v>3</v>
      </c>
      <c r="B108" s="1">
        <f t="shared" si="0"/>
        <v>500</v>
      </c>
      <c r="D108" s="4">
        <f t="shared" si="2"/>
        <v>500</v>
      </c>
      <c r="E108" s="5">
        <f t="shared" si="1"/>
        <v>408.14893844542598</v>
      </c>
      <c r="F108" s="5">
        <f t="shared" si="1"/>
        <v>436.7193641366058</v>
      </c>
      <c r="G108" s="5">
        <f t="shared" si="1"/>
        <v>467.28971962616822</v>
      </c>
    </row>
    <row r="109" spans="1:25">
      <c r="A109" s="3">
        <v>4</v>
      </c>
      <c r="B109" s="1">
        <f t="shared" si="0"/>
        <v>500</v>
      </c>
      <c r="D109" s="4">
        <f t="shared" si="2"/>
        <v>500</v>
      </c>
      <c r="E109" s="5">
        <f t="shared" si="1"/>
        <v>381.4476060237626</v>
      </c>
      <c r="F109" s="5">
        <f t="shared" si="1"/>
        <v>408.14893844542598</v>
      </c>
      <c r="G109" s="5">
        <f t="shared" si="1"/>
        <v>436.7193641366058</v>
      </c>
      <c r="H109" s="5">
        <f t="shared" si="1"/>
        <v>467.28971962616822</v>
      </c>
    </row>
    <row r="110" spans="1:25">
      <c r="A110" s="3">
        <v>5</v>
      </c>
      <c r="B110" s="1">
        <f t="shared" si="0"/>
        <v>500</v>
      </c>
      <c r="D110" s="4">
        <f t="shared" si="2"/>
        <v>500</v>
      </c>
      <c r="E110" s="5">
        <f t="shared" si="1"/>
        <v>356.49308974183418</v>
      </c>
      <c r="F110" s="5">
        <f t="shared" si="1"/>
        <v>381.4476060237626</v>
      </c>
      <c r="G110" s="5">
        <f t="shared" si="1"/>
        <v>408.14893844542598</v>
      </c>
      <c r="H110" s="5">
        <f t="shared" si="1"/>
        <v>436.7193641366058</v>
      </c>
      <c r="I110" s="5">
        <f t="shared" si="1"/>
        <v>467.28971962616822</v>
      </c>
    </row>
    <row r="111" spans="1:25">
      <c r="A111" s="3">
        <v>6</v>
      </c>
      <c r="B111" s="1">
        <f t="shared" si="0"/>
        <v>500</v>
      </c>
      <c r="D111" s="4">
        <f t="shared" si="2"/>
        <v>500</v>
      </c>
      <c r="E111" s="5">
        <f t="shared" si="1"/>
        <v>333.17111190825625</v>
      </c>
      <c r="F111" s="5">
        <f t="shared" si="1"/>
        <v>356.49308974183418</v>
      </c>
      <c r="G111" s="5">
        <f t="shared" si="1"/>
        <v>381.4476060237626</v>
      </c>
      <c r="H111" s="5">
        <f t="shared" si="1"/>
        <v>408.14893844542598</v>
      </c>
      <c r="I111" s="5">
        <f t="shared" si="1"/>
        <v>436.7193641366058</v>
      </c>
      <c r="J111" s="5">
        <f t="shared" si="1"/>
        <v>467.28971962616822</v>
      </c>
    </row>
    <row r="112" spans="1:25">
      <c r="A112" s="3">
        <v>7</v>
      </c>
      <c r="B112" s="1">
        <f t="shared" si="0"/>
        <v>500</v>
      </c>
      <c r="D112" s="4">
        <f t="shared" si="2"/>
        <v>500</v>
      </c>
      <c r="E112" s="5">
        <f t="shared" si="1"/>
        <v>311.37487094229556</v>
      </c>
      <c r="F112" s="5">
        <f t="shared" si="1"/>
        <v>333.17111190825625</v>
      </c>
      <c r="G112" s="5">
        <f t="shared" si="1"/>
        <v>356.49308974183418</v>
      </c>
      <c r="H112" s="5">
        <f t="shared" si="1"/>
        <v>381.4476060237626</v>
      </c>
      <c r="I112" s="5">
        <f t="shared" si="1"/>
        <v>408.14893844542598</v>
      </c>
      <c r="J112" s="5">
        <f t="shared" si="1"/>
        <v>436.7193641366058</v>
      </c>
      <c r="K112" s="5">
        <f t="shared" si="1"/>
        <v>467.28971962616822</v>
      </c>
    </row>
    <row r="113" spans="1:25">
      <c r="A113" s="3">
        <v>8</v>
      </c>
      <c r="B113" s="1">
        <f t="shared" si="0"/>
        <v>500</v>
      </c>
      <c r="D113" s="4">
        <f t="shared" si="2"/>
        <v>500</v>
      </c>
      <c r="E113" s="5">
        <f t="shared" si="1"/>
        <v>291.00455228251923</v>
      </c>
      <c r="F113" s="5">
        <f t="shared" si="1"/>
        <v>311.37487094229556</v>
      </c>
      <c r="G113" s="5">
        <f t="shared" si="1"/>
        <v>333.17111190825625</v>
      </c>
      <c r="H113" s="5">
        <f t="shared" si="1"/>
        <v>356.49308974183418</v>
      </c>
      <c r="I113" s="5">
        <f t="shared" si="1"/>
        <v>381.4476060237626</v>
      </c>
      <c r="J113" s="5">
        <f t="shared" si="1"/>
        <v>408.14893844542598</v>
      </c>
      <c r="K113" s="5">
        <f t="shared" si="1"/>
        <v>436.7193641366058</v>
      </c>
      <c r="L113" s="5">
        <f t="shared" si="1"/>
        <v>467.28971962616822</v>
      </c>
    </row>
    <row r="114" spans="1:25">
      <c r="A114" s="3">
        <v>9</v>
      </c>
      <c r="B114" s="1">
        <f t="shared" si="0"/>
        <v>500</v>
      </c>
      <c r="D114" s="4">
        <f t="shared" si="2"/>
        <v>500</v>
      </c>
      <c r="E114" s="5">
        <f t="shared" si="1"/>
        <v>271.96687129207402</v>
      </c>
      <c r="F114" s="5">
        <f t="shared" si="1"/>
        <v>291.00455228251923</v>
      </c>
      <c r="G114" s="5">
        <f t="shared" si="1"/>
        <v>311.37487094229556</v>
      </c>
      <c r="H114" s="5">
        <f t="shared" si="1"/>
        <v>333.17111190825625</v>
      </c>
      <c r="I114" s="5">
        <f t="shared" si="1"/>
        <v>356.49308974183418</v>
      </c>
      <c r="J114" s="5">
        <f t="shared" si="1"/>
        <v>381.4476060237626</v>
      </c>
      <c r="K114" s="5">
        <f t="shared" si="1"/>
        <v>408.14893844542598</v>
      </c>
      <c r="L114" s="5">
        <f t="shared" si="1"/>
        <v>436.7193641366058</v>
      </c>
      <c r="M114" s="5">
        <f t="shared" si="1"/>
        <v>467.28971962616822</v>
      </c>
    </row>
    <row r="115" spans="1:25">
      <c r="A115" s="3">
        <v>10</v>
      </c>
      <c r="B115" s="1">
        <f t="shared" si="0"/>
        <v>500</v>
      </c>
      <c r="D115" s="4">
        <f t="shared" si="2"/>
        <v>500</v>
      </c>
      <c r="E115" s="5">
        <f t="shared" si="1"/>
        <v>254.17464606735891</v>
      </c>
      <c r="F115" s="5">
        <f t="shared" si="1"/>
        <v>271.96687129207402</v>
      </c>
      <c r="G115" s="5">
        <f t="shared" si="1"/>
        <v>291.00455228251923</v>
      </c>
      <c r="H115" s="5">
        <f t="shared" si="1"/>
        <v>311.37487094229556</v>
      </c>
      <c r="I115" s="5">
        <f t="shared" si="1"/>
        <v>333.17111190825625</v>
      </c>
      <c r="J115" s="5">
        <f t="shared" si="1"/>
        <v>356.49308974183418</v>
      </c>
      <c r="K115" s="5">
        <f t="shared" si="1"/>
        <v>381.4476060237626</v>
      </c>
      <c r="L115" s="5">
        <f t="shared" si="1"/>
        <v>408.14893844542598</v>
      </c>
      <c r="M115" s="5">
        <f t="shared" si="1"/>
        <v>436.7193641366058</v>
      </c>
      <c r="N115" s="5">
        <f t="shared" si="1"/>
        <v>467.28971962616822</v>
      </c>
    </row>
    <row r="116" spans="1:25">
      <c r="A116" s="3">
        <v>11</v>
      </c>
      <c r="B116" s="1">
        <f t="shared" si="0"/>
        <v>500</v>
      </c>
      <c r="D116" s="4">
        <f t="shared" si="2"/>
        <v>500</v>
      </c>
      <c r="E116" s="5">
        <f t="shared" si="1"/>
        <v>237.54639819379332</v>
      </c>
      <c r="F116" s="5">
        <f t="shared" si="1"/>
        <v>254.17464606735891</v>
      </c>
      <c r="G116" s="5">
        <f t="shared" si="1"/>
        <v>271.96687129207402</v>
      </c>
      <c r="H116" s="5">
        <f t="shared" si="1"/>
        <v>291.00455228251923</v>
      </c>
      <c r="I116" s="5">
        <f t="shared" si="1"/>
        <v>311.37487094229556</v>
      </c>
      <c r="J116" s="5">
        <f t="shared" si="1"/>
        <v>333.17111190825625</v>
      </c>
      <c r="K116" s="5">
        <f t="shared" si="1"/>
        <v>356.49308974183418</v>
      </c>
      <c r="L116" s="5">
        <f t="shared" si="1"/>
        <v>381.4476060237626</v>
      </c>
      <c r="M116" s="5">
        <f t="shared" si="1"/>
        <v>408.14893844542598</v>
      </c>
      <c r="N116" s="5">
        <f t="shared" si="1"/>
        <v>436.7193641366058</v>
      </c>
      <c r="O116" s="5">
        <f t="shared" si="1"/>
        <v>467.28971962616822</v>
      </c>
    </row>
    <row r="117" spans="1:25">
      <c r="A117" s="3">
        <v>12</v>
      </c>
      <c r="B117" s="1">
        <f t="shared" si="0"/>
        <v>500</v>
      </c>
      <c r="D117" s="4">
        <f t="shared" si="2"/>
        <v>500</v>
      </c>
      <c r="E117" s="5">
        <f t="shared" si="1"/>
        <v>222.00597962036764</v>
      </c>
      <c r="F117" s="5">
        <f t="shared" si="1"/>
        <v>237.54639819379332</v>
      </c>
      <c r="G117" s="5">
        <f t="shared" si="1"/>
        <v>254.17464606735891</v>
      </c>
      <c r="H117" s="5">
        <f t="shared" si="1"/>
        <v>271.96687129207402</v>
      </c>
      <c r="I117" s="5">
        <f t="shared" si="1"/>
        <v>291.00455228251923</v>
      </c>
      <c r="J117" s="5">
        <f t="shared" si="1"/>
        <v>311.37487094229556</v>
      </c>
      <c r="K117" s="5">
        <f t="shared" si="1"/>
        <v>333.17111190825625</v>
      </c>
      <c r="L117" s="5">
        <f t="shared" si="1"/>
        <v>356.49308974183418</v>
      </c>
      <c r="M117" s="5">
        <f t="shared" si="1"/>
        <v>381.4476060237626</v>
      </c>
      <c r="N117" s="5">
        <f t="shared" si="1"/>
        <v>408.14893844542598</v>
      </c>
      <c r="O117" s="5">
        <f t="shared" si="1"/>
        <v>436.7193641366058</v>
      </c>
      <c r="P117" s="5">
        <f t="shared" si="1"/>
        <v>467.28971962616822</v>
      </c>
    </row>
    <row r="118" spans="1:25">
      <c r="A118" s="3">
        <v>13</v>
      </c>
      <c r="B118" s="1">
        <f t="shared" si="0"/>
        <v>500</v>
      </c>
      <c r="D118" s="4">
        <f t="shared" si="2"/>
        <v>500</v>
      </c>
      <c r="E118" s="5">
        <f t="shared" si="1"/>
        <v>207.48222394426881</v>
      </c>
      <c r="F118" s="5">
        <f t="shared" si="1"/>
        <v>222.00597962036764</v>
      </c>
      <c r="G118" s="5">
        <f t="shared" si="1"/>
        <v>237.54639819379332</v>
      </c>
      <c r="H118" s="5">
        <f t="shared" si="1"/>
        <v>254.17464606735891</v>
      </c>
      <c r="I118" s="5">
        <f t="shared" si="1"/>
        <v>271.96687129207402</v>
      </c>
      <c r="J118" s="5">
        <f t="shared" si="1"/>
        <v>291.00455228251923</v>
      </c>
      <c r="K118" s="5">
        <f t="shared" si="1"/>
        <v>311.37487094229556</v>
      </c>
      <c r="L118" s="5">
        <f t="shared" si="1"/>
        <v>333.17111190825625</v>
      </c>
      <c r="M118" s="5">
        <f t="shared" si="1"/>
        <v>356.49308974183418</v>
      </c>
      <c r="N118" s="5">
        <f t="shared" si="1"/>
        <v>381.4476060237626</v>
      </c>
      <c r="O118" s="5">
        <f t="shared" si="1"/>
        <v>408.14893844542598</v>
      </c>
      <c r="P118" s="5">
        <f t="shared" si="1"/>
        <v>436.7193641366058</v>
      </c>
      <c r="Q118" s="5">
        <f t="shared" si="1"/>
        <v>467.28971962616822</v>
      </c>
    </row>
    <row r="119" spans="1:25">
      <c r="A119" s="3">
        <v>14</v>
      </c>
      <c r="B119" s="1">
        <f t="shared" si="0"/>
        <v>500</v>
      </c>
      <c r="D119" s="4">
        <f t="shared" si="2"/>
        <v>500</v>
      </c>
      <c r="E119" s="5">
        <f t="shared" si="1"/>
        <v>193.90862050866244</v>
      </c>
      <c r="F119" s="5">
        <f t="shared" si="1"/>
        <v>207.48222394426881</v>
      </c>
      <c r="G119" s="5">
        <f t="shared" si="1"/>
        <v>222.00597962036764</v>
      </c>
      <c r="H119" s="5">
        <f t="shared" si="1"/>
        <v>237.54639819379332</v>
      </c>
      <c r="I119" s="5">
        <f t="shared" si="1"/>
        <v>254.17464606735891</v>
      </c>
      <c r="J119" s="5">
        <f t="shared" si="1"/>
        <v>271.96687129207402</v>
      </c>
      <c r="K119" s="5">
        <f t="shared" si="1"/>
        <v>291.00455228251923</v>
      </c>
      <c r="L119" s="5">
        <f t="shared" si="1"/>
        <v>311.37487094229556</v>
      </c>
      <c r="M119" s="5">
        <f t="shared" si="1"/>
        <v>333.17111190825625</v>
      </c>
      <c r="N119" s="5">
        <f t="shared" si="1"/>
        <v>356.49308974183418</v>
      </c>
      <c r="O119" s="5">
        <f t="shared" si="1"/>
        <v>381.4476060237626</v>
      </c>
      <c r="P119" s="5">
        <f t="shared" si="1"/>
        <v>408.14893844542598</v>
      </c>
      <c r="Q119" s="5">
        <f t="shared" si="1"/>
        <v>436.7193641366058</v>
      </c>
      <c r="R119" s="5">
        <f t="shared" si="1"/>
        <v>467.28971962616822</v>
      </c>
    </row>
    <row r="120" spans="1:25">
      <c r="A120" s="3">
        <v>15</v>
      </c>
      <c r="B120" s="1">
        <f t="shared" si="0"/>
        <v>500</v>
      </c>
      <c r="D120" s="4">
        <f t="shared" si="2"/>
        <v>500</v>
      </c>
      <c r="E120" s="5">
        <f t="shared" si="1"/>
        <v>181.22300982117983</v>
      </c>
      <c r="F120" s="5">
        <f t="shared" si="1"/>
        <v>193.90862050866244</v>
      </c>
      <c r="G120" s="5">
        <f t="shared" si="1"/>
        <v>207.48222394426881</v>
      </c>
      <c r="H120" s="5">
        <f t="shared" si="1"/>
        <v>222.00597962036764</v>
      </c>
      <c r="I120" s="5">
        <f t="shared" si="1"/>
        <v>237.54639819379332</v>
      </c>
      <c r="J120" s="5">
        <f t="shared" si="1"/>
        <v>254.17464606735891</v>
      </c>
      <c r="K120" s="5">
        <f t="shared" si="1"/>
        <v>271.96687129207402</v>
      </c>
      <c r="L120" s="5">
        <f t="shared" si="1"/>
        <v>291.00455228251923</v>
      </c>
      <c r="M120" s="5">
        <f t="shared" si="1"/>
        <v>311.37487094229556</v>
      </c>
      <c r="N120" s="5">
        <f t="shared" si="1"/>
        <v>333.17111190825625</v>
      </c>
      <c r="O120" s="5">
        <f t="shared" si="1"/>
        <v>356.49308974183418</v>
      </c>
      <c r="P120" s="5">
        <f t="shared" si="1"/>
        <v>381.4476060237626</v>
      </c>
      <c r="Q120" s="5">
        <f t="shared" si="1"/>
        <v>408.14893844542598</v>
      </c>
      <c r="R120" s="5">
        <f t="shared" si="1"/>
        <v>436.7193641366058</v>
      </c>
      <c r="S120" s="5">
        <f t="shared" si="1"/>
        <v>467.28971962616822</v>
      </c>
    </row>
    <row r="121" spans="1:25">
      <c r="A121" s="3">
        <v>16</v>
      </c>
      <c r="B121" s="1">
        <f t="shared" si="0"/>
        <v>500</v>
      </c>
      <c r="D121" s="4">
        <f t="shared" si="2"/>
        <v>500</v>
      </c>
      <c r="E121" s="5">
        <f t="shared" si="1"/>
        <v>169.36729889829894</v>
      </c>
      <c r="F121" s="5">
        <f t="shared" si="1"/>
        <v>181.22300982117983</v>
      </c>
      <c r="G121" s="5">
        <f t="shared" si="1"/>
        <v>193.90862050866244</v>
      </c>
      <c r="H121" s="5">
        <f t="shared" si="1"/>
        <v>207.48222394426881</v>
      </c>
      <c r="I121" s="5">
        <f t="shared" si="1"/>
        <v>222.00597962036764</v>
      </c>
      <c r="J121" s="5">
        <f t="shared" si="1"/>
        <v>237.54639819379332</v>
      </c>
      <c r="K121" s="5">
        <f t="shared" si="1"/>
        <v>254.17464606735891</v>
      </c>
      <c r="L121" s="5">
        <f t="shared" si="1"/>
        <v>271.96687129207402</v>
      </c>
      <c r="M121" s="5">
        <f t="shared" si="1"/>
        <v>291.00455228251923</v>
      </c>
      <c r="N121" s="5">
        <f t="shared" si="1"/>
        <v>311.37487094229556</v>
      </c>
      <c r="O121" s="5">
        <f t="shared" si="1"/>
        <v>333.17111190825625</v>
      </c>
      <c r="P121" s="5">
        <f t="shared" si="1"/>
        <v>356.49308974183418</v>
      </c>
      <c r="Q121" s="5">
        <f t="shared" si="1"/>
        <v>381.4476060237626</v>
      </c>
      <c r="R121" s="5">
        <f t="shared" si="1"/>
        <v>408.14893844542598</v>
      </c>
      <c r="S121" s="5">
        <f t="shared" si="1"/>
        <v>436.7193641366058</v>
      </c>
      <c r="T121" s="5">
        <f>$D121/(1+Initial_Interest_Rate)^($A121-T$104)</f>
        <v>467.28971962616822</v>
      </c>
    </row>
    <row r="122" spans="1:25">
      <c r="A122" s="3">
        <v>17</v>
      </c>
      <c r="B122" s="1">
        <f t="shared" si="0"/>
        <v>500</v>
      </c>
      <c r="D122" s="4">
        <f t="shared" si="2"/>
        <v>500</v>
      </c>
      <c r="E122" s="5">
        <f t="shared" si="1"/>
        <v>158.28719523205507</v>
      </c>
      <c r="F122" s="5">
        <f t="shared" si="1"/>
        <v>169.36729889829894</v>
      </c>
      <c r="G122" s="5">
        <f t="shared" si="1"/>
        <v>181.22300982117983</v>
      </c>
      <c r="H122" s="5">
        <f t="shared" si="1"/>
        <v>193.90862050866244</v>
      </c>
      <c r="I122" s="5">
        <f t="shared" si="1"/>
        <v>207.48222394426881</v>
      </c>
      <c r="J122" s="5">
        <f t="shared" si="1"/>
        <v>222.00597962036764</v>
      </c>
      <c r="K122" s="5">
        <f t="shared" si="1"/>
        <v>237.54639819379332</v>
      </c>
      <c r="L122" s="5">
        <f t="shared" si="1"/>
        <v>254.17464606735891</v>
      </c>
      <c r="M122" s="5">
        <f t="shared" si="1"/>
        <v>271.96687129207402</v>
      </c>
      <c r="N122" s="5">
        <f t="shared" si="1"/>
        <v>291.00455228251923</v>
      </c>
      <c r="O122" s="5">
        <f t="shared" si="1"/>
        <v>311.37487094229556</v>
      </c>
      <c r="P122" s="5">
        <f t="shared" si="1"/>
        <v>333.17111190825625</v>
      </c>
      <c r="Q122" s="5">
        <f t="shared" si="1"/>
        <v>356.49308974183418</v>
      </c>
      <c r="R122" s="5">
        <f t="shared" si="1"/>
        <v>381.4476060237626</v>
      </c>
      <c r="S122" s="5">
        <f t="shared" si="1"/>
        <v>408.14893844542598</v>
      </c>
      <c r="T122" s="5">
        <f>$D122/(1+Initial_Interest_Rate)^($A122-T$104)</f>
        <v>436.7193641366058</v>
      </c>
      <c r="U122" s="5">
        <f>$D122/(1+Initial_Interest_Rate)^($A122-U$104)</f>
        <v>467.28971962616822</v>
      </c>
    </row>
    <row r="123" spans="1:25">
      <c r="A123" s="3">
        <v>18</v>
      </c>
      <c r="B123" s="1">
        <f t="shared" si="0"/>
        <v>500</v>
      </c>
      <c r="D123" s="4">
        <f t="shared" si="2"/>
        <v>500</v>
      </c>
      <c r="E123" s="5">
        <f t="shared" si="1"/>
        <v>147.93195816079913</v>
      </c>
      <c r="F123" s="5">
        <f t="shared" si="1"/>
        <v>158.28719523205507</v>
      </c>
      <c r="G123" s="5">
        <f t="shared" si="1"/>
        <v>169.36729889829894</v>
      </c>
      <c r="H123" s="5">
        <f t="shared" si="1"/>
        <v>181.22300982117983</v>
      </c>
      <c r="I123" s="5">
        <f t="shared" si="1"/>
        <v>193.90862050866244</v>
      </c>
      <c r="J123" s="5">
        <f t="shared" si="1"/>
        <v>207.48222394426881</v>
      </c>
      <c r="K123" s="5">
        <f t="shared" si="1"/>
        <v>222.00597962036764</v>
      </c>
      <c r="L123" s="5">
        <f t="shared" si="1"/>
        <v>237.54639819379332</v>
      </c>
      <c r="M123" s="5">
        <f t="shared" si="1"/>
        <v>254.17464606735891</v>
      </c>
      <c r="N123" s="5">
        <f t="shared" si="1"/>
        <v>271.96687129207402</v>
      </c>
      <c r="O123" s="5">
        <f t="shared" si="1"/>
        <v>291.00455228251923</v>
      </c>
      <c r="P123" s="5">
        <f t="shared" si="1"/>
        <v>311.37487094229556</v>
      </c>
      <c r="Q123" s="5">
        <f t="shared" si="1"/>
        <v>333.17111190825625</v>
      </c>
      <c r="R123" s="5">
        <f t="shared" si="1"/>
        <v>356.49308974183418</v>
      </c>
      <c r="S123" s="5">
        <f t="shared" si="1"/>
        <v>381.4476060237626</v>
      </c>
      <c r="T123" s="5">
        <f>$D123/(1+Initial_Interest_Rate)^($A123-T$104)</f>
        <v>408.14893844542598</v>
      </c>
      <c r="U123" s="5">
        <f>$D123/(1+Initial_Interest_Rate)^($A123-U$104)</f>
        <v>436.7193641366058</v>
      </c>
      <c r="V123" s="5">
        <f>$D123/(1+Initial_Interest_Rate)^($A123-V$104)</f>
        <v>467.28971962616822</v>
      </c>
    </row>
    <row r="124" spans="1:25">
      <c r="A124" s="3">
        <v>19</v>
      </c>
      <c r="B124" s="1">
        <f t="shared" si="0"/>
        <v>500</v>
      </c>
      <c r="D124" s="4">
        <f t="shared" si="2"/>
        <v>500</v>
      </c>
      <c r="E124" s="5">
        <f t="shared" si="1"/>
        <v>138.25416650541973</v>
      </c>
      <c r="F124" s="5">
        <f t="shared" si="1"/>
        <v>147.93195816079913</v>
      </c>
      <c r="G124" s="5">
        <f t="shared" si="1"/>
        <v>158.28719523205507</v>
      </c>
      <c r="H124" s="5">
        <f t="shared" si="1"/>
        <v>169.36729889829894</v>
      </c>
      <c r="I124" s="5">
        <f t="shared" si="1"/>
        <v>181.22300982117983</v>
      </c>
      <c r="J124" s="5">
        <f t="shared" si="1"/>
        <v>193.90862050866244</v>
      </c>
      <c r="K124" s="5">
        <f t="shared" si="1"/>
        <v>207.48222394426881</v>
      </c>
      <c r="L124" s="5">
        <f t="shared" si="1"/>
        <v>222.00597962036764</v>
      </c>
      <c r="M124" s="5">
        <f t="shared" si="1"/>
        <v>237.54639819379332</v>
      </c>
      <c r="N124" s="5">
        <f t="shared" si="1"/>
        <v>254.17464606735891</v>
      </c>
      <c r="O124" s="5">
        <f t="shared" si="1"/>
        <v>271.96687129207402</v>
      </c>
      <c r="P124" s="5">
        <f t="shared" si="1"/>
        <v>291.00455228251923</v>
      </c>
      <c r="Q124" s="5">
        <f t="shared" si="1"/>
        <v>311.37487094229556</v>
      </c>
      <c r="R124" s="5">
        <f t="shared" si="1"/>
        <v>333.17111190825625</v>
      </c>
      <c r="S124" s="5">
        <f t="shared" si="1"/>
        <v>356.49308974183418</v>
      </c>
      <c r="T124" s="5">
        <f>$D124/(1+Initial_Interest_Rate)^($A124-T$104)</f>
        <v>381.4476060237626</v>
      </c>
      <c r="U124" s="5">
        <f>$D124/(1+Initial_Interest_Rate)^($A124-U$104)</f>
        <v>408.14893844542598</v>
      </c>
      <c r="V124" s="5">
        <f>$D124/(1+Initial_Interest_Rate)^($A124-V$104)</f>
        <v>436.7193641366058</v>
      </c>
      <c r="W124" s="5">
        <f>$D124/(1+Initial_Interest_Rate)^($A124-W$104)</f>
        <v>467.28971962616822</v>
      </c>
    </row>
    <row r="125" spans="1:25">
      <c r="A125" s="3">
        <v>20</v>
      </c>
      <c r="B125" s="1">
        <f t="shared" si="0"/>
        <v>500</v>
      </c>
      <c r="C125" s="1">
        <f>Face_Value</f>
        <v>10000</v>
      </c>
      <c r="D125" s="4">
        <f t="shared" si="2"/>
        <v>10500</v>
      </c>
      <c r="E125" s="5">
        <f t="shared" si="1"/>
        <v>2713.3995295456211</v>
      </c>
      <c r="F125" s="5">
        <f t="shared" si="1"/>
        <v>2903.3374966138144</v>
      </c>
      <c r="G125" s="5">
        <f t="shared" si="1"/>
        <v>3106.5711213767818</v>
      </c>
      <c r="H125" s="5">
        <f t="shared" si="1"/>
        <v>3324.0310998731566</v>
      </c>
      <c r="I125" s="5">
        <f t="shared" si="1"/>
        <v>3556.7132768642778</v>
      </c>
      <c r="J125" s="5">
        <f t="shared" si="1"/>
        <v>3805.6832062447766</v>
      </c>
      <c r="K125" s="5">
        <f t="shared" si="1"/>
        <v>4072.0810306819112</v>
      </c>
      <c r="L125" s="5">
        <f t="shared" si="1"/>
        <v>4357.1267028296452</v>
      </c>
      <c r="M125" s="5">
        <f t="shared" si="1"/>
        <v>4662.1255720277204</v>
      </c>
      <c r="N125" s="5">
        <f t="shared" si="1"/>
        <v>4988.4743620696599</v>
      </c>
      <c r="O125" s="5">
        <f t="shared" si="1"/>
        <v>5337.6675674145372</v>
      </c>
      <c r="P125" s="5">
        <f t="shared" si="1"/>
        <v>5711.3042971335544</v>
      </c>
      <c r="Q125" s="5">
        <f t="shared" si="1"/>
        <v>6111.0955979329037</v>
      </c>
      <c r="R125" s="5">
        <f t="shared" si="1"/>
        <v>6538.8722897882062</v>
      </c>
      <c r="S125" s="5">
        <f t="shared" si="1"/>
        <v>6996.5933500733818</v>
      </c>
      <c r="T125" s="5">
        <f>$D125/(1+Initial_Interest_Rate)^($A125-T$104)</f>
        <v>7486.3548845785181</v>
      </c>
      <c r="U125" s="5">
        <f>$D125/(1+Initial_Interest_Rate)^($A125-U$104)</f>
        <v>8010.3997264990148</v>
      </c>
      <c r="V125" s="5">
        <f>$D125/(1+Initial_Interest_Rate)^($A125-V$104)</f>
        <v>8571.1277073539459</v>
      </c>
      <c r="W125" s="5">
        <f>$D125/(1+Initial_Interest_Rate)^($A125-W$104)</f>
        <v>9171.1066468687222</v>
      </c>
      <c r="X125" s="5">
        <f>$D125/(1+Initial_Interest_Rate)^($A125-X$104)</f>
        <v>9813.0841121495323</v>
      </c>
      <c r="Y125" s="5">
        <f>Face_Value</f>
        <v>10000</v>
      </c>
    </row>
    <row r="126" spans="1:25">
      <c r="E126" s="5">
        <f t="shared" ref="E126:Y126" si="3">SUM(E106:E125)</f>
        <v>7881.1971508967654</v>
      </c>
      <c r="F126" s="5">
        <f t="shared" si="3"/>
        <v>7932.8809514595396</v>
      </c>
      <c r="G126" s="5">
        <f t="shared" si="3"/>
        <v>7988.1826180617081</v>
      </c>
      <c r="H126" s="5">
        <f t="shared" si="3"/>
        <v>8047.3554013260282</v>
      </c>
      <c r="I126" s="5">
        <f t="shared" si="3"/>
        <v>8110.6702794188504</v>
      </c>
      <c r="J126" s="5">
        <f t="shared" si="3"/>
        <v>8178.4171989781698</v>
      </c>
      <c r="K126" s="5">
        <f t="shared" si="3"/>
        <v>8250.9064029066431</v>
      </c>
      <c r="L126" s="5">
        <f t="shared" si="3"/>
        <v>8328.4698511101069</v>
      </c>
      <c r="M126" s="5">
        <f t="shared" si="3"/>
        <v>8411.4627406878135</v>
      </c>
      <c r="N126" s="5">
        <f t="shared" si="3"/>
        <v>8500.2651325359602</v>
      </c>
      <c r="O126" s="5">
        <f t="shared" si="3"/>
        <v>8595.2836918134781</v>
      </c>
      <c r="P126" s="5">
        <f t="shared" si="3"/>
        <v>8696.9535502404215</v>
      </c>
      <c r="Q126" s="5">
        <f t="shared" si="3"/>
        <v>8805.7402987572532</v>
      </c>
      <c r="R126" s="5">
        <f t="shared" si="3"/>
        <v>8922.1421196702595</v>
      </c>
      <c r="S126" s="5">
        <f t="shared" si="3"/>
        <v>9046.6920680471776</v>
      </c>
      <c r="T126" s="5">
        <f t="shared" si="3"/>
        <v>9179.9605128104813</v>
      </c>
      <c r="U126" s="5">
        <f t="shared" si="3"/>
        <v>9322.5577487072151</v>
      </c>
      <c r="V126" s="5">
        <f t="shared" si="3"/>
        <v>9475.1367911167199</v>
      </c>
      <c r="W126" s="5">
        <f t="shared" si="3"/>
        <v>9638.3963664948897</v>
      </c>
      <c r="X126" s="5">
        <f t="shared" si="3"/>
        <v>9813.0841121495323</v>
      </c>
      <c r="Y126" s="5">
        <f t="shared" si="3"/>
        <v>10000</v>
      </c>
    </row>
    <row r="128" spans="1: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19">
      <c r="A129" s="3"/>
    </row>
    <row r="130" spans="1:19">
      <c r="A130" s="3"/>
      <c r="B130" s="1"/>
      <c r="D130" s="4"/>
      <c r="E130" s="5"/>
    </row>
    <row r="131" spans="1:19">
      <c r="A131" s="3"/>
      <c r="B131" s="1"/>
      <c r="D131" s="4"/>
      <c r="E131" s="5"/>
      <c r="F131" s="5"/>
    </row>
    <row r="132" spans="1:19">
      <c r="A132" s="3"/>
      <c r="B132" s="1"/>
      <c r="D132" s="4"/>
      <c r="E132" s="5"/>
      <c r="F132" s="5"/>
      <c r="G132" s="5"/>
    </row>
    <row r="133" spans="1:19">
      <c r="A133" s="3"/>
      <c r="B133" s="1"/>
      <c r="D133" s="4"/>
      <c r="E133" s="5"/>
      <c r="F133" s="5"/>
      <c r="G133" s="5"/>
      <c r="H133" s="5"/>
    </row>
    <row r="134" spans="1:19">
      <c r="A134" s="3"/>
      <c r="B134" s="1"/>
      <c r="D134" s="4"/>
      <c r="E134" s="5"/>
      <c r="F134" s="5"/>
      <c r="G134" s="5"/>
      <c r="H134" s="5"/>
      <c r="I134" s="5"/>
    </row>
    <row r="135" spans="1:19">
      <c r="A135" s="3"/>
      <c r="B135" s="1"/>
      <c r="D135" s="4"/>
      <c r="E135" s="5"/>
      <c r="F135" s="5"/>
      <c r="G135" s="5"/>
      <c r="H135" s="5"/>
      <c r="I135" s="5"/>
      <c r="J135" s="5"/>
    </row>
    <row r="136" spans="1:19">
      <c r="A136" s="3"/>
      <c r="B136" s="1"/>
      <c r="D136" s="4"/>
      <c r="E136" s="5"/>
      <c r="F136" s="5"/>
      <c r="G136" s="5"/>
      <c r="H136" s="5"/>
      <c r="I136" s="5"/>
      <c r="J136" s="5"/>
      <c r="K136" s="5"/>
    </row>
    <row r="137" spans="1:19">
      <c r="A137" s="3"/>
      <c r="B137" s="1"/>
      <c r="D137" s="4"/>
      <c r="E137" s="5"/>
      <c r="F137" s="5"/>
      <c r="G137" s="5"/>
      <c r="H137" s="5"/>
      <c r="I137" s="5"/>
      <c r="J137" s="5"/>
      <c r="K137" s="5"/>
      <c r="L137" s="5"/>
    </row>
    <row r="138" spans="1:19">
      <c r="A138" s="3"/>
      <c r="B138" s="1"/>
      <c r="D138" s="4"/>
      <c r="E138" s="5"/>
      <c r="F138" s="5"/>
      <c r="G138" s="5"/>
      <c r="H138" s="5"/>
      <c r="I138" s="5"/>
      <c r="J138" s="5"/>
      <c r="K138" s="5"/>
      <c r="L138" s="5"/>
      <c r="M138" s="5"/>
    </row>
    <row r="139" spans="1:19">
      <c r="A139" s="3"/>
      <c r="B139" s="1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9">
      <c r="A140" s="3"/>
      <c r="B140" s="1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9">
      <c r="A141" s="3"/>
      <c r="B141" s="1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9">
      <c r="A142" s="3"/>
      <c r="B142" s="1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9">
      <c r="A143" s="3"/>
      <c r="B143" s="1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9">
      <c r="A144" s="3"/>
      <c r="B144" s="1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1:25">
      <c r="A145" s="3"/>
      <c r="B145" s="1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spans="1:25">
      <c r="A146" s="3"/>
      <c r="B146" s="1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5">
      <c r="A147" s="3"/>
      <c r="B147" s="1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5">
      <c r="A148" s="3"/>
      <c r="B148" s="1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5">
      <c r="A149" s="3"/>
      <c r="B149" s="1"/>
      <c r="C149" s="1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Scroll Bar 1">
              <controlPr defaultSize="0" autoPict="0">
                <anchor moveWithCells="1">
                  <from>
                    <xdr:col>2</xdr:col>
                    <xdr:colOff>68580</xdr:colOff>
                    <xdr:row>33</xdr:row>
                    <xdr:rowOff>121920</xdr:rowOff>
                  </from>
                  <to>
                    <xdr:col>6</xdr:col>
                    <xdr:colOff>495300</xdr:colOff>
                    <xdr:row>37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30FC-FFD5-4FB2-A79C-1C6D40CC7942}">
  <dimension ref="A1:AA152"/>
  <sheetViews>
    <sheetView zoomScale="130" zoomScaleNormal="130" workbookViewId="0">
      <selection activeCell="G37" sqref="G37"/>
    </sheetView>
  </sheetViews>
  <sheetFormatPr defaultRowHeight="14.45"/>
  <cols>
    <col min="1" max="1" width="19.42578125" bestFit="1" customWidth="1"/>
    <col min="2" max="2" width="14" customWidth="1"/>
    <col min="3" max="3" width="19.140625" bestFit="1" customWidth="1"/>
    <col min="4" max="4" width="19.140625" customWidth="1"/>
    <col min="5" max="7" width="16.5703125" customWidth="1"/>
    <col min="8" max="8" width="8.140625" customWidth="1"/>
    <col min="9" max="9" width="19.42578125" bestFit="1" customWidth="1"/>
    <col min="10" max="10" width="11.140625" bestFit="1" customWidth="1"/>
    <col min="11" max="25" width="16.5703125" customWidth="1"/>
    <col min="26" max="26" width="10.7109375" customWidth="1"/>
  </cols>
  <sheetData>
    <row r="1" spans="1:27">
      <c r="A1" s="2" t="s">
        <v>0</v>
      </c>
    </row>
    <row r="3" spans="1:27">
      <c r="A3" t="s">
        <v>1</v>
      </c>
      <c r="B3" s="6">
        <v>10000</v>
      </c>
    </row>
    <row r="4" spans="1:27">
      <c r="A4" t="s">
        <v>2</v>
      </c>
      <c r="B4" s="7">
        <v>0.05</v>
      </c>
      <c r="C4" t="s">
        <v>3</v>
      </c>
    </row>
    <row r="5" spans="1:27">
      <c r="A5" t="s">
        <v>4</v>
      </c>
      <c r="B5">
        <v>20</v>
      </c>
      <c r="C5" t="s">
        <v>5</v>
      </c>
    </row>
    <row r="6" spans="1:27">
      <c r="A6" t="s">
        <v>6</v>
      </c>
      <c r="B6" s="9">
        <f>D21/100</f>
        <v>0</v>
      </c>
      <c r="C6" t="s">
        <v>3</v>
      </c>
    </row>
    <row r="7" spans="1:27">
      <c r="A7" t="s">
        <v>15</v>
      </c>
      <c r="B7" s="10">
        <f>D22/100</f>
        <v>0.01</v>
      </c>
      <c r="C7" t="s">
        <v>3</v>
      </c>
    </row>
    <row r="9" spans="1:27" ht="15" thickBot="1"/>
    <row r="10" spans="1:27">
      <c r="H10" s="13"/>
      <c r="I10" s="14" t="s">
        <v>16</v>
      </c>
      <c r="J10" s="30">
        <v>0.05</v>
      </c>
    </row>
    <row r="11" spans="1:27">
      <c r="H11" s="15"/>
      <c r="I11" t="s">
        <v>17</v>
      </c>
      <c r="J11" s="31">
        <v>0.05</v>
      </c>
    </row>
    <row r="12" spans="1:27">
      <c r="H12" s="15"/>
      <c r="J12" s="16"/>
      <c r="Z12" s="3"/>
      <c r="AA12" s="3"/>
    </row>
    <row r="13" spans="1:27" ht="15" thickBot="1">
      <c r="H13" s="17" t="s">
        <v>8</v>
      </c>
      <c r="I13" s="12" t="s">
        <v>9</v>
      </c>
      <c r="J13" s="16"/>
    </row>
    <row r="14" spans="1:27">
      <c r="H14" s="19">
        <v>0</v>
      </c>
      <c r="I14" s="23">
        <v>10000</v>
      </c>
      <c r="J14" s="16"/>
    </row>
    <row r="15" spans="1:27">
      <c r="H15" s="19">
        <v>6</v>
      </c>
      <c r="I15" s="23">
        <v>10000</v>
      </c>
      <c r="J15" s="16"/>
    </row>
    <row r="16" spans="1:27">
      <c r="H16" s="19">
        <v>7</v>
      </c>
      <c r="I16" s="23">
        <v>10000</v>
      </c>
      <c r="J16" s="16"/>
    </row>
    <row r="17" spans="4:10" ht="15" thickBot="1">
      <c r="H17" s="17">
        <v>20</v>
      </c>
      <c r="I17" s="24">
        <v>10000</v>
      </c>
      <c r="J17" s="22"/>
    </row>
    <row r="18" spans="4:10" ht="15" thickBot="1">
      <c r="J18" s="3"/>
    </row>
    <row r="19" spans="4:10">
      <c r="H19" s="13"/>
      <c r="I19" s="14" t="s">
        <v>16</v>
      </c>
      <c r="J19" s="30">
        <v>0.05</v>
      </c>
    </row>
    <row r="20" spans="4:10">
      <c r="H20" s="15"/>
      <c r="I20" t="s">
        <v>17</v>
      </c>
      <c r="J20" s="31">
        <v>0.1</v>
      </c>
    </row>
    <row r="21" spans="4:10">
      <c r="D21">
        <v>0</v>
      </c>
      <c r="H21" s="15"/>
      <c r="J21" s="16"/>
    </row>
    <row r="22" spans="4:10" ht="15" thickBot="1">
      <c r="D22">
        <v>1</v>
      </c>
      <c r="H22" s="17" t="s">
        <v>8</v>
      </c>
      <c r="I22" s="12" t="s">
        <v>9</v>
      </c>
      <c r="J22" s="16"/>
    </row>
    <row r="23" spans="4:10">
      <c r="H23" s="19">
        <v>0</v>
      </c>
      <c r="I23" s="23">
        <v>10000</v>
      </c>
      <c r="J23" s="16"/>
    </row>
    <row r="24" spans="4:10">
      <c r="H24" s="19">
        <v>6</v>
      </c>
      <c r="I24" s="23">
        <v>10000</v>
      </c>
      <c r="J24" s="16"/>
    </row>
    <row r="25" spans="4:10">
      <c r="H25" s="19">
        <v>7</v>
      </c>
      <c r="I25" s="23">
        <v>6448.32</v>
      </c>
      <c r="J25" s="16"/>
    </row>
    <row r="26" spans="4:10" ht="15" thickBot="1">
      <c r="H26" s="17">
        <v>20</v>
      </c>
      <c r="I26" s="24">
        <v>10000</v>
      </c>
      <c r="J26" s="22"/>
    </row>
    <row r="27" spans="4:10" ht="15" thickBot="1">
      <c r="J27" s="3"/>
    </row>
    <row r="28" spans="4:10">
      <c r="H28" s="13"/>
      <c r="I28" s="14" t="s">
        <v>16</v>
      </c>
      <c r="J28" s="30">
        <v>0.05</v>
      </c>
    </row>
    <row r="29" spans="4:10">
      <c r="H29" s="15"/>
      <c r="I29" t="s">
        <v>17</v>
      </c>
      <c r="J29" s="31">
        <v>0.01</v>
      </c>
    </row>
    <row r="30" spans="4:10">
      <c r="H30" s="15"/>
      <c r="J30" s="16"/>
    </row>
    <row r="31" spans="4:10" ht="15" thickBot="1">
      <c r="H31" s="17" t="s">
        <v>8</v>
      </c>
      <c r="I31" s="12" t="s">
        <v>9</v>
      </c>
      <c r="J31" s="16"/>
    </row>
    <row r="32" spans="4:10">
      <c r="H32" s="19">
        <v>0</v>
      </c>
      <c r="I32" s="23">
        <v>10000</v>
      </c>
      <c r="J32" s="16"/>
    </row>
    <row r="33" spans="2:10">
      <c r="H33" s="19">
        <v>6</v>
      </c>
      <c r="I33" s="23">
        <v>10000</v>
      </c>
      <c r="J33" s="16"/>
    </row>
    <row r="34" spans="2:10">
      <c r="H34" s="19">
        <v>7</v>
      </c>
      <c r="I34" s="23">
        <v>14853.5</v>
      </c>
      <c r="J34" s="16"/>
    </row>
    <row r="35" spans="2:10" ht="15" thickBot="1">
      <c r="H35" s="17">
        <v>20</v>
      </c>
      <c r="I35" s="24">
        <v>10000</v>
      </c>
      <c r="J35" s="22"/>
    </row>
    <row r="36" spans="2:10" ht="15" thickBot="1">
      <c r="B36" s="8"/>
      <c r="J36" s="3"/>
    </row>
    <row r="37" spans="2:10">
      <c r="H37" s="13"/>
      <c r="I37" s="14" t="s">
        <v>16</v>
      </c>
      <c r="J37" s="30">
        <v>0.1</v>
      </c>
    </row>
    <row r="38" spans="2:10">
      <c r="H38" s="15"/>
      <c r="I38" t="s">
        <v>17</v>
      </c>
      <c r="J38" s="31">
        <v>0.01</v>
      </c>
    </row>
    <row r="39" spans="2:10">
      <c r="H39" s="15"/>
      <c r="J39" s="16"/>
    </row>
    <row r="40" spans="2:10" ht="15" thickBot="1">
      <c r="C40" t="s">
        <v>18</v>
      </c>
      <c r="H40" s="17" t="s">
        <v>8</v>
      </c>
      <c r="I40" s="12" t="s">
        <v>9</v>
      </c>
      <c r="J40" s="18"/>
    </row>
    <row r="41" spans="2:10">
      <c r="H41" s="19">
        <v>0</v>
      </c>
      <c r="I41" s="23">
        <v>5743.22</v>
      </c>
      <c r="J41" s="18"/>
    </row>
    <row r="42" spans="2:10">
      <c r="H42" s="19">
        <v>6</v>
      </c>
      <c r="I42" s="23">
        <v>6316.66</v>
      </c>
      <c r="J42" s="18"/>
    </row>
    <row r="43" spans="2:10">
      <c r="B43" s="11"/>
      <c r="H43" s="19">
        <v>7</v>
      </c>
      <c r="I43" s="23">
        <v>14853.5</v>
      </c>
      <c r="J43" s="18"/>
    </row>
    <row r="44" spans="2:10" ht="15" thickBot="1">
      <c r="H44" s="17">
        <v>20</v>
      </c>
      <c r="I44" s="24">
        <v>10000</v>
      </c>
      <c r="J44" s="20"/>
    </row>
    <row r="45" spans="2:10" ht="15" thickBot="1"/>
    <row r="46" spans="2:10">
      <c r="C46" t="s">
        <v>19</v>
      </c>
      <c r="H46" s="13"/>
      <c r="I46" s="14" t="s">
        <v>16</v>
      </c>
      <c r="J46" s="30">
        <v>0.01</v>
      </c>
    </row>
    <row r="47" spans="2:10">
      <c r="H47" s="15"/>
      <c r="I47" t="s">
        <v>17</v>
      </c>
      <c r="J47" s="31">
        <v>0.1</v>
      </c>
    </row>
    <row r="48" spans="2:10">
      <c r="H48" s="15"/>
      <c r="J48" s="16"/>
    </row>
    <row r="49" spans="8:10" ht="15" thickBot="1">
      <c r="H49" s="17" t="s">
        <v>8</v>
      </c>
      <c r="I49" s="12" t="s">
        <v>9</v>
      </c>
      <c r="J49" s="18"/>
    </row>
    <row r="50" spans="8:10">
      <c r="H50" s="19">
        <v>0</v>
      </c>
      <c r="I50" s="23">
        <v>17218.22</v>
      </c>
      <c r="J50" s="18"/>
    </row>
    <row r="51" spans="8:10">
      <c r="H51" s="19">
        <v>6</v>
      </c>
      <c r="I51" s="23">
        <v>15201.48</v>
      </c>
      <c r="J51" s="18"/>
    </row>
    <row r="52" spans="8:10">
      <c r="H52" s="19">
        <v>7</v>
      </c>
      <c r="I52" s="23">
        <v>6448.32</v>
      </c>
      <c r="J52" s="18"/>
    </row>
    <row r="53" spans="8:10" ht="15" thickBot="1">
      <c r="H53" s="17">
        <v>20</v>
      </c>
      <c r="I53" s="24">
        <v>10000</v>
      </c>
      <c r="J53" s="20"/>
    </row>
    <row r="106" spans="1:25">
      <c r="A106" s="3" t="s">
        <v>11</v>
      </c>
      <c r="B106" s="3" t="s">
        <v>12</v>
      </c>
      <c r="C106" s="3" t="s">
        <v>13</v>
      </c>
      <c r="D106" s="3" t="s">
        <v>14</v>
      </c>
      <c r="E106" s="3">
        <v>0</v>
      </c>
      <c r="F106" s="3">
        <v>1</v>
      </c>
      <c r="G106" s="3">
        <v>2</v>
      </c>
      <c r="H106" s="3">
        <v>3</v>
      </c>
      <c r="I106" s="3">
        <v>4</v>
      </c>
      <c r="J106" s="3">
        <v>5</v>
      </c>
      <c r="K106" s="3">
        <v>6</v>
      </c>
      <c r="L106" s="3">
        <v>7</v>
      </c>
      <c r="M106" s="3">
        <v>8</v>
      </c>
      <c r="N106" s="3">
        <v>9</v>
      </c>
      <c r="O106" s="3">
        <v>10</v>
      </c>
      <c r="P106" s="3">
        <v>11</v>
      </c>
      <c r="Q106" s="3">
        <v>12</v>
      </c>
      <c r="R106" s="3">
        <v>13</v>
      </c>
      <c r="S106" s="3">
        <v>14</v>
      </c>
      <c r="T106" s="3">
        <v>15</v>
      </c>
      <c r="U106" s="3">
        <v>16</v>
      </c>
      <c r="V106" s="3">
        <v>17</v>
      </c>
      <c r="W106" s="3">
        <v>18</v>
      </c>
      <c r="X106" s="3">
        <v>19</v>
      </c>
      <c r="Y106" s="3">
        <v>20</v>
      </c>
    </row>
    <row r="107" spans="1:25">
      <c r="A107" s="3">
        <v>0</v>
      </c>
    </row>
    <row r="108" spans="1:25">
      <c r="A108" s="3">
        <v>1</v>
      </c>
      <c r="B108" s="1">
        <f t="shared" ref="B108:B127" si="0">Face_Value*Coupon_Rate</f>
        <v>500</v>
      </c>
      <c r="D108" s="4">
        <f>B108+C108</f>
        <v>500</v>
      </c>
      <c r="E108" s="5">
        <f t="shared" ref="E108:E127" si="1">$D108/(1+Initial_Interest_Rate)^($A108-E$106)</f>
        <v>500</v>
      </c>
    </row>
    <row r="109" spans="1:25">
      <c r="A109" s="3">
        <v>2</v>
      </c>
      <c r="B109" s="1">
        <f t="shared" si="0"/>
        <v>500</v>
      </c>
      <c r="D109" s="4">
        <f t="shared" ref="D109:D127" si="2">B109+C109</f>
        <v>500</v>
      </c>
      <c r="E109" s="5">
        <f t="shared" si="1"/>
        <v>500</v>
      </c>
      <c r="F109" s="5">
        <f t="shared" ref="F109:F127" si="3">$D109/(1+Initial_Interest_Rate)^($A109-F$106)</f>
        <v>500</v>
      </c>
    </row>
    <row r="110" spans="1:25">
      <c r="A110" s="3">
        <v>3</v>
      </c>
      <c r="B110" s="1">
        <f t="shared" si="0"/>
        <v>500</v>
      </c>
      <c r="D110" s="4">
        <f t="shared" si="2"/>
        <v>500</v>
      </c>
      <c r="E110" s="5">
        <f t="shared" si="1"/>
        <v>500</v>
      </c>
      <c r="F110" s="5">
        <f t="shared" si="3"/>
        <v>500</v>
      </c>
      <c r="G110" s="5">
        <f t="shared" ref="G110:G127" si="4">$D110/(1+Initial_Interest_Rate)^($A110-G$106)</f>
        <v>500</v>
      </c>
    </row>
    <row r="111" spans="1:25">
      <c r="A111" s="3">
        <v>4</v>
      </c>
      <c r="B111" s="1">
        <f t="shared" si="0"/>
        <v>500</v>
      </c>
      <c r="D111" s="4">
        <f t="shared" si="2"/>
        <v>500</v>
      </c>
      <c r="E111" s="5">
        <f t="shared" si="1"/>
        <v>500</v>
      </c>
      <c r="F111" s="5">
        <f t="shared" si="3"/>
        <v>500</v>
      </c>
      <c r="G111" s="5">
        <f t="shared" si="4"/>
        <v>500</v>
      </c>
      <c r="H111" s="5">
        <f t="shared" ref="H111:H127" si="5">$D111/(1+Initial_Interest_Rate)^($A111-H$106)</f>
        <v>500</v>
      </c>
    </row>
    <row r="112" spans="1:25">
      <c r="A112" s="3">
        <v>5</v>
      </c>
      <c r="B112" s="1">
        <f t="shared" si="0"/>
        <v>500</v>
      </c>
      <c r="D112" s="4">
        <f t="shared" si="2"/>
        <v>500</v>
      </c>
      <c r="E112" s="5">
        <f t="shared" si="1"/>
        <v>500</v>
      </c>
      <c r="F112" s="5">
        <f t="shared" si="3"/>
        <v>500</v>
      </c>
      <c r="G112" s="5">
        <f t="shared" si="4"/>
        <v>500</v>
      </c>
      <c r="H112" s="5">
        <f t="shared" si="5"/>
        <v>500</v>
      </c>
      <c r="I112" s="5">
        <f t="shared" ref="I112:I127" si="6">$D112/(1+Initial_Interest_Rate)^($A112-I$106)</f>
        <v>500</v>
      </c>
    </row>
    <row r="113" spans="1:25">
      <c r="A113" s="3">
        <v>6</v>
      </c>
      <c r="B113" s="1">
        <f t="shared" si="0"/>
        <v>500</v>
      </c>
      <c r="D113" s="4">
        <f t="shared" si="2"/>
        <v>500</v>
      </c>
      <c r="E113" s="5">
        <f t="shared" si="1"/>
        <v>500</v>
      </c>
      <c r="F113" s="5">
        <f t="shared" si="3"/>
        <v>500</v>
      </c>
      <c r="G113" s="5">
        <f t="shared" si="4"/>
        <v>500</v>
      </c>
      <c r="H113" s="5">
        <f t="shared" si="5"/>
        <v>500</v>
      </c>
      <c r="I113" s="5">
        <f t="shared" si="6"/>
        <v>500</v>
      </c>
      <c r="J113" s="5">
        <f t="shared" ref="J113:J127" si="7">$D113/(1+Initial_Interest_Rate)^($A113-J$106)</f>
        <v>500</v>
      </c>
    </row>
    <row r="114" spans="1:25">
      <c r="A114" s="3">
        <v>7</v>
      </c>
      <c r="B114" s="1">
        <f t="shared" si="0"/>
        <v>500</v>
      </c>
      <c r="D114" s="4">
        <f t="shared" si="2"/>
        <v>500</v>
      </c>
      <c r="E114" s="5">
        <f t="shared" si="1"/>
        <v>500</v>
      </c>
      <c r="F114" s="5">
        <f t="shared" si="3"/>
        <v>500</v>
      </c>
      <c r="G114" s="5">
        <f t="shared" si="4"/>
        <v>500</v>
      </c>
      <c r="H114" s="5">
        <f t="shared" si="5"/>
        <v>500</v>
      </c>
      <c r="I114" s="5">
        <f t="shared" si="6"/>
        <v>500</v>
      </c>
      <c r="J114" s="5">
        <f t="shared" si="7"/>
        <v>500</v>
      </c>
      <c r="K114" s="5">
        <f t="shared" ref="K114:K127" si="8">$D114/(1+Initial_Interest_Rate)^($A114-K$106)</f>
        <v>500</v>
      </c>
    </row>
    <row r="115" spans="1:25">
      <c r="A115" s="3">
        <v>8</v>
      </c>
      <c r="B115" s="1">
        <f t="shared" si="0"/>
        <v>500</v>
      </c>
      <c r="D115" s="4">
        <f t="shared" si="2"/>
        <v>500</v>
      </c>
      <c r="E115" s="5">
        <f t="shared" si="1"/>
        <v>500</v>
      </c>
      <c r="F115" s="5">
        <f t="shared" si="3"/>
        <v>500</v>
      </c>
      <c r="G115" s="5">
        <f t="shared" si="4"/>
        <v>500</v>
      </c>
      <c r="H115" s="5">
        <f t="shared" si="5"/>
        <v>500</v>
      </c>
      <c r="I115" s="5">
        <f t="shared" si="6"/>
        <v>500</v>
      </c>
      <c r="J115" s="5">
        <f t="shared" si="7"/>
        <v>500</v>
      </c>
      <c r="K115" s="5">
        <f t="shared" si="8"/>
        <v>500</v>
      </c>
      <c r="L115" s="5">
        <f t="shared" ref="L115:L127" si="9">$D115/(1+Initial_Interest_Rate)^($A115-L$106)</f>
        <v>500</v>
      </c>
    </row>
    <row r="116" spans="1:25">
      <c r="A116" s="3">
        <v>9</v>
      </c>
      <c r="B116" s="1">
        <f t="shared" si="0"/>
        <v>500</v>
      </c>
      <c r="D116" s="4">
        <f t="shared" si="2"/>
        <v>500</v>
      </c>
      <c r="E116" s="5">
        <f t="shared" si="1"/>
        <v>500</v>
      </c>
      <c r="F116" s="5">
        <f t="shared" si="3"/>
        <v>500</v>
      </c>
      <c r="G116" s="5">
        <f t="shared" si="4"/>
        <v>500</v>
      </c>
      <c r="H116" s="5">
        <f t="shared" si="5"/>
        <v>500</v>
      </c>
      <c r="I116" s="5">
        <f t="shared" si="6"/>
        <v>500</v>
      </c>
      <c r="J116" s="5">
        <f t="shared" si="7"/>
        <v>500</v>
      </c>
      <c r="K116" s="5">
        <f t="shared" si="8"/>
        <v>500</v>
      </c>
      <c r="L116" s="5">
        <f t="shared" si="9"/>
        <v>500</v>
      </c>
      <c r="M116" s="5">
        <f t="shared" ref="M116:M127" si="10">$D116/(1+Initial_Interest_Rate)^($A116-M$106)</f>
        <v>500</v>
      </c>
    </row>
    <row r="117" spans="1:25">
      <c r="A117" s="3">
        <v>10</v>
      </c>
      <c r="B117" s="1">
        <f t="shared" si="0"/>
        <v>500</v>
      </c>
      <c r="D117" s="4">
        <f t="shared" si="2"/>
        <v>500</v>
      </c>
      <c r="E117" s="5">
        <f t="shared" si="1"/>
        <v>500</v>
      </c>
      <c r="F117" s="5">
        <f t="shared" si="3"/>
        <v>500</v>
      </c>
      <c r="G117" s="5">
        <f t="shared" si="4"/>
        <v>500</v>
      </c>
      <c r="H117" s="5">
        <f t="shared" si="5"/>
        <v>500</v>
      </c>
      <c r="I117" s="5">
        <f t="shared" si="6"/>
        <v>500</v>
      </c>
      <c r="J117" s="5">
        <f t="shared" si="7"/>
        <v>500</v>
      </c>
      <c r="K117" s="5">
        <f t="shared" si="8"/>
        <v>500</v>
      </c>
      <c r="L117" s="5">
        <f t="shared" si="9"/>
        <v>500</v>
      </c>
      <c r="M117" s="5">
        <f t="shared" si="10"/>
        <v>500</v>
      </c>
      <c r="N117" s="5">
        <f t="shared" ref="N117:N127" si="11">$D117/(1+Initial_Interest_Rate)^($A117-N$106)</f>
        <v>500</v>
      </c>
    </row>
    <row r="118" spans="1:25">
      <c r="A118" s="3">
        <v>11</v>
      </c>
      <c r="B118" s="1">
        <f t="shared" si="0"/>
        <v>500</v>
      </c>
      <c r="D118" s="4">
        <f t="shared" si="2"/>
        <v>500</v>
      </c>
      <c r="E118" s="5">
        <f t="shared" si="1"/>
        <v>500</v>
      </c>
      <c r="F118" s="5">
        <f t="shared" si="3"/>
        <v>500</v>
      </c>
      <c r="G118" s="5">
        <f t="shared" si="4"/>
        <v>500</v>
      </c>
      <c r="H118" s="5">
        <f t="shared" si="5"/>
        <v>500</v>
      </c>
      <c r="I118" s="5">
        <f t="shared" si="6"/>
        <v>500</v>
      </c>
      <c r="J118" s="5">
        <f t="shared" si="7"/>
        <v>500</v>
      </c>
      <c r="K118" s="5">
        <f t="shared" si="8"/>
        <v>500</v>
      </c>
      <c r="L118" s="5">
        <f t="shared" si="9"/>
        <v>500</v>
      </c>
      <c r="M118" s="5">
        <f t="shared" si="10"/>
        <v>500</v>
      </c>
      <c r="N118" s="5">
        <f t="shared" si="11"/>
        <v>500</v>
      </c>
      <c r="O118" s="5">
        <f t="shared" ref="O118:O127" si="12">$D118/(1+Initial_Interest_Rate)^($A118-O$106)</f>
        <v>500</v>
      </c>
    </row>
    <row r="119" spans="1:25">
      <c r="A119" s="3">
        <v>12</v>
      </c>
      <c r="B119" s="1">
        <f t="shared" si="0"/>
        <v>500</v>
      </c>
      <c r="D119" s="4">
        <f t="shared" si="2"/>
        <v>500</v>
      </c>
      <c r="E119" s="5">
        <f t="shared" si="1"/>
        <v>500</v>
      </c>
      <c r="F119" s="5">
        <f t="shared" si="3"/>
        <v>500</v>
      </c>
      <c r="G119" s="5">
        <f t="shared" si="4"/>
        <v>500</v>
      </c>
      <c r="H119" s="5">
        <f t="shared" si="5"/>
        <v>500</v>
      </c>
      <c r="I119" s="5">
        <f t="shared" si="6"/>
        <v>500</v>
      </c>
      <c r="J119" s="5">
        <f t="shared" si="7"/>
        <v>500</v>
      </c>
      <c r="K119" s="5">
        <f t="shared" si="8"/>
        <v>500</v>
      </c>
      <c r="L119" s="5">
        <f t="shared" si="9"/>
        <v>500</v>
      </c>
      <c r="M119" s="5">
        <f t="shared" si="10"/>
        <v>500</v>
      </c>
      <c r="N119" s="5">
        <f t="shared" si="11"/>
        <v>500</v>
      </c>
      <c r="O119" s="5">
        <f t="shared" si="12"/>
        <v>500</v>
      </c>
      <c r="P119" s="5">
        <f t="shared" ref="P119:P127" si="13">$D119/(1+Initial_Interest_Rate)^($A119-P$106)</f>
        <v>500</v>
      </c>
    </row>
    <row r="120" spans="1:25">
      <c r="A120" s="3">
        <v>13</v>
      </c>
      <c r="B120" s="1">
        <f t="shared" si="0"/>
        <v>500</v>
      </c>
      <c r="D120" s="4">
        <f t="shared" si="2"/>
        <v>500</v>
      </c>
      <c r="E120" s="5">
        <f t="shared" si="1"/>
        <v>500</v>
      </c>
      <c r="F120" s="5">
        <f t="shared" si="3"/>
        <v>500</v>
      </c>
      <c r="G120" s="5">
        <f t="shared" si="4"/>
        <v>500</v>
      </c>
      <c r="H120" s="5">
        <f t="shared" si="5"/>
        <v>500</v>
      </c>
      <c r="I120" s="5">
        <f t="shared" si="6"/>
        <v>500</v>
      </c>
      <c r="J120" s="5">
        <f t="shared" si="7"/>
        <v>500</v>
      </c>
      <c r="K120" s="5">
        <f t="shared" si="8"/>
        <v>500</v>
      </c>
      <c r="L120" s="5">
        <f t="shared" si="9"/>
        <v>500</v>
      </c>
      <c r="M120" s="5">
        <f t="shared" si="10"/>
        <v>500</v>
      </c>
      <c r="N120" s="5">
        <f t="shared" si="11"/>
        <v>500</v>
      </c>
      <c r="O120" s="5">
        <f t="shared" si="12"/>
        <v>500</v>
      </c>
      <c r="P120" s="5">
        <f t="shared" si="13"/>
        <v>500</v>
      </c>
      <c r="Q120" s="5">
        <f t="shared" ref="Q120:Q127" si="14">$D120/(1+Initial_Interest_Rate)^($A120-Q$106)</f>
        <v>500</v>
      </c>
    </row>
    <row r="121" spans="1:25">
      <c r="A121" s="3">
        <v>14</v>
      </c>
      <c r="B121" s="1">
        <f t="shared" si="0"/>
        <v>500</v>
      </c>
      <c r="D121" s="4">
        <f t="shared" si="2"/>
        <v>500</v>
      </c>
      <c r="E121" s="5">
        <f t="shared" si="1"/>
        <v>500</v>
      </c>
      <c r="F121" s="5">
        <f t="shared" si="3"/>
        <v>500</v>
      </c>
      <c r="G121" s="5">
        <f t="shared" si="4"/>
        <v>500</v>
      </c>
      <c r="H121" s="5">
        <f t="shared" si="5"/>
        <v>500</v>
      </c>
      <c r="I121" s="5">
        <f t="shared" si="6"/>
        <v>500</v>
      </c>
      <c r="J121" s="5">
        <f t="shared" si="7"/>
        <v>500</v>
      </c>
      <c r="K121" s="5">
        <f t="shared" si="8"/>
        <v>500</v>
      </c>
      <c r="L121" s="5">
        <f t="shared" si="9"/>
        <v>500</v>
      </c>
      <c r="M121" s="5">
        <f t="shared" si="10"/>
        <v>500</v>
      </c>
      <c r="N121" s="5">
        <f t="shared" si="11"/>
        <v>500</v>
      </c>
      <c r="O121" s="5">
        <f t="shared" si="12"/>
        <v>500</v>
      </c>
      <c r="P121" s="5">
        <f t="shared" si="13"/>
        <v>500</v>
      </c>
      <c r="Q121" s="5">
        <f t="shared" si="14"/>
        <v>500</v>
      </c>
      <c r="R121" s="5">
        <f t="shared" ref="R121:R127" si="15">$D121/(1+Initial_Interest_Rate)^($A121-R$106)</f>
        <v>500</v>
      </c>
    </row>
    <row r="122" spans="1:25">
      <c r="A122" s="3">
        <v>15</v>
      </c>
      <c r="B122" s="1">
        <f t="shared" si="0"/>
        <v>500</v>
      </c>
      <c r="D122" s="4">
        <f t="shared" si="2"/>
        <v>500</v>
      </c>
      <c r="E122" s="5">
        <f t="shared" si="1"/>
        <v>500</v>
      </c>
      <c r="F122" s="5">
        <f t="shared" si="3"/>
        <v>500</v>
      </c>
      <c r="G122" s="5">
        <f t="shared" si="4"/>
        <v>500</v>
      </c>
      <c r="H122" s="5">
        <f t="shared" si="5"/>
        <v>500</v>
      </c>
      <c r="I122" s="5">
        <f t="shared" si="6"/>
        <v>500</v>
      </c>
      <c r="J122" s="5">
        <f t="shared" si="7"/>
        <v>500</v>
      </c>
      <c r="K122" s="5">
        <f t="shared" si="8"/>
        <v>500</v>
      </c>
      <c r="L122" s="5">
        <f t="shared" si="9"/>
        <v>500</v>
      </c>
      <c r="M122" s="5">
        <f t="shared" si="10"/>
        <v>500</v>
      </c>
      <c r="N122" s="5">
        <f t="shared" si="11"/>
        <v>500</v>
      </c>
      <c r="O122" s="5">
        <f t="shared" si="12"/>
        <v>500</v>
      </c>
      <c r="P122" s="5">
        <f t="shared" si="13"/>
        <v>500</v>
      </c>
      <c r="Q122" s="5">
        <f t="shared" si="14"/>
        <v>500</v>
      </c>
      <c r="R122" s="5">
        <f t="shared" si="15"/>
        <v>500</v>
      </c>
      <c r="S122" s="5">
        <f t="shared" ref="S122:S127" si="16">$D122/(1+Initial_Interest_Rate)^($A122-S$106)</f>
        <v>500</v>
      </c>
    </row>
    <row r="123" spans="1:25">
      <c r="A123" s="3">
        <v>16</v>
      </c>
      <c r="B123" s="1">
        <f t="shared" si="0"/>
        <v>500</v>
      </c>
      <c r="D123" s="4">
        <f t="shared" si="2"/>
        <v>500</v>
      </c>
      <c r="E123" s="5">
        <f t="shared" si="1"/>
        <v>500</v>
      </c>
      <c r="F123" s="5">
        <f t="shared" si="3"/>
        <v>500</v>
      </c>
      <c r="G123" s="5">
        <f t="shared" si="4"/>
        <v>500</v>
      </c>
      <c r="H123" s="5">
        <f t="shared" si="5"/>
        <v>500</v>
      </c>
      <c r="I123" s="5">
        <f t="shared" si="6"/>
        <v>500</v>
      </c>
      <c r="J123" s="5">
        <f t="shared" si="7"/>
        <v>500</v>
      </c>
      <c r="K123" s="5">
        <f t="shared" si="8"/>
        <v>500</v>
      </c>
      <c r="L123" s="5">
        <f t="shared" si="9"/>
        <v>500</v>
      </c>
      <c r="M123" s="5">
        <f t="shared" si="10"/>
        <v>500</v>
      </c>
      <c r="N123" s="5">
        <f t="shared" si="11"/>
        <v>500</v>
      </c>
      <c r="O123" s="5">
        <f t="shared" si="12"/>
        <v>500</v>
      </c>
      <c r="P123" s="5">
        <f t="shared" si="13"/>
        <v>500</v>
      </c>
      <c r="Q123" s="5">
        <f t="shared" si="14"/>
        <v>500</v>
      </c>
      <c r="R123" s="5">
        <f t="shared" si="15"/>
        <v>500</v>
      </c>
      <c r="S123" s="5">
        <f t="shared" si="16"/>
        <v>500</v>
      </c>
      <c r="T123" s="5">
        <f>$D123/(1+Initial_Interest_Rate)^($A123-T$106)</f>
        <v>500</v>
      </c>
    </row>
    <row r="124" spans="1:25">
      <c r="A124" s="3">
        <v>17</v>
      </c>
      <c r="B124" s="1">
        <f t="shared" si="0"/>
        <v>500</v>
      </c>
      <c r="D124" s="4">
        <f t="shared" si="2"/>
        <v>500</v>
      </c>
      <c r="E124" s="5">
        <f t="shared" si="1"/>
        <v>500</v>
      </c>
      <c r="F124" s="5">
        <f t="shared" si="3"/>
        <v>500</v>
      </c>
      <c r="G124" s="5">
        <f t="shared" si="4"/>
        <v>500</v>
      </c>
      <c r="H124" s="5">
        <f t="shared" si="5"/>
        <v>500</v>
      </c>
      <c r="I124" s="5">
        <f t="shared" si="6"/>
        <v>500</v>
      </c>
      <c r="J124" s="5">
        <f t="shared" si="7"/>
        <v>500</v>
      </c>
      <c r="K124" s="5">
        <f t="shared" si="8"/>
        <v>500</v>
      </c>
      <c r="L124" s="5">
        <f t="shared" si="9"/>
        <v>500</v>
      </c>
      <c r="M124" s="5">
        <f t="shared" si="10"/>
        <v>500</v>
      </c>
      <c r="N124" s="5">
        <f t="shared" si="11"/>
        <v>500</v>
      </c>
      <c r="O124" s="5">
        <f t="shared" si="12"/>
        <v>500</v>
      </c>
      <c r="P124" s="5">
        <f t="shared" si="13"/>
        <v>500</v>
      </c>
      <c r="Q124" s="5">
        <f t="shared" si="14"/>
        <v>500</v>
      </c>
      <c r="R124" s="5">
        <f t="shared" si="15"/>
        <v>500</v>
      </c>
      <c r="S124" s="5">
        <f t="shared" si="16"/>
        <v>500</v>
      </c>
      <c r="T124" s="5">
        <f>$D124/(1+Initial_Interest_Rate)^($A124-T$106)</f>
        <v>500</v>
      </c>
      <c r="U124" s="5">
        <f>$D124/(1+Initial_Interest_Rate)^($A124-U$106)</f>
        <v>500</v>
      </c>
    </row>
    <row r="125" spans="1:25">
      <c r="A125" s="3">
        <v>18</v>
      </c>
      <c r="B125" s="1">
        <f t="shared" si="0"/>
        <v>500</v>
      </c>
      <c r="D125" s="4">
        <f t="shared" si="2"/>
        <v>500</v>
      </c>
      <c r="E125" s="5">
        <f t="shared" si="1"/>
        <v>500</v>
      </c>
      <c r="F125" s="5">
        <f t="shared" si="3"/>
        <v>500</v>
      </c>
      <c r="G125" s="5">
        <f t="shared" si="4"/>
        <v>500</v>
      </c>
      <c r="H125" s="5">
        <f t="shared" si="5"/>
        <v>500</v>
      </c>
      <c r="I125" s="5">
        <f t="shared" si="6"/>
        <v>500</v>
      </c>
      <c r="J125" s="5">
        <f t="shared" si="7"/>
        <v>500</v>
      </c>
      <c r="K125" s="5">
        <f t="shared" si="8"/>
        <v>500</v>
      </c>
      <c r="L125" s="5">
        <f t="shared" si="9"/>
        <v>500</v>
      </c>
      <c r="M125" s="5">
        <f t="shared" si="10"/>
        <v>500</v>
      </c>
      <c r="N125" s="5">
        <f t="shared" si="11"/>
        <v>500</v>
      </c>
      <c r="O125" s="5">
        <f t="shared" si="12"/>
        <v>500</v>
      </c>
      <c r="P125" s="5">
        <f t="shared" si="13"/>
        <v>500</v>
      </c>
      <c r="Q125" s="5">
        <f t="shared" si="14"/>
        <v>500</v>
      </c>
      <c r="R125" s="5">
        <f t="shared" si="15"/>
        <v>500</v>
      </c>
      <c r="S125" s="5">
        <f t="shared" si="16"/>
        <v>500</v>
      </c>
      <c r="T125" s="5">
        <f>$D125/(1+Initial_Interest_Rate)^($A125-T$106)</f>
        <v>500</v>
      </c>
      <c r="U125" s="5">
        <f>$D125/(1+Initial_Interest_Rate)^($A125-U$106)</f>
        <v>500</v>
      </c>
      <c r="V125" s="5">
        <f>$D125/(1+Initial_Interest_Rate)^($A125-V$106)</f>
        <v>500</v>
      </c>
    </row>
    <row r="126" spans="1:25">
      <c r="A126" s="3">
        <v>19</v>
      </c>
      <c r="B126" s="1">
        <f t="shared" si="0"/>
        <v>500</v>
      </c>
      <c r="D126" s="4">
        <f t="shared" si="2"/>
        <v>500</v>
      </c>
      <c r="E126" s="5">
        <f t="shared" si="1"/>
        <v>500</v>
      </c>
      <c r="F126" s="5">
        <f t="shared" si="3"/>
        <v>500</v>
      </c>
      <c r="G126" s="5">
        <f t="shared" si="4"/>
        <v>500</v>
      </c>
      <c r="H126" s="5">
        <f t="shared" si="5"/>
        <v>500</v>
      </c>
      <c r="I126" s="5">
        <f t="shared" si="6"/>
        <v>500</v>
      </c>
      <c r="J126" s="5">
        <f t="shared" si="7"/>
        <v>500</v>
      </c>
      <c r="K126" s="5">
        <f t="shared" si="8"/>
        <v>500</v>
      </c>
      <c r="L126" s="5">
        <f t="shared" si="9"/>
        <v>500</v>
      </c>
      <c r="M126" s="5">
        <f t="shared" si="10"/>
        <v>500</v>
      </c>
      <c r="N126" s="5">
        <f t="shared" si="11"/>
        <v>500</v>
      </c>
      <c r="O126" s="5">
        <f t="shared" si="12"/>
        <v>500</v>
      </c>
      <c r="P126" s="5">
        <f t="shared" si="13"/>
        <v>500</v>
      </c>
      <c r="Q126" s="5">
        <f t="shared" si="14"/>
        <v>500</v>
      </c>
      <c r="R126" s="5">
        <f t="shared" si="15"/>
        <v>500</v>
      </c>
      <c r="S126" s="5">
        <f t="shared" si="16"/>
        <v>500</v>
      </c>
      <c r="T126" s="5">
        <f>$D126/(1+Initial_Interest_Rate)^($A126-T$106)</f>
        <v>500</v>
      </c>
      <c r="U126" s="5">
        <f>$D126/(1+Initial_Interest_Rate)^($A126-U$106)</f>
        <v>500</v>
      </c>
      <c r="V126" s="5">
        <f>$D126/(1+Initial_Interest_Rate)^($A126-V$106)</f>
        <v>500</v>
      </c>
      <c r="W126" s="5">
        <f>$D126/(1+Initial_Interest_Rate)^($A126-W$106)</f>
        <v>500</v>
      </c>
    </row>
    <row r="127" spans="1:25">
      <c r="A127" s="3">
        <v>20</v>
      </c>
      <c r="B127" s="1">
        <f t="shared" si="0"/>
        <v>500</v>
      </c>
      <c r="C127" s="1">
        <f>Face_Value</f>
        <v>10000</v>
      </c>
      <c r="D127" s="4">
        <f t="shared" si="2"/>
        <v>10500</v>
      </c>
      <c r="E127" s="5">
        <f t="shared" si="1"/>
        <v>10500</v>
      </c>
      <c r="F127" s="5">
        <f t="shared" si="3"/>
        <v>10500</v>
      </c>
      <c r="G127" s="5">
        <f t="shared" si="4"/>
        <v>10500</v>
      </c>
      <c r="H127" s="5">
        <f t="shared" si="5"/>
        <v>10500</v>
      </c>
      <c r="I127" s="5">
        <f t="shared" si="6"/>
        <v>10500</v>
      </c>
      <c r="J127" s="5">
        <f t="shared" si="7"/>
        <v>10500</v>
      </c>
      <c r="K127" s="5">
        <f t="shared" si="8"/>
        <v>10500</v>
      </c>
      <c r="L127" s="5">
        <f t="shared" si="9"/>
        <v>10500</v>
      </c>
      <c r="M127" s="5">
        <f t="shared" si="10"/>
        <v>10500</v>
      </c>
      <c r="N127" s="5">
        <f t="shared" si="11"/>
        <v>10500</v>
      </c>
      <c r="O127" s="5">
        <f t="shared" si="12"/>
        <v>10500</v>
      </c>
      <c r="P127" s="5">
        <f t="shared" si="13"/>
        <v>10500</v>
      </c>
      <c r="Q127" s="5">
        <f t="shared" si="14"/>
        <v>10500</v>
      </c>
      <c r="R127" s="5">
        <f t="shared" si="15"/>
        <v>10500</v>
      </c>
      <c r="S127" s="5">
        <f t="shared" si="16"/>
        <v>10500</v>
      </c>
      <c r="T127" s="5">
        <f>$D127/(1+Initial_Interest_Rate)^($A127-T$106)</f>
        <v>10500</v>
      </c>
      <c r="U127" s="5">
        <f>$D127/(1+Initial_Interest_Rate)^($A127-U$106)</f>
        <v>10500</v>
      </c>
      <c r="V127" s="5">
        <f>$D127/(1+Initial_Interest_Rate)^($A127-V$106)</f>
        <v>10500</v>
      </c>
      <c r="W127" s="5">
        <f>$D127/(1+Initial_Interest_Rate)^($A127-W$106)</f>
        <v>10500</v>
      </c>
      <c r="X127" s="5">
        <f>$D127/(1+Initial_Interest_Rate)^($A127-X$106)</f>
        <v>10500</v>
      </c>
      <c r="Y127" s="5">
        <f>Face_Value</f>
        <v>10000</v>
      </c>
    </row>
    <row r="128" spans="1:25">
      <c r="E128" s="5">
        <f t="shared" ref="E128:Y128" si="17">SUM(E108:E127)</f>
        <v>20000</v>
      </c>
      <c r="F128" s="5">
        <f t="shared" si="17"/>
        <v>19500</v>
      </c>
      <c r="G128" s="5">
        <f t="shared" si="17"/>
        <v>19000</v>
      </c>
      <c r="H128" s="5">
        <f t="shared" si="17"/>
        <v>18500</v>
      </c>
      <c r="I128" s="5">
        <f t="shared" si="17"/>
        <v>18000</v>
      </c>
      <c r="J128" s="5">
        <f t="shared" si="17"/>
        <v>17500</v>
      </c>
      <c r="K128" s="5">
        <f t="shared" si="17"/>
        <v>17000</v>
      </c>
      <c r="L128" s="5">
        <f t="shared" si="17"/>
        <v>16500</v>
      </c>
      <c r="M128" s="5">
        <f t="shared" si="17"/>
        <v>16000</v>
      </c>
      <c r="N128" s="5">
        <f t="shared" si="17"/>
        <v>15500</v>
      </c>
      <c r="O128" s="5">
        <f t="shared" si="17"/>
        <v>15000</v>
      </c>
      <c r="P128" s="5">
        <f t="shared" si="17"/>
        <v>14500</v>
      </c>
      <c r="Q128" s="5">
        <f t="shared" si="17"/>
        <v>14000</v>
      </c>
      <c r="R128" s="5">
        <f t="shared" si="17"/>
        <v>13500</v>
      </c>
      <c r="S128" s="5">
        <f t="shared" si="17"/>
        <v>13000</v>
      </c>
      <c r="T128" s="5">
        <f t="shared" si="17"/>
        <v>12500</v>
      </c>
      <c r="U128" s="5">
        <f t="shared" si="17"/>
        <v>12000</v>
      </c>
      <c r="V128" s="5">
        <f t="shared" si="17"/>
        <v>11500</v>
      </c>
      <c r="W128" s="5">
        <f t="shared" si="17"/>
        <v>11000</v>
      </c>
      <c r="X128" s="5">
        <f t="shared" si="17"/>
        <v>10500</v>
      </c>
      <c r="Y128" s="5">
        <f t="shared" si="17"/>
        <v>10000</v>
      </c>
    </row>
    <row r="130" spans="1:25">
      <c r="A130" s="3" t="s">
        <v>11</v>
      </c>
      <c r="B130" s="3" t="s">
        <v>12</v>
      </c>
      <c r="C130" s="3" t="s">
        <v>13</v>
      </c>
      <c r="D130" s="3" t="s">
        <v>14</v>
      </c>
      <c r="E130" s="3">
        <v>0</v>
      </c>
      <c r="F130" s="3">
        <v>1</v>
      </c>
      <c r="G130" s="3">
        <v>2</v>
      </c>
      <c r="H130" s="3">
        <v>3</v>
      </c>
      <c r="I130" s="3">
        <v>4</v>
      </c>
      <c r="J130" s="3">
        <v>5</v>
      </c>
      <c r="K130" s="3">
        <v>6</v>
      </c>
      <c r="L130" s="3">
        <v>7</v>
      </c>
      <c r="M130" s="3">
        <v>8</v>
      </c>
      <c r="N130" s="3">
        <v>9</v>
      </c>
      <c r="O130" s="3">
        <v>10</v>
      </c>
      <c r="P130" s="3">
        <v>11</v>
      </c>
      <c r="Q130" s="3">
        <v>12</v>
      </c>
      <c r="R130" s="3">
        <v>13</v>
      </c>
      <c r="S130" s="3">
        <v>14</v>
      </c>
      <c r="T130" s="3">
        <v>15</v>
      </c>
      <c r="U130" s="3">
        <v>16</v>
      </c>
      <c r="V130" s="3">
        <v>17</v>
      </c>
      <c r="W130" s="3">
        <v>18</v>
      </c>
      <c r="X130" s="3">
        <v>19</v>
      </c>
      <c r="Y130" s="3">
        <v>20</v>
      </c>
    </row>
    <row r="131" spans="1:25">
      <c r="A131" s="3">
        <v>0</v>
      </c>
    </row>
    <row r="132" spans="1:25">
      <c r="A132" s="3">
        <v>1</v>
      </c>
      <c r="B132" s="1">
        <f t="shared" ref="B132:B151" si="18">Face_Value*Coupon_Rate</f>
        <v>500</v>
      </c>
      <c r="D132" s="4">
        <f>B132+C132</f>
        <v>500</v>
      </c>
      <c r="E132" s="5">
        <f t="shared" ref="E132:E151" si="19">$D132/(1+Initial_Interest_Rate)^($A132-E$106)</f>
        <v>500</v>
      </c>
    </row>
    <row r="133" spans="1:25">
      <c r="A133" s="3">
        <v>2</v>
      </c>
      <c r="B133" s="1">
        <f t="shared" si="18"/>
        <v>500</v>
      </c>
      <c r="D133" s="4">
        <f t="shared" ref="D133:D151" si="20">B133+C133</f>
        <v>500</v>
      </c>
      <c r="E133" s="5">
        <f t="shared" si="19"/>
        <v>500</v>
      </c>
      <c r="F133" s="5">
        <f t="shared" ref="F133:F151" si="21">$D133/(1+Initial_Interest_Rate)^($A133-F$106)</f>
        <v>500</v>
      </c>
    </row>
    <row r="134" spans="1:25">
      <c r="A134" s="3">
        <v>3</v>
      </c>
      <c r="B134" s="1">
        <f t="shared" si="18"/>
        <v>500</v>
      </c>
      <c r="D134" s="4">
        <f t="shared" si="20"/>
        <v>500</v>
      </c>
      <c r="E134" s="5">
        <f t="shared" si="19"/>
        <v>500</v>
      </c>
      <c r="F134" s="5">
        <f t="shared" si="21"/>
        <v>500</v>
      </c>
      <c r="G134" s="5">
        <f t="shared" ref="G134:G151" si="22">$D134/(1+Initial_Interest_Rate)^($A134-G$106)</f>
        <v>500</v>
      </c>
    </row>
    <row r="135" spans="1:25">
      <c r="A135" s="3">
        <v>4</v>
      </c>
      <c r="B135" s="1">
        <f t="shared" si="18"/>
        <v>500</v>
      </c>
      <c r="D135" s="4">
        <f t="shared" si="20"/>
        <v>500</v>
      </c>
      <c r="E135" s="5">
        <f t="shared" si="19"/>
        <v>500</v>
      </c>
      <c r="F135" s="5">
        <f t="shared" si="21"/>
        <v>500</v>
      </c>
      <c r="G135" s="5">
        <f t="shared" si="22"/>
        <v>500</v>
      </c>
      <c r="H135" s="5">
        <f t="shared" ref="H135:H151" si="23">$D135/(1+Initial_Interest_Rate)^($A135-H$106)</f>
        <v>500</v>
      </c>
    </row>
    <row r="136" spans="1:25">
      <c r="A136" s="3">
        <v>5</v>
      </c>
      <c r="B136" s="1">
        <f t="shared" si="18"/>
        <v>500</v>
      </c>
      <c r="D136" s="4">
        <f t="shared" si="20"/>
        <v>500</v>
      </c>
      <c r="E136" s="5">
        <f t="shared" si="19"/>
        <v>500</v>
      </c>
      <c r="F136" s="5">
        <f t="shared" si="21"/>
        <v>500</v>
      </c>
      <c r="G136" s="5">
        <f t="shared" si="22"/>
        <v>500</v>
      </c>
      <c r="H136" s="5">
        <f t="shared" si="23"/>
        <v>500</v>
      </c>
      <c r="I136" s="5">
        <f t="shared" ref="I136:I151" si="24">$D136/(1+Initial_Interest_Rate)^($A136-I$106)</f>
        <v>500</v>
      </c>
    </row>
    <row r="137" spans="1:25">
      <c r="A137" s="3">
        <v>6</v>
      </c>
      <c r="B137" s="1">
        <f t="shared" si="18"/>
        <v>500</v>
      </c>
      <c r="D137" s="4">
        <f t="shared" si="20"/>
        <v>500</v>
      </c>
      <c r="E137" s="5">
        <f t="shared" si="19"/>
        <v>500</v>
      </c>
      <c r="F137" s="5">
        <f t="shared" si="21"/>
        <v>500</v>
      </c>
      <c r="G137" s="5">
        <f t="shared" si="22"/>
        <v>500</v>
      </c>
      <c r="H137" s="5">
        <f t="shared" si="23"/>
        <v>500</v>
      </c>
      <c r="I137" s="5">
        <f t="shared" si="24"/>
        <v>500</v>
      </c>
      <c r="J137" s="5">
        <f t="shared" ref="J137:J151" si="25">$D137/(1+Initial_Interest_Rate)^($A137-J$106)</f>
        <v>500</v>
      </c>
    </row>
    <row r="138" spans="1:25">
      <c r="A138" s="3">
        <v>7</v>
      </c>
      <c r="B138" s="1">
        <f t="shared" si="18"/>
        <v>500</v>
      </c>
      <c r="D138" s="4">
        <f t="shared" si="20"/>
        <v>500</v>
      </c>
      <c r="E138" s="5">
        <f t="shared" si="19"/>
        <v>500</v>
      </c>
      <c r="F138" s="5">
        <f t="shared" si="21"/>
        <v>500</v>
      </c>
      <c r="G138" s="5">
        <f t="shared" si="22"/>
        <v>500</v>
      </c>
      <c r="H138" s="5">
        <f t="shared" si="23"/>
        <v>500</v>
      </c>
      <c r="I138" s="5">
        <f t="shared" si="24"/>
        <v>500</v>
      </c>
      <c r="J138" s="5">
        <f t="shared" si="25"/>
        <v>500</v>
      </c>
      <c r="K138" s="5">
        <f t="shared" ref="K138:K151" si="26">$D138/(1+Initial_Interest_Rate)^($A138-K$106)</f>
        <v>500</v>
      </c>
    </row>
    <row r="139" spans="1:25">
      <c r="A139" s="3">
        <v>8</v>
      </c>
      <c r="B139" s="1">
        <f t="shared" si="18"/>
        <v>500</v>
      </c>
      <c r="D139" s="4">
        <f t="shared" si="20"/>
        <v>500</v>
      </c>
      <c r="E139" s="5">
        <f t="shared" si="19"/>
        <v>500</v>
      </c>
      <c r="F139" s="5">
        <f t="shared" si="21"/>
        <v>500</v>
      </c>
      <c r="G139" s="5">
        <f t="shared" si="22"/>
        <v>500</v>
      </c>
      <c r="H139" s="5">
        <f t="shared" si="23"/>
        <v>500</v>
      </c>
      <c r="I139" s="5">
        <f t="shared" si="24"/>
        <v>500</v>
      </c>
      <c r="J139" s="5">
        <f t="shared" si="25"/>
        <v>500</v>
      </c>
      <c r="K139" s="5">
        <f t="shared" si="26"/>
        <v>500</v>
      </c>
      <c r="L139" s="5">
        <f t="shared" ref="L139:L151" si="27">$D139/(1+New_Interest_Rate)^($A139-L$106)</f>
        <v>495.04950495049502</v>
      </c>
    </row>
    <row r="140" spans="1:25">
      <c r="A140" s="3">
        <v>9</v>
      </c>
      <c r="B140" s="1">
        <f t="shared" si="18"/>
        <v>500</v>
      </c>
      <c r="D140" s="4">
        <f t="shared" si="20"/>
        <v>500</v>
      </c>
      <c r="E140" s="5">
        <f t="shared" si="19"/>
        <v>500</v>
      </c>
      <c r="F140" s="5">
        <f t="shared" si="21"/>
        <v>500</v>
      </c>
      <c r="G140" s="5">
        <f t="shared" si="22"/>
        <v>500</v>
      </c>
      <c r="H140" s="5">
        <f t="shared" si="23"/>
        <v>500</v>
      </c>
      <c r="I140" s="5">
        <f t="shared" si="24"/>
        <v>500</v>
      </c>
      <c r="J140" s="5">
        <f t="shared" si="25"/>
        <v>500</v>
      </c>
      <c r="K140" s="5">
        <f t="shared" si="26"/>
        <v>500</v>
      </c>
      <c r="L140" s="5">
        <f t="shared" si="27"/>
        <v>490.14802470346046</v>
      </c>
      <c r="M140" s="5">
        <f t="shared" ref="M140:M151" si="28">$D140/(1+New_Interest_Rate)^($A140-M$106)</f>
        <v>495.04950495049502</v>
      </c>
    </row>
    <row r="141" spans="1:25">
      <c r="A141" s="3">
        <v>10</v>
      </c>
      <c r="B141" s="1">
        <f t="shared" si="18"/>
        <v>500</v>
      </c>
      <c r="D141" s="4">
        <f t="shared" si="20"/>
        <v>500</v>
      </c>
      <c r="E141" s="5">
        <f t="shared" si="19"/>
        <v>500</v>
      </c>
      <c r="F141" s="5">
        <f t="shared" si="21"/>
        <v>500</v>
      </c>
      <c r="G141" s="5">
        <f t="shared" si="22"/>
        <v>500</v>
      </c>
      <c r="H141" s="5">
        <f t="shared" si="23"/>
        <v>500</v>
      </c>
      <c r="I141" s="5">
        <f t="shared" si="24"/>
        <v>500</v>
      </c>
      <c r="J141" s="5">
        <f t="shared" si="25"/>
        <v>500</v>
      </c>
      <c r="K141" s="5">
        <f t="shared" si="26"/>
        <v>500</v>
      </c>
      <c r="L141" s="5">
        <f t="shared" si="27"/>
        <v>485.29507396382229</v>
      </c>
      <c r="M141" s="5">
        <f t="shared" si="28"/>
        <v>490.14802470346046</v>
      </c>
      <c r="N141" s="5">
        <f t="shared" ref="N141:N151" si="29">$D141/(1+New_Interest_Rate)^($A141-N$106)</f>
        <v>495.04950495049502</v>
      </c>
    </row>
    <row r="142" spans="1:25">
      <c r="A142" s="3">
        <v>11</v>
      </c>
      <c r="B142" s="1">
        <f t="shared" si="18"/>
        <v>500</v>
      </c>
      <c r="D142" s="4">
        <f t="shared" si="20"/>
        <v>500</v>
      </c>
      <c r="E142" s="5">
        <f t="shared" si="19"/>
        <v>500</v>
      </c>
      <c r="F142" s="5">
        <f t="shared" si="21"/>
        <v>500</v>
      </c>
      <c r="G142" s="5">
        <f t="shared" si="22"/>
        <v>500</v>
      </c>
      <c r="H142" s="5">
        <f t="shared" si="23"/>
        <v>500</v>
      </c>
      <c r="I142" s="5">
        <f t="shared" si="24"/>
        <v>500</v>
      </c>
      <c r="J142" s="5">
        <f t="shared" si="25"/>
        <v>500</v>
      </c>
      <c r="K142" s="5">
        <f t="shared" si="26"/>
        <v>500</v>
      </c>
      <c r="L142" s="5">
        <f t="shared" si="27"/>
        <v>480.49017224140812</v>
      </c>
      <c r="M142" s="5">
        <f t="shared" si="28"/>
        <v>485.29507396382229</v>
      </c>
      <c r="N142" s="5">
        <f t="shared" si="29"/>
        <v>490.14802470346046</v>
      </c>
      <c r="O142" s="5">
        <f t="shared" ref="O142:O151" si="30">$D142/(1+New_Interest_Rate)^($A142-O$106)</f>
        <v>495.04950495049502</v>
      </c>
    </row>
    <row r="143" spans="1:25">
      <c r="A143" s="3">
        <v>12</v>
      </c>
      <c r="B143" s="1">
        <f t="shared" si="18"/>
        <v>500</v>
      </c>
      <c r="D143" s="4">
        <f t="shared" si="20"/>
        <v>500</v>
      </c>
      <c r="E143" s="5">
        <f t="shared" si="19"/>
        <v>500</v>
      </c>
      <c r="F143" s="5">
        <f t="shared" si="21"/>
        <v>500</v>
      </c>
      <c r="G143" s="5">
        <f t="shared" si="22"/>
        <v>500</v>
      </c>
      <c r="H143" s="5">
        <f t="shared" si="23"/>
        <v>500</v>
      </c>
      <c r="I143" s="5">
        <f t="shared" si="24"/>
        <v>500</v>
      </c>
      <c r="J143" s="5">
        <f t="shared" si="25"/>
        <v>500</v>
      </c>
      <c r="K143" s="5">
        <f t="shared" si="26"/>
        <v>500</v>
      </c>
      <c r="L143" s="5">
        <f t="shared" si="27"/>
        <v>475.73284380337441</v>
      </c>
      <c r="M143" s="5">
        <f t="shared" si="28"/>
        <v>480.49017224140812</v>
      </c>
      <c r="N143" s="5">
        <f t="shared" si="29"/>
        <v>485.29507396382229</v>
      </c>
      <c r="O143" s="5">
        <f t="shared" si="30"/>
        <v>490.14802470346046</v>
      </c>
      <c r="P143" s="5">
        <f t="shared" ref="P143:P151" si="31">$D143/(1+New_Interest_Rate)^($A143-P$106)</f>
        <v>495.04950495049502</v>
      </c>
    </row>
    <row r="144" spans="1:25">
      <c r="A144" s="3">
        <v>13</v>
      </c>
      <c r="B144" s="1">
        <f t="shared" si="18"/>
        <v>500</v>
      </c>
      <c r="D144" s="4">
        <f t="shared" si="20"/>
        <v>500</v>
      </c>
      <c r="E144" s="5">
        <f t="shared" si="19"/>
        <v>500</v>
      </c>
      <c r="F144" s="5">
        <f t="shared" si="21"/>
        <v>500</v>
      </c>
      <c r="G144" s="5">
        <f t="shared" si="22"/>
        <v>500</v>
      </c>
      <c r="H144" s="5">
        <f t="shared" si="23"/>
        <v>500</v>
      </c>
      <c r="I144" s="5">
        <f t="shared" si="24"/>
        <v>500</v>
      </c>
      <c r="J144" s="5">
        <f t="shared" si="25"/>
        <v>500</v>
      </c>
      <c r="K144" s="5">
        <f t="shared" si="26"/>
        <v>500</v>
      </c>
      <c r="L144" s="5">
        <f t="shared" si="27"/>
        <v>471.02261762710333</v>
      </c>
      <c r="M144" s="5">
        <f t="shared" si="28"/>
        <v>475.73284380337441</v>
      </c>
      <c r="N144" s="5">
        <f t="shared" si="29"/>
        <v>480.49017224140812</v>
      </c>
      <c r="O144" s="5">
        <f t="shared" si="30"/>
        <v>485.29507396382229</v>
      </c>
      <c r="P144" s="5">
        <f t="shared" si="31"/>
        <v>490.14802470346046</v>
      </c>
      <c r="Q144" s="5">
        <f t="shared" ref="Q144:Q151" si="32">$D144/(1+New_Interest_Rate)^($A144-Q$106)</f>
        <v>495.04950495049502</v>
      </c>
    </row>
    <row r="145" spans="1:25">
      <c r="A145" s="3">
        <v>14</v>
      </c>
      <c r="B145" s="1">
        <f t="shared" si="18"/>
        <v>500</v>
      </c>
      <c r="D145" s="4">
        <f t="shared" si="20"/>
        <v>500</v>
      </c>
      <c r="E145" s="5">
        <f t="shared" si="19"/>
        <v>500</v>
      </c>
      <c r="F145" s="5">
        <f t="shared" si="21"/>
        <v>500</v>
      </c>
      <c r="G145" s="5">
        <f t="shared" si="22"/>
        <v>500</v>
      </c>
      <c r="H145" s="5">
        <f t="shared" si="23"/>
        <v>500</v>
      </c>
      <c r="I145" s="5">
        <f t="shared" si="24"/>
        <v>500</v>
      </c>
      <c r="J145" s="5">
        <f t="shared" si="25"/>
        <v>500</v>
      </c>
      <c r="K145" s="5">
        <f t="shared" si="26"/>
        <v>500</v>
      </c>
      <c r="L145" s="5">
        <f t="shared" si="27"/>
        <v>466.35902735356774</v>
      </c>
      <c r="M145" s="5">
        <f t="shared" si="28"/>
        <v>471.02261762710333</v>
      </c>
      <c r="N145" s="5">
        <f t="shared" si="29"/>
        <v>475.73284380337441</v>
      </c>
      <c r="O145" s="5">
        <f t="shared" si="30"/>
        <v>480.49017224140812</v>
      </c>
      <c r="P145" s="5">
        <f t="shared" si="31"/>
        <v>485.29507396382229</v>
      </c>
      <c r="Q145" s="5">
        <f t="shared" si="32"/>
        <v>490.14802470346046</v>
      </c>
      <c r="R145" s="5">
        <f t="shared" ref="R145:R151" si="33">$D145/(1+New_Interest_Rate)^($A145-R$106)</f>
        <v>495.04950495049502</v>
      </c>
    </row>
    <row r="146" spans="1:25">
      <c r="A146" s="3">
        <v>15</v>
      </c>
      <c r="B146" s="1">
        <f t="shared" si="18"/>
        <v>500</v>
      </c>
      <c r="D146" s="4">
        <f t="shared" si="20"/>
        <v>500</v>
      </c>
      <c r="E146" s="5">
        <f t="shared" si="19"/>
        <v>500</v>
      </c>
      <c r="F146" s="5">
        <f t="shared" si="21"/>
        <v>500</v>
      </c>
      <c r="G146" s="5">
        <f t="shared" si="22"/>
        <v>500</v>
      </c>
      <c r="H146" s="5">
        <f t="shared" si="23"/>
        <v>500</v>
      </c>
      <c r="I146" s="5">
        <f t="shared" si="24"/>
        <v>500</v>
      </c>
      <c r="J146" s="5">
        <f t="shared" si="25"/>
        <v>500</v>
      </c>
      <c r="K146" s="5">
        <f t="shared" si="26"/>
        <v>500</v>
      </c>
      <c r="L146" s="5">
        <f t="shared" si="27"/>
        <v>461.74161124115608</v>
      </c>
      <c r="M146" s="5">
        <f t="shared" si="28"/>
        <v>466.35902735356774</v>
      </c>
      <c r="N146" s="5">
        <f t="shared" si="29"/>
        <v>471.02261762710333</v>
      </c>
      <c r="O146" s="5">
        <f t="shared" si="30"/>
        <v>475.73284380337441</v>
      </c>
      <c r="P146" s="5">
        <f t="shared" si="31"/>
        <v>480.49017224140812</v>
      </c>
      <c r="Q146" s="5">
        <f t="shared" si="32"/>
        <v>485.29507396382229</v>
      </c>
      <c r="R146" s="5">
        <f t="shared" si="33"/>
        <v>490.14802470346046</v>
      </c>
      <c r="S146" s="5">
        <f t="shared" ref="S146:S151" si="34">$D146/(1+New_Interest_Rate)^($A146-S$106)</f>
        <v>495.04950495049502</v>
      </c>
    </row>
    <row r="147" spans="1:25">
      <c r="A147" s="3">
        <v>16</v>
      </c>
      <c r="B147" s="1">
        <f t="shared" si="18"/>
        <v>500</v>
      </c>
      <c r="D147" s="4">
        <f t="shared" si="20"/>
        <v>500</v>
      </c>
      <c r="E147" s="5">
        <f t="shared" si="19"/>
        <v>500</v>
      </c>
      <c r="F147" s="5">
        <f t="shared" si="21"/>
        <v>500</v>
      </c>
      <c r="G147" s="5">
        <f t="shared" si="22"/>
        <v>500</v>
      </c>
      <c r="H147" s="5">
        <f t="shared" si="23"/>
        <v>500</v>
      </c>
      <c r="I147" s="5">
        <f t="shared" si="24"/>
        <v>500</v>
      </c>
      <c r="J147" s="5">
        <f t="shared" si="25"/>
        <v>500</v>
      </c>
      <c r="K147" s="5">
        <f t="shared" si="26"/>
        <v>500</v>
      </c>
      <c r="L147" s="5">
        <f t="shared" si="27"/>
        <v>457.16991211995645</v>
      </c>
      <c r="M147" s="5">
        <f t="shared" si="28"/>
        <v>461.74161124115608</v>
      </c>
      <c r="N147" s="5">
        <f t="shared" si="29"/>
        <v>466.35902735356774</v>
      </c>
      <c r="O147" s="5">
        <f t="shared" si="30"/>
        <v>471.02261762710333</v>
      </c>
      <c r="P147" s="5">
        <f t="shared" si="31"/>
        <v>475.73284380337441</v>
      </c>
      <c r="Q147" s="5">
        <f t="shared" si="32"/>
        <v>480.49017224140812</v>
      </c>
      <c r="R147" s="5">
        <f t="shared" si="33"/>
        <v>485.29507396382229</v>
      </c>
      <c r="S147" s="5">
        <f t="shared" si="34"/>
        <v>490.14802470346046</v>
      </c>
      <c r="T147" s="5">
        <f>$D147/(1+New_Interest_Rate)^($A147-T$106)</f>
        <v>495.04950495049502</v>
      </c>
    </row>
    <row r="148" spans="1:25">
      <c r="A148" s="3">
        <v>17</v>
      </c>
      <c r="B148" s="1">
        <f t="shared" si="18"/>
        <v>500</v>
      </c>
      <c r="D148" s="4">
        <f t="shared" si="20"/>
        <v>500</v>
      </c>
      <c r="E148" s="5">
        <f t="shared" si="19"/>
        <v>500</v>
      </c>
      <c r="F148" s="5">
        <f t="shared" si="21"/>
        <v>500</v>
      </c>
      <c r="G148" s="5">
        <f t="shared" si="22"/>
        <v>500</v>
      </c>
      <c r="H148" s="5">
        <f t="shared" si="23"/>
        <v>500</v>
      </c>
      <c r="I148" s="5">
        <f t="shared" si="24"/>
        <v>500</v>
      </c>
      <c r="J148" s="5">
        <f t="shared" si="25"/>
        <v>500</v>
      </c>
      <c r="K148" s="5">
        <f t="shared" si="26"/>
        <v>500</v>
      </c>
      <c r="L148" s="5">
        <f t="shared" si="27"/>
        <v>452.64347734649152</v>
      </c>
      <c r="M148" s="5">
        <f t="shared" si="28"/>
        <v>457.16991211995645</v>
      </c>
      <c r="N148" s="5">
        <f t="shared" si="29"/>
        <v>461.74161124115608</v>
      </c>
      <c r="O148" s="5">
        <f t="shared" si="30"/>
        <v>466.35902735356774</v>
      </c>
      <c r="P148" s="5">
        <f t="shared" si="31"/>
        <v>471.02261762710333</v>
      </c>
      <c r="Q148" s="5">
        <f t="shared" si="32"/>
        <v>475.73284380337441</v>
      </c>
      <c r="R148" s="5">
        <f t="shared" si="33"/>
        <v>480.49017224140812</v>
      </c>
      <c r="S148" s="5">
        <f t="shared" si="34"/>
        <v>485.29507396382229</v>
      </c>
      <c r="T148" s="5">
        <f>$D148/(1+New_Interest_Rate)^($A148-T$106)</f>
        <v>490.14802470346046</v>
      </c>
      <c r="U148" s="5">
        <f>$D148/(1+New_Interest_Rate)^($A148-U$106)</f>
        <v>495.04950495049502</v>
      </c>
    </row>
    <row r="149" spans="1:25">
      <c r="A149" s="3">
        <v>18</v>
      </c>
      <c r="B149" s="1">
        <f t="shared" si="18"/>
        <v>500</v>
      </c>
      <c r="D149" s="4">
        <f t="shared" si="20"/>
        <v>500</v>
      </c>
      <c r="E149" s="5">
        <f t="shared" si="19"/>
        <v>500</v>
      </c>
      <c r="F149" s="5">
        <f t="shared" si="21"/>
        <v>500</v>
      </c>
      <c r="G149" s="5">
        <f t="shared" si="22"/>
        <v>500</v>
      </c>
      <c r="H149" s="5">
        <f t="shared" si="23"/>
        <v>500</v>
      </c>
      <c r="I149" s="5">
        <f t="shared" si="24"/>
        <v>500</v>
      </c>
      <c r="J149" s="5">
        <f t="shared" si="25"/>
        <v>500</v>
      </c>
      <c r="K149" s="5">
        <f t="shared" si="26"/>
        <v>500</v>
      </c>
      <c r="L149" s="5">
        <f t="shared" si="27"/>
        <v>448.16185875890261</v>
      </c>
      <c r="M149" s="5">
        <f t="shared" si="28"/>
        <v>452.64347734649152</v>
      </c>
      <c r="N149" s="5">
        <f t="shared" si="29"/>
        <v>457.16991211995645</v>
      </c>
      <c r="O149" s="5">
        <f t="shared" si="30"/>
        <v>461.74161124115608</v>
      </c>
      <c r="P149" s="5">
        <f t="shared" si="31"/>
        <v>466.35902735356774</v>
      </c>
      <c r="Q149" s="5">
        <f t="shared" si="32"/>
        <v>471.02261762710333</v>
      </c>
      <c r="R149" s="5">
        <f t="shared" si="33"/>
        <v>475.73284380337441</v>
      </c>
      <c r="S149" s="5">
        <f t="shared" si="34"/>
        <v>480.49017224140812</v>
      </c>
      <c r="T149" s="5">
        <f>$D149/(1+New_Interest_Rate)^($A149-T$106)</f>
        <v>485.29507396382229</v>
      </c>
      <c r="U149" s="5">
        <f>$D149/(1+New_Interest_Rate)^($A149-U$106)</f>
        <v>490.14802470346046</v>
      </c>
      <c r="V149" s="5">
        <f>$D149/(1+New_Interest_Rate)^($A149-V$106)</f>
        <v>495.04950495049502</v>
      </c>
    </row>
    <row r="150" spans="1:25">
      <c r="A150" s="3">
        <v>19</v>
      </c>
      <c r="B150" s="1">
        <f t="shared" si="18"/>
        <v>500</v>
      </c>
      <c r="D150" s="4">
        <f t="shared" si="20"/>
        <v>500</v>
      </c>
      <c r="E150" s="5">
        <f t="shared" si="19"/>
        <v>500</v>
      </c>
      <c r="F150" s="5">
        <f t="shared" si="21"/>
        <v>500</v>
      </c>
      <c r="G150" s="5">
        <f t="shared" si="22"/>
        <v>500</v>
      </c>
      <c r="H150" s="5">
        <f t="shared" si="23"/>
        <v>500</v>
      </c>
      <c r="I150" s="5">
        <f t="shared" si="24"/>
        <v>500</v>
      </c>
      <c r="J150" s="5">
        <f t="shared" si="25"/>
        <v>500</v>
      </c>
      <c r="K150" s="5">
        <f t="shared" si="26"/>
        <v>500</v>
      </c>
      <c r="L150" s="5">
        <f t="shared" si="27"/>
        <v>443.72461263257685</v>
      </c>
      <c r="M150" s="5">
        <f t="shared" si="28"/>
        <v>448.16185875890261</v>
      </c>
      <c r="N150" s="5">
        <f t="shared" si="29"/>
        <v>452.64347734649152</v>
      </c>
      <c r="O150" s="5">
        <f t="shared" si="30"/>
        <v>457.16991211995645</v>
      </c>
      <c r="P150" s="5">
        <f t="shared" si="31"/>
        <v>461.74161124115608</v>
      </c>
      <c r="Q150" s="5">
        <f t="shared" si="32"/>
        <v>466.35902735356774</v>
      </c>
      <c r="R150" s="5">
        <f t="shared" si="33"/>
        <v>471.02261762710333</v>
      </c>
      <c r="S150" s="5">
        <f t="shared" si="34"/>
        <v>475.73284380337441</v>
      </c>
      <c r="T150" s="5">
        <f>$D150/(1+New_Interest_Rate)^($A150-T$106)</f>
        <v>480.49017224140812</v>
      </c>
      <c r="U150" s="5">
        <f>$D150/(1+New_Interest_Rate)^($A150-U$106)</f>
        <v>485.29507396382229</v>
      </c>
      <c r="V150" s="5">
        <f>$D150/(1+New_Interest_Rate)^($A150-V$106)</f>
        <v>490.14802470346046</v>
      </c>
      <c r="W150" s="5">
        <f>$D150/(1+New_Interest_Rate)^($A150-W$106)</f>
        <v>495.04950495049502</v>
      </c>
    </row>
    <row r="151" spans="1:25">
      <c r="A151" s="3">
        <v>20</v>
      </c>
      <c r="B151" s="1">
        <f t="shared" si="18"/>
        <v>500</v>
      </c>
      <c r="C151" s="1">
        <f>Face_Value</f>
        <v>10000</v>
      </c>
      <c r="D151" s="4">
        <f t="shared" si="20"/>
        <v>10500</v>
      </c>
      <c r="E151" s="5">
        <f t="shared" si="19"/>
        <v>10500</v>
      </c>
      <c r="F151" s="5">
        <f t="shared" si="21"/>
        <v>10500</v>
      </c>
      <c r="G151" s="5">
        <f t="shared" si="22"/>
        <v>10500</v>
      </c>
      <c r="H151" s="5">
        <f t="shared" si="23"/>
        <v>10500</v>
      </c>
      <c r="I151" s="5">
        <f t="shared" si="24"/>
        <v>10500</v>
      </c>
      <c r="J151" s="5">
        <f t="shared" si="25"/>
        <v>10500</v>
      </c>
      <c r="K151" s="5">
        <f t="shared" si="26"/>
        <v>10500</v>
      </c>
      <c r="L151" s="5">
        <f t="shared" si="27"/>
        <v>9225.9572923605083</v>
      </c>
      <c r="M151" s="5">
        <f t="shared" si="28"/>
        <v>9318.2168652841137</v>
      </c>
      <c r="N151" s="5">
        <f t="shared" si="29"/>
        <v>9411.3990339369557</v>
      </c>
      <c r="O151" s="5">
        <f t="shared" si="30"/>
        <v>9505.5130242763225</v>
      </c>
      <c r="P151" s="5">
        <f t="shared" si="31"/>
        <v>9600.5681545190855</v>
      </c>
      <c r="Q151" s="5">
        <f t="shared" si="32"/>
        <v>9696.5738360642772</v>
      </c>
      <c r="R151" s="5">
        <f t="shared" si="33"/>
        <v>9793.5395744249236</v>
      </c>
      <c r="S151" s="5">
        <f t="shared" si="34"/>
        <v>9891.474970169169</v>
      </c>
      <c r="T151" s="5">
        <f>$D151/(1+New_Interest_Rate)^($A151-T$106)</f>
        <v>9990.3897198708637</v>
      </c>
      <c r="U151" s="5">
        <f>$D151/(1+New_Interest_Rate)^($A151-U$106)</f>
        <v>10090.29361706957</v>
      </c>
      <c r="V151" s="5">
        <f>$D151/(1+New_Interest_Rate)^($A151-V$106)</f>
        <v>10191.196553240268</v>
      </c>
      <c r="W151" s="5">
        <f>$D151/(1+New_Interest_Rate)^($A151-W$106)</f>
        <v>10293.108518772669</v>
      </c>
      <c r="X151" s="5">
        <f>$D151/(1+New_Interest_Rate)^($A151-X$106)</f>
        <v>10396.039603960397</v>
      </c>
      <c r="Y151" s="5">
        <f>Face_Value</f>
        <v>10000</v>
      </c>
    </row>
    <row r="152" spans="1:25">
      <c r="E152" s="5">
        <f t="shared" ref="E152:Y152" si="35">SUM(E132:E151)</f>
        <v>20000</v>
      </c>
      <c r="F152" s="5">
        <f t="shared" si="35"/>
        <v>19500</v>
      </c>
      <c r="G152" s="5">
        <f t="shared" si="35"/>
        <v>19000</v>
      </c>
      <c r="H152" s="5">
        <f t="shared" si="35"/>
        <v>18500</v>
      </c>
      <c r="I152" s="5">
        <f t="shared" si="35"/>
        <v>18000</v>
      </c>
      <c r="J152" s="5">
        <f t="shared" si="35"/>
        <v>17500</v>
      </c>
      <c r="K152" s="5">
        <f t="shared" si="35"/>
        <v>17000</v>
      </c>
      <c r="L152" s="5">
        <f t="shared" si="35"/>
        <v>14853.496029102824</v>
      </c>
      <c r="M152" s="5">
        <f t="shared" si="35"/>
        <v>14502.030989393852</v>
      </c>
      <c r="N152" s="5">
        <f t="shared" si="35"/>
        <v>14147.051299287792</v>
      </c>
      <c r="O152" s="5">
        <f t="shared" si="35"/>
        <v>13788.521812280665</v>
      </c>
      <c r="P152" s="5">
        <f t="shared" si="35"/>
        <v>13426.407030403472</v>
      </c>
      <c r="Q152" s="5">
        <f t="shared" si="35"/>
        <v>13060.671100707508</v>
      </c>
      <c r="R152" s="5">
        <f t="shared" si="35"/>
        <v>12691.277811714586</v>
      </c>
      <c r="S152" s="5">
        <f t="shared" si="35"/>
        <v>12318.190589831729</v>
      </c>
      <c r="T152" s="5">
        <f t="shared" si="35"/>
        <v>11941.372495730049</v>
      </c>
      <c r="U152" s="5">
        <f t="shared" si="35"/>
        <v>11560.786220687349</v>
      </c>
      <c r="V152" s="5">
        <f t="shared" si="35"/>
        <v>11176.394082894223</v>
      </c>
      <c r="W152" s="5">
        <f t="shared" si="35"/>
        <v>10788.158023723165</v>
      </c>
      <c r="X152" s="5">
        <f t="shared" si="35"/>
        <v>10396.039603960397</v>
      </c>
      <c r="Y152" s="5">
        <f t="shared" si="35"/>
        <v>10000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Scroll Bar 1">
              <controlPr defaultSize="0" autoPict="0">
                <anchor moveWithCells="1">
                  <from>
                    <xdr:col>2</xdr:col>
                    <xdr:colOff>38100</xdr:colOff>
                    <xdr:row>35</xdr:row>
                    <xdr:rowOff>0</xdr:rowOff>
                  </from>
                  <to>
                    <xdr:col>6</xdr:col>
                    <xdr:colOff>464820</xdr:colOff>
                    <xdr:row>38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Scroll Bar 2">
              <controlPr defaultSize="0" autoPict="0">
                <anchor moveWithCells="1">
                  <from>
                    <xdr:col>2</xdr:col>
                    <xdr:colOff>45720</xdr:colOff>
                    <xdr:row>40</xdr:row>
                    <xdr:rowOff>160020</xdr:rowOff>
                  </from>
                  <to>
                    <xdr:col>6</xdr:col>
                    <xdr:colOff>411480</xdr:colOff>
                    <xdr:row>44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Antle, Rick</dc:creator>
  <cp:keywords/>
  <dc:description/>
  <cp:lastModifiedBy>Antle, Rick</cp:lastModifiedBy>
  <cp:revision/>
  <dcterms:created xsi:type="dcterms:W3CDTF">2020-01-28T21:19:47Z</dcterms:created>
  <dcterms:modified xsi:type="dcterms:W3CDTF">2026-01-22T21:00:56Z</dcterms:modified>
  <cp:category/>
  <cp:contentStatus/>
</cp:coreProperties>
</file>