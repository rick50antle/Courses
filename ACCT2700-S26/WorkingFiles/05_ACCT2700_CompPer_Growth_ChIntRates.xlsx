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05-Changing-Interest-Rates/"/>
    </mc:Choice>
  </mc:AlternateContent>
  <xr:revisionPtr revIDLastSave="391" documentId="8_{BEDAC88A-B651-4B82-ADC8-4EFE6C49CBAD}" xr6:coauthVersionLast="47" xr6:coauthVersionMax="47" xr10:uidLastSave="{EA53C7BD-9C26-487B-8CDB-6DBDF3B983DE}"/>
  <bookViews>
    <workbookView xWindow="435" yWindow="6585" windowWidth="21600" windowHeight="11235" firstSheet="5" activeTab="8" xr2:uid="{A22D40B7-E36A-48B3-B091-B043F5510C2E}"/>
  </bookViews>
  <sheets>
    <sheet name="CouponBond" sheetId="9" r:id="rId1"/>
    <sheet name="CompoundingPeriodClass" sheetId="6" r:id="rId2"/>
    <sheet name="PerpetuityClass" sheetId="7" r:id="rId3"/>
    <sheet name="GrowingPerpetuityClass" sheetId="8" r:id="rId4"/>
    <sheet name="PerpetuityChRates" sheetId="3" r:id="rId5"/>
    <sheet name="ZeroCouponBondChRates" sheetId="4" r:id="rId6"/>
    <sheet name="CompoundingPeriod" sheetId="5" r:id="rId7"/>
    <sheet name="Perpetuity" sheetId="2" r:id="rId8"/>
    <sheet name="GrowingPerpetuity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" i="8" l="1"/>
  <c r="D8" i="8"/>
  <c r="D11" i="8" s="1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28" i="3"/>
  <c r="W6" i="3"/>
  <c r="T7" i="3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V6" i="3"/>
  <c r="G10" i="6"/>
  <c r="A14" i="4"/>
  <c r="A8" i="4"/>
  <c r="A9" i="4"/>
  <c r="A10" i="4" s="1"/>
  <c r="A11" i="4" s="1"/>
  <c r="A12" i="4" s="1"/>
  <c r="A13" i="4" s="1"/>
  <c r="A7" i="4"/>
  <c r="C8" i="4"/>
  <c r="C7" i="4"/>
  <c r="C6" i="4"/>
  <c r="A8" i="3"/>
  <c r="A10" i="3"/>
  <c r="A7" i="3"/>
  <c r="C9" i="3"/>
  <c r="C8" i="3"/>
  <c r="C7" i="3"/>
  <c r="C6" i="3"/>
  <c r="H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10" i="8"/>
  <c r="D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10" i="8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E9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D8" i="7"/>
  <c r="G5" i="6"/>
  <c r="C11" i="6"/>
  <c r="C10" i="6"/>
  <c r="C9" i="6"/>
  <c r="C8" i="6"/>
  <c r="C7" i="6"/>
  <c r="C6" i="6"/>
  <c r="D26" i="9"/>
  <c r="C8" i="9"/>
  <c r="E8" i="9" s="1"/>
  <c r="F8" i="9" s="1"/>
  <c r="C9" i="9"/>
  <c r="E9" i="9" s="1"/>
  <c r="F9" i="9" s="1"/>
  <c r="C10" i="9"/>
  <c r="E10" i="9" s="1"/>
  <c r="F10" i="9" s="1"/>
  <c r="C11" i="9"/>
  <c r="E11" i="9" s="1"/>
  <c r="F11" i="9" s="1"/>
  <c r="C12" i="9"/>
  <c r="E12" i="9" s="1"/>
  <c r="F12" i="9" s="1"/>
  <c r="C13" i="9"/>
  <c r="E13" i="9" s="1"/>
  <c r="F13" i="9" s="1"/>
  <c r="C14" i="9"/>
  <c r="E14" i="9" s="1"/>
  <c r="F14" i="9" s="1"/>
  <c r="C15" i="9"/>
  <c r="E15" i="9" s="1"/>
  <c r="F15" i="9" s="1"/>
  <c r="C16" i="9"/>
  <c r="E16" i="9" s="1"/>
  <c r="F16" i="9" s="1"/>
  <c r="C17" i="9"/>
  <c r="E17" i="9" s="1"/>
  <c r="F17" i="9" s="1"/>
  <c r="C18" i="9"/>
  <c r="E18" i="9" s="1"/>
  <c r="F18" i="9" s="1"/>
  <c r="C19" i="9"/>
  <c r="E19" i="9" s="1"/>
  <c r="F19" i="9" s="1"/>
  <c r="C20" i="9"/>
  <c r="E20" i="9" s="1"/>
  <c r="F20" i="9" s="1"/>
  <c r="C21" i="9"/>
  <c r="E21" i="9" s="1"/>
  <c r="F21" i="9" s="1"/>
  <c r="C22" i="9"/>
  <c r="E22" i="9" s="1"/>
  <c r="F22" i="9" s="1"/>
  <c r="C23" i="9"/>
  <c r="E23" i="9" s="1"/>
  <c r="F23" i="9" s="1"/>
  <c r="C24" i="9"/>
  <c r="E24" i="9" s="1"/>
  <c r="F24" i="9" s="1"/>
  <c r="C25" i="9"/>
  <c r="E25" i="9" s="1"/>
  <c r="F25" i="9" s="1"/>
  <c r="C26" i="9"/>
  <c r="E26" i="9" s="1"/>
  <c r="F26" i="9" s="1"/>
  <c r="C7" i="9"/>
  <c r="E7" i="9" s="1"/>
  <c r="F7" i="9" s="1"/>
  <c r="D12" i="8" l="1"/>
  <c r="H11" i="8"/>
  <c r="V7" i="3"/>
  <c r="A15" i="4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C9" i="4"/>
  <c r="A11" i="3"/>
  <c r="C10" i="3"/>
  <c r="F6" i="9"/>
  <c r="C26" i="1"/>
  <c r="N19" i="7"/>
  <c r="M18" i="7"/>
  <c r="L17" i="7"/>
  <c r="K16" i="7"/>
  <c r="J15" i="7"/>
  <c r="G12" i="7"/>
  <c r="I14" i="7"/>
  <c r="H13" i="7"/>
  <c r="E10" i="7"/>
  <c r="F11" i="7"/>
  <c r="W19" i="7"/>
  <c r="V19" i="7"/>
  <c r="U19" i="7"/>
  <c r="T19" i="7"/>
  <c r="S19" i="7"/>
  <c r="R19" i="7"/>
  <c r="Q19" i="7"/>
  <c r="P19" i="7"/>
  <c r="O19" i="7"/>
  <c r="W18" i="7"/>
  <c r="V18" i="7"/>
  <c r="U18" i="7"/>
  <c r="T18" i="7"/>
  <c r="S18" i="7"/>
  <c r="R18" i="7"/>
  <c r="Q18" i="7"/>
  <c r="P18" i="7"/>
  <c r="O18" i="7"/>
  <c r="N18" i="7"/>
  <c r="W17" i="7"/>
  <c r="V17" i="7"/>
  <c r="U17" i="7"/>
  <c r="T17" i="7"/>
  <c r="S17" i="7"/>
  <c r="R17" i="7"/>
  <c r="Q17" i="7"/>
  <c r="P17" i="7"/>
  <c r="O17" i="7"/>
  <c r="N17" i="7"/>
  <c r="M17" i="7"/>
  <c r="W16" i="7"/>
  <c r="V16" i="7"/>
  <c r="U16" i="7"/>
  <c r="T16" i="7"/>
  <c r="S16" i="7"/>
  <c r="R16" i="7"/>
  <c r="Q16" i="7"/>
  <c r="P16" i="7"/>
  <c r="O16" i="7"/>
  <c r="N16" i="7"/>
  <c r="M16" i="7"/>
  <c r="L16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D9" i="7"/>
  <c r="C8" i="7"/>
  <c r="G9" i="6"/>
  <c r="G4" i="6"/>
  <c r="D11" i="5"/>
  <c r="D13" i="5" s="1"/>
  <c r="D7" i="5"/>
  <c r="D8" i="5"/>
  <c r="D9" i="5"/>
  <c r="D10" i="5"/>
  <c r="D6" i="5"/>
  <c r="D14" i="5" s="1"/>
  <c r="C11" i="5"/>
  <c r="C10" i="5"/>
  <c r="C9" i="5"/>
  <c r="C8" i="5"/>
  <c r="C7" i="5"/>
  <c r="C6" i="5"/>
  <c r="D13" i="8" l="1"/>
  <c r="H12" i="8"/>
  <c r="V8" i="3"/>
  <c r="V9" i="3"/>
  <c r="D15" i="5"/>
  <c r="C10" i="4"/>
  <c r="C11" i="3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10" i="1"/>
  <c r="H9" i="1"/>
  <c r="G20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9" i="1"/>
  <c r="N19" i="2"/>
  <c r="M18" i="2"/>
  <c r="L17" i="2"/>
  <c r="K16" i="2"/>
  <c r="J15" i="2"/>
  <c r="I14" i="2"/>
  <c r="H13" i="2"/>
  <c r="G12" i="2"/>
  <c r="F11" i="2"/>
  <c r="O19" i="2"/>
  <c r="P19" i="2"/>
  <c r="C31" i="4"/>
  <c r="E10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L16" i="2"/>
  <c r="M16" i="2"/>
  <c r="N16" i="2"/>
  <c r="O16" i="2"/>
  <c r="P16" i="2"/>
  <c r="Q16" i="2"/>
  <c r="R16" i="2"/>
  <c r="S16" i="2"/>
  <c r="T16" i="2"/>
  <c r="U16" i="2"/>
  <c r="V16" i="2"/>
  <c r="W16" i="2"/>
  <c r="M17" i="2"/>
  <c r="N17" i="2"/>
  <c r="O17" i="2"/>
  <c r="P17" i="2"/>
  <c r="Q17" i="2"/>
  <c r="R17" i="2"/>
  <c r="S17" i="2"/>
  <c r="T17" i="2"/>
  <c r="U17" i="2"/>
  <c r="V17" i="2"/>
  <c r="W17" i="2"/>
  <c r="N18" i="2"/>
  <c r="O18" i="2"/>
  <c r="P18" i="2"/>
  <c r="Q18" i="2"/>
  <c r="R18" i="2"/>
  <c r="S18" i="2"/>
  <c r="T18" i="2"/>
  <c r="U18" i="2"/>
  <c r="V18" i="2"/>
  <c r="W18" i="2"/>
  <c r="Q19" i="2"/>
  <c r="R19" i="2"/>
  <c r="S19" i="2"/>
  <c r="T19" i="2"/>
  <c r="U19" i="2"/>
  <c r="V19" i="2"/>
  <c r="W19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D8" i="2"/>
  <c r="C8" i="2" s="1"/>
  <c r="D10" i="1"/>
  <c r="C10" i="1"/>
  <c r="C11" i="1" s="1"/>
  <c r="D14" i="8" l="1"/>
  <c r="H13" i="8"/>
  <c r="V10" i="3"/>
  <c r="C11" i="4"/>
  <c r="A13" i="3"/>
  <c r="C12" i="3"/>
  <c r="C12" i="1"/>
  <c r="D11" i="1"/>
  <c r="D15" i="8" l="1"/>
  <c r="H14" i="8"/>
  <c r="V11" i="3"/>
  <c r="C12" i="4"/>
  <c r="A14" i="3"/>
  <c r="C13" i="3"/>
  <c r="D12" i="1"/>
  <c r="C13" i="1"/>
  <c r="D16" i="8" l="1"/>
  <c r="H15" i="8"/>
  <c r="V12" i="3"/>
  <c r="C13" i="4"/>
  <c r="A15" i="3"/>
  <c r="C14" i="3"/>
  <c r="C14" i="1"/>
  <c r="D13" i="1"/>
  <c r="D17" i="8" l="1"/>
  <c r="H16" i="8"/>
  <c r="V13" i="3"/>
  <c r="C14" i="4"/>
  <c r="A16" i="3"/>
  <c r="C15" i="3"/>
  <c r="D14" i="1"/>
  <c r="C15" i="1"/>
  <c r="D18" i="8" l="1"/>
  <c r="H17" i="8"/>
  <c r="V14" i="3"/>
  <c r="C15" i="4"/>
  <c r="A17" i="3"/>
  <c r="C16" i="3"/>
  <c r="C16" i="1"/>
  <c r="D15" i="1"/>
  <c r="D19" i="8" l="1"/>
  <c r="H18" i="8"/>
  <c r="V15" i="3"/>
  <c r="C16" i="4"/>
  <c r="C17" i="3"/>
  <c r="D16" i="1"/>
  <c r="C17" i="1"/>
  <c r="D20" i="8" l="1"/>
  <c r="H19" i="8"/>
  <c r="V16" i="3"/>
  <c r="C17" i="4"/>
  <c r="C18" i="3"/>
  <c r="A19" i="3"/>
  <c r="C18" i="1"/>
  <c r="D17" i="1"/>
  <c r="D21" i="8" l="1"/>
  <c r="H20" i="8"/>
  <c r="V17" i="3"/>
  <c r="C18" i="4"/>
  <c r="C19" i="3"/>
  <c r="A20" i="3"/>
  <c r="D18" i="1"/>
  <c r="C19" i="1"/>
  <c r="D22" i="8" l="1"/>
  <c r="H21" i="8"/>
  <c r="V18" i="3"/>
  <c r="C19" i="4"/>
  <c r="C20" i="3"/>
  <c r="C20" i="1"/>
  <c r="D19" i="1"/>
  <c r="D23" i="8" l="1"/>
  <c r="H22" i="8"/>
  <c r="V19" i="3"/>
  <c r="C20" i="4"/>
  <c r="A22" i="3"/>
  <c r="C21" i="3"/>
  <c r="D20" i="1"/>
  <c r="C21" i="1"/>
  <c r="D24" i="8" l="1"/>
  <c r="H23" i="8"/>
  <c r="V20" i="3"/>
  <c r="C21" i="4"/>
  <c r="C22" i="3"/>
  <c r="A23" i="3"/>
  <c r="C22" i="1"/>
  <c r="D21" i="1"/>
  <c r="D25" i="8" l="1"/>
  <c r="H24" i="8"/>
  <c r="V21" i="3"/>
  <c r="C22" i="4"/>
  <c r="C23" i="3"/>
  <c r="A24" i="3"/>
  <c r="D22" i="1"/>
  <c r="C23" i="1"/>
  <c r="D26" i="8" l="1"/>
  <c r="H25" i="8"/>
  <c r="V22" i="3"/>
  <c r="C23" i="4"/>
  <c r="C24" i="3"/>
  <c r="A25" i="3"/>
  <c r="C24" i="1"/>
  <c r="D23" i="1"/>
  <c r="D27" i="8" l="1"/>
  <c r="H26" i="8"/>
  <c r="V23" i="3"/>
  <c r="C24" i="4"/>
  <c r="C25" i="3"/>
  <c r="A26" i="3"/>
  <c r="D24" i="1"/>
  <c r="C25" i="1"/>
  <c r="D28" i="8" l="1"/>
  <c r="H27" i="8"/>
  <c r="V24" i="3"/>
  <c r="C25" i="4"/>
  <c r="C26" i="3"/>
  <c r="A27" i="3"/>
  <c r="D25" i="1"/>
  <c r="D29" i="8" l="1"/>
  <c r="H28" i="8"/>
  <c r="V26" i="3"/>
  <c r="V25" i="3"/>
  <c r="C26" i="4"/>
  <c r="C27" i="3"/>
  <c r="A28" i="3"/>
  <c r="D26" i="1"/>
  <c r="C27" i="1"/>
  <c r="G26" i="1" s="1"/>
  <c r="D30" i="8" l="1"/>
  <c r="H29" i="8"/>
  <c r="C27" i="4"/>
  <c r="A29" i="3"/>
  <c r="C28" i="3"/>
  <c r="C28" i="1"/>
  <c r="G27" i="1" s="1"/>
  <c r="D27" i="1"/>
  <c r="D31" i="8" l="1"/>
  <c r="H30" i="8"/>
  <c r="C28" i="4"/>
  <c r="C29" i="3"/>
  <c r="A30" i="3"/>
  <c r="D28" i="1"/>
  <c r="C29" i="1"/>
  <c r="G28" i="1" s="1"/>
  <c r="D32" i="8" l="1"/>
  <c r="H31" i="8"/>
  <c r="C29" i="4"/>
  <c r="A31" i="3"/>
  <c r="C31" i="3" s="1"/>
  <c r="C30" i="3"/>
  <c r="C30" i="1"/>
  <c r="G29" i="1" s="1"/>
  <c r="D29" i="1"/>
  <c r="D33" i="8" l="1"/>
  <c r="H32" i="8"/>
  <c r="C30" i="4"/>
  <c r="D30" i="1"/>
  <c r="C31" i="1"/>
  <c r="G30" i="1" s="1"/>
  <c r="D34" i="8" l="1"/>
  <c r="H33" i="8"/>
  <c r="C32" i="1"/>
  <c r="G31" i="1" s="1"/>
  <c r="D31" i="1"/>
  <c r="D35" i="8" l="1"/>
  <c r="H34" i="8"/>
  <c r="D32" i="1"/>
  <c r="C33" i="1"/>
  <c r="G32" i="1" s="1"/>
  <c r="D36" i="8" l="1"/>
  <c r="H35" i="8"/>
  <c r="C34" i="1"/>
  <c r="G33" i="1" s="1"/>
  <c r="D33" i="1"/>
  <c r="D37" i="8" l="1"/>
  <c r="H36" i="8"/>
  <c r="D34" i="1"/>
  <c r="C35" i="1"/>
  <c r="G34" i="1" s="1"/>
  <c r="D38" i="8" l="1"/>
  <c r="H37" i="8"/>
  <c r="C36" i="1"/>
  <c r="G35" i="1" s="1"/>
  <c r="D35" i="1"/>
  <c r="D39" i="8" l="1"/>
  <c r="H38" i="8"/>
  <c r="D36" i="1"/>
  <c r="C37" i="1"/>
  <c r="G36" i="1" s="1"/>
  <c r="D40" i="8" l="1"/>
  <c r="H39" i="8"/>
  <c r="C38" i="1"/>
  <c r="G37" i="1" s="1"/>
  <c r="D37" i="1"/>
  <c r="D41" i="8" l="1"/>
  <c r="H40" i="8"/>
  <c r="D38" i="1"/>
  <c r="C39" i="1"/>
  <c r="G38" i="1" s="1"/>
  <c r="D42" i="8" l="1"/>
  <c r="H41" i="8"/>
  <c r="C40" i="1"/>
  <c r="G39" i="1" s="1"/>
  <c r="D39" i="1"/>
  <c r="D43" i="8" l="1"/>
  <c r="H42" i="8"/>
  <c r="D40" i="1"/>
  <c r="C41" i="1"/>
  <c r="G40" i="1" s="1"/>
  <c r="D44" i="8" l="1"/>
  <c r="H43" i="8"/>
  <c r="C42" i="1"/>
  <c r="G41" i="1" s="1"/>
  <c r="D41" i="1"/>
  <c r="D45" i="8" l="1"/>
  <c r="H44" i="8"/>
  <c r="D42" i="1"/>
  <c r="C43" i="1"/>
  <c r="G42" i="1" s="1"/>
  <c r="D46" i="8" l="1"/>
  <c r="H45" i="8"/>
  <c r="C44" i="1"/>
  <c r="G43" i="1" s="1"/>
  <c r="D43" i="1"/>
  <c r="D47" i="8" l="1"/>
  <c r="H46" i="8"/>
  <c r="D44" i="1"/>
  <c r="C45" i="1"/>
  <c r="G44" i="1" s="1"/>
  <c r="D48" i="8" l="1"/>
  <c r="H47" i="8"/>
  <c r="C46" i="1"/>
  <c r="G45" i="1" s="1"/>
  <c r="D45" i="1"/>
  <c r="D49" i="8" l="1"/>
  <c r="H48" i="8"/>
  <c r="D46" i="1"/>
  <c r="C47" i="1"/>
  <c r="G46" i="1" s="1"/>
  <c r="D50" i="8" l="1"/>
  <c r="H49" i="8"/>
  <c r="C48" i="1"/>
  <c r="G47" i="1" s="1"/>
  <c r="D47" i="1"/>
  <c r="D51" i="8" l="1"/>
  <c r="H50" i="8"/>
  <c r="D48" i="1"/>
  <c r="C49" i="1"/>
  <c r="G48" i="1" s="1"/>
  <c r="D52" i="8" l="1"/>
  <c r="H51" i="8"/>
  <c r="C50" i="1"/>
  <c r="G49" i="1" s="1"/>
  <c r="D49" i="1"/>
  <c r="D53" i="8" l="1"/>
  <c r="H52" i="8"/>
  <c r="D50" i="1"/>
  <c r="C51" i="1"/>
  <c r="G50" i="1" s="1"/>
  <c r="D54" i="8" l="1"/>
  <c r="H53" i="8"/>
  <c r="C52" i="1"/>
  <c r="G51" i="1" s="1"/>
  <c r="D51" i="1"/>
  <c r="D55" i="8" l="1"/>
  <c r="H54" i="8"/>
  <c r="D52" i="1"/>
  <c r="C53" i="1"/>
  <c r="G52" i="1" s="1"/>
  <c r="D56" i="8" l="1"/>
  <c r="H55" i="8"/>
  <c r="C54" i="1"/>
  <c r="G53" i="1" s="1"/>
  <c r="D53" i="1"/>
  <c r="D57" i="8" l="1"/>
  <c r="H56" i="8"/>
  <c r="D54" i="1"/>
  <c r="C55" i="1"/>
  <c r="G54" i="1" s="1"/>
  <c r="D58" i="8" l="1"/>
  <c r="H57" i="8"/>
  <c r="C56" i="1"/>
  <c r="G55" i="1" s="1"/>
  <c r="D55" i="1"/>
  <c r="D59" i="8" l="1"/>
  <c r="H58" i="8"/>
  <c r="D56" i="1"/>
  <c r="C57" i="1"/>
  <c r="G56" i="1" s="1"/>
  <c r="D60" i="8" l="1"/>
  <c r="H59" i="8"/>
  <c r="C58" i="1"/>
  <c r="G57" i="1" s="1"/>
  <c r="D57" i="1"/>
  <c r="D61" i="8" l="1"/>
  <c r="H60" i="8"/>
  <c r="D58" i="1"/>
  <c r="C59" i="1"/>
  <c r="G58" i="1" s="1"/>
  <c r="D62" i="8" l="1"/>
  <c r="H61" i="8"/>
  <c r="C60" i="1"/>
  <c r="G59" i="1" s="1"/>
  <c r="D59" i="1"/>
  <c r="D63" i="8" l="1"/>
  <c r="H62" i="8"/>
  <c r="D60" i="1"/>
  <c r="C61" i="1"/>
  <c r="G60" i="1" s="1"/>
  <c r="D64" i="8" l="1"/>
  <c r="H63" i="8"/>
  <c r="C62" i="1"/>
  <c r="G61" i="1" s="1"/>
  <c r="D61" i="1"/>
  <c r="D65" i="8" l="1"/>
  <c r="H64" i="8"/>
  <c r="D62" i="1"/>
  <c r="C63" i="1"/>
  <c r="G62" i="1" s="1"/>
  <c r="D66" i="8" l="1"/>
  <c r="H65" i="8"/>
  <c r="C64" i="1"/>
  <c r="G63" i="1" s="1"/>
  <c r="D63" i="1"/>
  <c r="D67" i="8" l="1"/>
  <c r="H66" i="8"/>
  <c r="D64" i="1"/>
  <c r="C65" i="1"/>
  <c r="G64" i="1" s="1"/>
  <c r="D68" i="8" l="1"/>
  <c r="H67" i="8"/>
  <c r="C66" i="1"/>
  <c r="G65" i="1" s="1"/>
  <c r="D65" i="1"/>
  <c r="D69" i="8" l="1"/>
  <c r="H68" i="8"/>
  <c r="D66" i="1"/>
  <c r="C67" i="1"/>
  <c r="G66" i="1" s="1"/>
  <c r="D70" i="8" l="1"/>
  <c r="H69" i="8"/>
  <c r="C68" i="1"/>
  <c r="G67" i="1" s="1"/>
  <c r="D67" i="1"/>
  <c r="D71" i="8" l="1"/>
  <c r="H70" i="8"/>
  <c r="D68" i="1"/>
  <c r="C69" i="1"/>
  <c r="G68" i="1" s="1"/>
  <c r="D72" i="8" l="1"/>
  <c r="H71" i="8"/>
  <c r="C70" i="1"/>
  <c r="G69" i="1" s="1"/>
  <c r="D69" i="1"/>
  <c r="D73" i="8" l="1"/>
  <c r="H72" i="8"/>
  <c r="D70" i="1"/>
  <c r="C71" i="1"/>
  <c r="G70" i="1" s="1"/>
  <c r="D74" i="8" l="1"/>
  <c r="H73" i="8"/>
  <c r="C72" i="1"/>
  <c r="G71" i="1" s="1"/>
  <c r="D71" i="1"/>
  <c r="D75" i="8" l="1"/>
  <c r="H74" i="8"/>
  <c r="D72" i="1"/>
  <c r="C73" i="1"/>
  <c r="G72" i="1" s="1"/>
  <c r="D76" i="8" l="1"/>
  <c r="H75" i="8"/>
  <c r="C74" i="1"/>
  <c r="G73" i="1" s="1"/>
  <c r="D73" i="1"/>
  <c r="D77" i="8" l="1"/>
  <c r="H76" i="8"/>
  <c r="D74" i="1"/>
  <c r="C75" i="1"/>
  <c r="G74" i="1" s="1"/>
  <c r="D78" i="8" l="1"/>
  <c r="H77" i="8"/>
  <c r="C76" i="1"/>
  <c r="G75" i="1" s="1"/>
  <c r="D75" i="1"/>
  <c r="D79" i="8" l="1"/>
  <c r="H78" i="8"/>
  <c r="D76" i="1"/>
  <c r="C77" i="1"/>
  <c r="G76" i="1" s="1"/>
  <c r="D80" i="8" l="1"/>
  <c r="H79" i="8"/>
  <c r="C78" i="1"/>
  <c r="G77" i="1" s="1"/>
  <c r="D77" i="1"/>
  <c r="D81" i="8" l="1"/>
  <c r="H80" i="8"/>
  <c r="D78" i="1"/>
  <c r="C79" i="1"/>
  <c r="G78" i="1" s="1"/>
  <c r="D82" i="8" l="1"/>
  <c r="H81" i="8"/>
  <c r="C80" i="1"/>
  <c r="G79" i="1" s="1"/>
  <c r="D79" i="1"/>
  <c r="D83" i="8" l="1"/>
  <c r="H82" i="8"/>
  <c r="D80" i="1"/>
  <c r="C81" i="1"/>
  <c r="G80" i="1" s="1"/>
  <c r="D84" i="8" l="1"/>
  <c r="H83" i="8"/>
  <c r="D81" i="1"/>
  <c r="C82" i="1"/>
  <c r="G81" i="1" s="1"/>
  <c r="D85" i="8" l="1"/>
  <c r="H84" i="8"/>
  <c r="C83" i="1"/>
  <c r="G82" i="1" s="1"/>
  <c r="D82" i="1"/>
  <c r="D86" i="8" l="1"/>
  <c r="H85" i="8"/>
  <c r="D83" i="1"/>
  <c r="C84" i="1"/>
  <c r="G83" i="1" s="1"/>
  <c r="D87" i="8" l="1"/>
  <c r="H86" i="8"/>
  <c r="C85" i="1"/>
  <c r="G84" i="1" s="1"/>
  <c r="D84" i="1"/>
  <c r="D88" i="8" l="1"/>
  <c r="H87" i="8"/>
  <c r="D85" i="1"/>
  <c r="C86" i="1"/>
  <c r="G85" i="1" s="1"/>
  <c r="D89" i="8" l="1"/>
  <c r="H88" i="8"/>
  <c r="C87" i="1"/>
  <c r="G86" i="1" s="1"/>
  <c r="D86" i="1"/>
  <c r="D90" i="8" l="1"/>
  <c r="H89" i="8"/>
  <c r="C88" i="1"/>
  <c r="G87" i="1" s="1"/>
  <c r="D87" i="1"/>
  <c r="D91" i="8" l="1"/>
  <c r="H90" i="8"/>
  <c r="D88" i="1"/>
  <c r="C89" i="1"/>
  <c r="G88" i="1" s="1"/>
  <c r="D92" i="8" l="1"/>
  <c r="H91" i="8"/>
  <c r="C90" i="1"/>
  <c r="G89" i="1" s="1"/>
  <c r="D89" i="1"/>
  <c r="D93" i="8" l="1"/>
  <c r="H92" i="8"/>
  <c r="D90" i="1"/>
  <c r="C91" i="1"/>
  <c r="G90" i="1" s="1"/>
  <c r="D94" i="8" l="1"/>
  <c r="H93" i="8"/>
  <c r="D91" i="1"/>
  <c r="C92" i="1"/>
  <c r="G91" i="1" s="1"/>
  <c r="D95" i="8" l="1"/>
  <c r="H94" i="8"/>
  <c r="C93" i="1"/>
  <c r="G92" i="1" s="1"/>
  <c r="D92" i="1"/>
  <c r="D96" i="8" l="1"/>
  <c r="H95" i="8"/>
  <c r="D93" i="1"/>
  <c r="C94" i="1"/>
  <c r="G93" i="1" s="1"/>
  <c r="D97" i="8" l="1"/>
  <c r="H96" i="8"/>
  <c r="C95" i="1"/>
  <c r="G94" i="1" s="1"/>
  <c r="D94" i="1"/>
  <c r="D98" i="8" l="1"/>
  <c r="H97" i="8"/>
  <c r="D95" i="1"/>
  <c r="C96" i="1"/>
  <c r="G95" i="1" s="1"/>
  <c r="D99" i="8" l="1"/>
  <c r="H98" i="8"/>
  <c r="C97" i="1"/>
  <c r="G96" i="1" s="1"/>
  <c r="D96" i="1"/>
  <c r="D100" i="8" l="1"/>
  <c r="H99" i="8"/>
  <c r="C98" i="1"/>
  <c r="G97" i="1" s="1"/>
  <c r="D97" i="1"/>
  <c r="D101" i="8" l="1"/>
  <c r="H100" i="8"/>
  <c r="D98" i="1"/>
  <c r="C99" i="1"/>
  <c r="G98" i="1" s="1"/>
  <c r="D102" i="8" l="1"/>
  <c r="H101" i="8"/>
  <c r="C100" i="1"/>
  <c r="G99" i="1" s="1"/>
  <c r="D99" i="1"/>
  <c r="D103" i="8" l="1"/>
  <c r="H102" i="8"/>
  <c r="D100" i="1"/>
  <c r="C101" i="1"/>
  <c r="G100" i="1" s="1"/>
  <c r="D104" i="8" l="1"/>
  <c r="H103" i="8"/>
  <c r="C102" i="1"/>
  <c r="G101" i="1" s="1"/>
  <c r="D101" i="1"/>
  <c r="D105" i="8" l="1"/>
  <c r="H104" i="8"/>
  <c r="D102" i="1"/>
  <c r="C103" i="1"/>
  <c r="G102" i="1" s="1"/>
  <c r="D106" i="8" l="1"/>
  <c r="H105" i="8"/>
  <c r="C104" i="1"/>
  <c r="G103" i="1" s="1"/>
  <c r="D103" i="1"/>
  <c r="D107" i="8" l="1"/>
  <c r="H106" i="8"/>
  <c r="D104" i="1"/>
  <c r="C105" i="1"/>
  <c r="G104" i="1" s="1"/>
  <c r="D108" i="8" l="1"/>
  <c r="H107" i="8"/>
  <c r="C106" i="1"/>
  <c r="G105" i="1" s="1"/>
  <c r="D105" i="1"/>
  <c r="D109" i="8" l="1"/>
  <c r="H108" i="8"/>
  <c r="D106" i="1"/>
  <c r="C107" i="1"/>
  <c r="G106" i="1" s="1"/>
  <c r="D110" i="8" l="1"/>
  <c r="H109" i="8"/>
  <c r="D107" i="1"/>
  <c r="C108" i="1"/>
  <c r="G107" i="1" s="1"/>
  <c r="D111" i="8" l="1"/>
  <c r="H110" i="8"/>
  <c r="D108" i="1"/>
  <c r="C109" i="1"/>
  <c r="G108" i="1" s="1"/>
  <c r="D112" i="8" l="1"/>
  <c r="H111" i="8"/>
  <c r="C110" i="1"/>
  <c r="G109" i="1" s="1"/>
  <c r="D109" i="1"/>
  <c r="D113" i="8" l="1"/>
  <c r="H112" i="8"/>
  <c r="D110" i="1"/>
  <c r="C111" i="1"/>
  <c r="G110" i="1" s="1"/>
  <c r="D114" i="8" l="1"/>
  <c r="H113" i="8"/>
  <c r="C112" i="1"/>
  <c r="G111" i="1" s="1"/>
  <c r="D111" i="1"/>
  <c r="D115" i="8" l="1"/>
  <c r="H114" i="8"/>
  <c r="D112" i="1"/>
  <c r="C113" i="1"/>
  <c r="G112" i="1" s="1"/>
  <c r="D116" i="8" l="1"/>
  <c r="H115" i="8"/>
  <c r="C114" i="1"/>
  <c r="G113" i="1" s="1"/>
  <c r="D113" i="1"/>
  <c r="D117" i="8" l="1"/>
  <c r="H116" i="8"/>
  <c r="D114" i="1"/>
  <c r="C115" i="1"/>
  <c r="G114" i="1" s="1"/>
  <c r="D118" i="8" l="1"/>
  <c r="H117" i="8"/>
  <c r="D115" i="1"/>
  <c r="C116" i="1"/>
  <c r="G115" i="1" s="1"/>
  <c r="D119" i="8" l="1"/>
  <c r="H118" i="8"/>
  <c r="C117" i="1"/>
  <c r="G116" i="1" s="1"/>
  <c r="D116" i="1"/>
  <c r="D120" i="8" l="1"/>
  <c r="H119" i="8"/>
  <c r="D117" i="1"/>
  <c r="C118" i="1"/>
  <c r="G117" i="1" s="1"/>
  <c r="D121" i="8" l="1"/>
  <c r="H120" i="8"/>
  <c r="C119" i="1"/>
  <c r="G118" i="1" s="1"/>
  <c r="D118" i="1"/>
  <c r="D122" i="8" l="1"/>
  <c r="H121" i="8"/>
  <c r="C120" i="1"/>
  <c r="G119" i="1" s="1"/>
  <c r="D119" i="1"/>
  <c r="D123" i="8" l="1"/>
  <c r="H122" i="8"/>
  <c r="D120" i="1"/>
  <c r="C121" i="1"/>
  <c r="G120" i="1" s="1"/>
  <c r="D124" i="8" l="1"/>
  <c r="H123" i="8"/>
  <c r="D121" i="1"/>
  <c r="C122" i="1"/>
  <c r="G121" i="1" s="1"/>
  <c r="D125" i="8" l="1"/>
  <c r="H124" i="8"/>
  <c r="C123" i="1"/>
  <c r="G122" i="1" s="1"/>
  <c r="D122" i="1"/>
  <c r="D126" i="8" l="1"/>
  <c r="H125" i="8"/>
  <c r="D123" i="1"/>
  <c r="C124" i="1"/>
  <c r="G123" i="1" s="1"/>
  <c r="D127" i="8" l="1"/>
  <c r="H126" i="8"/>
  <c r="C125" i="1"/>
  <c r="G124" i="1" s="1"/>
  <c r="D124" i="1"/>
  <c r="D128" i="8" l="1"/>
  <c r="H127" i="8"/>
  <c r="D125" i="1"/>
  <c r="C126" i="1"/>
  <c r="G125" i="1" s="1"/>
  <c r="D129" i="8" l="1"/>
  <c r="H128" i="8"/>
  <c r="C127" i="1"/>
  <c r="G126" i="1" s="1"/>
  <c r="D126" i="1"/>
  <c r="D130" i="8" l="1"/>
  <c r="H129" i="8"/>
  <c r="C128" i="1"/>
  <c r="G127" i="1" s="1"/>
  <c r="D127" i="1"/>
  <c r="D131" i="8" l="1"/>
  <c r="H130" i="8"/>
  <c r="D128" i="1"/>
  <c r="C129" i="1"/>
  <c r="G128" i="1" s="1"/>
  <c r="D132" i="8" l="1"/>
  <c r="H131" i="8"/>
  <c r="C130" i="1"/>
  <c r="G129" i="1" s="1"/>
  <c r="D129" i="1"/>
  <c r="D133" i="8" l="1"/>
  <c r="H132" i="8"/>
  <c r="D130" i="1"/>
  <c r="C131" i="1"/>
  <c r="G130" i="1" s="1"/>
  <c r="D134" i="8" l="1"/>
  <c r="H133" i="8"/>
  <c r="D131" i="1"/>
  <c r="C132" i="1"/>
  <c r="G131" i="1" s="1"/>
  <c r="D135" i="8" l="1"/>
  <c r="H134" i="8"/>
  <c r="C133" i="1"/>
  <c r="G132" i="1" s="1"/>
  <c r="D132" i="1"/>
  <c r="D136" i="8" l="1"/>
  <c r="H135" i="8"/>
  <c r="D133" i="1"/>
  <c r="C134" i="1"/>
  <c r="G133" i="1" s="1"/>
  <c r="D137" i="8" l="1"/>
  <c r="H136" i="8"/>
  <c r="C135" i="1"/>
  <c r="G134" i="1" s="1"/>
  <c r="D134" i="1"/>
  <c r="D138" i="8" l="1"/>
  <c r="H137" i="8"/>
  <c r="D135" i="1"/>
  <c r="C136" i="1"/>
  <c r="G135" i="1" s="1"/>
  <c r="D139" i="8" l="1"/>
  <c r="H138" i="8"/>
  <c r="D136" i="1"/>
  <c r="C137" i="1"/>
  <c r="G136" i="1" s="1"/>
  <c r="D140" i="8" l="1"/>
  <c r="H139" i="8"/>
  <c r="C138" i="1"/>
  <c r="G137" i="1" s="1"/>
  <c r="D137" i="1"/>
  <c r="D141" i="8" l="1"/>
  <c r="H140" i="8"/>
  <c r="C139" i="1"/>
  <c r="G138" i="1" s="1"/>
  <c r="D138" i="1"/>
  <c r="D142" i="8" l="1"/>
  <c r="H141" i="8"/>
  <c r="D139" i="1"/>
  <c r="C140" i="1"/>
  <c r="G139" i="1" s="1"/>
  <c r="D143" i="8" l="1"/>
  <c r="H142" i="8"/>
  <c r="C141" i="1"/>
  <c r="G140" i="1" s="1"/>
  <c r="D140" i="1"/>
  <c r="D144" i="8" l="1"/>
  <c r="H143" i="8"/>
  <c r="D141" i="1"/>
  <c r="C142" i="1"/>
  <c r="G141" i="1" s="1"/>
  <c r="D145" i="8" l="1"/>
  <c r="H144" i="8"/>
  <c r="C143" i="1"/>
  <c r="G142" i="1" s="1"/>
  <c r="D142" i="1"/>
  <c r="D146" i="8" l="1"/>
  <c r="H145" i="8"/>
  <c r="D143" i="1"/>
  <c r="C144" i="1"/>
  <c r="G143" i="1" s="1"/>
  <c r="D147" i="8" l="1"/>
  <c r="H146" i="8"/>
  <c r="C145" i="1"/>
  <c r="G144" i="1" s="1"/>
  <c r="D144" i="1"/>
  <c r="D148" i="8" l="1"/>
  <c r="H147" i="8"/>
  <c r="D145" i="1"/>
  <c r="C146" i="1"/>
  <c r="G145" i="1" s="1"/>
  <c r="D149" i="8" l="1"/>
  <c r="H148" i="8"/>
  <c r="C147" i="1"/>
  <c r="G146" i="1" s="1"/>
  <c r="D146" i="1"/>
  <c r="D150" i="8" l="1"/>
  <c r="H149" i="8"/>
  <c r="C148" i="1"/>
  <c r="G147" i="1" s="1"/>
  <c r="D147" i="1"/>
  <c r="D151" i="8" l="1"/>
  <c r="H150" i="8"/>
  <c r="C149" i="1"/>
  <c r="G148" i="1" s="1"/>
  <c r="D148" i="1"/>
  <c r="D152" i="8" l="1"/>
  <c r="H151" i="8"/>
  <c r="D149" i="1"/>
  <c r="C150" i="1"/>
  <c r="G149" i="1" s="1"/>
  <c r="D153" i="8" l="1"/>
  <c r="H152" i="8"/>
  <c r="D150" i="1"/>
  <c r="C151" i="1"/>
  <c r="G150" i="1" s="1"/>
  <c r="D154" i="8" l="1"/>
  <c r="H153" i="8"/>
  <c r="D151" i="1"/>
  <c r="C152" i="1"/>
  <c r="G151" i="1" s="1"/>
  <c r="D155" i="8" l="1"/>
  <c r="H154" i="8"/>
  <c r="C153" i="1"/>
  <c r="G152" i="1" s="1"/>
  <c r="D152" i="1"/>
  <c r="D156" i="8" l="1"/>
  <c r="H155" i="8"/>
  <c r="D153" i="1"/>
  <c r="C154" i="1"/>
  <c r="G153" i="1" s="1"/>
  <c r="D157" i="8" l="1"/>
  <c r="H156" i="8"/>
  <c r="C155" i="1"/>
  <c r="G154" i="1" s="1"/>
  <c r="D154" i="1"/>
  <c r="D158" i="8" l="1"/>
  <c r="H157" i="8"/>
  <c r="D155" i="1"/>
  <c r="C156" i="1"/>
  <c r="G155" i="1" s="1"/>
  <c r="D159" i="8" l="1"/>
  <c r="H158" i="8"/>
  <c r="C157" i="1"/>
  <c r="G156" i="1" s="1"/>
  <c r="D156" i="1"/>
  <c r="D160" i="8" l="1"/>
  <c r="H159" i="8"/>
  <c r="D157" i="1"/>
  <c r="C158" i="1"/>
  <c r="G157" i="1" s="1"/>
  <c r="D161" i="8" l="1"/>
  <c r="H160" i="8"/>
  <c r="C159" i="1"/>
  <c r="G158" i="1" s="1"/>
  <c r="D158" i="1"/>
  <c r="D162" i="8" l="1"/>
  <c r="H161" i="8"/>
  <c r="D159" i="1"/>
  <c r="C160" i="1"/>
  <c r="G159" i="1" s="1"/>
  <c r="D163" i="8" l="1"/>
  <c r="H162" i="8"/>
  <c r="D160" i="1"/>
  <c r="C161" i="1"/>
  <c r="G160" i="1" s="1"/>
  <c r="D164" i="8" l="1"/>
  <c r="H163" i="8"/>
  <c r="C162" i="1"/>
  <c r="G161" i="1" s="1"/>
  <c r="D161" i="1"/>
  <c r="D165" i="8" l="1"/>
  <c r="H164" i="8"/>
  <c r="D162" i="1"/>
  <c r="C163" i="1"/>
  <c r="G162" i="1" s="1"/>
  <c r="D166" i="8" l="1"/>
  <c r="H165" i="8"/>
  <c r="C164" i="1"/>
  <c r="G163" i="1" s="1"/>
  <c r="D163" i="1"/>
  <c r="D167" i="8" l="1"/>
  <c r="H166" i="8"/>
  <c r="D164" i="1"/>
  <c r="C165" i="1"/>
  <c r="G164" i="1" s="1"/>
  <c r="D168" i="8" l="1"/>
  <c r="H167" i="8"/>
  <c r="C166" i="1"/>
  <c r="G165" i="1" s="1"/>
  <c r="D165" i="1"/>
  <c r="D169" i="8" l="1"/>
  <c r="H168" i="8"/>
  <c r="C167" i="1"/>
  <c r="G166" i="1" s="1"/>
  <c r="D166" i="1"/>
  <c r="D170" i="8" l="1"/>
  <c r="H169" i="8"/>
  <c r="D167" i="1"/>
  <c r="C168" i="1"/>
  <c r="G167" i="1" s="1"/>
  <c r="D171" i="8" l="1"/>
  <c r="H170" i="8"/>
  <c r="C169" i="1"/>
  <c r="G168" i="1" s="1"/>
  <c r="D168" i="1"/>
  <c r="D172" i="8" l="1"/>
  <c r="H171" i="8"/>
  <c r="D169" i="1"/>
  <c r="C170" i="1"/>
  <c r="G169" i="1" s="1"/>
  <c r="D173" i="8" l="1"/>
  <c r="H172" i="8"/>
  <c r="C171" i="1"/>
  <c r="G170" i="1" s="1"/>
  <c r="D170" i="1"/>
  <c r="D174" i="8" l="1"/>
  <c r="H173" i="8"/>
  <c r="D171" i="1"/>
  <c r="C172" i="1"/>
  <c r="G171" i="1" s="1"/>
  <c r="D175" i="8" l="1"/>
  <c r="H174" i="8"/>
  <c r="C173" i="1"/>
  <c r="G172" i="1" s="1"/>
  <c r="D172" i="1"/>
  <c r="D176" i="8" l="1"/>
  <c r="H175" i="8"/>
  <c r="D173" i="1"/>
  <c r="C174" i="1"/>
  <c r="G173" i="1" s="1"/>
  <c r="D177" i="8" l="1"/>
  <c r="H176" i="8"/>
  <c r="C175" i="1"/>
  <c r="G174" i="1" s="1"/>
  <c r="D174" i="1"/>
  <c r="D178" i="8" l="1"/>
  <c r="H177" i="8"/>
  <c r="D175" i="1"/>
  <c r="C176" i="1"/>
  <c r="G175" i="1" s="1"/>
  <c r="D179" i="8" l="1"/>
  <c r="H178" i="8"/>
  <c r="C177" i="1"/>
  <c r="G176" i="1" s="1"/>
  <c r="D176" i="1"/>
  <c r="D180" i="8" l="1"/>
  <c r="H179" i="8"/>
  <c r="D177" i="1"/>
  <c r="C178" i="1"/>
  <c r="G177" i="1" s="1"/>
  <c r="D181" i="8" l="1"/>
  <c r="H180" i="8"/>
  <c r="C179" i="1"/>
  <c r="G178" i="1" s="1"/>
  <c r="D178" i="1"/>
  <c r="D182" i="8" l="1"/>
  <c r="H181" i="8"/>
  <c r="C180" i="1"/>
  <c r="G179" i="1" s="1"/>
  <c r="D179" i="1"/>
  <c r="D183" i="8" l="1"/>
  <c r="H182" i="8"/>
  <c r="D180" i="1"/>
  <c r="C181" i="1"/>
  <c r="G180" i="1" s="1"/>
  <c r="D184" i="8" l="1"/>
  <c r="H183" i="8"/>
  <c r="C182" i="1"/>
  <c r="G181" i="1" s="1"/>
  <c r="D181" i="1"/>
  <c r="D185" i="8" l="1"/>
  <c r="H184" i="8"/>
  <c r="D182" i="1"/>
  <c r="C183" i="1"/>
  <c r="G182" i="1" s="1"/>
  <c r="D186" i="8" l="1"/>
  <c r="H185" i="8"/>
  <c r="C184" i="1"/>
  <c r="G183" i="1" s="1"/>
  <c r="D183" i="1"/>
  <c r="D187" i="8" l="1"/>
  <c r="H186" i="8"/>
  <c r="D184" i="1"/>
  <c r="C185" i="1"/>
  <c r="G184" i="1" s="1"/>
  <c r="D188" i="8" l="1"/>
  <c r="H187" i="8"/>
  <c r="C186" i="1"/>
  <c r="G185" i="1" s="1"/>
  <c r="D185" i="1"/>
  <c r="D189" i="8" l="1"/>
  <c r="H188" i="8"/>
  <c r="D186" i="1"/>
  <c r="C187" i="1"/>
  <c r="G186" i="1" s="1"/>
  <c r="D190" i="8" l="1"/>
  <c r="H189" i="8"/>
  <c r="C188" i="1"/>
  <c r="G187" i="1" s="1"/>
  <c r="D187" i="1"/>
  <c r="D191" i="8" l="1"/>
  <c r="H190" i="8"/>
  <c r="D188" i="1"/>
  <c r="C189" i="1"/>
  <c r="G188" i="1" s="1"/>
  <c r="D192" i="8" l="1"/>
  <c r="H191" i="8"/>
  <c r="C190" i="1"/>
  <c r="G189" i="1" s="1"/>
  <c r="D189" i="1"/>
  <c r="D193" i="8" l="1"/>
  <c r="H192" i="8"/>
  <c r="D190" i="1"/>
  <c r="C191" i="1"/>
  <c r="G190" i="1" s="1"/>
  <c r="D194" i="8" l="1"/>
  <c r="H193" i="8"/>
  <c r="C192" i="1"/>
  <c r="G191" i="1" s="1"/>
  <c r="D191" i="1"/>
  <c r="D195" i="8" l="1"/>
  <c r="H194" i="8"/>
  <c r="D192" i="1"/>
  <c r="C193" i="1"/>
  <c r="G192" i="1" s="1"/>
  <c r="D196" i="8" l="1"/>
  <c r="H195" i="8"/>
  <c r="C194" i="1"/>
  <c r="G193" i="1" s="1"/>
  <c r="D193" i="1"/>
  <c r="D197" i="8" l="1"/>
  <c r="H196" i="8"/>
  <c r="D194" i="1"/>
  <c r="C195" i="1"/>
  <c r="G194" i="1" s="1"/>
  <c r="D198" i="8" l="1"/>
  <c r="H197" i="8"/>
  <c r="D195" i="1"/>
  <c r="C196" i="1"/>
  <c r="G195" i="1" s="1"/>
  <c r="D199" i="8" l="1"/>
  <c r="H198" i="8"/>
  <c r="C197" i="1"/>
  <c r="G196" i="1" s="1"/>
  <c r="D196" i="1"/>
  <c r="D200" i="8" l="1"/>
  <c r="H199" i="8"/>
  <c r="D197" i="1"/>
  <c r="C198" i="1"/>
  <c r="G197" i="1" s="1"/>
  <c r="D201" i="8" l="1"/>
  <c r="H200" i="8"/>
  <c r="C199" i="1"/>
  <c r="G198" i="1" s="1"/>
  <c r="D198" i="1"/>
  <c r="D202" i="8" l="1"/>
  <c r="H201" i="8"/>
  <c r="D199" i="1"/>
  <c r="C200" i="1"/>
  <c r="G199" i="1" s="1"/>
  <c r="D203" i="8" l="1"/>
  <c r="H202" i="8"/>
  <c r="C201" i="1"/>
  <c r="G200" i="1" s="1"/>
  <c r="D200" i="1"/>
  <c r="D204" i="8" l="1"/>
  <c r="H203" i="8"/>
  <c r="D201" i="1"/>
  <c r="C202" i="1"/>
  <c r="G201" i="1" s="1"/>
  <c r="D205" i="8" l="1"/>
  <c r="H204" i="8"/>
  <c r="C203" i="1"/>
  <c r="G202" i="1" s="1"/>
  <c r="D202" i="1"/>
  <c r="D206" i="8" l="1"/>
  <c r="H205" i="8"/>
  <c r="D203" i="1"/>
  <c r="C204" i="1"/>
  <c r="G203" i="1" s="1"/>
  <c r="D207" i="8" l="1"/>
  <c r="H206" i="8"/>
  <c r="D204" i="1"/>
  <c r="C205" i="1"/>
  <c r="G204" i="1" s="1"/>
  <c r="D208" i="8" l="1"/>
  <c r="H207" i="8"/>
  <c r="C206" i="1"/>
  <c r="G205" i="1" s="1"/>
  <c r="D205" i="1"/>
  <c r="D209" i="8" l="1"/>
  <c r="H209" i="8" s="1"/>
  <c r="H208" i="8"/>
  <c r="D206" i="1"/>
  <c r="C207" i="1"/>
  <c r="G206" i="1" s="1"/>
  <c r="D207" i="1" l="1"/>
  <c r="C208" i="1"/>
  <c r="G207" i="1" s="1"/>
  <c r="C209" i="1" l="1"/>
  <c r="G208" i="1" s="1"/>
  <c r="D208" i="1"/>
  <c r="D209" i="1" l="1"/>
</calcChain>
</file>

<file path=xl/sharedStrings.xml><?xml version="1.0" encoding="utf-8"?>
<sst xmlns="http://schemas.openxmlformats.org/spreadsheetml/2006/main" count="124" uniqueCount="49">
  <si>
    <t>Growing Perpetuity</t>
  </si>
  <si>
    <t>Amount</t>
  </si>
  <si>
    <t>Growth rate</t>
  </si>
  <si>
    <t>Discount rate</t>
  </si>
  <si>
    <t>Time</t>
  </si>
  <si>
    <t>Cash Received</t>
  </si>
  <si>
    <t>Perpetuity with Changing Interest Rates</t>
  </si>
  <si>
    <t>As of time</t>
  </si>
  <si>
    <t>…</t>
  </si>
  <si>
    <t>and so on</t>
  </si>
  <si>
    <t>Value</t>
  </si>
  <si>
    <t>Zero Coupon Bond</t>
  </si>
  <si>
    <t>Maturity</t>
  </si>
  <si>
    <t>25 periods</t>
  </si>
  <si>
    <t>Growth Rate</t>
  </si>
  <si>
    <t>Present Value @ Time</t>
  </si>
  <si>
    <t>Interest Rate</t>
  </si>
  <si>
    <t>Future Value in</t>
  </si>
  <si>
    <t>1 Year</t>
  </si>
  <si>
    <t>Compounded</t>
  </si>
  <si>
    <t>Annually</t>
  </si>
  <si>
    <t>Semi-annually</t>
  </si>
  <si>
    <t>Quarterly</t>
  </si>
  <si>
    <t>Monthly</t>
  </si>
  <si>
    <t>Daily</t>
  </si>
  <si>
    <t>Continuously</t>
  </si>
  <si>
    <t>AdjFactor</t>
  </si>
  <si>
    <t>Compounded Annually</t>
  </si>
  <si>
    <t>3 Years</t>
  </si>
  <si>
    <t>Perpetuity</t>
  </si>
  <si>
    <t>Face</t>
  </si>
  <si>
    <t>years</t>
  </si>
  <si>
    <t>Coupon Rate</t>
  </si>
  <si>
    <t>semi-annual</t>
  </si>
  <si>
    <t>CouponPayments</t>
  </si>
  <si>
    <t>Cash</t>
  </si>
  <si>
    <t>`=$1000</t>
  </si>
  <si>
    <t>Par</t>
  </si>
  <si>
    <t>`&lt;$1000</t>
  </si>
  <si>
    <t>Discount</t>
  </si>
  <si>
    <t>`&gt;$1000</t>
  </si>
  <si>
    <t>Premium</t>
  </si>
  <si>
    <t>Language</t>
  </si>
  <si>
    <t>Effective Annual Rate</t>
  </si>
  <si>
    <t>Continuous</t>
  </si>
  <si>
    <t>Annual</t>
  </si>
  <si>
    <t>Difference</t>
  </si>
  <si>
    <t>8% compounded semi-annually is ??% compounded annually.</t>
  </si>
  <si>
    <t>8% compounded quarterly is ??% compounded annually.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</si>
</sst>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0000_);[Red]\(&quot;$&quot;#,##0.000000\)"/>
    <numFmt numFmtId="166" formatCode="0.0000%"/>
    <numFmt numFmtId="167" formatCode="&quot;$&quot;#,##0.0000000_);[Red]\(&quot;$&quot;#,##0.0000000\)"/>
    <numFmt numFmtId="168" formatCode="_(&quot;$&quot;* #,##0_);_(&quot;$&quot;* \(#,##0\);_(&quot;$&quot;* &quot;-&quot;??_);_(@_)"/>
    <numFmt numFmtId="169" formatCode="&quot;$&quot;#,##0.0000_);[Red]\(&quot;$&quot;#,##0.0000\)"/>
    <numFmt numFmtId="170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9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0" xfId="0" applyAlignment="1">
      <alignment horizontal="center"/>
    </xf>
    <xf numFmtId="44" fontId="2" fillId="0" borderId="0" xfId="0" applyNumberFormat="1" applyFont="1"/>
    <xf numFmtId="9" fontId="0" fillId="0" borderId="1" xfId="0" applyNumberFormat="1" applyBorder="1" applyAlignment="1">
      <alignment horizontal="center"/>
    </xf>
    <xf numFmtId="164" fontId="0" fillId="0" borderId="0" xfId="1" applyNumberFormat="1" applyFont="1"/>
    <xf numFmtId="6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Continuous"/>
    </xf>
    <xf numFmtId="0" fontId="0" fillId="0" borderId="1" xfId="0" applyBorder="1"/>
    <xf numFmtId="165" fontId="0" fillId="0" borderId="0" xfId="0" applyNumberFormat="1"/>
    <xf numFmtId="167" fontId="0" fillId="0" borderId="0" xfId="0" applyNumberFormat="1"/>
    <xf numFmtId="168" fontId="0" fillId="0" borderId="0" xfId="2" applyNumberFormat="1" applyFont="1"/>
    <xf numFmtId="168" fontId="0" fillId="0" borderId="0" xfId="0" applyNumberFormat="1"/>
    <xf numFmtId="0" fontId="0" fillId="2" borderId="0" xfId="0" applyFill="1"/>
    <xf numFmtId="168" fontId="0" fillId="2" borderId="0" xfId="0" applyNumberFormat="1" applyFill="1"/>
    <xf numFmtId="44" fontId="2" fillId="0" borderId="0" xfId="2" applyFont="1"/>
    <xf numFmtId="9" fontId="2" fillId="0" borderId="0" xfId="0" applyNumberFormat="1" applyFont="1"/>
    <xf numFmtId="8" fontId="0" fillId="0" borderId="0" xfId="0" applyNumberFormat="1"/>
    <xf numFmtId="169" fontId="0" fillId="0" borderId="0" xfId="0" applyNumberFormat="1"/>
    <xf numFmtId="10" fontId="2" fillId="0" borderId="0" xfId="3" applyNumberFormat="1" applyFont="1"/>
    <xf numFmtId="166" fontId="2" fillId="0" borderId="0" xfId="3" applyNumberFormat="1" applyFont="1"/>
    <xf numFmtId="170" fontId="0" fillId="0" borderId="0" xfId="0" applyNumberFormat="1"/>
    <xf numFmtId="164" fontId="0" fillId="0" borderId="0" xfId="0" applyNumberFormat="1"/>
    <xf numFmtId="170" fontId="0" fillId="0" borderId="0" xfId="3" applyNumberFormat="1" applyFont="1"/>
    <xf numFmtId="0" fontId="2" fillId="3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44" fontId="0" fillId="3" borderId="0" xfId="0" applyNumberFormat="1" applyFill="1" applyAlignment="1">
      <alignment horizontal="centerContinuous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PerpetuityChRates!$C$5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PerpetuityChRates!$B$6:$B$31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PerpetuityChRates!$C$6:$C$31</c:f>
              <c:numCache>
                <c:formatCode>_(* #,##0_);_(* \(#,##0\);_(* "-"??_);_(@_)</c:formatCode>
                <c:ptCount val="26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6666.666666666667</c:v>
                </c:pt>
                <c:pt idx="7">
                  <c:v>6666.666666666667</c:v>
                </c:pt>
                <c:pt idx="8">
                  <c:v>6666.666666666667</c:v>
                </c:pt>
                <c:pt idx="9">
                  <c:v>6666.666666666667</c:v>
                </c:pt>
                <c:pt idx="10">
                  <c:v>6666.666666666667</c:v>
                </c:pt>
                <c:pt idx="11">
                  <c:v>6666.666666666667</c:v>
                </c:pt>
                <c:pt idx="12">
                  <c:v>20000</c:v>
                </c:pt>
                <c:pt idx="13">
                  <c:v>20000</c:v>
                </c:pt>
                <c:pt idx="14">
                  <c:v>20000</c:v>
                </c:pt>
                <c:pt idx="15">
                  <c:v>50000</c:v>
                </c:pt>
                <c:pt idx="16">
                  <c:v>50000</c:v>
                </c:pt>
                <c:pt idx="17">
                  <c:v>50000</c:v>
                </c:pt>
                <c:pt idx="18">
                  <c:v>50000</c:v>
                </c:pt>
                <c:pt idx="19">
                  <c:v>50000</c:v>
                </c:pt>
                <c:pt idx="20">
                  <c:v>50000</c:v>
                </c:pt>
                <c:pt idx="21">
                  <c:v>50000</c:v>
                </c:pt>
                <c:pt idx="22">
                  <c:v>50000</c:v>
                </c:pt>
                <c:pt idx="23">
                  <c:v>50000</c:v>
                </c:pt>
                <c:pt idx="24">
                  <c:v>50000</c:v>
                </c:pt>
                <c:pt idx="25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00-4265-BE7C-FCA1A76AD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378648"/>
        <c:axId val="647380288"/>
      </c:scatterChart>
      <c:valAx>
        <c:axId val="647378648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baseline="0"/>
                  <a:t>Period</a:t>
                </a:r>
              </a:p>
            </c:rich>
          </c:tx>
          <c:layout>
            <c:manualLayout>
              <c:xMode val="edge"/>
              <c:yMode val="edge"/>
              <c:x val="0.53281111279110793"/>
              <c:y val="0.94564251070436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80288"/>
        <c:crosses val="autoZero"/>
        <c:crossBetween val="midCat"/>
      </c:valAx>
      <c:valAx>
        <c:axId val="6473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7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PerpetuityChRates!$V$5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PerpetuityChRates!$B$6:$B$26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PerpetuityChRates!$V$6:$V$26</c:f>
              <c:numCache>
                <c:formatCode>_(* #,##0_);_(* \(#,##0\);_(* "-"??_);_(@_)</c:formatCode>
                <c:ptCount val="21"/>
                <c:pt idx="0">
                  <c:v>20000</c:v>
                </c:pt>
                <c:pt idx="1">
                  <c:v>11999.999999999998</c:v>
                </c:pt>
                <c:pt idx="2">
                  <c:v>10714.285714285714</c:v>
                </c:pt>
                <c:pt idx="3">
                  <c:v>10000</c:v>
                </c:pt>
                <c:pt idx="4">
                  <c:v>7500</c:v>
                </c:pt>
                <c:pt idx="5">
                  <c:v>6000</c:v>
                </c:pt>
                <c:pt idx="6">
                  <c:v>5555.5555555555557</c:v>
                </c:pt>
                <c:pt idx="7">
                  <c:v>4918.0327868852455</c:v>
                </c:pt>
                <c:pt idx="8">
                  <c:v>5000</c:v>
                </c:pt>
                <c:pt idx="9">
                  <c:v>5084.7457627118638</c:v>
                </c:pt>
                <c:pt idx="10">
                  <c:v>5769.2307692307686</c:v>
                </c:pt>
                <c:pt idx="11">
                  <c:v>6382.9787234042551</c:v>
                </c:pt>
                <c:pt idx="12">
                  <c:v>5555.5555555555547</c:v>
                </c:pt>
                <c:pt idx="13">
                  <c:v>5882.3529411764703</c:v>
                </c:pt>
                <c:pt idx="14">
                  <c:v>6818.181818181818</c:v>
                </c:pt>
                <c:pt idx="15">
                  <c:v>6976.7441860465115</c:v>
                </c:pt>
                <c:pt idx="16">
                  <c:v>6382.9787234042551</c:v>
                </c:pt>
                <c:pt idx="17">
                  <c:v>5555.5555555555547</c:v>
                </c:pt>
                <c:pt idx="18">
                  <c:v>4838.7096774193542</c:v>
                </c:pt>
                <c:pt idx="19">
                  <c:v>4477.6119402985069</c:v>
                </c:pt>
                <c:pt idx="20">
                  <c:v>4838.7096774193542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2-40D3-A0B7-77281D0D8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378648"/>
        <c:axId val="647380288"/>
      </c:scatterChart>
      <c:valAx>
        <c:axId val="647378648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baseline="0"/>
                  <a:t>Period</a:t>
                </a:r>
              </a:p>
            </c:rich>
          </c:tx>
          <c:layout>
            <c:manualLayout>
              <c:xMode val="edge"/>
              <c:yMode val="edge"/>
              <c:x val="0.53281111279110793"/>
              <c:y val="0.94564251070436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80288"/>
        <c:crosses val="autoZero"/>
        <c:crossBetween val="midCat"/>
      </c:valAx>
      <c:valAx>
        <c:axId val="6473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7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ZeroCouponBondChRates!$C$5</c:f>
              <c:strCache>
                <c:ptCount val="1"/>
                <c:pt idx="0">
                  <c:v>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xVal>
            <c:numRef>
              <c:f>ZeroCouponBondChRates!$B$6:$B$31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ZeroCouponBondChRates!$C$6:$C$31</c:f>
              <c:numCache>
                <c:formatCode>_(* #,##0_);_(* \(#,##0\);_(* "-"??_);_(@_)</c:formatCode>
                <c:ptCount val="26"/>
                <c:pt idx="0">
                  <c:v>1845.919963541281</c:v>
                </c:pt>
                <c:pt idx="1">
                  <c:v>2030.5119598954095</c:v>
                </c:pt>
                <c:pt idx="2">
                  <c:v>2233.56315588495</c:v>
                </c:pt>
                <c:pt idx="3">
                  <c:v>2456.9194714734454</c:v>
                </c:pt>
                <c:pt idx="4">
                  <c:v>2702.6114186207906</c:v>
                </c:pt>
                <c:pt idx="5">
                  <c:v>2972.8725604828696</c:v>
                </c:pt>
                <c:pt idx="6">
                  <c:v>3270.1598165311566</c:v>
                </c:pt>
                <c:pt idx="7">
                  <c:v>3597.1757981842729</c:v>
                </c:pt>
                <c:pt idx="8">
                  <c:v>3956.8933780027005</c:v>
                </c:pt>
                <c:pt idx="9">
                  <c:v>4352.5827158029706</c:v>
                </c:pt>
                <c:pt idx="10">
                  <c:v>4787.8409873832679</c:v>
                </c:pt>
                <c:pt idx="11">
                  <c:v>5266.6250861215949</c:v>
                </c:pt>
                <c:pt idx="12">
                  <c:v>5793.2875947337552</c:v>
                </c:pt>
                <c:pt idx="13">
                  <c:v>6372.6163542071308</c:v>
                </c:pt>
                <c:pt idx="14">
                  <c:v>7009.8779896278438</c:v>
                </c:pt>
                <c:pt idx="15">
                  <c:v>7710.8657885906296</c:v>
                </c:pt>
                <c:pt idx="16">
                  <c:v>8481.9523674496941</c:v>
                </c:pt>
                <c:pt idx="17">
                  <c:v>9330.1476041946626</c:v>
                </c:pt>
                <c:pt idx="18">
                  <c:v>10263.162364614129</c:v>
                </c:pt>
                <c:pt idx="19">
                  <c:v>11289.478601075543</c:v>
                </c:pt>
                <c:pt idx="20">
                  <c:v>12418.426461183099</c:v>
                </c:pt>
                <c:pt idx="21">
                  <c:v>13660.26910730141</c:v>
                </c:pt>
                <c:pt idx="22">
                  <c:v>15026.296018031551</c:v>
                </c:pt>
                <c:pt idx="23">
                  <c:v>16528.925619834707</c:v>
                </c:pt>
                <c:pt idx="24">
                  <c:v>18181.81818181818</c:v>
                </c:pt>
                <c:pt idx="25" formatCode="&quot;$&quot;#,##0_);[Red]\(&quot;$&quot;#,##0\)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2-4CA1-ADF7-B5B427484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378648"/>
        <c:axId val="647380288"/>
      </c:scatterChart>
      <c:valAx>
        <c:axId val="647378648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 baseline="0"/>
                  <a:t>Period</a:t>
                </a:r>
              </a:p>
            </c:rich>
          </c:tx>
          <c:layout>
            <c:manualLayout>
              <c:xMode val="edge"/>
              <c:yMode val="edge"/>
              <c:x val="0.53281111279110793"/>
              <c:y val="0.945642510704360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80288"/>
        <c:crosses val="autoZero"/>
        <c:crossBetween val="midCat"/>
      </c:valAx>
      <c:valAx>
        <c:axId val="6473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378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</xdr:colOff>
      <xdr:row>1</xdr:row>
      <xdr:rowOff>152400</xdr:rowOff>
    </xdr:from>
    <xdr:to>
      <xdr:col>17</xdr:col>
      <xdr:colOff>457200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0B2B22-9C09-4555-8186-918F0949A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17</xdr:col>
      <xdr:colOff>422910</xdr:colOff>
      <xdr:row>70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ED9B19-B9CD-4B4A-AF2E-B42175140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</xdr:colOff>
      <xdr:row>1</xdr:row>
      <xdr:rowOff>152400</xdr:rowOff>
    </xdr:from>
    <xdr:to>
      <xdr:col>17</xdr:col>
      <xdr:colOff>457200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05C565-5BA9-4049-B2C7-901AC5F38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78FE-B448-496F-80BC-7C6B763C1657}">
  <dimension ref="A1:H26"/>
  <sheetViews>
    <sheetView zoomScale="205" zoomScaleNormal="205" workbookViewId="0">
      <selection activeCell="H18" sqref="H18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15.7109375" customWidth="1"/>
    <col min="6" max="6" width="10.42578125" bestFit="1" customWidth="1"/>
  </cols>
  <sheetData>
    <row r="1" spans="1:8" x14ac:dyDescent="0.25">
      <c r="A1" t="s">
        <v>30</v>
      </c>
      <c r="B1" s="16">
        <v>1000</v>
      </c>
    </row>
    <row r="2" spans="1:8" x14ac:dyDescent="0.25">
      <c r="A2" t="s">
        <v>12</v>
      </c>
      <c r="B2">
        <v>10</v>
      </c>
      <c r="C2" t="s">
        <v>31</v>
      </c>
    </row>
    <row r="3" spans="1:8" x14ac:dyDescent="0.25">
      <c r="A3" t="s">
        <v>32</v>
      </c>
      <c r="B3" s="21">
        <v>0.04</v>
      </c>
      <c r="C3" t="s">
        <v>33</v>
      </c>
    </row>
    <row r="4" spans="1:8" x14ac:dyDescent="0.25">
      <c r="A4" t="s">
        <v>16</v>
      </c>
      <c r="B4" s="21">
        <v>0.04</v>
      </c>
    </row>
    <row r="5" spans="1:8" x14ac:dyDescent="0.25">
      <c r="C5" t="s">
        <v>34</v>
      </c>
      <c r="D5" t="s">
        <v>30</v>
      </c>
      <c r="E5" s="18" t="s">
        <v>35</v>
      </c>
      <c r="F5" t="s">
        <v>10</v>
      </c>
      <c r="G5" t="s">
        <v>42</v>
      </c>
    </row>
    <row r="6" spans="1:8" x14ac:dyDescent="0.25">
      <c r="B6">
        <v>0</v>
      </c>
      <c r="E6" s="18"/>
      <c r="F6" s="20">
        <f>SUM(F7:F26)</f>
        <v>1000</v>
      </c>
      <c r="G6" s="1" t="s">
        <v>36</v>
      </c>
      <c r="H6" s="1" t="s">
        <v>37</v>
      </c>
    </row>
    <row r="7" spans="1:8" x14ac:dyDescent="0.25">
      <c r="B7">
        <v>1</v>
      </c>
      <c r="C7" s="17">
        <f>$B$1*($B$3/2)</f>
        <v>20</v>
      </c>
      <c r="E7" s="19">
        <f>C7+D7</f>
        <v>20</v>
      </c>
      <c r="F7" s="4">
        <f>E7/(1+($B$4/2)^B7)</f>
        <v>19.607843137254903</v>
      </c>
      <c r="G7" s="1" t="s">
        <v>38</v>
      </c>
      <c r="H7" s="1" t="s">
        <v>39</v>
      </c>
    </row>
    <row r="8" spans="1:8" x14ac:dyDescent="0.25">
      <c r="B8">
        <v>2</v>
      </c>
      <c r="C8" s="17">
        <f t="shared" ref="C8:C26" si="0">$B$1*($B$3/2)</f>
        <v>20</v>
      </c>
      <c r="E8" s="19">
        <f t="shared" ref="E8:E26" si="1">C8+D8</f>
        <v>20</v>
      </c>
      <c r="F8" s="4">
        <f>E8/(1+B4/2)^B8</f>
        <v>19.223375624759708</v>
      </c>
      <c r="G8" s="1" t="s">
        <v>40</v>
      </c>
      <c r="H8" s="1" t="s">
        <v>41</v>
      </c>
    </row>
    <row r="9" spans="1:8" x14ac:dyDescent="0.25">
      <c r="B9">
        <v>3</v>
      </c>
      <c r="C9" s="17">
        <f t="shared" si="0"/>
        <v>20</v>
      </c>
      <c r="E9" s="19">
        <f t="shared" si="1"/>
        <v>20</v>
      </c>
      <c r="F9" s="4">
        <f>E9/(1+$B$4/2)^B9</f>
        <v>18.846446690940891</v>
      </c>
    </row>
    <row r="10" spans="1:8" x14ac:dyDescent="0.25">
      <c r="B10">
        <v>4</v>
      </c>
      <c r="C10" s="17">
        <f t="shared" si="0"/>
        <v>20</v>
      </c>
      <c r="E10" s="19">
        <f t="shared" si="1"/>
        <v>20</v>
      </c>
      <c r="F10" s="4">
        <f t="shared" ref="F10:F26" si="2">E10/(1+$B$4/2)^B10</f>
        <v>18.476908520530284</v>
      </c>
    </row>
    <row r="11" spans="1:8" x14ac:dyDescent="0.25">
      <c r="B11">
        <v>5</v>
      </c>
      <c r="C11" s="17">
        <f t="shared" si="0"/>
        <v>20</v>
      </c>
      <c r="E11" s="19">
        <f t="shared" si="1"/>
        <v>20</v>
      </c>
      <c r="F11" s="4">
        <f t="shared" si="2"/>
        <v>18.114616196598316</v>
      </c>
    </row>
    <row r="12" spans="1:8" x14ac:dyDescent="0.25">
      <c r="B12">
        <v>6</v>
      </c>
      <c r="C12" s="17">
        <f t="shared" si="0"/>
        <v>20</v>
      </c>
      <c r="E12" s="19">
        <f t="shared" si="1"/>
        <v>20</v>
      </c>
      <c r="F12" s="4">
        <f t="shared" si="2"/>
        <v>17.759427643723839</v>
      </c>
    </row>
    <row r="13" spans="1:8" x14ac:dyDescent="0.25">
      <c r="B13">
        <v>7</v>
      </c>
      <c r="C13" s="17">
        <f t="shared" si="0"/>
        <v>20</v>
      </c>
      <c r="E13" s="19">
        <f t="shared" si="1"/>
        <v>20</v>
      </c>
      <c r="F13" s="4">
        <f t="shared" si="2"/>
        <v>17.411203572278279</v>
      </c>
    </row>
    <row r="14" spans="1:8" x14ac:dyDescent="0.25">
      <c r="B14">
        <v>8</v>
      </c>
      <c r="C14" s="17">
        <f t="shared" si="0"/>
        <v>20</v>
      </c>
      <c r="E14" s="19">
        <f t="shared" si="1"/>
        <v>20</v>
      </c>
      <c r="F14" s="4">
        <f t="shared" si="2"/>
        <v>17.069807423802231</v>
      </c>
    </row>
    <row r="15" spans="1:8" x14ac:dyDescent="0.25">
      <c r="B15">
        <v>9</v>
      </c>
      <c r="C15" s="17">
        <f t="shared" si="0"/>
        <v>20</v>
      </c>
      <c r="E15" s="19">
        <f t="shared" si="1"/>
        <v>20</v>
      </c>
      <c r="F15" s="4">
        <f t="shared" si="2"/>
        <v>16.735105317453169</v>
      </c>
    </row>
    <row r="16" spans="1:8" x14ac:dyDescent="0.25">
      <c r="B16">
        <v>10</v>
      </c>
      <c r="C16" s="17">
        <f t="shared" si="0"/>
        <v>20</v>
      </c>
      <c r="E16" s="19">
        <f t="shared" si="1"/>
        <v>20</v>
      </c>
      <c r="F16" s="4">
        <f t="shared" si="2"/>
        <v>16.406965997503107</v>
      </c>
    </row>
    <row r="17" spans="2:6" x14ac:dyDescent="0.25">
      <c r="B17">
        <v>11</v>
      </c>
      <c r="C17" s="17">
        <f t="shared" si="0"/>
        <v>20</v>
      </c>
      <c r="E17" s="19">
        <f t="shared" si="1"/>
        <v>20</v>
      </c>
      <c r="F17" s="4">
        <f t="shared" si="2"/>
        <v>16.085260781865792</v>
      </c>
    </row>
    <row r="18" spans="2:6" x14ac:dyDescent="0.25">
      <c r="B18">
        <v>12</v>
      </c>
      <c r="C18" s="17">
        <f t="shared" si="0"/>
        <v>20</v>
      </c>
      <c r="E18" s="19">
        <f t="shared" si="1"/>
        <v>20</v>
      </c>
      <c r="F18" s="4">
        <f t="shared" si="2"/>
        <v>15.769863511633128</v>
      </c>
    </row>
    <row r="19" spans="2:6" x14ac:dyDescent="0.25">
      <c r="B19">
        <v>13</v>
      </c>
      <c r="C19" s="17">
        <f t="shared" si="0"/>
        <v>20</v>
      </c>
      <c r="E19" s="19">
        <f t="shared" si="1"/>
        <v>20</v>
      </c>
      <c r="F19" s="4">
        <f t="shared" si="2"/>
        <v>15.460650501601107</v>
      </c>
    </row>
    <row r="20" spans="2:6" x14ac:dyDescent="0.25">
      <c r="B20">
        <v>14</v>
      </c>
      <c r="C20" s="17">
        <f t="shared" si="0"/>
        <v>20</v>
      </c>
      <c r="E20" s="19">
        <f t="shared" si="1"/>
        <v>20</v>
      </c>
      <c r="F20" s="4">
        <f t="shared" si="2"/>
        <v>15.15750049176579</v>
      </c>
    </row>
    <row r="21" spans="2:6" x14ac:dyDescent="0.25">
      <c r="B21">
        <v>15</v>
      </c>
      <c r="C21" s="17">
        <f t="shared" si="0"/>
        <v>20</v>
      </c>
      <c r="E21" s="19">
        <f t="shared" si="1"/>
        <v>20</v>
      </c>
      <c r="F21" s="4">
        <f t="shared" si="2"/>
        <v>14.860294599770386</v>
      </c>
    </row>
    <row r="22" spans="2:6" x14ac:dyDescent="0.25">
      <c r="B22">
        <v>16</v>
      </c>
      <c r="C22" s="17">
        <f t="shared" si="0"/>
        <v>20</v>
      </c>
      <c r="E22" s="19">
        <f t="shared" si="1"/>
        <v>20</v>
      </c>
      <c r="F22" s="4">
        <f t="shared" si="2"/>
        <v>14.568916274284689</v>
      </c>
    </row>
    <row r="23" spans="2:6" x14ac:dyDescent="0.25">
      <c r="B23">
        <v>17</v>
      </c>
      <c r="C23" s="17">
        <f t="shared" si="0"/>
        <v>20</v>
      </c>
      <c r="E23" s="19">
        <f t="shared" si="1"/>
        <v>20</v>
      </c>
      <c r="F23" s="4">
        <f t="shared" si="2"/>
        <v>14.283251249298713</v>
      </c>
    </row>
    <row r="24" spans="2:6" x14ac:dyDescent="0.25">
      <c r="B24">
        <v>18</v>
      </c>
      <c r="C24" s="17">
        <f t="shared" si="0"/>
        <v>20</v>
      </c>
      <c r="E24" s="19">
        <f t="shared" si="1"/>
        <v>20</v>
      </c>
      <c r="F24" s="4">
        <f t="shared" si="2"/>
        <v>14.003187499312466</v>
      </c>
    </row>
    <row r="25" spans="2:6" x14ac:dyDescent="0.25">
      <c r="B25">
        <v>19</v>
      </c>
      <c r="C25" s="17">
        <f t="shared" si="0"/>
        <v>20</v>
      </c>
      <c r="E25" s="19">
        <f t="shared" si="1"/>
        <v>20</v>
      </c>
      <c r="F25" s="4">
        <f t="shared" si="2"/>
        <v>13.728615195404378</v>
      </c>
    </row>
    <row r="26" spans="2:6" x14ac:dyDescent="0.25">
      <c r="B26">
        <v>20</v>
      </c>
      <c r="C26" s="17">
        <f t="shared" si="0"/>
        <v>20</v>
      </c>
      <c r="D26" s="17">
        <f>B1</f>
        <v>1000</v>
      </c>
      <c r="E26" s="19">
        <f t="shared" si="1"/>
        <v>1020</v>
      </c>
      <c r="F26" s="4">
        <f t="shared" si="2"/>
        <v>686.43075977021886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C375-B6E6-49D2-8E1A-8CE5B1F18302}">
  <dimension ref="A1:J13"/>
  <sheetViews>
    <sheetView zoomScale="205" zoomScaleNormal="205" workbookViewId="0">
      <selection activeCell="D19" sqref="D19"/>
    </sheetView>
  </sheetViews>
  <sheetFormatPr defaultRowHeight="15" x14ac:dyDescent="0.25"/>
  <cols>
    <col min="1" max="1" width="12.140625" customWidth="1"/>
    <col min="3" max="3" width="10.28515625" bestFit="1" customWidth="1"/>
    <col min="4" max="4" width="11.28515625" bestFit="1" customWidth="1"/>
    <col min="6" max="6" width="11.5703125" bestFit="1" customWidth="1"/>
    <col min="7" max="7" width="11.42578125" bestFit="1" customWidth="1"/>
  </cols>
  <sheetData>
    <row r="1" spans="1:10" x14ac:dyDescent="0.25">
      <c r="A1" t="s">
        <v>1</v>
      </c>
      <c r="B1" s="9">
        <v>1</v>
      </c>
      <c r="I1" s="9"/>
      <c r="J1" s="9"/>
    </row>
    <row r="2" spans="1:10" x14ac:dyDescent="0.25">
      <c r="A2" t="s">
        <v>16</v>
      </c>
      <c r="B2" s="2">
        <v>0.08</v>
      </c>
      <c r="F2" s="1" t="s">
        <v>47</v>
      </c>
    </row>
    <row r="3" spans="1:10" x14ac:dyDescent="0.25">
      <c r="F3" t="s">
        <v>1</v>
      </c>
      <c r="G3" s="9">
        <v>1</v>
      </c>
      <c r="H3" s="9"/>
    </row>
    <row r="4" spans="1:10" x14ac:dyDescent="0.25">
      <c r="C4" s="12" t="s">
        <v>17</v>
      </c>
      <c r="D4" s="12"/>
      <c r="F4" t="s">
        <v>16</v>
      </c>
      <c r="G4" s="24">
        <f>C7-1</f>
        <v>8.1600000000000117E-2</v>
      </c>
      <c r="H4" t="s">
        <v>27</v>
      </c>
    </row>
    <row r="5" spans="1:10" ht="15.75" thickBot="1" x14ac:dyDescent="0.3">
      <c r="A5" s="13" t="s">
        <v>19</v>
      </c>
      <c r="B5" s="13" t="s">
        <v>26</v>
      </c>
      <c r="C5" s="10" t="s">
        <v>18</v>
      </c>
      <c r="D5" s="10" t="s">
        <v>28</v>
      </c>
      <c r="G5" s="23">
        <f>G3*(1+G4)</f>
        <v>1.0816000000000001</v>
      </c>
    </row>
    <row r="6" spans="1:10" x14ac:dyDescent="0.25">
      <c r="A6" t="s">
        <v>20</v>
      </c>
      <c r="B6">
        <v>1</v>
      </c>
      <c r="C6" s="14">
        <f>$B$1*(1+$B$2)^B6</f>
        <v>1.08</v>
      </c>
      <c r="D6" s="15"/>
    </row>
    <row r="7" spans="1:10" x14ac:dyDescent="0.25">
      <c r="A7" t="s">
        <v>21</v>
      </c>
      <c r="B7">
        <v>2</v>
      </c>
      <c r="C7" s="14">
        <f>$B$1*(1+$B$2/B7)^($B$6*B7)</f>
        <v>1.0816000000000001</v>
      </c>
      <c r="D7" s="15"/>
      <c r="F7" s="1" t="s">
        <v>48</v>
      </c>
    </row>
    <row r="8" spans="1:10" x14ac:dyDescent="0.25">
      <c r="A8" t="s">
        <v>22</v>
      </c>
      <c r="B8">
        <v>4</v>
      </c>
      <c r="C8" s="14">
        <f>$B$1*(1+$B$2/B8)^($B$6*B8)</f>
        <v>1.08243216</v>
      </c>
      <c r="D8" s="15"/>
      <c r="F8" t="s">
        <v>1</v>
      </c>
      <c r="G8" s="9">
        <v>1</v>
      </c>
      <c r="H8" s="9"/>
    </row>
    <row r="9" spans="1:10" x14ac:dyDescent="0.25">
      <c r="A9" t="s">
        <v>23</v>
      </c>
      <c r="B9">
        <v>12</v>
      </c>
      <c r="C9" s="14">
        <f>$B$1*(1+$B$2/B9)^($B$6*B9)</f>
        <v>1.08299950680751</v>
      </c>
      <c r="D9" s="15"/>
      <c r="F9" t="s">
        <v>16</v>
      </c>
      <c r="G9" s="25">
        <f>C8-1</f>
        <v>8.2432159999999977E-2</v>
      </c>
      <c r="H9" t="s">
        <v>27</v>
      </c>
    </row>
    <row r="10" spans="1:10" x14ac:dyDescent="0.25">
      <c r="A10" t="s">
        <v>24</v>
      </c>
      <c r="B10">
        <v>365</v>
      </c>
      <c r="C10" s="14">
        <f>$B$1*(1+$B$2/B10)^($B$6*B10)</f>
        <v>1.083277571792814</v>
      </c>
      <c r="D10" s="15"/>
      <c r="G10" s="14">
        <f>G8*(1+G9)</f>
        <v>1.08243216</v>
      </c>
    </row>
    <row r="11" spans="1:10" x14ac:dyDescent="0.25">
      <c r="A11" t="s">
        <v>25</v>
      </c>
      <c r="C11" s="14">
        <f>EXP(B2*1)</f>
        <v>1.0832870676749586</v>
      </c>
      <c r="D11" s="15"/>
    </row>
    <row r="13" spans="1:10" x14ac:dyDescent="0.25">
      <c r="C13" t="s">
        <v>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3F0D-A466-465D-986C-BFD718E1CEEB}">
  <dimension ref="A1:X19"/>
  <sheetViews>
    <sheetView zoomScale="235" zoomScaleNormal="235" workbookViewId="0">
      <selection activeCell="D15" sqref="D15"/>
    </sheetView>
  </sheetViews>
  <sheetFormatPr defaultRowHeight="15" x14ac:dyDescent="0.25"/>
  <cols>
    <col min="1" max="1" width="12.5703125" customWidth="1"/>
    <col min="2" max="2" width="10.5703125" bestFit="1" customWidth="1"/>
    <col min="3" max="3" width="14.140625" customWidth="1"/>
    <col min="4" max="14" width="12.5703125" bestFit="1" customWidth="1"/>
    <col min="15" max="15" width="10.5703125" bestFit="1" customWidth="1"/>
    <col min="16" max="16" width="10.42578125" customWidth="1"/>
    <col min="17" max="23" width="10.5703125" bestFit="1" customWidth="1"/>
  </cols>
  <sheetData>
    <row r="1" spans="1:24" x14ac:dyDescent="0.25">
      <c r="A1" t="s">
        <v>29</v>
      </c>
    </row>
    <row r="3" spans="1:24" x14ac:dyDescent="0.25">
      <c r="A3" t="s">
        <v>1</v>
      </c>
      <c r="B3" s="3">
        <v>1000</v>
      </c>
    </row>
    <row r="4" spans="1:24" x14ac:dyDescent="0.25">
      <c r="A4" t="s">
        <v>3</v>
      </c>
      <c r="B4" s="2">
        <v>0.05</v>
      </c>
    </row>
    <row r="5" spans="1:24" x14ac:dyDescent="0.25">
      <c r="A5" s="2"/>
      <c r="B5" s="5"/>
    </row>
    <row r="6" spans="1:24" x14ac:dyDescent="0.25">
      <c r="C6" t="s">
        <v>4</v>
      </c>
    </row>
    <row r="7" spans="1:24" x14ac:dyDescent="0.25">
      <c r="B7" s="5" t="s">
        <v>7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</row>
    <row r="8" spans="1:24" x14ac:dyDescent="0.25">
      <c r="B8" s="5">
        <v>0</v>
      </c>
      <c r="C8" s="6">
        <f>$D$8/$B$4</f>
        <v>20000</v>
      </c>
      <c r="D8" s="4">
        <f>$B$3</f>
        <v>1000</v>
      </c>
      <c r="E8" s="4">
        <f t="shared" ref="E8:W11" si="0">$B$3</f>
        <v>1000</v>
      </c>
      <c r="F8" s="4">
        <f t="shared" si="0"/>
        <v>1000</v>
      </c>
      <c r="G8" s="4">
        <f t="shared" si="0"/>
        <v>1000</v>
      </c>
      <c r="H8" s="4">
        <f t="shared" si="0"/>
        <v>1000</v>
      </c>
      <c r="I8" s="4">
        <f t="shared" si="0"/>
        <v>1000</v>
      </c>
      <c r="J8" s="4">
        <f t="shared" si="0"/>
        <v>1000</v>
      </c>
      <c r="K8" s="4">
        <f t="shared" si="0"/>
        <v>1000</v>
      </c>
      <c r="L8" s="4">
        <f t="shared" si="0"/>
        <v>1000</v>
      </c>
      <c r="M8" s="4">
        <f t="shared" si="0"/>
        <v>1000</v>
      </c>
      <c r="N8" s="4">
        <f t="shared" si="0"/>
        <v>1000</v>
      </c>
      <c r="O8" s="4">
        <f t="shared" si="0"/>
        <v>1000</v>
      </c>
      <c r="P8" s="4">
        <f t="shared" si="0"/>
        <v>1000</v>
      </c>
      <c r="Q8" s="4">
        <f t="shared" si="0"/>
        <v>1000</v>
      </c>
      <c r="R8" s="4">
        <f t="shared" si="0"/>
        <v>1000</v>
      </c>
      <c r="S8" s="4">
        <f t="shared" si="0"/>
        <v>1000</v>
      </c>
      <c r="T8" s="4">
        <f t="shared" si="0"/>
        <v>1000</v>
      </c>
      <c r="U8" s="4">
        <f t="shared" si="0"/>
        <v>1000</v>
      </c>
      <c r="V8" s="4">
        <f t="shared" si="0"/>
        <v>1000</v>
      </c>
      <c r="W8" s="4">
        <f t="shared" si="0"/>
        <v>1000</v>
      </c>
      <c r="X8" t="s">
        <v>8</v>
      </c>
    </row>
    <row r="9" spans="1:24" x14ac:dyDescent="0.25">
      <c r="B9" s="5">
        <v>1</v>
      </c>
      <c r="D9" s="6">
        <f>$E$9/$B$4</f>
        <v>20000</v>
      </c>
      <c r="E9" s="4">
        <f>$B$3</f>
        <v>1000</v>
      </c>
      <c r="F9" s="4">
        <f t="shared" si="0"/>
        <v>1000</v>
      </c>
      <c r="G9" s="4">
        <f t="shared" si="0"/>
        <v>1000</v>
      </c>
      <c r="H9" s="4">
        <f t="shared" si="0"/>
        <v>1000</v>
      </c>
      <c r="I9" s="4">
        <f t="shared" si="0"/>
        <v>1000</v>
      </c>
      <c r="J9" s="4">
        <f t="shared" si="0"/>
        <v>1000</v>
      </c>
      <c r="K9" s="4">
        <f t="shared" si="0"/>
        <v>1000</v>
      </c>
      <c r="L9" s="4">
        <f t="shared" si="0"/>
        <v>1000</v>
      </c>
      <c r="M9" s="4">
        <f t="shared" si="0"/>
        <v>1000</v>
      </c>
      <c r="N9" s="4">
        <f t="shared" si="0"/>
        <v>1000</v>
      </c>
      <c r="O9" s="4">
        <f t="shared" si="0"/>
        <v>1000</v>
      </c>
      <c r="P9" s="4">
        <f t="shared" si="0"/>
        <v>1000</v>
      </c>
      <c r="Q9" s="4">
        <f t="shared" si="0"/>
        <v>1000</v>
      </c>
      <c r="R9" s="4">
        <f t="shared" si="0"/>
        <v>1000</v>
      </c>
      <c r="S9" s="4">
        <f t="shared" si="0"/>
        <v>1000</v>
      </c>
      <c r="T9" s="4">
        <f t="shared" si="0"/>
        <v>1000</v>
      </c>
      <c r="U9" s="4">
        <f t="shared" si="0"/>
        <v>1000</v>
      </c>
      <c r="V9" s="4">
        <f t="shared" si="0"/>
        <v>1000</v>
      </c>
      <c r="W9" s="4">
        <f t="shared" si="0"/>
        <v>1000</v>
      </c>
      <c r="X9" t="s">
        <v>8</v>
      </c>
    </row>
    <row r="10" spans="1:24" x14ac:dyDescent="0.25">
      <c r="B10" s="5">
        <v>2</v>
      </c>
      <c r="D10" s="4"/>
      <c r="E10" s="6">
        <f>$F$10/$B$4</f>
        <v>20000</v>
      </c>
      <c r="F10" s="4">
        <f t="shared" si="0"/>
        <v>1000</v>
      </c>
      <c r="G10" s="4">
        <f t="shared" si="0"/>
        <v>1000</v>
      </c>
      <c r="H10" s="4">
        <f t="shared" si="0"/>
        <v>1000</v>
      </c>
      <c r="I10" s="4">
        <f t="shared" si="0"/>
        <v>1000</v>
      </c>
      <c r="J10" s="4">
        <f t="shared" si="0"/>
        <v>1000</v>
      </c>
      <c r="K10" s="4">
        <f t="shared" si="0"/>
        <v>1000</v>
      </c>
      <c r="L10" s="4">
        <f t="shared" si="0"/>
        <v>1000</v>
      </c>
      <c r="M10" s="4">
        <f t="shared" si="0"/>
        <v>1000</v>
      </c>
      <c r="N10" s="4">
        <f t="shared" si="0"/>
        <v>1000</v>
      </c>
      <c r="O10" s="4">
        <f t="shared" si="0"/>
        <v>1000</v>
      </c>
      <c r="P10" s="4">
        <f t="shared" si="0"/>
        <v>1000</v>
      </c>
      <c r="Q10" s="4">
        <f t="shared" si="0"/>
        <v>1000</v>
      </c>
      <c r="R10" s="4">
        <f t="shared" si="0"/>
        <v>1000</v>
      </c>
      <c r="S10" s="4">
        <f t="shared" si="0"/>
        <v>1000</v>
      </c>
      <c r="T10" s="4">
        <f t="shared" si="0"/>
        <v>1000</v>
      </c>
      <c r="U10" s="4">
        <f t="shared" si="0"/>
        <v>1000</v>
      </c>
      <c r="V10" s="4">
        <f t="shared" si="0"/>
        <v>1000</v>
      </c>
      <c r="W10" s="4">
        <f t="shared" si="0"/>
        <v>1000</v>
      </c>
      <c r="X10" t="s">
        <v>8</v>
      </c>
    </row>
    <row r="11" spans="1:24" x14ac:dyDescent="0.25">
      <c r="A11" s="2"/>
      <c r="B11" s="5">
        <v>3</v>
      </c>
      <c r="D11" s="4"/>
      <c r="E11" s="4"/>
      <c r="F11" s="6">
        <f>$G$11/$B$4</f>
        <v>20000</v>
      </c>
      <c r="G11" s="4">
        <f t="shared" si="0"/>
        <v>1000</v>
      </c>
      <c r="H11" s="4">
        <f t="shared" si="0"/>
        <v>1000</v>
      </c>
      <c r="I11" s="4">
        <f t="shared" si="0"/>
        <v>1000</v>
      </c>
      <c r="J11" s="4">
        <f t="shared" si="0"/>
        <v>1000</v>
      </c>
      <c r="K11" s="4">
        <f t="shared" si="0"/>
        <v>1000</v>
      </c>
      <c r="L11" s="4">
        <f t="shared" si="0"/>
        <v>1000</v>
      </c>
      <c r="M11" s="4">
        <f t="shared" si="0"/>
        <v>1000</v>
      </c>
      <c r="N11" s="4">
        <f t="shared" si="0"/>
        <v>1000</v>
      </c>
      <c r="O11" s="4">
        <f t="shared" si="0"/>
        <v>1000</v>
      </c>
      <c r="P11" s="4">
        <f t="shared" si="0"/>
        <v>1000</v>
      </c>
      <c r="Q11" s="4">
        <f t="shared" si="0"/>
        <v>1000</v>
      </c>
      <c r="R11" s="4">
        <f t="shared" si="0"/>
        <v>1000</v>
      </c>
      <c r="S11" s="4">
        <f t="shared" si="0"/>
        <v>1000</v>
      </c>
      <c r="T11" s="4">
        <f t="shared" si="0"/>
        <v>1000</v>
      </c>
      <c r="U11" s="4">
        <f t="shared" si="0"/>
        <v>1000</v>
      </c>
      <c r="V11" s="4">
        <f t="shared" si="0"/>
        <v>1000</v>
      </c>
      <c r="W11" s="4">
        <f t="shared" si="0"/>
        <v>1000</v>
      </c>
      <c r="X11" t="s">
        <v>8</v>
      </c>
    </row>
    <row r="12" spans="1:24" x14ac:dyDescent="0.25">
      <c r="A12" s="2"/>
      <c r="B12" s="5">
        <v>4</v>
      </c>
      <c r="D12" s="4"/>
      <c r="E12" s="4"/>
      <c r="F12" s="4"/>
      <c r="G12" s="6">
        <f>$H$12/$B$4</f>
        <v>20000</v>
      </c>
      <c r="H12" s="4">
        <f t="shared" ref="H12:W19" si="1">$B$3</f>
        <v>1000</v>
      </c>
      <c r="I12" s="4">
        <f t="shared" si="1"/>
        <v>1000</v>
      </c>
      <c r="J12" s="4">
        <f t="shared" si="1"/>
        <v>1000</v>
      </c>
      <c r="K12" s="4">
        <f t="shared" si="1"/>
        <v>1000</v>
      </c>
      <c r="L12" s="4">
        <f t="shared" si="1"/>
        <v>1000</v>
      </c>
      <c r="M12" s="4">
        <f t="shared" si="1"/>
        <v>1000</v>
      </c>
      <c r="N12" s="4">
        <f t="shared" si="1"/>
        <v>1000</v>
      </c>
      <c r="O12" s="4">
        <f t="shared" si="1"/>
        <v>1000</v>
      </c>
      <c r="P12" s="4">
        <f t="shared" si="1"/>
        <v>1000</v>
      </c>
      <c r="Q12" s="4">
        <f t="shared" si="1"/>
        <v>1000</v>
      </c>
      <c r="R12" s="4">
        <f t="shared" si="1"/>
        <v>1000</v>
      </c>
      <c r="S12" s="4">
        <f t="shared" si="1"/>
        <v>1000</v>
      </c>
      <c r="T12" s="4">
        <f t="shared" si="1"/>
        <v>1000</v>
      </c>
      <c r="U12" s="4">
        <f t="shared" si="1"/>
        <v>1000</v>
      </c>
      <c r="V12" s="4">
        <f t="shared" si="1"/>
        <v>1000</v>
      </c>
      <c r="W12" s="4">
        <f t="shared" si="1"/>
        <v>1000</v>
      </c>
      <c r="X12" t="s">
        <v>8</v>
      </c>
    </row>
    <row r="13" spans="1:24" x14ac:dyDescent="0.25">
      <c r="B13" s="5">
        <v>5</v>
      </c>
      <c r="D13" s="4"/>
      <c r="E13" s="4"/>
      <c r="F13" s="4"/>
      <c r="G13" s="4"/>
      <c r="H13" s="6">
        <f>$I$13/$B$4</f>
        <v>20000</v>
      </c>
      <c r="I13" s="4">
        <f t="shared" si="1"/>
        <v>1000</v>
      </c>
      <c r="J13" s="4">
        <f t="shared" si="1"/>
        <v>1000</v>
      </c>
      <c r="K13" s="4">
        <f t="shared" si="1"/>
        <v>1000</v>
      </c>
      <c r="L13" s="4">
        <f t="shared" si="1"/>
        <v>1000</v>
      </c>
      <c r="M13" s="4">
        <f t="shared" si="1"/>
        <v>1000</v>
      </c>
      <c r="N13" s="4">
        <f t="shared" si="1"/>
        <v>1000</v>
      </c>
      <c r="O13" s="4">
        <f t="shared" si="1"/>
        <v>1000</v>
      </c>
      <c r="P13" s="4">
        <f t="shared" si="1"/>
        <v>1000</v>
      </c>
      <c r="Q13" s="4">
        <f t="shared" si="1"/>
        <v>1000</v>
      </c>
      <c r="R13" s="4">
        <f t="shared" si="1"/>
        <v>1000</v>
      </c>
      <c r="S13" s="4">
        <f t="shared" si="1"/>
        <v>1000</v>
      </c>
      <c r="T13" s="4">
        <f t="shared" si="1"/>
        <v>1000</v>
      </c>
      <c r="U13" s="4">
        <f t="shared" si="1"/>
        <v>1000</v>
      </c>
      <c r="V13" s="4">
        <f t="shared" si="1"/>
        <v>1000</v>
      </c>
      <c r="W13" s="4">
        <f t="shared" si="1"/>
        <v>1000</v>
      </c>
      <c r="X13" t="s">
        <v>8</v>
      </c>
    </row>
    <row r="14" spans="1:24" x14ac:dyDescent="0.25">
      <c r="B14" s="5">
        <v>6</v>
      </c>
      <c r="D14" s="4"/>
      <c r="E14" s="4"/>
      <c r="F14" s="4"/>
      <c r="G14" s="4"/>
      <c r="H14" s="4"/>
      <c r="I14" s="6">
        <f>$J$14/$B$4</f>
        <v>20000</v>
      </c>
      <c r="J14" s="4">
        <f t="shared" si="1"/>
        <v>1000</v>
      </c>
      <c r="K14" s="4">
        <f t="shared" si="1"/>
        <v>1000</v>
      </c>
      <c r="L14" s="4">
        <f t="shared" si="1"/>
        <v>1000</v>
      </c>
      <c r="M14" s="4">
        <f t="shared" si="1"/>
        <v>1000</v>
      </c>
      <c r="N14" s="4">
        <f t="shared" si="1"/>
        <v>1000</v>
      </c>
      <c r="O14" s="4">
        <f t="shared" si="1"/>
        <v>1000</v>
      </c>
      <c r="P14" s="4">
        <f t="shared" si="1"/>
        <v>1000</v>
      </c>
      <c r="Q14" s="4">
        <f t="shared" si="1"/>
        <v>1000</v>
      </c>
      <c r="R14" s="4">
        <f t="shared" si="1"/>
        <v>1000</v>
      </c>
      <c r="S14" s="4">
        <f t="shared" si="1"/>
        <v>1000</v>
      </c>
      <c r="T14" s="4">
        <f t="shared" si="1"/>
        <v>1000</v>
      </c>
      <c r="U14" s="4">
        <f t="shared" si="1"/>
        <v>1000</v>
      </c>
      <c r="V14" s="4">
        <f t="shared" si="1"/>
        <v>1000</v>
      </c>
      <c r="W14" s="4">
        <f t="shared" si="1"/>
        <v>1000</v>
      </c>
      <c r="X14" t="s">
        <v>8</v>
      </c>
    </row>
    <row r="15" spans="1:24" x14ac:dyDescent="0.25">
      <c r="B15" s="5">
        <v>7</v>
      </c>
      <c r="D15" s="4"/>
      <c r="E15" s="4"/>
      <c r="F15" s="4"/>
      <c r="G15" s="4"/>
      <c r="H15" s="4"/>
      <c r="I15" s="4"/>
      <c r="J15" s="6">
        <f>$K$15/$B$4</f>
        <v>20000</v>
      </c>
      <c r="K15" s="4">
        <f t="shared" si="1"/>
        <v>1000</v>
      </c>
      <c r="L15" s="4">
        <f t="shared" si="1"/>
        <v>1000</v>
      </c>
      <c r="M15" s="4">
        <f t="shared" si="1"/>
        <v>1000</v>
      </c>
      <c r="N15" s="4">
        <f t="shared" si="1"/>
        <v>1000</v>
      </c>
      <c r="O15" s="4">
        <f t="shared" si="1"/>
        <v>1000</v>
      </c>
      <c r="P15" s="4">
        <f t="shared" si="1"/>
        <v>1000</v>
      </c>
      <c r="Q15" s="4">
        <f t="shared" si="1"/>
        <v>1000</v>
      </c>
      <c r="R15" s="4">
        <f t="shared" si="1"/>
        <v>1000</v>
      </c>
      <c r="S15" s="4">
        <f t="shared" si="1"/>
        <v>1000</v>
      </c>
      <c r="T15" s="4">
        <f t="shared" si="1"/>
        <v>1000</v>
      </c>
      <c r="U15" s="4">
        <f t="shared" si="1"/>
        <v>1000</v>
      </c>
      <c r="V15" s="4">
        <f t="shared" si="1"/>
        <v>1000</v>
      </c>
      <c r="W15" s="4">
        <f t="shared" si="1"/>
        <v>1000</v>
      </c>
      <c r="X15" t="s">
        <v>8</v>
      </c>
    </row>
    <row r="16" spans="1:24" x14ac:dyDescent="0.25">
      <c r="B16" s="5">
        <v>8</v>
      </c>
      <c r="D16" s="4"/>
      <c r="E16" s="4"/>
      <c r="F16" s="4"/>
      <c r="G16" s="4"/>
      <c r="H16" s="4"/>
      <c r="I16" s="4"/>
      <c r="J16" s="4"/>
      <c r="K16" s="6">
        <f>L16/$B$4</f>
        <v>20000</v>
      </c>
      <c r="L16" s="4">
        <f t="shared" si="1"/>
        <v>1000</v>
      </c>
      <c r="M16" s="4">
        <f t="shared" si="1"/>
        <v>1000</v>
      </c>
      <c r="N16" s="4">
        <f t="shared" si="1"/>
        <v>1000</v>
      </c>
      <c r="O16" s="4">
        <f t="shared" si="1"/>
        <v>1000</v>
      </c>
      <c r="P16" s="4">
        <f t="shared" si="1"/>
        <v>1000</v>
      </c>
      <c r="Q16" s="4">
        <f t="shared" si="1"/>
        <v>1000</v>
      </c>
      <c r="R16" s="4">
        <f t="shared" si="1"/>
        <v>1000</v>
      </c>
      <c r="S16" s="4">
        <f t="shared" si="1"/>
        <v>1000</v>
      </c>
      <c r="T16" s="4">
        <f t="shared" si="1"/>
        <v>1000</v>
      </c>
      <c r="U16" s="4">
        <f t="shared" si="1"/>
        <v>1000</v>
      </c>
      <c r="V16" s="4">
        <f t="shared" si="1"/>
        <v>1000</v>
      </c>
      <c r="W16" s="4">
        <f t="shared" si="1"/>
        <v>1000</v>
      </c>
      <c r="X16" t="s">
        <v>8</v>
      </c>
    </row>
    <row r="17" spans="2:24" x14ac:dyDescent="0.25">
      <c r="B17" s="5">
        <v>9</v>
      </c>
      <c r="D17" s="4"/>
      <c r="E17" s="4"/>
      <c r="F17" s="4"/>
      <c r="G17" s="4"/>
      <c r="H17" s="4"/>
      <c r="I17" s="4"/>
      <c r="J17" s="4"/>
      <c r="K17" s="4"/>
      <c r="L17" s="6">
        <f>M17/$B$4</f>
        <v>20000</v>
      </c>
      <c r="M17" s="4">
        <f t="shared" si="1"/>
        <v>1000</v>
      </c>
      <c r="N17" s="4">
        <f t="shared" si="1"/>
        <v>1000</v>
      </c>
      <c r="O17" s="4">
        <f t="shared" si="1"/>
        <v>1000</v>
      </c>
      <c r="P17" s="4">
        <f t="shared" si="1"/>
        <v>1000</v>
      </c>
      <c r="Q17" s="4">
        <f t="shared" si="1"/>
        <v>1000</v>
      </c>
      <c r="R17" s="4">
        <f t="shared" si="1"/>
        <v>1000</v>
      </c>
      <c r="S17" s="4">
        <f t="shared" si="1"/>
        <v>1000</v>
      </c>
      <c r="T17" s="4">
        <f t="shared" si="1"/>
        <v>1000</v>
      </c>
      <c r="U17" s="4">
        <f t="shared" si="1"/>
        <v>1000</v>
      </c>
      <c r="V17" s="4">
        <f t="shared" si="1"/>
        <v>1000</v>
      </c>
      <c r="W17" s="4">
        <f t="shared" si="1"/>
        <v>1000</v>
      </c>
      <c r="X17" t="s">
        <v>8</v>
      </c>
    </row>
    <row r="18" spans="2:24" x14ac:dyDescent="0.25">
      <c r="B18" s="5">
        <v>10</v>
      </c>
      <c r="D18" s="4"/>
      <c r="E18" s="4"/>
      <c r="F18" s="4"/>
      <c r="G18" s="4"/>
      <c r="H18" s="4"/>
      <c r="I18" s="4"/>
      <c r="J18" s="4"/>
      <c r="K18" s="4"/>
      <c r="L18" s="4"/>
      <c r="M18" s="6">
        <f>N18/$B$4</f>
        <v>20000</v>
      </c>
      <c r="N18" s="4">
        <f t="shared" si="1"/>
        <v>1000</v>
      </c>
      <c r="O18" s="4">
        <f t="shared" si="1"/>
        <v>1000</v>
      </c>
      <c r="P18" s="4">
        <f t="shared" si="1"/>
        <v>1000</v>
      </c>
      <c r="Q18" s="4">
        <f t="shared" si="1"/>
        <v>1000</v>
      </c>
      <c r="R18" s="4">
        <f t="shared" si="1"/>
        <v>1000</v>
      </c>
      <c r="S18" s="4">
        <f t="shared" si="1"/>
        <v>1000</v>
      </c>
      <c r="T18" s="4">
        <f t="shared" si="1"/>
        <v>1000</v>
      </c>
      <c r="U18" s="4">
        <f t="shared" si="1"/>
        <v>1000</v>
      </c>
      <c r="V18" s="4">
        <f t="shared" si="1"/>
        <v>1000</v>
      </c>
      <c r="W18" s="4">
        <f t="shared" si="1"/>
        <v>1000</v>
      </c>
      <c r="X18" t="s">
        <v>8</v>
      </c>
    </row>
    <row r="19" spans="2:24" x14ac:dyDescent="0.25">
      <c r="B19" t="s">
        <v>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6">
        <f>O19/$B$4</f>
        <v>20000</v>
      </c>
      <c r="O19" s="4">
        <f t="shared" si="1"/>
        <v>1000</v>
      </c>
      <c r="P19" s="4">
        <f t="shared" si="1"/>
        <v>1000</v>
      </c>
      <c r="Q19" s="4">
        <f t="shared" si="1"/>
        <v>1000</v>
      </c>
      <c r="R19" s="4">
        <f t="shared" si="1"/>
        <v>1000</v>
      </c>
      <c r="S19" s="4">
        <f t="shared" si="1"/>
        <v>1000</v>
      </c>
      <c r="T19" s="4">
        <f t="shared" si="1"/>
        <v>1000</v>
      </c>
      <c r="U19" s="4">
        <f t="shared" si="1"/>
        <v>1000</v>
      </c>
      <c r="V19" s="4">
        <f t="shared" si="1"/>
        <v>1000</v>
      </c>
      <c r="W19" s="4">
        <f t="shared" si="1"/>
        <v>1000</v>
      </c>
      <c r="X19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9CD35-1E0E-4F78-97CE-0FB02E54DB34}">
  <dimension ref="A1:K218"/>
  <sheetViews>
    <sheetView zoomScale="175" zoomScaleNormal="175" workbookViewId="0">
      <selection activeCell="H11" sqref="H11"/>
    </sheetView>
  </sheetViews>
  <sheetFormatPr defaultRowHeight="15" x14ac:dyDescent="0.25"/>
  <cols>
    <col min="1" max="1" width="14.7109375" customWidth="1"/>
    <col min="2" max="2" width="10.7109375" bestFit="1" customWidth="1"/>
    <col min="3" max="3" width="12.7109375" bestFit="1" customWidth="1"/>
    <col min="4" max="4" width="12.140625" bestFit="1" customWidth="1"/>
    <col min="7" max="7" width="12.140625" bestFit="1" customWidth="1"/>
    <col min="8" max="8" width="13" bestFit="1" customWidth="1"/>
    <col min="9" max="9" width="11.140625" bestFit="1" customWidth="1"/>
  </cols>
  <sheetData>
    <row r="1" spans="1:11" x14ac:dyDescent="0.25">
      <c r="A1" s="29" t="s">
        <v>0</v>
      </c>
      <c r="B1" s="30"/>
    </row>
    <row r="2" spans="1:11" x14ac:dyDescent="0.25">
      <c r="A2" t="s">
        <v>1</v>
      </c>
      <c r="B2" s="3">
        <v>1000</v>
      </c>
    </row>
    <row r="3" spans="1:11" x14ac:dyDescent="0.25">
      <c r="A3" t="s">
        <v>2</v>
      </c>
      <c r="B3" s="2">
        <v>0.02</v>
      </c>
    </row>
    <row r="4" spans="1:11" x14ac:dyDescent="0.25">
      <c r="A4" t="s">
        <v>3</v>
      </c>
      <c r="B4" s="2">
        <v>0.1</v>
      </c>
    </row>
    <row r="6" spans="1:11" x14ac:dyDescent="0.25">
      <c r="C6" s="31" t="s">
        <v>5</v>
      </c>
      <c r="D6" s="32"/>
      <c r="G6" s="31" t="s">
        <v>15</v>
      </c>
      <c r="H6" s="33"/>
    </row>
    <row r="7" spans="1:11" x14ac:dyDescent="0.25">
      <c r="C7" s="12" t="s">
        <v>14</v>
      </c>
      <c r="D7" s="12"/>
      <c r="G7" s="12" t="s">
        <v>14</v>
      </c>
      <c r="H7" s="12"/>
    </row>
    <row r="8" spans="1:11" ht="15.75" thickBot="1" x14ac:dyDescent="0.3">
      <c r="B8" t="s">
        <v>4</v>
      </c>
      <c r="C8" s="7">
        <v>0</v>
      </c>
      <c r="D8" s="7">
        <f>B3</f>
        <v>0.02</v>
      </c>
      <c r="F8" t="s">
        <v>4</v>
      </c>
      <c r="G8" s="7">
        <v>0</v>
      </c>
      <c r="H8" s="7">
        <f>B3</f>
        <v>0.02</v>
      </c>
    </row>
    <row r="9" spans="1:11" x14ac:dyDescent="0.25">
      <c r="B9">
        <v>0</v>
      </c>
      <c r="C9" s="6"/>
      <c r="D9" s="6"/>
      <c r="F9">
        <v>0</v>
      </c>
      <c r="G9" s="6"/>
      <c r="H9" s="6"/>
    </row>
    <row r="10" spans="1:11" x14ac:dyDescent="0.25">
      <c r="B10">
        <v>1</v>
      </c>
      <c r="C10" s="4">
        <f>$B$2*(1+$C$8)</f>
        <v>1000</v>
      </c>
      <c r="D10" s="4">
        <f>B2</f>
        <v>1000</v>
      </c>
      <c r="F10">
        <v>1</v>
      </c>
      <c r="G10" s="6">
        <f>C10/$B$4</f>
        <v>10000</v>
      </c>
      <c r="H10" s="6">
        <f>D10/($B$4-$B$3)</f>
        <v>12500</v>
      </c>
      <c r="I10" s="4"/>
      <c r="K10" s="1"/>
    </row>
    <row r="11" spans="1:11" x14ac:dyDescent="0.25">
      <c r="B11">
        <v>2</v>
      </c>
      <c r="C11" s="4">
        <f t="shared" ref="C11:C74" si="0">$B$2*(1+$C$8)</f>
        <v>1000</v>
      </c>
      <c r="D11" s="4">
        <f>D10*(1+$D$8)</f>
        <v>1020</v>
      </c>
      <c r="F11">
        <v>2</v>
      </c>
      <c r="G11" s="6">
        <f t="shared" ref="G11:G74" si="1">C11/$B$4</f>
        <v>10000</v>
      </c>
      <c r="H11" s="6">
        <f t="shared" ref="H11:H74" si="2">D11/($B$4-$B$3)</f>
        <v>12750</v>
      </c>
    </row>
    <row r="12" spans="1:11" x14ac:dyDescent="0.25">
      <c r="B12">
        <v>3</v>
      </c>
      <c r="C12" s="4">
        <f t="shared" si="0"/>
        <v>1000</v>
      </c>
      <c r="D12" s="4">
        <f>D11*(1+$D$8)</f>
        <v>1040.4000000000001</v>
      </c>
      <c r="F12">
        <v>3</v>
      </c>
      <c r="G12" s="6">
        <f t="shared" si="1"/>
        <v>10000</v>
      </c>
      <c r="H12" s="6">
        <f t="shared" si="2"/>
        <v>13005</v>
      </c>
    </row>
    <row r="13" spans="1:11" x14ac:dyDescent="0.25">
      <c r="B13">
        <v>4</v>
      </c>
      <c r="C13" s="4">
        <f t="shared" si="0"/>
        <v>1000</v>
      </c>
      <c r="D13" s="4">
        <f t="shared" ref="D13:D76" si="3">D12*(1+$D$8)</f>
        <v>1061.2080000000001</v>
      </c>
      <c r="F13">
        <v>4</v>
      </c>
      <c r="G13" s="6">
        <f t="shared" si="1"/>
        <v>10000</v>
      </c>
      <c r="H13" s="6">
        <f t="shared" si="2"/>
        <v>13265.1</v>
      </c>
    </row>
    <row r="14" spans="1:11" x14ac:dyDescent="0.25">
      <c r="B14">
        <v>5</v>
      </c>
      <c r="C14" s="4">
        <f t="shared" si="0"/>
        <v>1000</v>
      </c>
      <c r="D14" s="4">
        <f t="shared" si="3"/>
        <v>1082.4321600000001</v>
      </c>
      <c r="F14">
        <v>5</v>
      </c>
      <c r="G14" s="6">
        <f t="shared" si="1"/>
        <v>10000</v>
      </c>
      <c r="H14" s="6">
        <f t="shared" si="2"/>
        <v>13530.402</v>
      </c>
    </row>
    <row r="15" spans="1:11" x14ac:dyDescent="0.25">
      <c r="B15">
        <v>6</v>
      </c>
      <c r="C15" s="4">
        <f t="shared" si="0"/>
        <v>1000</v>
      </c>
      <c r="D15" s="4">
        <f t="shared" si="3"/>
        <v>1104.0808032</v>
      </c>
      <c r="F15">
        <v>6</v>
      </c>
      <c r="G15" s="6">
        <f t="shared" si="1"/>
        <v>10000</v>
      </c>
      <c r="H15" s="6">
        <f t="shared" si="2"/>
        <v>13801.010039999999</v>
      </c>
    </row>
    <row r="16" spans="1:11" x14ac:dyDescent="0.25">
      <c r="B16">
        <v>7</v>
      </c>
      <c r="C16" s="4">
        <f t="shared" si="0"/>
        <v>1000</v>
      </c>
      <c r="D16" s="4">
        <f t="shared" si="3"/>
        <v>1126.1624192639999</v>
      </c>
      <c r="F16">
        <v>7</v>
      </c>
      <c r="G16" s="6">
        <f t="shared" si="1"/>
        <v>10000</v>
      </c>
      <c r="H16" s="6">
        <f t="shared" si="2"/>
        <v>14077.030240799999</v>
      </c>
    </row>
    <row r="17" spans="2:8" x14ac:dyDescent="0.25">
      <c r="B17">
        <v>8</v>
      </c>
      <c r="C17" s="4">
        <f t="shared" si="0"/>
        <v>1000</v>
      </c>
      <c r="D17" s="4">
        <f t="shared" si="3"/>
        <v>1148.68566764928</v>
      </c>
      <c r="F17">
        <v>8</v>
      </c>
      <c r="G17" s="6">
        <f t="shared" si="1"/>
        <v>10000</v>
      </c>
      <c r="H17" s="6">
        <f t="shared" si="2"/>
        <v>14358.570845616001</v>
      </c>
    </row>
    <row r="18" spans="2:8" x14ac:dyDescent="0.25">
      <c r="B18">
        <v>9</v>
      </c>
      <c r="C18" s="4">
        <f t="shared" si="0"/>
        <v>1000</v>
      </c>
      <c r="D18" s="4">
        <f t="shared" si="3"/>
        <v>1171.6593810022657</v>
      </c>
      <c r="F18">
        <v>9</v>
      </c>
      <c r="G18" s="6">
        <f t="shared" si="1"/>
        <v>10000</v>
      </c>
      <c r="H18" s="6">
        <f t="shared" si="2"/>
        <v>14645.742262528322</v>
      </c>
    </row>
    <row r="19" spans="2:8" x14ac:dyDescent="0.25">
      <c r="B19">
        <v>10</v>
      </c>
      <c r="C19" s="4">
        <f t="shared" si="0"/>
        <v>1000</v>
      </c>
      <c r="D19" s="4">
        <f t="shared" si="3"/>
        <v>1195.0925686223111</v>
      </c>
      <c r="F19">
        <v>10</v>
      </c>
      <c r="G19" s="6">
        <f t="shared" si="1"/>
        <v>10000</v>
      </c>
      <c r="H19" s="6">
        <f t="shared" si="2"/>
        <v>14938.657107778889</v>
      </c>
    </row>
    <row r="20" spans="2:8" x14ac:dyDescent="0.25">
      <c r="B20">
        <v>11</v>
      </c>
      <c r="C20" s="4">
        <f t="shared" si="0"/>
        <v>1000</v>
      </c>
      <c r="D20" s="4">
        <f t="shared" si="3"/>
        <v>1218.9944199947574</v>
      </c>
      <c r="F20">
        <v>11</v>
      </c>
      <c r="G20" s="6">
        <f t="shared" si="1"/>
        <v>10000</v>
      </c>
      <c r="H20" s="6">
        <f t="shared" si="2"/>
        <v>15237.430249934469</v>
      </c>
    </row>
    <row r="21" spans="2:8" x14ac:dyDescent="0.25">
      <c r="B21">
        <v>12</v>
      </c>
      <c r="C21" s="4">
        <f t="shared" si="0"/>
        <v>1000</v>
      </c>
      <c r="D21" s="4">
        <f t="shared" si="3"/>
        <v>1243.3743083946526</v>
      </c>
      <c r="F21">
        <v>12</v>
      </c>
      <c r="G21" s="6">
        <f t="shared" si="1"/>
        <v>10000</v>
      </c>
      <c r="H21" s="6">
        <f t="shared" si="2"/>
        <v>15542.178854933158</v>
      </c>
    </row>
    <row r="22" spans="2:8" x14ac:dyDescent="0.25">
      <c r="B22">
        <v>13</v>
      </c>
      <c r="C22" s="4">
        <f t="shared" si="0"/>
        <v>1000</v>
      </c>
      <c r="D22" s="4">
        <f t="shared" si="3"/>
        <v>1268.2417945625457</v>
      </c>
      <c r="F22">
        <v>13</v>
      </c>
      <c r="G22" s="6">
        <f t="shared" si="1"/>
        <v>10000</v>
      </c>
      <c r="H22" s="6">
        <f t="shared" si="2"/>
        <v>15853.022432031821</v>
      </c>
    </row>
    <row r="23" spans="2:8" x14ac:dyDescent="0.25">
      <c r="B23">
        <v>14</v>
      </c>
      <c r="C23" s="4">
        <f t="shared" si="0"/>
        <v>1000</v>
      </c>
      <c r="D23" s="4">
        <f t="shared" si="3"/>
        <v>1293.6066304537967</v>
      </c>
      <c r="F23">
        <v>14</v>
      </c>
      <c r="G23" s="6">
        <f t="shared" si="1"/>
        <v>10000</v>
      </c>
      <c r="H23" s="6">
        <f t="shared" si="2"/>
        <v>16170.082880672458</v>
      </c>
    </row>
    <row r="24" spans="2:8" x14ac:dyDescent="0.25">
      <c r="B24">
        <v>15</v>
      </c>
      <c r="C24" s="4">
        <f t="shared" si="0"/>
        <v>1000</v>
      </c>
      <c r="D24" s="4">
        <f t="shared" si="3"/>
        <v>1319.4787630628728</v>
      </c>
      <c r="F24">
        <v>15</v>
      </c>
      <c r="G24" s="6">
        <f t="shared" si="1"/>
        <v>10000</v>
      </c>
      <c r="H24" s="6">
        <f t="shared" si="2"/>
        <v>16493.484538285909</v>
      </c>
    </row>
    <row r="25" spans="2:8" x14ac:dyDescent="0.25">
      <c r="B25">
        <v>16</v>
      </c>
      <c r="C25" s="4">
        <f t="shared" si="0"/>
        <v>1000</v>
      </c>
      <c r="D25" s="4">
        <f t="shared" si="3"/>
        <v>1345.8683383241303</v>
      </c>
      <c r="F25">
        <v>16</v>
      </c>
      <c r="G25" s="6">
        <f t="shared" si="1"/>
        <v>10000</v>
      </c>
      <c r="H25" s="6">
        <f t="shared" si="2"/>
        <v>16823.354229051627</v>
      </c>
    </row>
    <row r="26" spans="2:8" x14ac:dyDescent="0.25">
      <c r="B26">
        <v>17</v>
      </c>
      <c r="C26" s="4">
        <f t="shared" si="0"/>
        <v>1000</v>
      </c>
      <c r="D26" s="4">
        <f t="shared" si="3"/>
        <v>1372.785705090613</v>
      </c>
      <c r="F26">
        <v>17</v>
      </c>
      <c r="G26" s="6">
        <f t="shared" si="1"/>
        <v>10000</v>
      </c>
      <c r="H26" s="6">
        <f t="shared" si="2"/>
        <v>17159.821313632663</v>
      </c>
    </row>
    <row r="27" spans="2:8" x14ac:dyDescent="0.25">
      <c r="B27">
        <v>18</v>
      </c>
      <c r="C27" s="4">
        <f t="shared" si="0"/>
        <v>1000</v>
      </c>
      <c r="D27" s="4">
        <f t="shared" si="3"/>
        <v>1400.2414191924252</v>
      </c>
      <c r="F27">
        <v>18</v>
      </c>
      <c r="G27" s="6">
        <f t="shared" si="1"/>
        <v>10000</v>
      </c>
      <c r="H27" s="6">
        <f t="shared" si="2"/>
        <v>17503.017739905314</v>
      </c>
    </row>
    <row r="28" spans="2:8" x14ac:dyDescent="0.25">
      <c r="B28">
        <v>19</v>
      </c>
      <c r="C28" s="4">
        <f t="shared" si="0"/>
        <v>1000</v>
      </c>
      <c r="D28" s="4">
        <f t="shared" si="3"/>
        <v>1428.2462475762736</v>
      </c>
      <c r="F28">
        <v>19</v>
      </c>
      <c r="G28" s="6">
        <f t="shared" si="1"/>
        <v>10000</v>
      </c>
      <c r="H28" s="6">
        <f t="shared" si="2"/>
        <v>17853.078094703418</v>
      </c>
    </row>
    <row r="29" spans="2:8" x14ac:dyDescent="0.25">
      <c r="B29">
        <v>20</v>
      </c>
      <c r="C29" s="4">
        <f t="shared" si="0"/>
        <v>1000</v>
      </c>
      <c r="D29" s="4">
        <f t="shared" si="3"/>
        <v>1456.811172527799</v>
      </c>
      <c r="F29">
        <v>20</v>
      </c>
      <c r="G29" s="6">
        <f t="shared" si="1"/>
        <v>10000</v>
      </c>
      <c r="H29" s="6">
        <f t="shared" si="2"/>
        <v>18210.139656597486</v>
      </c>
    </row>
    <row r="30" spans="2:8" x14ac:dyDescent="0.25">
      <c r="B30">
        <v>21</v>
      </c>
      <c r="C30" s="4">
        <f t="shared" si="0"/>
        <v>1000</v>
      </c>
      <c r="D30" s="4">
        <f t="shared" si="3"/>
        <v>1485.947395978355</v>
      </c>
      <c r="F30">
        <v>21</v>
      </c>
      <c r="G30" s="6">
        <f t="shared" si="1"/>
        <v>10000</v>
      </c>
      <c r="H30" s="6">
        <f t="shared" si="2"/>
        <v>18574.342449729436</v>
      </c>
    </row>
    <row r="31" spans="2:8" x14ac:dyDescent="0.25">
      <c r="B31">
        <v>22</v>
      </c>
      <c r="C31" s="4">
        <f t="shared" si="0"/>
        <v>1000</v>
      </c>
      <c r="D31" s="4">
        <f t="shared" si="3"/>
        <v>1515.6663438979222</v>
      </c>
      <c r="F31">
        <v>22</v>
      </c>
      <c r="G31" s="6">
        <f t="shared" si="1"/>
        <v>10000</v>
      </c>
      <c r="H31" s="6">
        <f t="shared" si="2"/>
        <v>18945.829298724027</v>
      </c>
    </row>
    <row r="32" spans="2:8" x14ac:dyDescent="0.25">
      <c r="B32">
        <v>23</v>
      </c>
      <c r="C32" s="4">
        <f t="shared" si="0"/>
        <v>1000</v>
      </c>
      <c r="D32" s="4">
        <f t="shared" si="3"/>
        <v>1545.9796707758805</v>
      </c>
      <c r="F32">
        <v>23</v>
      </c>
      <c r="G32" s="6">
        <f t="shared" si="1"/>
        <v>10000</v>
      </c>
      <c r="H32" s="6">
        <f t="shared" si="2"/>
        <v>19324.745884698506</v>
      </c>
    </row>
    <row r="33" spans="2:8" x14ac:dyDescent="0.25">
      <c r="B33">
        <v>24</v>
      </c>
      <c r="C33" s="4">
        <f t="shared" si="0"/>
        <v>1000</v>
      </c>
      <c r="D33" s="4">
        <f t="shared" si="3"/>
        <v>1576.8992641913983</v>
      </c>
      <c r="F33">
        <v>24</v>
      </c>
      <c r="G33" s="6">
        <f t="shared" si="1"/>
        <v>10000</v>
      </c>
      <c r="H33" s="6">
        <f t="shared" si="2"/>
        <v>19711.24080239248</v>
      </c>
    </row>
    <row r="34" spans="2:8" x14ac:dyDescent="0.25">
      <c r="B34">
        <v>25</v>
      </c>
      <c r="C34" s="4">
        <f t="shared" si="0"/>
        <v>1000</v>
      </c>
      <c r="D34" s="4">
        <f t="shared" si="3"/>
        <v>1608.4372494752263</v>
      </c>
      <c r="F34">
        <v>25</v>
      </c>
      <c r="G34" s="6">
        <f t="shared" si="1"/>
        <v>10000</v>
      </c>
      <c r="H34" s="6">
        <f t="shared" si="2"/>
        <v>20105.465618440328</v>
      </c>
    </row>
    <row r="35" spans="2:8" x14ac:dyDescent="0.25">
      <c r="B35">
        <v>26</v>
      </c>
      <c r="C35" s="4">
        <f t="shared" si="0"/>
        <v>1000</v>
      </c>
      <c r="D35" s="4">
        <f t="shared" si="3"/>
        <v>1640.6059944647309</v>
      </c>
      <c r="F35">
        <v>26</v>
      </c>
      <c r="G35" s="6">
        <f t="shared" si="1"/>
        <v>10000</v>
      </c>
      <c r="H35" s="6">
        <f t="shared" si="2"/>
        <v>20507.574930809136</v>
      </c>
    </row>
    <row r="36" spans="2:8" x14ac:dyDescent="0.25">
      <c r="B36">
        <v>27</v>
      </c>
      <c r="C36" s="4">
        <f t="shared" si="0"/>
        <v>1000</v>
      </c>
      <c r="D36" s="4">
        <f t="shared" si="3"/>
        <v>1673.4181143540254</v>
      </c>
      <c r="F36">
        <v>27</v>
      </c>
      <c r="G36" s="6">
        <f t="shared" si="1"/>
        <v>10000</v>
      </c>
      <c r="H36" s="6">
        <f t="shared" si="2"/>
        <v>20917.726429425318</v>
      </c>
    </row>
    <row r="37" spans="2:8" x14ac:dyDescent="0.25">
      <c r="B37">
        <v>28</v>
      </c>
      <c r="C37" s="4">
        <f t="shared" si="0"/>
        <v>1000</v>
      </c>
      <c r="D37" s="4">
        <f t="shared" si="3"/>
        <v>1706.8864766411059</v>
      </c>
      <c r="F37">
        <v>28</v>
      </c>
      <c r="G37" s="6">
        <f t="shared" si="1"/>
        <v>10000</v>
      </c>
      <c r="H37" s="6">
        <f t="shared" si="2"/>
        <v>21336.080958013823</v>
      </c>
    </row>
    <row r="38" spans="2:8" x14ac:dyDescent="0.25">
      <c r="B38">
        <v>29</v>
      </c>
      <c r="C38" s="4">
        <f t="shared" si="0"/>
        <v>1000</v>
      </c>
      <c r="D38" s="4">
        <f t="shared" si="3"/>
        <v>1741.024206173928</v>
      </c>
      <c r="F38">
        <v>29</v>
      </c>
      <c r="G38" s="6">
        <f t="shared" si="1"/>
        <v>10000</v>
      </c>
      <c r="H38" s="6">
        <f t="shared" si="2"/>
        <v>21762.802577174098</v>
      </c>
    </row>
    <row r="39" spans="2:8" x14ac:dyDescent="0.25">
      <c r="B39">
        <v>30</v>
      </c>
      <c r="C39" s="4">
        <f t="shared" si="0"/>
        <v>1000</v>
      </c>
      <c r="D39" s="4">
        <f t="shared" si="3"/>
        <v>1775.8446902974065</v>
      </c>
      <c r="F39">
        <v>30</v>
      </c>
      <c r="G39" s="6">
        <f t="shared" si="1"/>
        <v>10000</v>
      </c>
      <c r="H39" s="6">
        <f t="shared" si="2"/>
        <v>22198.058628717579</v>
      </c>
    </row>
    <row r="40" spans="2:8" x14ac:dyDescent="0.25">
      <c r="B40">
        <v>31</v>
      </c>
      <c r="C40" s="4">
        <f t="shared" si="0"/>
        <v>1000</v>
      </c>
      <c r="D40" s="4">
        <f t="shared" si="3"/>
        <v>1811.3615841033547</v>
      </c>
      <c r="F40">
        <v>31</v>
      </c>
      <c r="G40" s="6">
        <f t="shared" si="1"/>
        <v>10000</v>
      </c>
      <c r="H40" s="6">
        <f t="shared" si="2"/>
        <v>22642.019801291935</v>
      </c>
    </row>
    <row r="41" spans="2:8" x14ac:dyDescent="0.25">
      <c r="B41">
        <v>32</v>
      </c>
      <c r="C41" s="4">
        <f t="shared" si="0"/>
        <v>1000</v>
      </c>
      <c r="D41" s="4">
        <f t="shared" si="3"/>
        <v>1847.588815785422</v>
      </c>
      <c r="F41">
        <v>32</v>
      </c>
      <c r="G41" s="6">
        <f t="shared" si="1"/>
        <v>10000</v>
      </c>
      <c r="H41" s="6">
        <f t="shared" si="2"/>
        <v>23094.860197317776</v>
      </c>
    </row>
    <row r="42" spans="2:8" x14ac:dyDescent="0.25">
      <c r="B42">
        <v>33</v>
      </c>
      <c r="C42" s="4">
        <f t="shared" si="0"/>
        <v>1000</v>
      </c>
      <c r="D42" s="4">
        <f t="shared" si="3"/>
        <v>1884.5405921011304</v>
      </c>
      <c r="F42">
        <v>33</v>
      </c>
      <c r="G42" s="6">
        <f t="shared" si="1"/>
        <v>10000</v>
      </c>
      <c r="H42" s="6">
        <f t="shared" si="2"/>
        <v>23556.757401264131</v>
      </c>
    </row>
    <row r="43" spans="2:8" x14ac:dyDescent="0.25">
      <c r="B43">
        <v>34</v>
      </c>
      <c r="C43" s="4">
        <f t="shared" si="0"/>
        <v>1000</v>
      </c>
      <c r="D43" s="4">
        <f t="shared" si="3"/>
        <v>1922.2314039431531</v>
      </c>
      <c r="F43">
        <v>34</v>
      </c>
      <c r="G43" s="6">
        <f t="shared" si="1"/>
        <v>10000</v>
      </c>
      <c r="H43" s="6">
        <f t="shared" si="2"/>
        <v>24027.892549289412</v>
      </c>
    </row>
    <row r="44" spans="2:8" x14ac:dyDescent="0.25">
      <c r="B44">
        <v>35</v>
      </c>
      <c r="C44" s="4">
        <f t="shared" si="0"/>
        <v>1000</v>
      </c>
      <c r="D44" s="4">
        <f t="shared" si="3"/>
        <v>1960.6760320220162</v>
      </c>
      <c r="F44">
        <v>35</v>
      </c>
      <c r="G44" s="6">
        <f t="shared" si="1"/>
        <v>10000</v>
      </c>
      <c r="H44" s="6">
        <f t="shared" si="2"/>
        <v>24508.450400275204</v>
      </c>
    </row>
    <row r="45" spans="2:8" x14ac:dyDescent="0.25">
      <c r="B45">
        <v>36</v>
      </c>
      <c r="C45" s="4">
        <f t="shared" si="0"/>
        <v>1000</v>
      </c>
      <c r="D45" s="4">
        <f t="shared" si="3"/>
        <v>1999.8895526624565</v>
      </c>
      <c r="F45">
        <v>36</v>
      </c>
      <c r="G45" s="6">
        <f t="shared" si="1"/>
        <v>10000</v>
      </c>
      <c r="H45" s="6">
        <f t="shared" si="2"/>
        <v>24998.619408280705</v>
      </c>
    </row>
    <row r="46" spans="2:8" x14ac:dyDescent="0.25">
      <c r="B46">
        <v>37</v>
      </c>
      <c r="C46" s="4">
        <f t="shared" si="0"/>
        <v>1000</v>
      </c>
      <c r="D46" s="4">
        <f t="shared" si="3"/>
        <v>2039.8873437157056</v>
      </c>
      <c r="F46">
        <v>37</v>
      </c>
      <c r="G46" s="6">
        <f t="shared" si="1"/>
        <v>10000</v>
      </c>
      <c r="H46" s="6">
        <f t="shared" si="2"/>
        <v>25498.591796446319</v>
      </c>
    </row>
    <row r="47" spans="2:8" x14ac:dyDescent="0.25">
      <c r="B47">
        <v>38</v>
      </c>
      <c r="C47" s="4">
        <f t="shared" si="0"/>
        <v>1000</v>
      </c>
      <c r="D47" s="4">
        <f t="shared" si="3"/>
        <v>2080.6850905900196</v>
      </c>
      <c r="F47">
        <v>38</v>
      </c>
      <c r="G47" s="6">
        <f t="shared" si="1"/>
        <v>10000</v>
      </c>
      <c r="H47" s="6">
        <f t="shared" si="2"/>
        <v>26008.563632375244</v>
      </c>
    </row>
    <row r="48" spans="2:8" x14ac:dyDescent="0.25">
      <c r="B48">
        <v>39</v>
      </c>
      <c r="C48" s="4">
        <f t="shared" si="0"/>
        <v>1000</v>
      </c>
      <c r="D48" s="4">
        <f t="shared" si="3"/>
        <v>2122.2987924018203</v>
      </c>
      <c r="F48">
        <v>39</v>
      </c>
      <c r="G48" s="6">
        <f t="shared" si="1"/>
        <v>10000</v>
      </c>
      <c r="H48" s="6">
        <f t="shared" si="2"/>
        <v>26528.734905022753</v>
      </c>
    </row>
    <row r="49" spans="2:8" x14ac:dyDescent="0.25">
      <c r="B49">
        <v>40</v>
      </c>
      <c r="C49" s="4">
        <f t="shared" si="0"/>
        <v>1000</v>
      </c>
      <c r="D49" s="4">
        <f t="shared" si="3"/>
        <v>2164.7447682498569</v>
      </c>
      <c r="F49">
        <v>40</v>
      </c>
      <c r="G49" s="6">
        <f t="shared" si="1"/>
        <v>10000</v>
      </c>
      <c r="H49" s="6">
        <f t="shared" si="2"/>
        <v>27059.309603123209</v>
      </c>
    </row>
    <row r="50" spans="2:8" x14ac:dyDescent="0.25">
      <c r="B50">
        <v>41</v>
      </c>
      <c r="C50" s="4">
        <f t="shared" si="0"/>
        <v>1000</v>
      </c>
      <c r="D50" s="4">
        <f t="shared" si="3"/>
        <v>2208.0396636148539</v>
      </c>
      <c r="F50">
        <v>41</v>
      </c>
      <c r="G50" s="6">
        <f t="shared" si="1"/>
        <v>10000</v>
      </c>
      <c r="H50" s="6">
        <f t="shared" si="2"/>
        <v>27600.495795185674</v>
      </c>
    </row>
    <row r="51" spans="2:8" x14ac:dyDescent="0.25">
      <c r="B51">
        <v>42</v>
      </c>
      <c r="C51" s="4">
        <f t="shared" si="0"/>
        <v>1000</v>
      </c>
      <c r="D51" s="4">
        <f t="shared" si="3"/>
        <v>2252.2004568871512</v>
      </c>
      <c r="F51">
        <v>42</v>
      </c>
      <c r="G51" s="6">
        <f t="shared" si="1"/>
        <v>10000</v>
      </c>
      <c r="H51" s="6">
        <f t="shared" si="2"/>
        <v>28152.50571108939</v>
      </c>
    </row>
    <row r="52" spans="2:8" x14ac:dyDescent="0.25">
      <c r="B52">
        <v>43</v>
      </c>
      <c r="C52" s="4">
        <f t="shared" si="0"/>
        <v>1000</v>
      </c>
      <c r="D52" s="4">
        <f t="shared" si="3"/>
        <v>2297.2444660248943</v>
      </c>
      <c r="F52">
        <v>43</v>
      </c>
      <c r="G52" s="6">
        <f t="shared" si="1"/>
        <v>10000</v>
      </c>
      <c r="H52" s="6">
        <f t="shared" si="2"/>
        <v>28715.555825311178</v>
      </c>
    </row>
    <row r="53" spans="2:8" x14ac:dyDescent="0.25">
      <c r="B53">
        <v>44</v>
      </c>
      <c r="C53" s="4">
        <f t="shared" si="0"/>
        <v>1000</v>
      </c>
      <c r="D53" s="4">
        <f t="shared" si="3"/>
        <v>2343.1893553453924</v>
      </c>
      <c r="F53">
        <v>44</v>
      </c>
      <c r="G53" s="6">
        <f t="shared" si="1"/>
        <v>10000</v>
      </c>
      <c r="H53" s="6">
        <f t="shared" si="2"/>
        <v>29289.866941817403</v>
      </c>
    </row>
    <row r="54" spans="2:8" x14ac:dyDescent="0.25">
      <c r="B54">
        <v>45</v>
      </c>
      <c r="C54" s="4">
        <f t="shared" si="0"/>
        <v>1000</v>
      </c>
      <c r="D54" s="4">
        <f t="shared" si="3"/>
        <v>2390.0531424523001</v>
      </c>
      <c r="F54">
        <v>45</v>
      </c>
      <c r="G54" s="6">
        <f t="shared" si="1"/>
        <v>10000</v>
      </c>
      <c r="H54" s="6">
        <f t="shared" si="2"/>
        <v>29875.664280653749</v>
      </c>
    </row>
    <row r="55" spans="2:8" x14ac:dyDescent="0.25">
      <c r="B55">
        <v>46</v>
      </c>
      <c r="C55" s="4">
        <f t="shared" si="0"/>
        <v>1000</v>
      </c>
      <c r="D55" s="4">
        <f t="shared" si="3"/>
        <v>2437.8542053013462</v>
      </c>
      <c r="F55">
        <v>46</v>
      </c>
      <c r="G55" s="6">
        <f t="shared" si="1"/>
        <v>10000</v>
      </c>
      <c r="H55" s="6">
        <f t="shared" si="2"/>
        <v>30473.177566266826</v>
      </c>
    </row>
    <row r="56" spans="2:8" x14ac:dyDescent="0.25">
      <c r="B56">
        <v>47</v>
      </c>
      <c r="C56" s="4">
        <f t="shared" si="0"/>
        <v>1000</v>
      </c>
      <c r="D56" s="4">
        <f t="shared" si="3"/>
        <v>2486.6112894073731</v>
      </c>
      <c r="F56">
        <v>47</v>
      </c>
      <c r="G56" s="6">
        <f t="shared" si="1"/>
        <v>10000</v>
      </c>
      <c r="H56" s="6">
        <f t="shared" si="2"/>
        <v>31082.641117592164</v>
      </c>
    </row>
    <row r="57" spans="2:8" x14ac:dyDescent="0.25">
      <c r="B57">
        <v>48</v>
      </c>
      <c r="C57" s="4">
        <f t="shared" si="0"/>
        <v>1000</v>
      </c>
      <c r="D57" s="4">
        <f t="shared" si="3"/>
        <v>2536.3435151955205</v>
      </c>
      <c r="F57">
        <v>48</v>
      </c>
      <c r="G57" s="6">
        <f t="shared" si="1"/>
        <v>10000</v>
      </c>
      <c r="H57" s="6">
        <f t="shared" si="2"/>
        <v>31704.293939944004</v>
      </c>
    </row>
    <row r="58" spans="2:8" x14ac:dyDescent="0.25">
      <c r="B58">
        <v>49</v>
      </c>
      <c r="C58" s="4">
        <f t="shared" si="0"/>
        <v>1000</v>
      </c>
      <c r="D58" s="4">
        <f t="shared" si="3"/>
        <v>2587.0703854994308</v>
      </c>
      <c r="F58">
        <v>49</v>
      </c>
      <c r="G58" s="6">
        <f t="shared" si="1"/>
        <v>10000</v>
      </c>
      <c r="H58" s="6">
        <f t="shared" si="2"/>
        <v>32338.379818742884</v>
      </c>
    </row>
    <row r="59" spans="2:8" x14ac:dyDescent="0.25">
      <c r="B59">
        <v>50</v>
      </c>
      <c r="C59" s="4">
        <f t="shared" si="0"/>
        <v>1000</v>
      </c>
      <c r="D59" s="4">
        <f t="shared" si="3"/>
        <v>2638.8117932094196</v>
      </c>
      <c r="F59">
        <v>50</v>
      </c>
      <c r="G59" s="6">
        <f t="shared" si="1"/>
        <v>10000</v>
      </c>
      <c r="H59" s="6">
        <f t="shared" si="2"/>
        <v>32985.147415117746</v>
      </c>
    </row>
    <row r="60" spans="2:8" x14ac:dyDescent="0.25">
      <c r="B60">
        <v>51</v>
      </c>
      <c r="C60" s="4">
        <f t="shared" si="0"/>
        <v>1000</v>
      </c>
      <c r="D60" s="4">
        <f t="shared" si="3"/>
        <v>2691.5880290736081</v>
      </c>
      <c r="F60">
        <v>51</v>
      </c>
      <c r="G60" s="6">
        <f t="shared" si="1"/>
        <v>10000</v>
      </c>
      <c r="H60" s="6">
        <f t="shared" si="2"/>
        <v>33644.850363420104</v>
      </c>
    </row>
    <row r="61" spans="2:8" x14ac:dyDescent="0.25">
      <c r="B61">
        <v>52</v>
      </c>
      <c r="C61" s="4">
        <f t="shared" si="0"/>
        <v>1000</v>
      </c>
      <c r="D61" s="4">
        <f t="shared" si="3"/>
        <v>2745.4197896550804</v>
      </c>
      <c r="F61">
        <v>52</v>
      </c>
      <c r="G61" s="6">
        <f t="shared" si="1"/>
        <v>10000</v>
      </c>
      <c r="H61" s="6">
        <f t="shared" si="2"/>
        <v>34317.747370688507</v>
      </c>
    </row>
    <row r="62" spans="2:8" x14ac:dyDescent="0.25">
      <c r="B62">
        <v>53</v>
      </c>
      <c r="C62" s="4">
        <f t="shared" si="0"/>
        <v>1000</v>
      </c>
      <c r="D62" s="4">
        <f t="shared" si="3"/>
        <v>2800.328185448182</v>
      </c>
      <c r="F62">
        <v>53</v>
      </c>
      <c r="G62" s="6">
        <f t="shared" si="1"/>
        <v>10000</v>
      </c>
      <c r="H62" s="6">
        <f t="shared" si="2"/>
        <v>35004.102318102276</v>
      </c>
    </row>
    <row r="63" spans="2:8" x14ac:dyDescent="0.25">
      <c r="B63">
        <v>54</v>
      </c>
      <c r="C63" s="4">
        <f t="shared" si="0"/>
        <v>1000</v>
      </c>
      <c r="D63" s="4">
        <f t="shared" si="3"/>
        <v>2856.3347491571458</v>
      </c>
      <c r="F63">
        <v>54</v>
      </c>
      <c r="G63" s="6">
        <f t="shared" si="1"/>
        <v>10000</v>
      </c>
      <c r="H63" s="6">
        <f t="shared" si="2"/>
        <v>35704.184364464323</v>
      </c>
    </row>
    <row r="64" spans="2:8" x14ac:dyDescent="0.25">
      <c r="B64">
        <v>55</v>
      </c>
      <c r="C64" s="4">
        <f t="shared" si="0"/>
        <v>1000</v>
      </c>
      <c r="D64" s="4">
        <f t="shared" si="3"/>
        <v>2913.4614441402887</v>
      </c>
      <c r="F64">
        <v>55</v>
      </c>
      <c r="G64" s="6">
        <f t="shared" si="1"/>
        <v>10000</v>
      </c>
      <c r="H64" s="6">
        <f t="shared" si="2"/>
        <v>36418.268051753606</v>
      </c>
    </row>
    <row r="65" spans="2:8" x14ac:dyDescent="0.25">
      <c r="B65">
        <v>56</v>
      </c>
      <c r="C65" s="4">
        <f t="shared" si="0"/>
        <v>1000</v>
      </c>
      <c r="D65" s="4">
        <f t="shared" si="3"/>
        <v>2971.7306730230944</v>
      </c>
      <c r="F65">
        <v>56</v>
      </c>
      <c r="G65" s="6">
        <f t="shared" si="1"/>
        <v>10000</v>
      </c>
      <c r="H65" s="6">
        <f t="shared" si="2"/>
        <v>37146.63341278868</v>
      </c>
    </row>
    <row r="66" spans="2:8" x14ac:dyDescent="0.25">
      <c r="B66">
        <v>57</v>
      </c>
      <c r="C66" s="4">
        <f t="shared" si="0"/>
        <v>1000</v>
      </c>
      <c r="D66" s="4">
        <f t="shared" si="3"/>
        <v>3031.1652864835564</v>
      </c>
      <c r="F66">
        <v>57</v>
      </c>
      <c r="G66" s="6">
        <f t="shared" si="1"/>
        <v>10000</v>
      </c>
      <c r="H66" s="6">
        <f t="shared" si="2"/>
        <v>37889.566081044453</v>
      </c>
    </row>
    <row r="67" spans="2:8" x14ac:dyDescent="0.25">
      <c r="B67">
        <v>58</v>
      </c>
      <c r="C67" s="4">
        <f t="shared" si="0"/>
        <v>1000</v>
      </c>
      <c r="D67" s="4">
        <f t="shared" si="3"/>
        <v>3091.7885922132277</v>
      </c>
      <c r="F67">
        <v>58</v>
      </c>
      <c r="G67" s="6">
        <f t="shared" si="1"/>
        <v>10000</v>
      </c>
      <c r="H67" s="6">
        <f t="shared" si="2"/>
        <v>38647.357402665344</v>
      </c>
    </row>
    <row r="68" spans="2:8" x14ac:dyDescent="0.25">
      <c r="B68">
        <v>59</v>
      </c>
      <c r="C68" s="4">
        <f t="shared" si="0"/>
        <v>1000</v>
      </c>
      <c r="D68" s="4">
        <f t="shared" si="3"/>
        <v>3153.6243640574921</v>
      </c>
      <c r="F68">
        <v>59</v>
      </c>
      <c r="G68" s="6">
        <f t="shared" si="1"/>
        <v>10000</v>
      </c>
      <c r="H68" s="6">
        <f t="shared" si="2"/>
        <v>39420.304550718654</v>
      </c>
    </row>
    <row r="69" spans="2:8" x14ac:dyDescent="0.25">
      <c r="B69">
        <v>60</v>
      </c>
      <c r="C69" s="4">
        <f t="shared" si="0"/>
        <v>1000</v>
      </c>
      <c r="D69" s="4">
        <f t="shared" si="3"/>
        <v>3216.6968513386419</v>
      </c>
      <c r="F69">
        <v>60</v>
      </c>
      <c r="G69" s="6">
        <f t="shared" si="1"/>
        <v>10000</v>
      </c>
      <c r="H69" s="6">
        <f t="shared" si="2"/>
        <v>40208.710641733021</v>
      </c>
    </row>
    <row r="70" spans="2:8" x14ac:dyDescent="0.25">
      <c r="B70">
        <v>61</v>
      </c>
      <c r="C70" s="4">
        <f t="shared" si="0"/>
        <v>1000</v>
      </c>
      <c r="D70" s="4">
        <f t="shared" si="3"/>
        <v>3281.0307883654145</v>
      </c>
      <c r="F70">
        <v>61</v>
      </c>
      <c r="G70" s="6">
        <f t="shared" si="1"/>
        <v>10000</v>
      </c>
      <c r="H70" s="6">
        <f t="shared" si="2"/>
        <v>41012.884854567681</v>
      </c>
    </row>
    <row r="71" spans="2:8" x14ac:dyDescent="0.25">
      <c r="B71">
        <v>62</v>
      </c>
      <c r="C71" s="4">
        <f t="shared" si="0"/>
        <v>1000</v>
      </c>
      <c r="D71" s="4">
        <f t="shared" si="3"/>
        <v>3346.6514041327227</v>
      </c>
      <c r="F71">
        <v>62</v>
      </c>
      <c r="G71" s="6">
        <f t="shared" si="1"/>
        <v>10000</v>
      </c>
      <c r="H71" s="6">
        <f t="shared" si="2"/>
        <v>41833.142551659032</v>
      </c>
    </row>
    <row r="72" spans="2:8" x14ac:dyDescent="0.25">
      <c r="B72">
        <v>63</v>
      </c>
      <c r="C72" s="4">
        <f t="shared" si="0"/>
        <v>1000</v>
      </c>
      <c r="D72" s="4">
        <f t="shared" si="3"/>
        <v>3413.5844322153771</v>
      </c>
      <c r="F72">
        <v>63</v>
      </c>
      <c r="G72" s="6">
        <f t="shared" si="1"/>
        <v>10000</v>
      </c>
      <c r="H72" s="6">
        <f t="shared" si="2"/>
        <v>42669.805402692211</v>
      </c>
    </row>
    <row r="73" spans="2:8" x14ac:dyDescent="0.25">
      <c r="B73">
        <v>64</v>
      </c>
      <c r="C73" s="4">
        <f t="shared" si="0"/>
        <v>1000</v>
      </c>
      <c r="D73" s="4">
        <f t="shared" si="3"/>
        <v>3481.8561208596848</v>
      </c>
      <c r="F73">
        <v>64</v>
      </c>
      <c r="G73" s="6">
        <f t="shared" si="1"/>
        <v>10000</v>
      </c>
      <c r="H73" s="6">
        <f t="shared" si="2"/>
        <v>43523.201510746061</v>
      </c>
    </row>
    <row r="74" spans="2:8" x14ac:dyDescent="0.25">
      <c r="B74">
        <v>65</v>
      </c>
      <c r="C74" s="4">
        <f t="shared" si="0"/>
        <v>1000</v>
      </c>
      <c r="D74" s="4">
        <f t="shared" si="3"/>
        <v>3551.4932432768787</v>
      </c>
      <c r="F74">
        <v>65</v>
      </c>
      <c r="G74" s="6">
        <f t="shared" si="1"/>
        <v>10000</v>
      </c>
      <c r="H74" s="6">
        <f t="shared" si="2"/>
        <v>44393.665540960981</v>
      </c>
    </row>
    <row r="75" spans="2:8" x14ac:dyDescent="0.25">
      <c r="B75">
        <v>66</v>
      </c>
      <c r="C75" s="4">
        <f t="shared" ref="C75:C138" si="4">$B$2*(1+$C$8)</f>
        <v>1000</v>
      </c>
      <c r="D75" s="4">
        <f t="shared" si="3"/>
        <v>3622.5231081424163</v>
      </c>
      <c r="F75">
        <v>66</v>
      </c>
      <c r="G75" s="6">
        <f t="shared" ref="G75:G138" si="5">C75/$B$4</f>
        <v>10000</v>
      </c>
      <c r="H75" s="6">
        <f t="shared" ref="H75:H138" si="6">D75/($B$4-$B$3)</f>
        <v>45281.538851780206</v>
      </c>
    </row>
    <row r="76" spans="2:8" x14ac:dyDescent="0.25">
      <c r="B76">
        <v>67</v>
      </c>
      <c r="C76" s="4">
        <f t="shared" si="4"/>
        <v>1000</v>
      </c>
      <c r="D76" s="4">
        <f t="shared" si="3"/>
        <v>3694.9735703052647</v>
      </c>
      <c r="F76">
        <v>67</v>
      </c>
      <c r="G76" s="6">
        <f t="shared" si="5"/>
        <v>10000</v>
      </c>
      <c r="H76" s="6">
        <f t="shared" si="6"/>
        <v>46187.169628815805</v>
      </c>
    </row>
    <row r="77" spans="2:8" x14ac:dyDescent="0.25">
      <c r="B77">
        <v>68</v>
      </c>
      <c r="C77" s="4">
        <f t="shared" si="4"/>
        <v>1000</v>
      </c>
      <c r="D77" s="4">
        <f t="shared" ref="D77:D140" si="7">D76*(1+$D$8)</f>
        <v>3768.8730417113702</v>
      </c>
      <c r="F77">
        <v>68</v>
      </c>
      <c r="G77" s="6">
        <f t="shared" si="5"/>
        <v>10000</v>
      </c>
      <c r="H77" s="6">
        <f t="shared" si="6"/>
        <v>47110.913021392123</v>
      </c>
    </row>
    <row r="78" spans="2:8" x14ac:dyDescent="0.25">
      <c r="B78">
        <v>69</v>
      </c>
      <c r="C78" s="4">
        <f t="shared" si="4"/>
        <v>1000</v>
      </c>
      <c r="D78" s="4">
        <f t="shared" si="7"/>
        <v>3844.2505025455976</v>
      </c>
      <c r="F78">
        <v>69</v>
      </c>
      <c r="G78" s="6">
        <f t="shared" si="5"/>
        <v>10000</v>
      </c>
      <c r="H78" s="6">
        <f t="shared" si="6"/>
        <v>48053.131281819966</v>
      </c>
    </row>
    <row r="79" spans="2:8" x14ac:dyDescent="0.25">
      <c r="B79">
        <v>70</v>
      </c>
      <c r="C79" s="4">
        <f t="shared" si="4"/>
        <v>1000</v>
      </c>
      <c r="D79" s="4">
        <f t="shared" si="7"/>
        <v>3921.1355125965097</v>
      </c>
      <c r="F79">
        <v>70</v>
      </c>
      <c r="G79" s="6">
        <f t="shared" si="5"/>
        <v>10000</v>
      </c>
      <c r="H79" s="6">
        <f t="shared" si="6"/>
        <v>49014.193907456371</v>
      </c>
    </row>
    <row r="80" spans="2:8" x14ac:dyDescent="0.25">
      <c r="B80">
        <v>71</v>
      </c>
      <c r="C80" s="4">
        <f t="shared" si="4"/>
        <v>1000</v>
      </c>
      <c r="D80" s="4">
        <f t="shared" si="7"/>
        <v>3999.55822284844</v>
      </c>
      <c r="F80">
        <v>71</v>
      </c>
      <c r="G80" s="6">
        <f t="shared" si="5"/>
        <v>10000</v>
      </c>
      <c r="H80" s="6">
        <f t="shared" si="6"/>
        <v>49994.477785605501</v>
      </c>
    </row>
    <row r="81" spans="2:8" x14ac:dyDescent="0.25">
      <c r="B81">
        <v>72</v>
      </c>
      <c r="C81" s="4">
        <f t="shared" si="4"/>
        <v>1000</v>
      </c>
      <c r="D81" s="4">
        <f t="shared" si="7"/>
        <v>4079.5493873054088</v>
      </c>
      <c r="F81">
        <v>72</v>
      </c>
      <c r="G81" s="6">
        <f t="shared" si="5"/>
        <v>10000</v>
      </c>
      <c r="H81" s="6">
        <f t="shared" si="6"/>
        <v>50994.367341317607</v>
      </c>
    </row>
    <row r="82" spans="2:8" x14ac:dyDescent="0.25">
      <c r="B82">
        <v>73</v>
      </c>
      <c r="C82" s="4">
        <f t="shared" si="4"/>
        <v>1000</v>
      </c>
      <c r="D82" s="4">
        <f t="shared" si="7"/>
        <v>4161.1403750515174</v>
      </c>
      <c r="F82">
        <v>73</v>
      </c>
      <c r="G82" s="6">
        <f t="shared" si="5"/>
        <v>10000</v>
      </c>
      <c r="H82" s="6">
        <f t="shared" si="6"/>
        <v>52014.254688143963</v>
      </c>
    </row>
    <row r="83" spans="2:8" x14ac:dyDescent="0.25">
      <c r="B83">
        <v>74</v>
      </c>
      <c r="C83" s="4">
        <f t="shared" si="4"/>
        <v>1000</v>
      </c>
      <c r="D83" s="4">
        <f t="shared" si="7"/>
        <v>4244.3631825525481</v>
      </c>
      <c r="F83">
        <v>74</v>
      </c>
      <c r="G83" s="6">
        <f t="shared" si="5"/>
        <v>10000</v>
      </c>
      <c r="H83" s="6">
        <f t="shared" si="6"/>
        <v>53054.539781906853</v>
      </c>
    </row>
    <row r="84" spans="2:8" x14ac:dyDescent="0.25">
      <c r="B84">
        <v>75</v>
      </c>
      <c r="C84" s="4">
        <f t="shared" si="4"/>
        <v>1000</v>
      </c>
      <c r="D84" s="4">
        <f t="shared" si="7"/>
        <v>4329.2504462035995</v>
      </c>
      <c r="F84">
        <v>75</v>
      </c>
      <c r="G84" s="6">
        <f t="shared" si="5"/>
        <v>10000</v>
      </c>
      <c r="H84" s="6">
        <f t="shared" si="6"/>
        <v>54115.630577544995</v>
      </c>
    </row>
    <row r="85" spans="2:8" x14ac:dyDescent="0.25">
      <c r="B85">
        <v>76</v>
      </c>
      <c r="C85" s="4">
        <f t="shared" si="4"/>
        <v>1000</v>
      </c>
      <c r="D85" s="4">
        <f t="shared" si="7"/>
        <v>4415.8354551276716</v>
      </c>
      <c r="F85">
        <v>76</v>
      </c>
      <c r="G85" s="6">
        <f t="shared" si="5"/>
        <v>10000</v>
      </c>
      <c r="H85" s="6">
        <f t="shared" si="6"/>
        <v>55197.943189095895</v>
      </c>
    </row>
    <row r="86" spans="2:8" x14ac:dyDescent="0.25">
      <c r="B86">
        <v>77</v>
      </c>
      <c r="C86" s="4">
        <f t="shared" si="4"/>
        <v>1000</v>
      </c>
      <c r="D86" s="4">
        <f t="shared" si="7"/>
        <v>4504.152164230225</v>
      </c>
      <c r="F86">
        <v>77</v>
      </c>
      <c r="G86" s="6">
        <f t="shared" si="5"/>
        <v>10000</v>
      </c>
      <c r="H86" s="6">
        <f t="shared" si="6"/>
        <v>56301.902052877813</v>
      </c>
    </row>
    <row r="87" spans="2:8" x14ac:dyDescent="0.25">
      <c r="B87">
        <v>78</v>
      </c>
      <c r="C87" s="4">
        <f t="shared" si="4"/>
        <v>1000</v>
      </c>
      <c r="D87" s="4">
        <f t="shared" si="7"/>
        <v>4594.2352075148292</v>
      </c>
      <c r="F87">
        <v>78</v>
      </c>
      <c r="G87" s="6">
        <f t="shared" si="5"/>
        <v>10000</v>
      </c>
      <c r="H87" s="6">
        <f t="shared" si="6"/>
        <v>57427.940093935365</v>
      </c>
    </row>
    <row r="88" spans="2:8" x14ac:dyDescent="0.25">
      <c r="B88">
        <v>79</v>
      </c>
      <c r="C88" s="4">
        <f t="shared" si="4"/>
        <v>1000</v>
      </c>
      <c r="D88" s="4">
        <f t="shared" si="7"/>
        <v>4686.119911665126</v>
      </c>
      <c r="F88">
        <v>79</v>
      </c>
      <c r="G88" s="6">
        <f t="shared" si="5"/>
        <v>10000</v>
      </c>
      <c r="H88" s="6">
        <f t="shared" si="6"/>
        <v>58576.498895814075</v>
      </c>
    </row>
    <row r="89" spans="2:8" x14ac:dyDescent="0.25">
      <c r="B89">
        <v>80</v>
      </c>
      <c r="C89" s="4">
        <f t="shared" si="4"/>
        <v>1000</v>
      </c>
      <c r="D89" s="4">
        <f t="shared" si="7"/>
        <v>4779.8423098984285</v>
      </c>
      <c r="F89">
        <v>80</v>
      </c>
      <c r="G89" s="6">
        <f t="shared" si="5"/>
        <v>10000</v>
      </c>
      <c r="H89" s="6">
        <f t="shared" si="6"/>
        <v>59748.028873730356</v>
      </c>
    </row>
    <row r="90" spans="2:8" x14ac:dyDescent="0.25">
      <c r="B90">
        <v>81</v>
      </c>
      <c r="C90" s="4">
        <f t="shared" si="4"/>
        <v>1000</v>
      </c>
      <c r="D90" s="4">
        <f t="shared" si="7"/>
        <v>4875.4391560963968</v>
      </c>
      <c r="F90">
        <v>81</v>
      </c>
      <c r="G90" s="6">
        <f t="shared" si="5"/>
        <v>10000</v>
      </c>
      <c r="H90" s="6">
        <f t="shared" si="6"/>
        <v>60942.989451204958</v>
      </c>
    </row>
    <row r="91" spans="2:8" x14ac:dyDescent="0.25">
      <c r="B91">
        <v>82</v>
      </c>
      <c r="C91" s="4">
        <f t="shared" si="4"/>
        <v>1000</v>
      </c>
      <c r="D91" s="4">
        <f t="shared" si="7"/>
        <v>4972.9479392183248</v>
      </c>
      <c r="F91">
        <v>82</v>
      </c>
      <c r="G91" s="6">
        <f t="shared" si="5"/>
        <v>10000</v>
      </c>
      <c r="H91" s="6">
        <f t="shared" si="6"/>
        <v>62161.849240229058</v>
      </c>
    </row>
    <row r="92" spans="2:8" x14ac:dyDescent="0.25">
      <c r="B92">
        <v>83</v>
      </c>
      <c r="C92" s="4">
        <f t="shared" si="4"/>
        <v>1000</v>
      </c>
      <c r="D92" s="4">
        <f t="shared" si="7"/>
        <v>5072.4068980026914</v>
      </c>
      <c r="F92">
        <v>83</v>
      </c>
      <c r="G92" s="6">
        <f t="shared" si="5"/>
        <v>10000</v>
      </c>
      <c r="H92" s="6">
        <f t="shared" si="6"/>
        <v>63405.086225033643</v>
      </c>
    </row>
    <row r="93" spans="2:8" x14ac:dyDescent="0.25">
      <c r="B93">
        <v>84</v>
      </c>
      <c r="C93" s="4">
        <f t="shared" si="4"/>
        <v>1000</v>
      </c>
      <c r="D93" s="4">
        <f t="shared" si="7"/>
        <v>5173.8550359627452</v>
      </c>
      <c r="F93">
        <v>84</v>
      </c>
      <c r="G93" s="6">
        <f t="shared" si="5"/>
        <v>10000</v>
      </c>
      <c r="H93" s="6">
        <f t="shared" si="6"/>
        <v>64673.187949534316</v>
      </c>
    </row>
    <row r="94" spans="2:8" x14ac:dyDescent="0.25">
      <c r="B94">
        <v>85</v>
      </c>
      <c r="C94" s="4">
        <f t="shared" si="4"/>
        <v>1000</v>
      </c>
      <c r="D94" s="4">
        <f t="shared" si="7"/>
        <v>5277.3321366820001</v>
      </c>
      <c r="F94">
        <v>85</v>
      </c>
      <c r="G94" s="6">
        <f t="shared" si="5"/>
        <v>10000</v>
      </c>
      <c r="H94" s="6">
        <f t="shared" si="6"/>
        <v>65966.651708524994</v>
      </c>
    </row>
    <row r="95" spans="2:8" x14ac:dyDescent="0.25">
      <c r="B95">
        <v>86</v>
      </c>
      <c r="C95" s="4">
        <f t="shared" si="4"/>
        <v>1000</v>
      </c>
      <c r="D95" s="4">
        <f t="shared" si="7"/>
        <v>5382.8787794156406</v>
      </c>
      <c r="F95">
        <v>86</v>
      </c>
      <c r="G95" s="6">
        <f t="shared" si="5"/>
        <v>10000</v>
      </c>
      <c r="H95" s="6">
        <f t="shared" si="6"/>
        <v>67285.984742695509</v>
      </c>
    </row>
    <row r="96" spans="2:8" x14ac:dyDescent="0.25">
      <c r="B96">
        <v>87</v>
      </c>
      <c r="C96" s="4">
        <f t="shared" si="4"/>
        <v>1000</v>
      </c>
      <c r="D96" s="4">
        <f t="shared" si="7"/>
        <v>5490.5363550039538</v>
      </c>
      <c r="F96">
        <v>87</v>
      </c>
      <c r="G96" s="6">
        <f t="shared" si="5"/>
        <v>10000</v>
      </c>
      <c r="H96" s="6">
        <f t="shared" si="6"/>
        <v>68631.704437549415</v>
      </c>
    </row>
    <row r="97" spans="2:8" x14ac:dyDescent="0.25">
      <c r="B97">
        <v>88</v>
      </c>
      <c r="C97" s="4">
        <f t="shared" si="4"/>
        <v>1000</v>
      </c>
      <c r="D97" s="4">
        <f t="shared" si="7"/>
        <v>5600.3470821040328</v>
      </c>
      <c r="F97">
        <v>88</v>
      </c>
      <c r="G97" s="6">
        <f t="shared" si="5"/>
        <v>10000</v>
      </c>
      <c r="H97" s="6">
        <f t="shared" si="6"/>
        <v>70004.338526300402</v>
      </c>
    </row>
    <row r="98" spans="2:8" x14ac:dyDescent="0.25">
      <c r="B98">
        <v>89</v>
      </c>
      <c r="C98" s="4">
        <f t="shared" si="4"/>
        <v>1000</v>
      </c>
      <c r="D98" s="4">
        <f t="shared" si="7"/>
        <v>5712.3540237461139</v>
      </c>
      <c r="F98">
        <v>89</v>
      </c>
      <c r="G98" s="6">
        <f t="shared" si="5"/>
        <v>10000</v>
      </c>
      <c r="H98" s="6">
        <f t="shared" si="6"/>
        <v>71404.425296826419</v>
      </c>
    </row>
    <row r="99" spans="2:8" x14ac:dyDescent="0.25">
      <c r="B99">
        <v>90</v>
      </c>
      <c r="C99" s="4">
        <f t="shared" si="4"/>
        <v>1000</v>
      </c>
      <c r="D99" s="4">
        <f t="shared" si="7"/>
        <v>5826.6011042210366</v>
      </c>
      <c r="F99">
        <v>90</v>
      </c>
      <c r="G99" s="6">
        <f t="shared" si="5"/>
        <v>10000</v>
      </c>
      <c r="H99" s="6">
        <f t="shared" si="6"/>
        <v>72832.513802762958</v>
      </c>
    </row>
    <row r="100" spans="2:8" x14ac:dyDescent="0.25">
      <c r="B100">
        <v>91</v>
      </c>
      <c r="C100" s="4">
        <f t="shared" si="4"/>
        <v>1000</v>
      </c>
      <c r="D100" s="4">
        <f t="shared" si="7"/>
        <v>5943.1331263054572</v>
      </c>
      <c r="F100">
        <v>91</v>
      </c>
      <c r="G100" s="6">
        <f t="shared" si="5"/>
        <v>10000</v>
      </c>
      <c r="H100" s="6">
        <f t="shared" si="6"/>
        <v>74289.164078818212</v>
      </c>
    </row>
    <row r="101" spans="2:8" x14ac:dyDescent="0.25">
      <c r="B101">
        <v>92</v>
      </c>
      <c r="C101" s="4">
        <f t="shared" si="4"/>
        <v>1000</v>
      </c>
      <c r="D101" s="4">
        <f t="shared" si="7"/>
        <v>6061.9957888315666</v>
      </c>
      <c r="F101">
        <v>92</v>
      </c>
      <c r="G101" s="6">
        <f t="shared" si="5"/>
        <v>10000</v>
      </c>
      <c r="H101" s="6">
        <f t="shared" si="6"/>
        <v>75774.947360394581</v>
      </c>
    </row>
    <row r="102" spans="2:8" x14ac:dyDescent="0.25">
      <c r="B102">
        <v>93</v>
      </c>
      <c r="C102" s="4">
        <f t="shared" si="4"/>
        <v>1000</v>
      </c>
      <c r="D102" s="4">
        <f t="shared" si="7"/>
        <v>6183.2357046081979</v>
      </c>
      <c r="F102">
        <v>93</v>
      </c>
      <c r="G102" s="6">
        <f t="shared" si="5"/>
        <v>10000</v>
      </c>
      <c r="H102" s="6">
        <f t="shared" si="6"/>
        <v>77290.446307602469</v>
      </c>
    </row>
    <row r="103" spans="2:8" x14ac:dyDescent="0.25">
      <c r="B103">
        <v>94</v>
      </c>
      <c r="C103" s="4">
        <f t="shared" si="4"/>
        <v>1000</v>
      </c>
      <c r="D103" s="4">
        <f t="shared" si="7"/>
        <v>6306.900418700362</v>
      </c>
      <c r="F103">
        <v>94</v>
      </c>
      <c r="G103" s="6">
        <f t="shared" si="5"/>
        <v>10000</v>
      </c>
      <c r="H103" s="6">
        <f t="shared" si="6"/>
        <v>78836.25523375452</v>
      </c>
    </row>
    <row r="104" spans="2:8" x14ac:dyDescent="0.25">
      <c r="B104">
        <v>95</v>
      </c>
      <c r="C104" s="4">
        <f t="shared" si="4"/>
        <v>1000</v>
      </c>
      <c r="D104" s="4">
        <f t="shared" si="7"/>
        <v>6433.0384270743698</v>
      </c>
      <c r="F104">
        <v>95</v>
      </c>
      <c r="G104" s="6">
        <f t="shared" si="5"/>
        <v>10000</v>
      </c>
      <c r="H104" s="6">
        <f t="shared" si="6"/>
        <v>80412.980338429625</v>
      </c>
    </row>
    <row r="105" spans="2:8" x14ac:dyDescent="0.25">
      <c r="B105">
        <v>96</v>
      </c>
      <c r="C105" s="4">
        <f t="shared" si="4"/>
        <v>1000</v>
      </c>
      <c r="D105" s="4">
        <f t="shared" si="7"/>
        <v>6561.6991956158572</v>
      </c>
      <c r="F105">
        <v>96</v>
      </c>
      <c r="G105" s="6">
        <f t="shared" si="5"/>
        <v>10000</v>
      </c>
      <c r="H105" s="6">
        <f t="shared" si="6"/>
        <v>82021.23994519822</v>
      </c>
    </row>
    <row r="106" spans="2:8" x14ac:dyDescent="0.25">
      <c r="B106">
        <v>97</v>
      </c>
      <c r="C106" s="4">
        <f t="shared" si="4"/>
        <v>1000</v>
      </c>
      <c r="D106" s="4">
        <f t="shared" si="7"/>
        <v>6692.9331795281742</v>
      </c>
      <c r="F106">
        <v>97</v>
      </c>
      <c r="G106" s="6">
        <f t="shared" si="5"/>
        <v>10000</v>
      </c>
      <c r="H106" s="6">
        <f t="shared" si="6"/>
        <v>83661.664744102178</v>
      </c>
    </row>
    <row r="107" spans="2:8" x14ac:dyDescent="0.25">
      <c r="B107">
        <v>98</v>
      </c>
      <c r="C107" s="4">
        <f t="shared" si="4"/>
        <v>1000</v>
      </c>
      <c r="D107" s="4">
        <f t="shared" si="7"/>
        <v>6826.7918431187381</v>
      </c>
      <c r="F107">
        <v>98</v>
      </c>
      <c r="G107" s="6">
        <f t="shared" si="5"/>
        <v>10000</v>
      </c>
      <c r="H107" s="6">
        <f t="shared" si="6"/>
        <v>85334.898038984218</v>
      </c>
    </row>
    <row r="108" spans="2:8" x14ac:dyDescent="0.25">
      <c r="B108">
        <v>99</v>
      </c>
      <c r="C108" s="4">
        <f t="shared" si="4"/>
        <v>1000</v>
      </c>
      <c r="D108" s="4">
        <f t="shared" si="7"/>
        <v>6963.3276799811129</v>
      </c>
      <c r="F108">
        <v>99</v>
      </c>
      <c r="G108" s="6">
        <f t="shared" si="5"/>
        <v>10000</v>
      </c>
      <c r="H108" s="6">
        <f t="shared" si="6"/>
        <v>87041.595999763915</v>
      </c>
    </row>
    <row r="109" spans="2:8" x14ac:dyDescent="0.25">
      <c r="B109">
        <v>100</v>
      </c>
      <c r="C109" s="4">
        <f t="shared" si="4"/>
        <v>1000</v>
      </c>
      <c r="D109" s="4">
        <f t="shared" si="7"/>
        <v>7102.5942335807349</v>
      </c>
      <c r="F109">
        <v>100</v>
      </c>
      <c r="G109" s="6">
        <f t="shared" si="5"/>
        <v>10000</v>
      </c>
      <c r="H109" s="6">
        <f t="shared" si="6"/>
        <v>88782.427919759182</v>
      </c>
    </row>
    <row r="110" spans="2:8" x14ac:dyDescent="0.25">
      <c r="B110">
        <v>101</v>
      </c>
      <c r="C110" s="4">
        <f t="shared" si="4"/>
        <v>1000</v>
      </c>
      <c r="D110" s="4">
        <f t="shared" si="7"/>
        <v>7244.6461182523499</v>
      </c>
      <c r="F110">
        <v>101</v>
      </c>
      <c r="G110" s="6">
        <f t="shared" si="5"/>
        <v>10000</v>
      </c>
      <c r="H110" s="6">
        <f t="shared" si="6"/>
        <v>90558.076478154369</v>
      </c>
    </row>
    <row r="111" spans="2:8" x14ac:dyDescent="0.25">
      <c r="B111">
        <v>102</v>
      </c>
      <c r="C111" s="4">
        <f t="shared" si="4"/>
        <v>1000</v>
      </c>
      <c r="D111" s="4">
        <f t="shared" si="7"/>
        <v>7389.5390406173974</v>
      </c>
      <c r="F111">
        <v>102</v>
      </c>
      <c r="G111" s="6">
        <f t="shared" si="5"/>
        <v>10000</v>
      </c>
      <c r="H111" s="6">
        <f t="shared" si="6"/>
        <v>92369.23800771746</v>
      </c>
    </row>
    <row r="112" spans="2:8" x14ac:dyDescent="0.25">
      <c r="B112">
        <v>103</v>
      </c>
      <c r="C112" s="4">
        <f t="shared" si="4"/>
        <v>1000</v>
      </c>
      <c r="D112" s="4">
        <f t="shared" si="7"/>
        <v>7537.3298214297456</v>
      </c>
      <c r="F112">
        <v>103</v>
      </c>
      <c r="G112" s="6">
        <f t="shared" si="5"/>
        <v>10000</v>
      </c>
      <c r="H112" s="6">
        <f t="shared" si="6"/>
        <v>94216.622767871813</v>
      </c>
    </row>
    <row r="113" spans="2:8" x14ac:dyDescent="0.25">
      <c r="B113">
        <v>104</v>
      </c>
      <c r="C113" s="4">
        <f t="shared" si="4"/>
        <v>1000</v>
      </c>
      <c r="D113" s="4">
        <f t="shared" si="7"/>
        <v>7688.0764178583404</v>
      </c>
      <c r="F113">
        <v>104</v>
      </c>
      <c r="G113" s="6">
        <f t="shared" si="5"/>
        <v>10000</v>
      </c>
      <c r="H113" s="6">
        <f t="shared" si="6"/>
        <v>96100.955223229248</v>
      </c>
    </row>
    <row r="114" spans="2:8" x14ac:dyDescent="0.25">
      <c r="B114">
        <v>105</v>
      </c>
      <c r="C114" s="4">
        <f t="shared" si="4"/>
        <v>1000</v>
      </c>
      <c r="D114" s="4">
        <f t="shared" si="7"/>
        <v>7841.8379462155071</v>
      </c>
      <c r="F114">
        <v>105</v>
      </c>
      <c r="G114" s="6">
        <f t="shared" si="5"/>
        <v>10000</v>
      </c>
      <c r="H114" s="6">
        <f t="shared" si="6"/>
        <v>98022.974327693839</v>
      </c>
    </row>
    <row r="115" spans="2:8" x14ac:dyDescent="0.25">
      <c r="B115">
        <v>106</v>
      </c>
      <c r="C115" s="4">
        <f t="shared" si="4"/>
        <v>1000</v>
      </c>
      <c r="D115" s="4">
        <f t="shared" si="7"/>
        <v>7998.674705139817</v>
      </c>
      <c r="F115">
        <v>106</v>
      </c>
      <c r="G115" s="6">
        <f t="shared" si="5"/>
        <v>10000</v>
      </c>
      <c r="H115" s="6">
        <f t="shared" si="6"/>
        <v>99983.433814247706</v>
      </c>
    </row>
    <row r="116" spans="2:8" x14ac:dyDescent="0.25">
      <c r="B116">
        <v>107</v>
      </c>
      <c r="C116" s="4">
        <f t="shared" si="4"/>
        <v>1000</v>
      </c>
      <c r="D116" s="4">
        <f t="shared" si="7"/>
        <v>8158.6481992426134</v>
      </c>
      <c r="F116">
        <v>107</v>
      </c>
      <c r="G116" s="6">
        <f t="shared" si="5"/>
        <v>10000</v>
      </c>
      <c r="H116" s="6">
        <f t="shared" si="6"/>
        <v>101983.10249053266</v>
      </c>
    </row>
    <row r="117" spans="2:8" x14ac:dyDescent="0.25">
      <c r="B117">
        <v>108</v>
      </c>
      <c r="C117" s="4">
        <f t="shared" si="4"/>
        <v>1000</v>
      </c>
      <c r="D117" s="4">
        <f t="shared" si="7"/>
        <v>8321.8211632274651</v>
      </c>
      <c r="F117">
        <v>108</v>
      </c>
      <c r="G117" s="6">
        <f t="shared" si="5"/>
        <v>10000</v>
      </c>
      <c r="H117" s="6">
        <f t="shared" si="6"/>
        <v>104022.76454034331</v>
      </c>
    </row>
    <row r="118" spans="2:8" x14ac:dyDescent="0.25">
      <c r="B118">
        <v>109</v>
      </c>
      <c r="C118" s="4">
        <f t="shared" si="4"/>
        <v>1000</v>
      </c>
      <c r="D118" s="4">
        <f t="shared" si="7"/>
        <v>8488.2575864920145</v>
      </c>
      <c r="F118">
        <v>109</v>
      </c>
      <c r="G118" s="6">
        <f t="shared" si="5"/>
        <v>10000</v>
      </c>
      <c r="H118" s="6">
        <f t="shared" si="6"/>
        <v>106103.21983115019</v>
      </c>
    </row>
    <row r="119" spans="2:8" x14ac:dyDescent="0.25">
      <c r="B119">
        <v>110</v>
      </c>
      <c r="C119" s="4">
        <f t="shared" si="4"/>
        <v>1000</v>
      </c>
      <c r="D119" s="4">
        <f t="shared" si="7"/>
        <v>8658.0227382218545</v>
      </c>
      <c r="F119">
        <v>110</v>
      </c>
      <c r="G119" s="6">
        <f t="shared" si="5"/>
        <v>10000</v>
      </c>
      <c r="H119" s="6">
        <f t="shared" si="6"/>
        <v>108225.28422777318</v>
      </c>
    </row>
    <row r="120" spans="2:8" x14ac:dyDescent="0.25">
      <c r="B120">
        <v>111</v>
      </c>
      <c r="C120" s="4">
        <f t="shared" si="4"/>
        <v>1000</v>
      </c>
      <c r="D120" s="4">
        <f t="shared" si="7"/>
        <v>8831.183192986291</v>
      </c>
      <c r="F120">
        <v>111</v>
      </c>
      <c r="G120" s="6">
        <f t="shared" si="5"/>
        <v>10000</v>
      </c>
      <c r="H120" s="6">
        <f t="shared" si="6"/>
        <v>110389.78991232863</v>
      </c>
    </row>
    <row r="121" spans="2:8" x14ac:dyDescent="0.25">
      <c r="B121">
        <v>112</v>
      </c>
      <c r="C121" s="4">
        <f t="shared" si="4"/>
        <v>1000</v>
      </c>
      <c r="D121" s="4">
        <f t="shared" si="7"/>
        <v>9007.8068568460167</v>
      </c>
      <c r="F121">
        <v>112</v>
      </c>
      <c r="G121" s="6">
        <f t="shared" si="5"/>
        <v>10000</v>
      </c>
      <c r="H121" s="6">
        <f t="shared" si="6"/>
        <v>112597.58571057521</v>
      </c>
    </row>
    <row r="122" spans="2:8" x14ac:dyDescent="0.25">
      <c r="B122">
        <v>113</v>
      </c>
      <c r="C122" s="4">
        <f t="shared" si="4"/>
        <v>1000</v>
      </c>
      <c r="D122" s="4">
        <f t="shared" si="7"/>
        <v>9187.9629939829374</v>
      </c>
      <c r="F122">
        <v>113</v>
      </c>
      <c r="G122" s="6">
        <f t="shared" si="5"/>
        <v>10000</v>
      </c>
      <c r="H122" s="6">
        <f t="shared" si="6"/>
        <v>114849.53742478671</v>
      </c>
    </row>
    <row r="123" spans="2:8" x14ac:dyDescent="0.25">
      <c r="B123">
        <v>114</v>
      </c>
      <c r="C123" s="4">
        <f t="shared" si="4"/>
        <v>1000</v>
      </c>
      <c r="D123" s="4">
        <f t="shared" si="7"/>
        <v>9371.7222538625956</v>
      </c>
      <c r="F123">
        <v>114</v>
      </c>
      <c r="G123" s="6">
        <f t="shared" si="5"/>
        <v>10000</v>
      </c>
      <c r="H123" s="6">
        <f t="shared" si="6"/>
        <v>117146.52817328244</v>
      </c>
    </row>
    <row r="124" spans="2:8" x14ac:dyDescent="0.25">
      <c r="B124">
        <v>115</v>
      </c>
      <c r="C124" s="4">
        <f t="shared" si="4"/>
        <v>1000</v>
      </c>
      <c r="D124" s="4">
        <f t="shared" si="7"/>
        <v>9559.156698939847</v>
      </c>
      <c r="F124">
        <v>115</v>
      </c>
      <c r="G124" s="6">
        <f t="shared" si="5"/>
        <v>10000</v>
      </c>
      <c r="H124" s="6">
        <f t="shared" si="6"/>
        <v>119489.45873674809</v>
      </c>
    </row>
    <row r="125" spans="2:8" x14ac:dyDescent="0.25">
      <c r="B125">
        <v>116</v>
      </c>
      <c r="C125" s="4">
        <f t="shared" si="4"/>
        <v>1000</v>
      </c>
      <c r="D125" s="4">
        <f t="shared" si="7"/>
        <v>9750.3398329186439</v>
      </c>
      <c r="F125">
        <v>116</v>
      </c>
      <c r="G125" s="6">
        <f t="shared" si="5"/>
        <v>10000</v>
      </c>
      <c r="H125" s="6">
        <f t="shared" si="6"/>
        <v>121879.24791148305</v>
      </c>
    </row>
    <row r="126" spans="2:8" x14ac:dyDescent="0.25">
      <c r="B126">
        <v>117</v>
      </c>
      <c r="C126" s="4">
        <f t="shared" si="4"/>
        <v>1000</v>
      </c>
      <c r="D126" s="4">
        <f t="shared" si="7"/>
        <v>9945.3466295770177</v>
      </c>
      <c r="F126">
        <v>117</v>
      </c>
      <c r="G126" s="6">
        <f t="shared" si="5"/>
        <v>10000</v>
      </c>
      <c r="H126" s="6">
        <f t="shared" si="6"/>
        <v>124316.83286971271</v>
      </c>
    </row>
    <row r="127" spans="2:8" x14ac:dyDescent="0.25">
      <c r="B127">
        <v>118</v>
      </c>
      <c r="C127" s="4">
        <f t="shared" si="4"/>
        <v>1000</v>
      </c>
      <c r="D127" s="4">
        <f t="shared" si="7"/>
        <v>10144.253562168558</v>
      </c>
      <c r="F127">
        <v>118</v>
      </c>
      <c r="G127" s="6">
        <f t="shared" si="5"/>
        <v>10000</v>
      </c>
      <c r="H127" s="6">
        <f t="shared" si="6"/>
        <v>126803.16952710698</v>
      </c>
    </row>
    <row r="128" spans="2:8" x14ac:dyDescent="0.25">
      <c r="B128">
        <v>119</v>
      </c>
      <c r="C128" s="4">
        <f t="shared" si="4"/>
        <v>1000</v>
      </c>
      <c r="D128" s="4">
        <f t="shared" si="7"/>
        <v>10347.138633411929</v>
      </c>
      <c r="F128">
        <v>119</v>
      </c>
      <c r="G128" s="6">
        <f t="shared" si="5"/>
        <v>10000</v>
      </c>
      <c r="H128" s="6">
        <f t="shared" si="6"/>
        <v>129339.2329176491</v>
      </c>
    </row>
    <row r="129" spans="2:8" x14ac:dyDescent="0.25">
      <c r="B129">
        <v>120</v>
      </c>
      <c r="C129" s="4">
        <f t="shared" si="4"/>
        <v>1000</v>
      </c>
      <c r="D129" s="4">
        <f t="shared" si="7"/>
        <v>10554.081406080168</v>
      </c>
      <c r="F129">
        <v>120</v>
      </c>
      <c r="G129" s="6">
        <f t="shared" si="5"/>
        <v>10000</v>
      </c>
      <c r="H129" s="6">
        <f t="shared" si="6"/>
        <v>131926.01757600208</v>
      </c>
    </row>
    <row r="130" spans="2:8" x14ac:dyDescent="0.25">
      <c r="B130">
        <v>121</v>
      </c>
      <c r="C130" s="4">
        <f t="shared" si="4"/>
        <v>1000</v>
      </c>
      <c r="D130" s="4">
        <f t="shared" si="7"/>
        <v>10765.163034201771</v>
      </c>
      <c r="F130">
        <v>121</v>
      </c>
      <c r="G130" s="6">
        <f t="shared" si="5"/>
        <v>10000</v>
      </c>
      <c r="H130" s="6">
        <f t="shared" si="6"/>
        <v>134564.53792752212</v>
      </c>
    </row>
    <row r="131" spans="2:8" x14ac:dyDescent="0.25">
      <c r="B131">
        <v>122</v>
      </c>
      <c r="C131" s="4">
        <f t="shared" si="4"/>
        <v>1000</v>
      </c>
      <c r="D131" s="4">
        <f t="shared" si="7"/>
        <v>10980.466294885806</v>
      </c>
      <c r="F131">
        <v>122</v>
      </c>
      <c r="G131" s="6">
        <f t="shared" si="5"/>
        <v>10000</v>
      </c>
      <c r="H131" s="6">
        <f t="shared" si="6"/>
        <v>137255.82868607258</v>
      </c>
    </row>
    <row r="132" spans="2:8" x14ac:dyDescent="0.25">
      <c r="B132">
        <v>123</v>
      </c>
      <c r="C132" s="4">
        <f t="shared" si="4"/>
        <v>1000</v>
      </c>
      <c r="D132" s="4">
        <f t="shared" si="7"/>
        <v>11200.075620783522</v>
      </c>
      <c r="F132">
        <v>123</v>
      </c>
      <c r="G132" s="6">
        <f t="shared" si="5"/>
        <v>10000</v>
      </c>
      <c r="H132" s="6">
        <f t="shared" si="6"/>
        <v>140000.94525979401</v>
      </c>
    </row>
    <row r="133" spans="2:8" x14ac:dyDescent="0.25">
      <c r="B133">
        <v>124</v>
      </c>
      <c r="C133" s="4">
        <f t="shared" si="4"/>
        <v>1000</v>
      </c>
      <c r="D133" s="4">
        <f t="shared" si="7"/>
        <v>11424.077133199193</v>
      </c>
      <c r="F133">
        <v>124</v>
      </c>
      <c r="G133" s="6">
        <f t="shared" si="5"/>
        <v>10000</v>
      </c>
      <c r="H133" s="6">
        <f t="shared" si="6"/>
        <v>142800.96416498991</v>
      </c>
    </row>
    <row r="134" spans="2:8" x14ac:dyDescent="0.25">
      <c r="B134">
        <v>125</v>
      </c>
      <c r="C134" s="4">
        <f t="shared" si="4"/>
        <v>1000</v>
      </c>
      <c r="D134" s="4">
        <f t="shared" si="7"/>
        <v>11652.558675863176</v>
      </c>
      <c r="F134">
        <v>125</v>
      </c>
      <c r="G134" s="6">
        <f t="shared" si="5"/>
        <v>10000</v>
      </c>
      <c r="H134" s="6">
        <f t="shared" si="6"/>
        <v>145656.98344828971</v>
      </c>
    </row>
    <row r="135" spans="2:8" x14ac:dyDescent="0.25">
      <c r="B135">
        <v>126</v>
      </c>
      <c r="C135" s="4">
        <f t="shared" si="4"/>
        <v>1000</v>
      </c>
      <c r="D135" s="4">
        <f t="shared" si="7"/>
        <v>11885.60984938044</v>
      </c>
      <c r="F135">
        <v>126</v>
      </c>
      <c r="G135" s="6">
        <f t="shared" si="5"/>
        <v>10000</v>
      </c>
      <c r="H135" s="6">
        <f t="shared" si="6"/>
        <v>148570.12311725551</v>
      </c>
    </row>
    <row r="136" spans="2:8" x14ac:dyDescent="0.25">
      <c r="B136">
        <v>127</v>
      </c>
      <c r="C136" s="4">
        <f t="shared" si="4"/>
        <v>1000</v>
      </c>
      <c r="D136" s="4">
        <f t="shared" si="7"/>
        <v>12123.32204636805</v>
      </c>
      <c r="F136">
        <v>127</v>
      </c>
      <c r="G136" s="6">
        <f t="shared" si="5"/>
        <v>10000</v>
      </c>
      <c r="H136" s="6">
        <f t="shared" si="6"/>
        <v>151541.52557960062</v>
      </c>
    </row>
    <row r="137" spans="2:8" x14ac:dyDescent="0.25">
      <c r="B137">
        <v>128</v>
      </c>
      <c r="C137" s="4">
        <f t="shared" si="4"/>
        <v>1000</v>
      </c>
      <c r="D137" s="4">
        <f t="shared" si="7"/>
        <v>12365.788487295411</v>
      </c>
      <c r="F137">
        <v>128</v>
      </c>
      <c r="G137" s="6">
        <f t="shared" si="5"/>
        <v>10000</v>
      </c>
      <c r="H137" s="6">
        <f t="shared" si="6"/>
        <v>154572.35609119263</v>
      </c>
    </row>
    <row r="138" spans="2:8" x14ac:dyDescent="0.25">
      <c r="B138">
        <v>129</v>
      </c>
      <c r="C138" s="4">
        <f t="shared" si="4"/>
        <v>1000</v>
      </c>
      <c r="D138" s="4">
        <f t="shared" si="7"/>
        <v>12613.104257041319</v>
      </c>
      <c r="F138">
        <v>129</v>
      </c>
      <c r="G138" s="6">
        <f t="shared" si="5"/>
        <v>10000</v>
      </c>
      <c r="H138" s="6">
        <f t="shared" si="6"/>
        <v>157663.80321301648</v>
      </c>
    </row>
    <row r="139" spans="2:8" x14ac:dyDescent="0.25">
      <c r="B139">
        <v>130</v>
      </c>
      <c r="C139" s="4">
        <f t="shared" ref="C139:C202" si="8">$B$2*(1+$C$8)</f>
        <v>1000</v>
      </c>
      <c r="D139" s="4">
        <f t="shared" si="7"/>
        <v>12865.366342182146</v>
      </c>
      <c r="F139">
        <v>130</v>
      </c>
      <c r="G139" s="6">
        <f t="shared" ref="G139:G202" si="9">C139/$B$4</f>
        <v>10000</v>
      </c>
      <c r="H139" s="6">
        <f t="shared" ref="H139:H202" si="10">D139/($B$4-$B$3)</f>
        <v>160817.07927727682</v>
      </c>
    </row>
    <row r="140" spans="2:8" x14ac:dyDescent="0.25">
      <c r="B140">
        <v>131</v>
      </c>
      <c r="C140" s="4">
        <f t="shared" si="8"/>
        <v>1000</v>
      </c>
      <c r="D140" s="4">
        <f t="shared" si="7"/>
        <v>13122.673669025789</v>
      </c>
      <c r="F140">
        <v>131</v>
      </c>
      <c r="G140" s="6">
        <f t="shared" si="9"/>
        <v>10000</v>
      </c>
      <c r="H140" s="6">
        <f t="shared" si="10"/>
        <v>164033.42086282236</v>
      </c>
    </row>
    <row r="141" spans="2:8" x14ac:dyDescent="0.25">
      <c r="B141">
        <v>132</v>
      </c>
      <c r="C141" s="4">
        <f t="shared" si="8"/>
        <v>1000</v>
      </c>
      <c r="D141" s="4">
        <f t="shared" ref="D141:D204" si="11">D140*(1+$D$8)</f>
        <v>13385.127142406305</v>
      </c>
      <c r="F141">
        <v>132</v>
      </c>
      <c r="G141" s="6">
        <f t="shared" si="9"/>
        <v>10000</v>
      </c>
      <c r="H141" s="6">
        <f t="shared" si="10"/>
        <v>167314.0892800788</v>
      </c>
    </row>
    <row r="142" spans="2:8" x14ac:dyDescent="0.25">
      <c r="B142">
        <v>133</v>
      </c>
      <c r="C142" s="4">
        <f t="shared" si="8"/>
        <v>1000</v>
      </c>
      <c r="D142" s="4">
        <f t="shared" si="11"/>
        <v>13652.829685254432</v>
      </c>
      <c r="F142">
        <v>133</v>
      </c>
      <c r="G142" s="6">
        <f t="shared" si="9"/>
        <v>10000</v>
      </c>
      <c r="H142" s="6">
        <f t="shared" si="10"/>
        <v>170660.3710656804</v>
      </c>
    </row>
    <row r="143" spans="2:8" x14ac:dyDescent="0.25">
      <c r="B143">
        <v>134</v>
      </c>
      <c r="C143" s="4">
        <f t="shared" si="8"/>
        <v>1000</v>
      </c>
      <c r="D143" s="4">
        <f t="shared" si="11"/>
        <v>13925.88627895952</v>
      </c>
      <c r="F143">
        <v>134</v>
      </c>
      <c r="G143" s="6">
        <f t="shared" si="9"/>
        <v>10000</v>
      </c>
      <c r="H143" s="6">
        <f t="shared" si="10"/>
        <v>174073.578486994</v>
      </c>
    </row>
    <row r="144" spans="2:8" x14ac:dyDescent="0.25">
      <c r="B144">
        <v>135</v>
      </c>
      <c r="C144" s="4">
        <f t="shared" si="8"/>
        <v>1000</v>
      </c>
      <c r="D144" s="4">
        <f t="shared" si="11"/>
        <v>14204.404004538712</v>
      </c>
      <c r="F144">
        <v>135</v>
      </c>
      <c r="G144" s="6">
        <f t="shared" si="9"/>
        <v>10000</v>
      </c>
      <c r="H144" s="6">
        <f t="shared" si="10"/>
        <v>177555.05005673389</v>
      </c>
    </row>
    <row r="145" spans="2:8" x14ac:dyDescent="0.25">
      <c r="B145">
        <v>136</v>
      </c>
      <c r="C145" s="4">
        <f t="shared" si="8"/>
        <v>1000</v>
      </c>
      <c r="D145" s="4">
        <f t="shared" si="11"/>
        <v>14488.492084629486</v>
      </c>
      <c r="F145">
        <v>136</v>
      </c>
      <c r="G145" s="6">
        <f t="shared" si="9"/>
        <v>10000</v>
      </c>
      <c r="H145" s="6">
        <f t="shared" si="10"/>
        <v>181106.15105786858</v>
      </c>
    </row>
    <row r="146" spans="2:8" x14ac:dyDescent="0.25">
      <c r="B146">
        <v>137</v>
      </c>
      <c r="C146" s="4">
        <f t="shared" si="8"/>
        <v>1000</v>
      </c>
      <c r="D146" s="4">
        <f t="shared" si="11"/>
        <v>14778.261926322077</v>
      </c>
      <c r="F146">
        <v>137</v>
      </c>
      <c r="G146" s="6">
        <f t="shared" si="9"/>
        <v>10000</v>
      </c>
      <c r="H146" s="6">
        <f t="shared" si="10"/>
        <v>184728.27407902596</v>
      </c>
    </row>
    <row r="147" spans="2:8" x14ac:dyDescent="0.25">
      <c r="B147">
        <v>138</v>
      </c>
      <c r="C147" s="4">
        <f t="shared" si="8"/>
        <v>1000</v>
      </c>
      <c r="D147" s="4">
        <f t="shared" si="11"/>
        <v>15073.827164848519</v>
      </c>
      <c r="F147">
        <v>138</v>
      </c>
      <c r="G147" s="6">
        <f t="shared" si="9"/>
        <v>10000</v>
      </c>
      <c r="H147" s="6">
        <f t="shared" si="10"/>
        <v>188422.83956060649</v>
      </c>
    </row>
    <row r="148" spans="2:8" x14ac:dyDescent="0.25">
      <c r="B148">
        <v>139</v>
      </c>
      <c r="C148" s="4">
        <f t="shared" si="8"/>
        <v>1000</v>
      </c>
      <c r="D148" s="4">
        <f t="shared" si="11"/>
        <v>15375.30370814549</v>
      </c>
      <c r="F148">
        <v>139</v>
      </c>
      <c r="G148" s="6">
        <f t="shared" si="9"/>
        <v>10000</v>
      </c>
      <c r="H148" s="6">
        <f t="shared" si="10"/>
        <v>192191.2963518186</v>
      </c>
    </row>
    <row r="149" spans="2:8" x14ac:dyDescent="0.25">
      <c r="B149">
        <v>140</v>
      </c>
      <c r="C149" s="4">
        <f t="shared" si="8"/>
        <v>1000</v>
      </c>
      <c r="D149" s="4">
        <f t="shared" si="11"/>
        <v>15682.809782308399</v>
      </c>
      <c r="F149">
        <v>140</v>
      </c>
      <c r="G149" s="6">
        <f t="shared" si="9"/>
        <v>10000</v>
      </c>
      <c r="H149" s="6">
        <f t="shared" si="10"/>
        <v>196035.12227885498</v>
      </c>
    </row>
    <row r="150" spans="2:8" x14ac:dyDescent="0.25">
      <c r="B150">
        <v>141</v>
      </c>
      <c r="C150" s="4">
        <f t="shared" si="8"/>
        <v>1000</v>
      </c>
      <c r="D150" s="4">
        <f t="shared" si="11"/>
        <v>15996.465977954567</v>
      </c>
      <c r="F150">
        <v>141</v>
      </c>
      <c r="G150" s="6">
        <f t="shared" si="9"/>
        <v>10000</v>
      </c>
      <c r="H150" s="6">
        <f t="shared" si="10"/>
        <v>199955.82472443208</v>
      </c>
    </row>
    <row r="151" spans="2:8" x14ac:dyDescent="0.25">
      <c r="B151">
        <v>142</v>
      </c>
      <c r="C151" s="4">
        <f t="shared" si="8"/>
        <v>1000</v>
      </c>
      <c r="D151" s="4">
        <f t="shared" si="11"/>
        <v>16316.395297513658</v>
      </c>
      <c r="F151">
        <v>142</v>
      </c>
      <c r="G151" s="6">
        <f t="shared" si="9"/>
        <v>10000</v>
      </c>
      <c r="H151" s="6">
        <f t="shared" si="10"/>
        <v>203954.94121892072</v>
      </c>
    </row>
    <row r="152" spans="2:8" x14ac:dyDescent="0.25">
      <c r="B152">
        <v>143</v>
      </c>
      <c r="C152" s="4">
        <f t="shared" si="8"/>
        <v>1000</v>
      </c>
      <c r="D152" s="4">
        <f t="shared" si="11"/>
        <v>16642.723203463931</v>
      </c>
      <c r="F152">
        <v>143</v>
      </c>
      <c r="G152" s="6">
        <f t="shared" si="9"/>
        <v>10000</v>
      </c>
      <c r="H152" s="6">
        <f t="shared" si="10"/>
        <v>208034.04004329914</v>
      </c>
    </row>
    <row r="153" spans="2:8" x14ac:dyDescent="0.25">
      <c r="B153">
        <v>144</v>
      </c>
      <c r="C153" s="4">
        <f t="shared" si="8"/>
        <v>1000</v>
      </c>
      <c r="D153" s="4">
        <f t="shared" si="11"/>
        <v>16975.577667533209</v>
      </c>
      <c r="F153">
        <v>144</v>
      </c>
      <c r="G153" s="6">
        <f t="shared" si="9"/>
        <v>10000</v>
      </c>
      <c r="H153" s="6">
        <f t="shared" si="10"/>
        <v>212194.7208441651</v>
      </c>
    </row>
    <row r="154" spans="2:8" x14ac:dyDescent="0.25">
      <c r="B154">
        <v>145</v>
      </c>
      <c r="C154" s="4">
        <f t="shared" si="8"/>
        <v>1000</v>
      </c>
      <c r="D154" s="4">
        <f t="shared" si="11"/>
        <v>17315.089220883874</v>
      </c>
      <c r="F154">
        <v>145</v>
      </c>
      <c r="G154" s="6">
        <f t="shared" si="9"/>
        <v>10000</v>
      </c>
      <c r="H154" s="6">
        <f t="shared" si="10"/>
        <v>216438.61526104843</v>
      </c>
    </row>
    <row r="155" spans="2:8" x14ac:dyDescent="0.25">
      <c r="B155">
        <v>146</v>
      </c>
      <c r="C155" s="4">
        <f t="shared" si="8"/>
        <v>1000</v>
      </c>
      <c r="D155" s="4">
        <f t="shared" si="11"/>
        <v>17661.391005301553</v>
      </c>
      <c r="F155">
        <v>146</v>
      </c>
      <c r="G155" s="6">
        <f t="shared" si="9"/>
        <v>10000</v>
      </c>
      <c r="H155" s="6">
        <f t="shared" si="10"/>
        <v>220767.3875662694</v>
      </c>
    </row>
    <row r="156" spans="2:8" x14ac:dyDescent="0.25">
      <c r="B156">
        <v>147</v>
      </c>
      <c r="C156" s="4">
        <f t="shared" si="8"/>
        <v>1000</v>
      </c>
      <c r="D156" s="4">
        <f t="shared" si="11"/>
        <v>18014.618825407586</v>
      </c>
      <c r="F156">
        <v>147</v>
      </c>
      <c r="G156" s="6">
        <f t="shared" si="9"/>
        <v>10000</v>
      </c>
      <c r="H156" s="6">
        <f t="shared" si="10"/>
        <v>225182.73531759481</v>
      </c>
    </row>
    <row r="157" spans="2:8" x14ac:dyDescent="0.25">
      <c r="B157">
        <v>148</v>
      </c>
      <c r="C157" s="4">
        <f t="shared" si="8"/>
        <v>1000</v>
      </c>
      <c r="D157" s="4">
        <f t="shared" si="11"/>
        <v>18374.911201915736</v>
      </c>
      <c r="F157">
        <v>148</v>
      </c>
      <c r="G157" s="6">
        <f t="shared" si="9"/>
        <v>10000</v>
      </c>
      <c r="H157" s="6">
        <f t="shared" si="10"/>
        <v>229686.3900239467</v>
      </c>
    </row>
    <row r="158" spans="2:8" x14ac:dyDescent="0.25">
      <c r="B158">
        <v>149</v>
      </c>
      <c r="C158" s="4">
        <f t="shared" si="8"/>
        <v>1000</v>
      </c>
      <c r="D158" s="4">
        <f t="shared" si="11"/>
        <v>18742.409425954051</v>
      </c>
      <c r="F158">
        <v>149</v>
      </c>
      <c r="G158" s="6">
        <f t="shared" si="9"/>
        <v>10000</v>
      </c>
      <c r="H158" s="6">
        <f t="shared" si="10"/>
        <v>234280.11782442563</v>
      </c>
    </row>
    <row r="159" spans="2:8" x14ac:dyDescent="0.25">
      <c r="B159">
        <v>150</v>
      </c>
      <c r="C159" s="4">
        <f t="shared" si="8"/>
        <v>1000</v>
      </c>
      <c r="D159" s="4">
        <f t="shared" si="11"/>
        <v>19117.257614473132</v>
      </c>
      <c r="F159">
        <v>150</v>
      </c>
      <c r="G159" s="6">
        <f t="shared" si="9"/>
        <v>10000</v>
      </c>
      <c r="H159" s="6">
        <f t="shared" si="10"/>
        <v>238965.72018091416</v>
      </c>
    </row>
    <row r="160" spans="2:8" x14ac:dyDescent="0.25">
      <c r="B160">
        <v>151</v>
      </c>
      <c r="C160" s="4">
        <f t="shared" si="8"/>
        <v>1000</v>
      </c>
      <c r="D160" s="4">
        <f t="shared" si="11"/>
        <v>19499.602766762597</v>
      </c>
      <c r="F160">
        <v>151</v>
      </c>
      <c r="G160" s="6">
        <f t="shared" si="9"/>
        <v>10000</v>
      </c>
      <c r="H160" s="6">
        <f t="shared" si="10"/>
        <v>243745.03458453246</v>
      </c>
    </row>
    <row r="161" spans="2:8" x14ac:dyDescent="0.25">
      <c r="B161">
        <v>152</v>
      </c>
      <c r="C161" s="4">
        <f t="shared" si="8"/>
        <v>1000</v>
      </c>
      <c r="D161" s="4">
        <f t="shared" si="11"/>
        <v>19889.59482209785</v>
      </c>
      <c r="F161">
        <v>152</v>
      </c>
      <c r="G161" s="6">
        <f t="shared" si="9"/>
        <v>10000</v>
      </c>
      <c r="H161" s="6">
        <f t="shared" si="10"/>
        <v>248619.93527622311</v>
      </c>
    </row>
    <row r="162" spans="2:8" x14ac:dyDescent="0.25">
      <c r="B162">
        <v>153</v>
      </c>
      <c r="C162" s="4">
        <f t="shared" si="8"/>
        <v>1000</v>
      </c>
      <c r="D162" s="4">
        <f t="shared" si="11"/>
        <v>20287.386718539808</v>
      </c>
      <c r="F162">
        <v>153</v>
      </c>
      <c r="G162" s="6">
        <f t="shared" si="9"/>
        <v>10000</v>
      </c>
      <c r="H162" s="6">
        <f t="shared" si="10"/>
        <v>253592.33398174759</v>
      </c>
    </row>
    <row r="163" spans="2:8" x14ac:dyDescent="0.25">
      <c r="B163">
        <v>154</v>
      </c>
      <c r="C163" s="4">
        <f t="shared" si="8"/>
        <v>1000</v>
      </c>
      <c r="D163" s="4">
        <f t="shared" si="11"/>
        <v>20693.134452910606</v>
      </c>
      <c r="F163">
        <v>154</v>
      </c>
      <c r="G163" s="6">
        <f t="shared" si="9"/>
        <v>10000</v>
      </c>
      <c r="H163" s="6">
        <f t="shared" si="10"/>
        <v>258664.18066138256</v>
      </c>
    </row>
    <row r="164" spans="2:8" x14ac:dyDescent="0.25">
      <c r="B164">
        <v>155</v>
      </c>
      <c r="C164" s="4">
        <f t="shared" si="8"/>
        <v>1000</v>
      </c>
      <c r="D164" s="4">
        <f t="shared" si="11"/>
        <v>21106.997141968819</v>
      </c>
      <c r="F164">
        <v>155</v>
      </c>
      <c r="G164" s="6">
        <f t="shared" si="9"/>
        <v>10000</v>
      </c>
      <c r="H164" s="6">
        <f t="shared" si="10"/>
        <v>263837.46427461022</v>
      </c>
    </row>
    <row r="165" spans="2:8" x14ac:dyDescent="0.25">
      <c r="B165">
        <v>156</v>
      </c>
      <c r="C165" s="4">
        <f t="shared" si="8"/>
        <v>1000</v>
      </c>
      <c r="D165" s="4">
        <f t="shared" si="11"/>
        <v>21529.137084808197</v>
      </c>
      <c r="F165">
        <v>156</v>
      </c>
      <c r="G165" s="6">
        <f t="shared" si="9"/>
        <v>10000</v>
      </c>
      <c r="H165" s="6">
        <f t="shared" si="10"/>
        <v>269114.21356010245</v>
      </c>
    </row>
    <row r="166" spans="2:8" x14ac:dyDescent="0.25">
      <c r="B166">
        <v>157</v>
      </c>
      <c r="C166" s="4">
        <f t="shared" si="8"/>
        <v>1000</v>
      </c>
      <c r="D166" s="4">
        <f t="shared" si="11"/>
        <v>21959.719826504363</v>
      </c>
      <c r="F166">
        <v>157</v>
      </c>
      <c r="G166" s="6">
        <f t="shared" si="9"/>
        <v>10000</v>
      </c>
      <c r="H166" s="6">
        <f t="shared" si="10"/>
        <v>274496.4978313045</v>
      </c>
    </row>
    <row r="167" spans="2:8" x14ac:dyDescent="0.25">
      <c r="B167">
        <v>158</v>
      </c>
      <c r="C167" s="4">
        <f t="shared" si="8"/>
        <v>1000</v>
      </c>
      <c r="D167" s="4">
        <f t="shared" si="11"/>
        <v>22398.914223034451</v>
      </c>
      <c r="F167">
        <v>158</v>
      </c>
      <c r="G167" s="6">
        <f t="shared" si="9"/>
        <v>10000</v>
      </c>
      <c r="H167" s="6">
        <f t="shared" si="10"/>
        <v>279986.42778793065</v>
      </c>
    </row>
    <row r="168" spans="2:8" x14ac:dyDescent="0.25">
      <c r="B168">
        <v>159</v>
      </c>
      <c r="C168" s="4">
        <f t="shared" si="8"/>
        <v>1000</v>
      </c>
      <c r="D168" s="4">
        <f t="shared" si="11"/>
        <v>22846.89250749514</v>
      </c>
      <c r="F168">
        <v>159</v>
      </c>
      <c r="G168" s="6">
        <f t="shared" si="9"/>
        <v>10000</v>
      </c>
      <c r="H168" s="6">
        <f t="shared" si="10"/>
        <v>285586.15634368925</v>
      </c>
    </row>
    <row r="169" spans="2:8" x14ac:dyDescent="0.25">
      <c r="B169">
        <v>160</v>
      </c>
      <c r="C169" s="4">
        <f t="shared" si="8"/>
        <v>1000</v>
      </c>
      <c r="D169" s="4">
        <f t="shared" si="11"/>
        <v>23303.830357645045</v>
      </c>
      <c r="F169">
        <v>160</v>
      </c>
      <c r="G169" s="6">
        <f t="shared" si="9"/>
        <v>10000</v>
      </c>
      <c r="H169" s="6">
        <f t="shared" si="10"/>
        <v>291297.87947056309</v>
      </c>
    </row>
    <row r="170" spans="2:8" x14ac:dyDescent="0.25">
      <c r="B170">
        <v>161</v>
      </c>
      <c r="C170" s="4">
        <f t="shared" si="8"/>
        <v>1000</v>
      </c>
      <c r="D170" s="4">
        <f t="shared" si="11"/>
        <v>23769.906964797945</v>
      </c>
      <c r="F170">
        <v>161</v>
      </c>
      <c r="G170" s="6">
        <f t="shared" si="9"/>
        <v>10000</v>
      </c>
      <c r="H170" s="6">
        <f t="shared" si="10"/>
        <v>297123.83705997432</v>
      </c>
    </row>
    <row r="171" spans="2:8" x14ac:dyDescent="0.25">
      <c r="B171">
        <v>162</v>
      </c>
      <c r="C171" s="4">
        <f t="shared" si="8"/>
        <v>1000</v>
      </c>
      <c r="D171" s="4">
        <f t="shared" si="11"/>
        <v>24245.305104093903</v>
      </c>
      <c r="F171">
        <v>162</v>
      </c>
      <c r="G171" s="6">
        <f t="shared" si="9"/>
        <v>10000</v>
      </c>
      <c r="H171" s="6">
        <f t="shared" si="10"/>
        <v>303066.31380117376</v>
      </c>
    </row>
    <row r="172" spans="2:8" x14ac:dyDescent="0.25">
      <c r="B172">
        <v>163</v>
      </c>
      <c r="C172" s="4">
        <f t="shared" si="8"/>
        <v>1000</v>
      </c>
      <c r="D172" s="4">
        <f t="shared" si="11"/>
        <v>24730.21120617578</v>
      </c>
      <c r="F172">
        <v>163</v>
      </c>
      <c r="G172" s="6">
        <f t="shared" si="9"/>
        <v>10000</v>
      </c>
      <c r="H172" s="6">
        <f t="shared" si="10"/>
        <v>309127.64007719723</v>
      </c>
    </row>
    <row r="173" spans="2:8" x14ac:dyDescent="0.25">
      <c r="B173">
        <v>164</v>
      </c>
      <c r="C173" s="4">
        <f t="shared" si="8"/>
        <v>1000</v>
      </c>
      <c r="D173" s="4">
        <f t="shared" si="11"/>
        <v>25224.815430299295</v>
      </c>
      <c r="F173">
        <v>164</v>
      </c>
      <c r="G173" s="6">
        <f t="shared" si="9"/>
        <v>10000</v>
      </c>
      <c r="H173" s="6">
        <f t="shared" si="10"/>
        <v>315310.19287874119</v>
      </c>
    </row>
    <row r="174" spans="2:8" x14ac:dyDescent="0.25">
      <c r="B174">
        <v>165</v>
      </c>
      <c r="C174" s="4">
        <f t="shared" si="8"/>
        <v>1000</v>
      </c>
      <c r="D174" s="4">
        <f t="shared" si="11"/>
        <v>25729.311738905282</v>
      </c>
      <c r="F174">
        <v>165</v>
      </c>
      <c r="G174" s="6">
        <f t="shared" si="9"/>
        <v>10000</v>
      </c>
      <c r="H174" s="6">
        <f t="shared" si="10"/>
        <v>321616.39673631603</v>
      </c>
    </row>
    <row r="175" spans="2:8" x14ac:dyDescent="0.25">
      <c r="B175">
        <v>166</v>
      </c>
      <c r="C175" s="4">
        <f t="shared" si="8"/>
        <v>1000</v>
      </c>
      <c r="D175" s="4">
        <f t="shared" si="11"/>
        <v>26243.89797368339</v>
      </c>
      <c r="F175">
        <v>166</v>
      </c>
      <c r="G175" s="6">
        <f t="shared" si="9"/>
        <v>10000</v>
      </c>
      <c r="H175" s="6">
        <f t="shared" si="10"/>
        <v>328048.72467104235</v>
      </c>
    </row>
    <row r="176" spans="2:8" x14ac:dyDescent="0.25">
      <c r="B176">
        <v>167</v>
      </c>
      <c r="C176" s="4">
        <f t="shared" si="8"/>
        <v>1000</v>
      </c>
      <c r="D176" s="4">
        <f t="shared" si="11"/>
        <v>26768.77593315706</v>
      </c>
      <c r="F176">
        <v>167</v>
      </c>
      <c r="G176" s="6">
        <f t="shared" si="9"/>
        <v>10000</v>
      </c>
      <c r="H176" s="6">
        <f t="shared" si="10"/>
        <v>334609.69916446327</v>
      </c>
    </row>
    <row r="177" spans="2:8" x14ac:dyDescent="0.25">
      <c r="B177">
        <v>168</v>
      </c>
      <c r="C177" s="4">
        <f t="shared" si="8"/>
        <v>1000</v>
      </c>
      <c r="D177" s="4">
        <f t="shared" si="11"/>
        <v>27304.151451820202</v>
      </c>
      <c r="F177">
        <v>168</v>
      </c>
      <c r="G177" s="6">
        <f t="shared" si="9"/>
        <v>10000</v>
      </c>
      <c r="H177" s="6">
        <f t="shared" si="10"/>
        <v>341301.8931477525</v>
      </c>
    </row>
    <row r="178" spans="2:8" x14ac:dyDescent="0.25">
      <c r="B178">
        <v>169</v>
      </c>
      <c r="C178" s="4">
        <f t="shared" si="8"/>
        <v>1000</v>
      </c>
      <c r="D178" s="4">
        <f t="shared" si="11"/>
        <v>27850.234480856605</v>
      </c>
      <c r="F178">
        <v>169</v>
      </c>
      <c r="G178" s="6">
        <f t="shared" si="9"/>
        <v>10000</v>
      </c>
      <c r="H178" s="6">
        <f t="shared" si="10"/>
        <v>348127.93101070757</v>
      </c>
    </row>
    <row r="179" spans="2:8" x14ac:dyDescent="0.25">
      <c r="B179">
        <v>170</v>
      </c>
      <c r="C179" s="4">
        <f t="shared" si="8"/>
        <v>1000</v>
      </c>
      <c r="D179" s="4">
        <f t="shared" si="11"/>
        <v>28407.239170473738</v>
      </c>
      <c r="F179">
        <v>170</v>
      </c>
      <c r="G179" s="6">
        <f t="shared" si="9"/>
        <v>10000</v>
      </c>
      <c r="H179" s="6">
        <f t="shared" si="10"/>
        <v>355090.48963092174</v>
      </c>
    </row>
    <row r="180" spans="2:8" x14ac:dyDescent="0.25">
      <c r="B180">
        <v>171</v>
      </c>
      <c r="C180" s="4">
        <f t="shared" si="8"/>
        <v>1000</v>
      </c>
      <c r="D180" s="4">
        <f t="shared" si="11"/>
        <v>28975.383953883214</v>
      </c>
      <c r="F180">
        <v>171</v>
      </c>
      <c r="G180" s="6">
        <f t="shared" si="9"/>
        <v>10000</v>
      </c>
      <c r="H180" s="6">
        <f t="shared" si="10"/>
        <v>362192.29942354019</v>
      </c>
    </row>
    <row r="181" spans="2:8" x14ac:dyDescent="0.25">
      <c r="B181">
        <v>172</v>
      </c>
      <c r="C181" s="4">
        <f t="shared" si="8"/>
        <v>1000</v>
      </c>
      <c r="D181" s="4">
        <f t="shared" si="11"/>
        <v>29554.89163296088</v>
      </c>
      <c r="F181">
        <v>172</v>
      </c>
      <c r="G181" s="6">
        <f t="shared" si="9"/>
        <v>10000</v>
      </c>
      <c r="H181" s="6">
        <f t="shared" si="10"/>
        <v>369436.14541201101</v>
      </c>
    </row>
    <row r="182" spans="2:8" x14ac:dyDescent="0.25">
      <c r="B182">
        <v>173</v>
      </c>
      <c r="C182" s="4">
        <f t="shared" si="8"/>
        <v>1000</v>
      </c>
      <c r="D182" s="4">
        <f t="shared" si="11"/>
        <v>30145.9894656201</v>
      </c>
      <c r="F182">
        <v>173</v>
      </c>
      <c r="G182" s="6">
        <f t="shared" si="9"/>
        <v>10000</v>
      </c>
      <c r="H182" s="6">
        <f t="shared" si="10"/>
        <v>376824.86832025123</v>
      </c>
    </row>
    <row r="183" spans="2:8" x14ac:dyDescent="0.25">
      <c r="B183">
        <v>174</v>
      </c>
      <c r="C183" s="4">
        <f t="shared" si="8"/>
        <v>1000</v>
      </c>
      <c r="D183" s="4">
        <f t="shared" si="11"/>
        <v>30748.909254932503</v>
      </c>
      <c r="F183">
        <v>174</v>
      </c>
      <c r="G183" s="6">
        <f t="shared" si="9"/>
        <v>10000</v>
      </c>
      <c r="H183" s="6">
        <f t="shared" si="10"/>
        <v>384361.36568665627</v>
      </c>
    </row>
    <row r="184" spans="2:8" x14ac:dyDescent="0.25">
      <c r="B184">
        <v>175</v>
      </c>
      <c r="C184" s="4">
        <f t="shared" si="8"/>
        <v>1000</v>
      </c>
      <c r="D184" s="4">
        <f t="shared" si="11"/>
        <v>31363.887440031154</v>
      </c>
      <c r="F184">
        <v>175</v>
      </c>
      <c r="G184" s="6">
        <f t="shared" si="9"/>
        <v>10000</v>
      </c>
      <c r="H184" s="6">
        <f t="shared" si="10"/>
        <v>392048.5930003894</v>
      </c>
    </row>
    <row r="185" spans="2:8" x14ac:dyDescent="0.25">
      <c r="B185">
        <v>176</v>
      </c>
      <c r="C185" s="4">
        <f t="shared" si="8"/>
        <v>1000</v>
      </c>
      <c r="D185" s="4">
        <f t="shared" si="11"/>
        <v>31991.165188831779</v>
      </c>
      <c r="F185">
        <v>176</v>
      </c>
      <c r="G185" s="6">
        <f t="shared" si="9"/>
        <v>10000</v>
      </c>
      <c r="H185" s="6">
        <f t="shared" si="10"/>
        <v>399889.56486039725</v>
      </c>
    </row>
    <row r="186" spans="2:8" x14ac:dyDescent="0.25">
      <c r="B186">
        <v>177</v>
      </c>
      <c r="C186" s="4">
        <f t="shared" si="8"/>
        <v>1000</v>
      </c>
      <c r="D186" s="4">
        <f t="shared" si="11"/>
        <v>32630.988492608416</v>
      </c>
      <c r="F186">
        <v>177</v>
      </c>
      <c r="G186" s="6">
        <f t="shared" si="9"/>
        <v>10000</v>
      </c>
      <c r="H186" s="6">
        <f t="shared" si="10"/>
        <v>407887.35615760519</v>
      </c>
    </row>
    <row r="187" spans="2:8" x14ac:dyDescent="0.25">
      <c r="B187">
        <v>178</v>
      </c>
      <c r="C187" s="4">
        <f t="shared" si="8"/>
        <v>1000</v>
      </c>
      <c r="D187" s="4">
        <f t="shared" si="11"/>
        <v>33283.608262460584</v>
      </c>
      <c r="F187">
        <v>178</v>
      </c>
      <c r="G187" s="6">
        <f t="shared" si="9"/>
        <v>10000</v>
      </c>
      <c r="H187" s="6">
        <f t="shared" si="10"/>
        <v>416045.10328075732</v>
      </c>
    </row>
    <row r="188" spans="2:8" x14ac:dyDescent="0.25">
      <c r="B188">
        <v>179</v>
      </c>
      <c r="C188" s="4">
        <f t="shared" si="8"/>
        <v>1000</v>
      </c>
      <c r="D188" s="4">
        <f t="shared" si="11"/>
        <v>33949.280427709797</v>
      </c>
      <c r="F188">
        <v>179</v>
      </c>
      <c r="G188" s="6">
        <f t="shared" si="9"/>
        <v>10000</v>
      </c>
      <c r="H188" s="6">
        <f t="shared" si="10"/>
        <v>424366.00534637243</v>
      </c>
    </row>
    <row r="189" spans="2:8" x14ac:dyDescent="0.25">
      <c r="B189">
        <v>180</v>
      </c>
      <c r="C189" s="4">
        <f t="shared" si="8"/>
        <v>1000</v>
      </c>
      <c r="D189" s="4">
        <f t="shared" si="11"/>
        <v>34628.266036263994</v>
      </c>
      <c r="F189">
        <v>180</v>
      </c>
      <c r="G189" s="6">
        <f t="shared" si="9"/>
        <v>10000</v>
      </c>
      <c r="H189" s="6">
        <f t="shared" si="10"/>
        <v>432853.32545329991</v>
      </c>
    </row>
    <row r="190" spans="2:8" x14ac:dyDescent="0.25">
      <c r="B190">
        <v>181</v>
      </c>
      <c r="C190" s="4">
        <f t="shared" si="8"/>
        <v>1000</v>
      </c>
      <c r="D190" s="4">
        <f t="shared" si="11"/>
        <v>35320.831356989278</v>
      </c>
      <c r="F190">
        <v>181</v>
      </c>
      <c r="G190" s="6">
        <f t="shared" si="9"/>
        <v>10000</v>
      </c>
      <c r="H190" s="6">
        <f t="shared" si="10"/>
        <v>441510.39196236595</v>
      </c>
    </row>
    <row r="191" spans="2:8" x14ac:dyDescent="0.25">
      <c r="B191">
        <v>182</v>
      </c>
      <c r="C191" s="4">
        <f t="shared" si="8"/>
        <v>1000</v>
      </c>
      <c r="D191" s="4">
        <f t="shared" si="11"/>
        <v>36027.247984129062</v>
      </c>
      <c r="F191">
        <v>182</v>
      </c>
      <c r="G191" s="6">
        <f t="shared" si="9"/>
        <v>10000</v>
      </c>
      <c r="H191" s="6">
        <f t="shared" si="10"/>
        <v>450340.59980161325</v>
      </c>
    </row>
    <row r="192" spans="2:8" x14ac:dyDescent="0.25">
      <c r="B192">
        <v>183</v>
      </c>
      <c r="C192" s="4">
        <f t="shared" si="8"/>
        <v>1000</v>
      </c>
      <c r="D192" s="4">
        <f t="shared" si="11"/>
        <v>36747.792943811641</v>
      </c>
      <c r="F192">
        <v>183</v>
      </c>
      <c r="G192" s="6">
        <f t="shared" si="9"/>
        <v>10000</v>
      </c>
      <c r="H192" s="6">
        <f t="shared" si="10"/>
        <v>459347.4117976455</v>
      </c>
    </row>
    <row r="193" spans="2:8" x14ac:dyDescent="0.25">
      <c r="B193">
        <v>184</v>
      </c>
      <c r="C193" s="4">
        <f t="shared" si="8"/>
        <v>1000</v>
      </c>
      <c r="D193" s="4">
        <f t="shared" si="11"/>
        <v>37482.748802687871</v>
      </c>
      <c r="F193">
        <v>184</v>
      </c>
      <c r="G193" s="6">
        <f t="shared" si="9"/>
        <v>10000</v>
      </c>
      <c r="H193" s="6">
        <f t="shared" si="10"/>
        <v>468534.36003359838</v>
      </c>
    </row>
    <row r="194" spans="2:8" x14ac:dyDescent="0.25">
      <c r="B194">
        <v>185</v>
      </c>
      <c r="C194" s="4">
        <f t="shared" si="8"/>
        <v>1000</v>
      </c>
      <c r="D194" s="4">
        <f t="shared" si="11"/>
        <v>38232.403778741631</v>
      </c>
      <c r="F194">
        <v>185</v>
      </c>
      <c r="G194" s="6">
        <f t="shared" si="9"/>
        <v>10000</v>
      </c>
      <c r="H194" s="6">
        <f t="shared" si="10"/>
        <v>477905.04723427037</v>
      </c>
    </row>
    <row r="195" spans="2:8" x14ac:dyDescent="0.25">
      <c r="B195">
        <v>186</v>
      </c>
      <c r="C195" s="4">
        <f t="shared" si="8"/>
        <v>1000</v>
      </c>
      <c r="D195" s="4">
        <f t="shared" si="11"/>
        <v>38997.051854316465</v>
      </c>
      <c r="F195">
        <v>186</v>
      </c>
      <c r="G195" s="6">
        <f t="shared" si="9"/>
        <v>10000</v>
      </c>
      <c r="H195" s="6">
        <f t="shared" si="10"/>
        <v>487463.14817895583</v>
      </c>
    </row>
    <row r="196" spans="2:8" x14ac:dyDescent="0.25">
      <c r="B196">
        <v>187</v>
      </c>
      <c r="C196" s="4">
        <f t="shared" si="8"/>
        <v>1000</v>
      </c>
      <c r="D196" s="4">
        <f t="shared" si="11"/>
        <v>39776.992891402799</v>
      </c>
      <c r="F196">
        <v>187</v>
      </c>
      <c r="G196" s="6">
        <f t="shared" si="9"/>
        <v>10000</v>
      </c>
      <c r="H196" s="6">
        <f t="shared" si="10"/>
        <v>497212.41114253498</v>
      </c>
    </row>
    <row r="197" spans="2:8" x14ac:dyDescent="0.25">
      <c r="B197">
        <v>188</v>
      </c>
      <c r="C197" s="4">
        <f t="shared" si="8"/>
        <v>1000</v>
      </c>
      <c r="D197" s="4">
        <f t="shared" si="11"/>
        <v>40572.532749230857</v>
      </c>
      <c r="F197">
        <v>188</v>
      </c>
      <c r="G197" s="6">
        <f t="shared" si="9"/>
        <v>10000</v>
      </c>
      <c r="H197" s="6">
        <f t="shared" si="10"/>
        <v>507156.65936538571</v>
      </c>
    </row>
    <row r="198" spans="2:8" x14ac:dyDescent="0.25">
      <c r="B198">
        <v>189</v>
      </c>
      <c r="C198" s="4">
        <f t="shared" si="8"/>
        <v>1000</v>
      </c>
      <c r="D198" s="4">
        <f t="shared" si="11"/>
        <v>41383.983404215476</v>
      </c>
      <c r="F198">
        <v>189</v>
      </c>
      <c r="G198" s="6">
        <f t="shared" si="9"/>
        <v>10000</v>
      </c>
      <c r="H198" s="6">
        <f t="shared" si="10"/>
        <v>517299.79255269346</v>
      </c>
    </row>
    <row r="199" spans="2:8" x14ac:dyDescent="0.25">
      <c r="B199">
        <v>190</v>
      </c>
      <c r="C199" s="4">
        <f t="shared" si="8"/>
        <v>1000</v>
      </c>
      <c r="D199" s="4">
        <f t="shared" si="11"/>
        <v>42211.663072299787</v>
      </c>
      <c r="F199">
        <v>190</v>
      </c>
      <c r="G199" s="6">
        <f t="shared" si="9"/>
        <v>10000</v>
      </c>
      <c r="H199" s="6">
        <f t="shared" si="10"/>
        <v>527645.78840374737</v>
      </c>
    </row>
    <row r="200" spans="2:8" x14ac:dyDescent="0.25">
      <c r="B200">
        <v>191</v>
      </c>
      <c r="C200" s="4">
        <f t="shared" si="8"/>
        <v>1000</v>
      </c>
      <c r="D200" s="4">
        <f t="shared" si="11"/>
        <v>43055.896333745783</v>
      </c>
      <c r="F200">
        <v>191</v>
      </c>
      <c r="G200" s="6">
        <f t="shared" si="9"/>
        <v>10000</v>
      </c>
      <c r="H200" s="6">
        <f t="shared" si="10"/>
        <v>538198.70417182229</v>
      </c>
    </row>
    <row r="201" spans="2:8" x14ac:dyDescent="0.25">
      <c r="B201">
        <v>192</v>
      </c>
      <c r="C201" s="4">
        <f t="shared" si="8"/>
        <v>1000</v>
      </c>
      <c r="D201" s="4">
        <f t="shared" si="11"/>
        <v>43917.014260420699</v>
      </c>
      <c r="F201">
        <v>192</v>
      </c>
      <c r="G201" s="6">
        <f t="shared" si="9"/>
        <v>10000</v>
      </c>
      <c r="H201" s="6">
        <f t="shared" si="10"/>
        <v>548962.67825525871</v>
      </c>
    </row>
    <row r="202" spans="2:8" x14ac:dyDescent="0.25">
      <c r="B202">
        <v>193</v>
      </c>
      <c r="C202" s="4">
        <f t="shared" si="8"/>
        <v>1000</v>
      </c>
      <c r="D202" s="4">
        <f t="shared" si="11"/>
        <v>44795.354545629118</v>
      </c>
      <c r="F202">
        <v>193</v>
      </c>
      <c r="G202" s="6">
        <f t="shared" si="9"/>
        <v>10000</v>
      </c>
      <c r="H202" s="6">
        <f t="shared" si="10"/>
        <v>559941.93182036397</v>
      </c>
    </row>
    <row r="203" spans="2:8" x14ac:dyDescent="0.25">
      <c r="B203">
        <v>194</v>
      </c>
      <c r="C203" s="4">
        <f t="shared" ref="C203:C209" si="12">$B$2*(1+$C$8)</f>
        <v>1000</v>
      </c>
      <c r="D203" s="4">
        <f t="shared" si="11"/>
        <v>45691.261636541698</v>
      </c>
      <c r="F203">
        <v>194</v>
      </c>
      <c r="G203" s="6">
        <f t="shared" ref="G203:G209" si="13">C203/$B$4</f>
        <v>10000</v>
      </c>
      <c r="H203" s="6">
        <f t="shared" ref="H203:H209" si="14">D203/($B$4-$B$3)</f>
        <v>571140.77045677125</v>
      </c>
    </row>
    <row r="204" spans="2:8" x14ac:dyDescent="0.25">
      <c r="B204">
        <v>195</v>
      </c>
      <c r="C204" s="4">
        <f t="shared" si="12"/>
        <v>1000</v>
      </c>
      <c r="D204" s="4">
        <f t="shared" si="11"/>
        <v>46605.086869272534</v>
      </c>
      <c r="F204">
        <v>195</v>
      </c>
      <c r="G204" s="6">
        <f t="shared" si="13"/>
        <v>10000</v>
      </c>
      <c r="H204" s="6">
        <f t="shared" si="14"/>
        <v>582563.58586590667</v>
      </c>
    </row>
    <row r="205" spans="2:8" x14ac:dyDescent="0.25">
      <c r="B205">
        <v>196</v>
      </c>
      <c r="C205" s="4">
        <f t="shared" si="12"/>
        <v>1000</v>
      </c>
      <c r="D205" s="4">
        <f t="shared" ref="D205:D209" si="15">D204*(1+$D$8)</f>
        <v>47537.188606657983</v>
      </c>
      <c r="F205">
        <v>196</v>
      </c>
      <c r="G205" s="6">
        <f t="shared" si="13"/>
        <v>10000</v>
      </c>
      <c r="H205" s="6">
        <f t="shared" si="14"/>
        <v>594214.85758322477</v>
      </c>
    </row>
    <row r="206" spans="2:8" x14ac:dyDescent="0.25">
      <c r="B206">
        <v>197</v>
      </c>
      <c r="C206" s="4">
        <f t="shared" si="12"/>
        <v>1000</v>
      </c>
      <c r="D206" s="4">
        <f t="shared" si="15"/>
        <v>48487.932378791142</v>
      </c>
      <c r="F206">
        <v>197</v>
      </c>
      <c r="G206" s="6">
        <f t="shared" si="13"/>
        <v>10000</v>
      </c>
      <c r="H206" s="6">
        <f t="shared" si="14"/>
        <v>606099.15473488928</v>
      </c>
    </row>
    <row r="207" spans="2:8" x14ac:dyDescent="0.25">
      <c r="B207">
        <v>198</v>
      </c>
      <c r="C207" s="4">
        <f t="shared" si="12"/>
        <v>1000</v>
      </c>
      <c r="D207" s="4">
        <f t="shared" si="15"/>
        <v>49457.691026366963</v>
      </c>
      <c r="F207">
        <v>198</v>
      </c>
      <c r="G207" s="6">
        <f t="shared" si="13"/>
        <v>10000</v>
      </c>
      <c r="H207" s="6">
        <f t="shared" si="14"/>
        <v>618221.13782958698</v>
      </c>
    </row>
    <row r="208" spans="2:8" x14ac:dyDescent="0.25">
      <c r="B208">
        <v>199</v>
      </c>
      <c r="C208" s="4">
        <f t="shared" si="12"/>
        <v>1000</v>
      </c>
      <c r="D208" s="4">
        <f t="shared" si="15"/>
        <v>50446.844846894302</v>
      </c>
      <c r="F208">
        <v>199</v>
      </c>
      <c r="G208" s="6">
        <f t="shared" si="13"/>
        <v>10000</v>
      </c>
      <c r="H208" s="6">
        <f t="shared" si="14"/>
        <v>630585.56058617879</v>
      </c>
    </row>
    <row r="209" spans="2:8" x14ac:dyDescent="0.25">
      <c r="B209">
        <v>200</v>
      </c>
      <c r="C209" s="4">
        <f t="shared" si="12"/>
        <v>1000</v>
      </c>
      <c r="D209" s="4">
        <f t="shared" si="15"/>
        <v>51455.781743832187</v>
      </c>
      <c r="F209">
        <v>200</v>
      </c>
      <c r="G209" s="6">
        <f t="shared" si="13"/>
        <v>10000</v>
      </c>
      <c r="H209" s="6">
        <f t="shared" si="14"/>
        <v>643197.2717979023</v>
      </c>
    </row>
    <row r="210" spans="2:8" x14ac:dyDescent="0.25">
      <c r="C210" s="4"/>
      <c r="D210" s="4"/>
      <c r="G210" s="4"/>
      <c r="H210" s="4"/>
    </row>
    <row r="211" spans="2:8" x14ac:dyDescent="0.25">
      <c r="C211" s="4"/>
      <c r="D211" s="4"/>
      <c r="G211" s="4"/>
      <c r="H211" s="4"/>
    </row>
    <row r="212" spans="2:8" x14ac:dyDescent="0.25">
      <c r="C212" s="4"/>
      <c r="D212" s="4"/>
      <c r="G212" s="4"/>
      <c r="H212" s="4"/>
    </row>
    <row r="213" spans="2:8" x14ac:dyDescent="0.25">
      <c r="C213" s="4"/>
      <c r="D213" s="4"/>
      <c r="G213" s="4"/>
      <c r="H213" s="4"/>
    </row>
    <row r="214" spans="2:8" x14ac:dyDescent="0.25">
      <c r="C214" s="4"/>
      <c r="D214" s="4"/>
      <c r="G214" s="4"/>
      <c r="H214" s="4"/>
    </row>
    <row r="215" spans="2:8" x14ac:dyDescent="0.25">
      <c r="C215" s="4"/>
      <c r="D215" s="4"/>
      <c r="G215" s="4"/>
      <c r="H215" s="4"/>
    </row>
    <row r="216" spans="2:8" x14ac:dyDescent="0.25">
      <c r="C216" s="4"/>
      <c r="D216" s="4"/>
      <c r="G216" s="4"/>
      <c r="H216" s="4"/>
    </row>
    <row r="217" spans="2:8" x14ac:dyDescent="0.25">
      <c r="C217" s="4"/>
      <c r="D217" s="4"/>
      <c r="G217" s="4"/>
      <c r="H217" s="4"/>
    </row>
    <row r="218" spans="2:8" x14ac:dyDescent="0.25">
      <c r="C218" s="4"/>
      <c r="D218" s="4"/>
      <c r="G218" s="4"/>
      <c r="H2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7395-9E2A-4021-AAC3-FB23FF5AA440}">
  <dimension ref="A1:W48"/>
  <sheetViews>
    <sheetView zoomScaleNormal="100" workbookViewId="0">
      <selection activeCell="T28" sqref="T28:T48"/>
    </sheetView>
  </sheetViews>
  <sheetFormatPr defaultRowHeight="15" x14ac:dyDescent="0.25"/>
  <cols>
    <col min="1" max="1" width="12" customWidth="1"/>
    <col min="3" max="3" width="10.7109375" bestFit="1" customWidth="1"/>
    <col min="22" max="22" width="9" bestFit="1" customWidth="1"/>
  </cols>
  <sheetData>
    <row r="1" spans="1:23" x14ac:dyDescent="0.25">
      <c r="A1" t="s">
        <v>1</v>
      </c>
      <c r="B1" s="9">
        <v>1000</v>
      </c>
    </row>
    <row r="5" spans="1:23" ht="15.75" thickBot="1" x14ac:dyDescent="0.3">
      <c r="A5" s="13" t="s">
        <v>3</v>
      </c>
      <c r="B5" s="10" t="s">
        <v>4</v>
      </c>
      <c r="C5" s="10" t="s">
        <v>10</v>
      </c>
      <c r="T5" s="13" t="s">
        <v>3</v>
      </c>
      <c r="U5" s="10" t="s">
        <v>4</v>
      </c>
      <c r="V5" s="10" t="s">
        <v>10</v>
      </c>
    </row>
    <row r="6" spans="1:23" x14ac:dyDescent="0.25">
      <c r="A6" s="2">
        <v>0.05</v>
      </c>
      <c r="B6">
        <v>0</v>
      </c>
      <c r="C6" s="8">
        <f>$B$1/A6</f>
        <v>20000</v>
      </c>
      <c r="T6" s="26">
        <v>0.05</v>
      </c>
      <c r="U6">
        <v>0</v>
      </c>
      <c r="V6" s="8">
        <f>$B$1/T6</f>
        <v>20000</v>
      </c>
      <c r="W6" s="27">
        <f>V6/1000</f>
        <v>20</v>
      </c>
    </row>
    <row r="7" spans="1:23" x14ac:dyDescent="0.25">
      <c r="A7" s="2">
        <f>A6</f>
        <v>0.05</v>
      </c>
      <c r="B7">
        <v>1</v>
      </c>
      <c r="C7" s="8">
        <f>$B$1/A7</f>
        <v>20000</v>
      </c>
      <c r="T7" s="26">
        <f ca="1">MAX(0.01,(T6+(RANDBETWEEN(-10,10)/300)))</f>
        <v>8.3333333333333343E-2</v>
      </c>
      <c r="U7">
        <v>1</v>
      </c>
      <c r="V7" s="8">
        <f ca="1">$B$1/T7</f>
        <v>11999.999999999998</v>
      </c>
    </row>
    <row r="8" spans="1:23" x14ac:dyDescent="0.25">
      <c r="A8" s="2">
        <f t="shared" ref="A8:A31" si="0">A7</f>
        <v>0.05</v>
      </c>
      <c r="B8">
        <v>2</v>
      </c>
      <c r="C8" s="8">
        <f>$B$1/A8</f>
        <v>20000</v>
      </c>
      <c r="T8" s="26">
        <f t="shared" ref="T8:T26" ca="1" si="1">MAX(0.01,(T7+(RANDBETWEEN(-10,10)/300)))</f>
        <v>9.3333333333333338E-2</v>
      </c>
      <c r="U8">
        <v>2</v>
      </c>
      <c r="V8" s="8">
        <f ca="1">$B$1/T8</f>
        <v>10714.285714285714</v>
      </c>
    </row>
    <row r="9" spans="1:23" x14ac:dyDescent="0.25">
      <c r="A9" s="2">
        <v>0.1</v>
      </c>
      <c r="B9">
        <v>3</v>
      </c>
      <c r="C9" s="8">
        <f>$B$1/A9</f>
        <v>10000</v>
      </c>
      <c r="T9" s="26">
        <f t="shared" ca="1" si="1"/>
        <v>0.1</v>
      </c>
      <c r="U9">
        <v>3</v>
      </c>
      <c r="V9" s="8">
        <f ca="1">$B$1/T9</f>
        <v>10000</v>
      </c>
    </row>
    <row r="10" spans="1:23" x14ac:dyDescent="0.25">
      <c r="A10" s="2">
        <f t="shared" si="0"/>
        <v>0.1</v>
      </c>
      <c r="B10">
        <v>4</v>
      </c>
      <c r="C10" s="8">
        <f>$B$1/A10</f>
        <v>10000</v>
      </c>
      <c r="T10" s="26">
        <f t="shared" ca="1" si="1"/>
        <v>0.13333333333333333</v>
      </c>
      <c r="U10">
        <v>4</v>
      </c>
      <c r="V10" s="8">
        <f ca="1">$B$1/T10</f>
        <v>7500</v>
      </c>
    </row>
    <row r="11" spans="1:23" x14ac:dyDescent="0.25">
      <c r="A11" s="2">
        <f t="shared" si="0"/>
        <v>0.1</v>
      </c>
      <c r="B11">
        <v>5</v>
      </c>
      <c r="C11" s="8">
        <f t="shared" ref="C11:C31" si="2">$B$1/A11</f>
        <v>10000</v>
      </c>
      <c r="T11" s="26">
        <f t="shared" ca="1" si="1"/>
        <v>0.16666666666666666</v>
      </c>
      <c r="U11">
        <v>5</v>
      </c>
      <c r="V11" s="8">
        <f t="shared" ref="V11:V26" ca="1" si="3">$B$1/T11</f>
        <v>6000</v>
      </c>
    </row>
    <row r="12" spans="1:23" x14ac:dyDescent="0.25">
      <c r="A12" s="2">
        <v>0.15</v>
      </c>
      <c r="B12">
        <v>6</v>
      </c>
      <c r="C12" s="8">
        <f t="shared" si="2"/>
        <v>6666.666666666667</v>
      </c>
      <c r="T12" s="26">
        <f t="shared" ca="1" si="1"/>
        <v>0.18</v>
      </c>
      <c r="U12">
        <v>6</v>
      </c>
      <c r="V12" s="8">
        <f t="shared" ca="1" si="3"/>
        <v>5555.5555555555557</v>
      </c>
    </row>
    <row r="13" spans="1:23" x14ac:dyDescent="0.25">
      <c r="A13" s="2">
        <f t="shared" si="0"/>
        <v>0.15</v>
      </c>
      <c r="B13">
        <v>7</v>
      </c>
      <c r="C13" s="8">
        <f t="shared" si="2"/>
        <v>6666.666666666667</v>
      </c>
      <c r="T13" s="26">
        <f t="shared" ca="1" si="1"/>
        <v>0.20333333333333334</v>
      </c>
      <c r="U13">
        <v>7</v>
      </c>
      <c r="V13" s="8">
        <f t="shared" ca="1" si="3"/>
        <v>4918.0327868852455</v>
      </c>
    </row>
    <row r="14" spans="1:23" x14ac:dyDescent="0.25">
      <c r="A14" s="2">
        <f t="shared" si="0"/>
        <v>0.15</v>
      </c>
      <c r="B14">
        <v>8</v>
      </c>
      <c r="C14" s="8">
        <f t="shared" si="2"/>
        <v>6666.666666666667</v>
      </c>
      <c r="T14" s="26">
        <f t="shared" ca="1" si="1"/>
        <v>0.2</v>
      </c>
      <c r="U14">
        <v>8</v>
      </c>
      <c r="V14" s="8">
        <f t="shared" ca="1" si="3"/>
        <v>5000</v>
      </c>
    </row>
    <row r="15" spans="1:23" x14ac:dyDescent="0.25">
      <c r="A15" s="2">
        <f t="shared" si="0"/>
        <v>0.15</v>
      </c>
      <c r="B15">
        <v>9</v>
      </c>
      <c r="C15" s="8">
        <f t="shared" si="2"/>
        <v>6666.666666666667</v>
      </c>
      <c r="T15" s="26">
        <f t="shared" ca="1" si="1"/>
        <v>0.19666666666666668</v>
      </c>
      <c r="U15">
        <v>9</v>
      </c>
      <c r="V15" s="8">
        <f t="shared" ca="1" si="3"/>
        <v>5084.7457627118638</v>
      </c>
    </row>
    <row r="16" spans="1:23" x14ac:dyDescent="0.25">
      <c r="A16" s="2">
        <f t="shared" si="0"/>
        <v>0.15</v>
      </c>
      <c r="B16">
        <v>10</v>
      </c>
      <c r="C16" s="8">
        <f t="shared" si="2"/>
        <v>6666.666666666667</v>
      </c>
      <c r="T16" s="26">
        <f t="shared" ca="1" si="1"/>
        <v>0.17333333333333334</v>
      </c>
      <c r="U16">
        <v>10</v>
      </c>
      <c r="V16" s="8">
        <f t="shared" ca="1" si="3"/>
        <v>5769.2307692307686</v>
      </c>
    </row>
    <row r="17" spans="1:23" x14ac:dyDescent="0.25">
      <c r="A17" s="2">
        <f t="shared" si="0"/>
        <v>0.15</v>
      </c>
      <c r="B17">
        <v>11</v>
      </c>
      <c r="C17" s="8">
        <f t="shared" si="2"/>
        <v>6666.666666666667</v>
      </c>
      <c r="T17" s="26">
        <f t="shared" ca="1" si="1"/>
        <v>0.15666666666666668</v>
      </c>
      <c r="U17">
        <v>11</v>
      </c>
      <c r="V17" s="8">
        <f t="shared" ca="1" si="3"/>
        <v>6382.9787234042551</v>
      </c>
    </row>
    <row r="18" spans="1:23" x14ac:dyDescent="0.25">
      <c r="A18" s="2">
        <v>0.05</v>
      </c>
      <c r="B18">
        <v>12</v>
      </c>
      <c r="C18" s="8">
        <f t="shared" si="2"/>
        <v>20000</v>
      </c>
      <c r="T18" s="26">
        <f t="shared" ca="1" si="1"/>
        <v>0.18000000000000002</v>
      </c>
      <c r="U18">
        <v>12</v>
      </c>
      <c r="V18" s="8">
        <f t="shared" ca="1" si="3"/>
        <v>5555.5555555555547</v>
      </c>
    </row>
    <row r="19" spans="1:23" x14ac:dyDescent="0.25">
      <c r="A19" s="2">
        <f t="shared" si="0"/>
        <v>0.05</v>
      </c>
      <c r="B19">
        <v>13</v>
      </c>
      <c r="C19" s="8">
        <f t="shared" si="2"/>
        <v>20000</v>
      </c>
      <c r="T19" s="26">
        <f t="shared" ca="1" si="1"/>
        <v>0.17</v>
      </c>
      <c r="U19">
        <v>13</v>
      </c>
      <c r="V19" s="8">
        <f t="shared" ca="1" si="3"/>
        <v>5882.3529411764703</v>
      </c>
    </row>
    <row r="20" spans="1:23" x14ac:dyDescent="0.25">
      <c r="A20" s="2">
        <f t="shared" si="0"/>
        <v>0.05</v>
      </c>
      <c r="B20">
        <v>14</v>
      </c>
      <c r="C20" s="8">
        <f t="shared" si="2"/>
        <v>20000</v>
      </c>
      <c r="T20" s="26">
        <f t="shared" ca="1" si="1"/>
        <v>0.14666666666666667</v>
      </c>
      <c r="U20">
        <v>14</v>
      </c>
      <c r="V20" s="8">
        <f t="shared" ca="1" si="3"/>
        <v>6818.181818181818</v>
      </c>
    </row>
    <row r="21" spans="1:23" x14ac:dyDescent="0.25">
      <c r="A21" s="2">
        <v>0.02</v>
      </c>
      <c r="B21">
        <v>15</v>
      </c>
      <c r="C21" s="8">
        <f t="shared" si="2"/>
        <v>50000</v>
      </c>
      <c r="T21" s="26">
        <f t="shared" ca="1" si="1"/>
        <v>0.14333333333333334</v>
      </c>
      <c r="U21">
        <v>15</v>
      </c>
      <c r="V21" s="8">
        <f t="shared" ca="1" si="3"/>
        <v>6976.7441860465115</v>
      </c>
    </row>
    <row r="22" spans="1:23" x14ac:dyDescent="0.25">
      <c r="A22" s="2">
        <f t="shared" si="0"/>
        <v>0.02</v>
      </c>
      <c r="B22">
        <v>16</v>
      </c>
      <c r="C22" s="8">
        <f t="shared" si="2"/>
        <v>50000</v>
      </c>
      <c r="T22" s="26">
        <f t="shared" ca="1" si="1"/>
        <v>0.15666666666666668</v>
      </c>
      <c r="U22">
        <v>16</v>
      </c>
      <c r="V22" s="8">
        <f t="shared" ca="1" si="3"/>
        <v>6382.9787234042551</v>
      </c>
    </row>
    <row r="23" spans="1:23" x14ac:dyDescent="0.25">
      <c r="A23" s="2">
        <f t="shared" si="0"/>
        <v>0.02</v>
      </c>
      <c r="B23">
        <v>17</v>
      </c>
      <c r="C23" s="8">
        <f t="shared" si="2"/>
        <v>50000</v>
      </c>
      <c r="T23" s="26">
        <f t="shared" ca="1" si="1"/>
        <v>0.18000000000000002</v>
      </c>
      <c r="U23">
        <v>17</v>
      </c>
      <c r="V23" s="8">
        <f t="shared" ca="1" si="3"/>
        <v>5555.5555555555547</v>
      </c>
    </row>
    <row r="24" spans="1:23" x14ac:dyDescent="0.25">
      <c r="A24" s="2">
        <f t="shared" si="0"/>
        <v>0.02</v>
      </c>
      <c r="B24">
        <v>18</v>
      </c>
      <c r="C24" s="8">
        <f t="shared" si="2"/>
        <v>50000</v>
      </c>
      <c r="T24" s="26">
        <f t="shared" ca="1" si="1"/>
        <v>0.20666666666666669</v>
      </c>
      <c r="U24">
        <v>18</v>
      </c>
      <c r="V24" s="8">
        <f t="shared" ca="1" si="3"/>
        <v>4838.7096774193542</v>
      </c>
    </row>
    <row r="25" spans="1:23" x14ac:dyDescent="0.25">
      <c r="A25" s="2">
        <f t="shared" si="0"/>
        <v>0.02</v>
      </c>
      <c r="B25">
        <v>19</v>
      </c>
      <c r="C25" s="8">
        <f t="shared" si="2"/>
        <v>50000</v>
      </c>
      <c r="T25" s="26">
        <f t="shared" ca="1" si="1"/>
        <v>0.22333333333333336</v>
      </c>
      <c r="U25">
        <v>19</v>
      </c>
      <c r="V25" s="8">
        <f t="shared" ca="1" si="3"/>
        <v>4477.6119402985069</v>
      </c>
    </row>
    <row r="26" spans="1:23" x14ac:dyDescent="0.25">
      <c r="A26" s="2">
        <f t="shared" si="0"/>
        <v>0.02</v>
      </c>
      <c r="B26">
        <v>20</v>
      </c>
      <c r="C26" s="8">
        <f t="shared" si="2"/>
        <v>50000</v>
      </c>
      <c r="T26" s="26">
        <f t="shared" ca="1" si="1"/>
        <v>0.20666666666666669</v>
      </c>
      <c r="U26">
        <v>20</v>
      </c>
      <c r="V26" s="8">
        <f t="shared" ca="1" si="3"/>
        <v>4838.7096774193542</v>
      </c>
    </row>
    <row r="27" spans="1:23" x14ac:dyDescent="0.25">
      <c r="A27" s="2">
        <f t="shared" si="0"/>
        <v>0.02</v>
      </c>
      <c r="B27">
        <v>21</v>
      </c>
      <c r="C27" s="8">
        <f t="shared" si="2"/>
        <v>50000</v>
      </c>
    </row>
    <row r="28" spans="1:23" x14ac:dyDescent="0.25">
      <c r="A28" s="2">
        <f t="shared" si="0"/>
        <v>0.02</v>
      </c>
      <c r="B28">
        <v>22</v>
      </c>
      <c r="C28" s="8">
        <f t="shared" si="2"/>
        <v>50000</v>
      </c>
      <c r="T28" s="28">
        <v>0.05</v>
      </c>
      <c r="U28">
        <v>0</v>
      </c>
      <c r="V28">
        <v>20000</v>
      </c>
      <c r="W28">
        <f>V28/1000</f>
        <v>20</v>
      </c>
    </row>
    <row r="29" spans="1:23" x14ac:dyDescent="0.25">
      <c r="A29" s="2">
        <f t="shared" si="0"/>
        <v>0.02</v>
      </c>
      <c r="B29">
        <v>23</v>
      </c>
      <c r="C29" s="8">
        <f t="shared" si="2"/>
        <v>50000</v>
      </c>
      <c r="T29" s="28">
        <v>4.6666666666666669E-2</v>
      </c>
      <c r="U29">
        <v>1</v>
      </c>
      <c r="V29">
        <v>21428.571428571428</v>
      </c>
      <c r="W29">
        <f t="shared" ref="W29:W48" si="4">V29/1000</f>
        <v>21.428571428571427</v>
      </c>
    </row>
    <row r="30" spans="1:23" x14ac:dyDescent="0.25">
      <c r="A30" s="2">
        <f t="shared" si="0"/>
        <v>0.02</v>
      </c>
      <c r="B30">
        <v>24</v>
      </c>
      <c r="C30" s="8">
        <f t="shared" si="2"/>
        <v>50000</v>
      </c>
      <c r="T30" s="28">
        <v>0.08</v>
      </c>
      <c r="U30">
        <v>2</v>
      </c>
      <c r="V30">
        <v>12500</v>
      </c>
      <c r="W30">
        <f t="shared" si="4"/>
        <v>12.5</v>
      </c>
    </row>
    <row r="31" spans="1:23" x14ac:dyDescent="0.25">
      <c r="A31" s="2">
        <f t="shared" si="0"/>
        <v>0.02</v>
      </c>
      <c r="B31">
        <v>25</v>
      </c>
      <c r="C31" s="8">
        <f t="shared" si="2"/>
        <v>50000</v>
      </c>
      <c r="T31" s="28">
        <v>0.1</v>
      </c>
      <c r="U31">
        <v>3</v>
      </c>
      <c r="V31">
        <v>10000</v>
      </c>
      <c r="W31">
        <f t="shared" si="4"/>
        <v>10</v>
      </c>
    </row>
    <row r="32" spans="1:23" x14ac:dyDescent="0.25">
      <c r="T32" s="28">
        <v>0.11</v>
      </c>
      <c r="U32">
        <v>4</v>
      </c>
      <c r="V32">
        <v>9090.9090909090901</v>
      </c>
      <c r="W32">
        <f t="shared" si="4"/>
        <v>9.0909090909090899</v>
      </c>
    </row>
    <row r="33" spans="20:23" x14ac:dyDescent="0.25">
      <c r="T33" s="28">
        <v>0.11333333333333333</v>
      </c>
      <c r="U33">
        <v>5</v>
      </c>
      <c r="V33">
        <v>8823.5294117647063</v>
      </c>
      <c r="W33">
        <f t="shared" si="4"/>
        <v>8.8235294117647065</v>
      </c>
    </row>
    <row r="34" spans="20:23" x14ac:dyDescent="0.25">
      <c r="T34" s="28">
        <v>0.10666666666666666</v>
      </c>
      <c r="U34">
        <v>6</v>
      </c>
      <c r="V34">
        <v>9375</v>
      </c>
      <c r="W34">
        <f t="shared" si="4"/>
        <v>9.375</v>
      </c>
    </row>
    <row r="35" spans="20:23" x14ac:dyDescent="0.25">
      <c r="T35" s="28">
        <v>0.12666666666666665</v>
      </c>
      <c r="U35">
        <v>7</v>
      </c>
      <c r="V35">
        <v>7894.7368421052643</v>
      </c>
      <c r="W35">
        <f t="shared" si="4"/>
        <v>7.8947368421052646</v>
      </c>
    </row>
    <row r="36" spans="20:23" x14ac:dyDescent="0.25">
      <c r="T36" s="28">
        <v>0.14333333333333331</v>
      </c>
      <c r="U36">
        <v>8</v>
      </c>
      <c r="V36">
        <v>6976.7441860465124</v>
      </c>
      <c r="W36">
        <f t="shared" si="4"/>
        <v>6.9767441860465125</v>
      </c>
    </row>
    <row r="37" spans="20:23" x14ac:dyDescent="0.25">
      <c r="T37" s="28">
        <v>0.12666666666666665</v>
      </c>
      <c r="U37">
        <v>9</v>
      </c>
      <c r="V37">
        <v>7894.7368421052643</v>
      </c>
      <c r="W37">
        <f t="shared" si="4"/>
        <v>7.8947368421052646</v>
      </c>
    </row>
    <row r="38" spans="20:23" x14ac:dyDescent="0.25">
      <c r="T38" s="28">
        <v>9.6666666666666651E-2</v>
      </c>
      <c r="U38">
        <v>10</v>
      </c>
      <c r="V38">
        <v>10344.827586206899</v>
      </c>
      <c r="W38">
        <f t="shared" si="4"/>
        <v>10.344827586206899</v>
      </c>
    </row>
    <row r="39" spans="20:23" x14ac:dyDescent="0.25">
      <c r="T39" s="28">
        <v>8.3333333333333315E-2</v>
      </c>
      <c r="U39">
        <v>11</v>
      </c>
      <c r="V39">
        <v>12000.000000000002</v>
      </c>
      <c r="W39">
        <f t="shared" si="4"/>
        <v>12.000000000000002</v>
      </c>
    </row>
    <row r="40" spans="20:23" x14ac:dyDescent="0.25">
      <c r="T40" s="28">
        <v>6.9999999999999979E-2</v>
      </c>
      <c r="U40">
        <v>12</v>
      </c>
      <c r="V40">
        <v>14285.71428571429</v>
      </c>
      <c r="W40">
        <f t="shared" si="4"/>
        <v>14.28571428571429</v>
      </c>
    </row>
    <row r="41" spans="20:23" x14ac:dyDescent="0.25">
      <c r="T41" s="28">
        <v>8.3333333333333315E-2</v>
      </c>
      <c r="U41">
        <v>13</v>
      </c>
      <c r="V41">
        <v>12000.000000000002</v>
      </c>
      <c r="W41">
        <f t="shared" si="4"/>
        <v>12.000000000000002</v>
      </c>
    </row>
    <row r="42" spans="20:23" x14ac:dyDescent="0.25">
      <c r="T42" s="28">
        <v>0.10333333333333332</v>
      </c>
      <c r="U42">
        <v>14</v>
      </c>
      <c r="V42">
        <v>9677.4193548387102</v>
      </c>
      <c r="W42">
        <f t="shared" si="4"/>
        <v>9.67741935483871</v>
      </c>
    </row>
    <row r="43" spans="20:23" x14ac:dyDescent="0.25">
      <c r="T43" s="28">
        <v>0.10333333333333332</v>
      </c>
      <c r="U43">
        <v>15</v>
      </c>
      <c r="V43">
        <v>9677.4193548387102</v>
      </c>
      <c r="W43">
        <f t="shared" si="4"/>
        <v>9.67741935483871</v>
      </c>
    </row>
    <row r="44" spans="20:23" x14ac:dyDescent="0.25">
      <c r="T44" s="28">
        <v>0.11333333333333331</v>
      </c>
      <c r="U44">
        <v>16</v>
      </c>
      <c r="V44">
        <v>8823.5294117647081</v>
      </c>
      <c r="W44">
        <f t="shared" si="4"/>
        <v>8.8235294117647083</v>
      </c>
    </row>
    <row r="45" spans="20:23" x14ac:dyDescent="0.25">
      <c r="T45" s="28">
        <v>9.6666666666666651E-2</v>
      </c>
      <c r="U45">
        <v>17</v>
      </c>
      <c r="V45">
        <v>10344.827586206899</v>
      </c>
      <c r="W45">
        <f t="shared" si="4"/>
        <v>10.344827586206899</v>
      </c>
    </row>
    <row r="46" spans="20:23" x14ac:dyDescent="0.25">
      <c r="T46" s="28">
        <v>0.12666666666666665</v>
      </c>
      <c r="U46">
        <v>18</v>
      </c>
      <c r="V46">
        <v>7894.7368421052643</v>
      </c>
      <c r="W46">
        <f t="shared" si="4"/>
        <v>7.8947368421052646</v>
      </c>
    </row>
    <row r="47" spans="20:23" x14ac:dyDescent="0.25">
      <c r="T47" s="28">
        <v>0.13999999999999999</v>
      </c>
      <c r="U47">
        <v>19</v>
      </c>
      <c r="V47">
        <v>7142.857142857144</v>
      </c>
      <c r="W47">
        <f t="shared" si="4"/>
        <v>7.1428571428571441</v>
      </c>
    </row>
    <row r="48" spans="20:23" x14ac:dyDescent="0.25">
      <c r="T48" s="28">
        <v>0.10999999999999999</v>
      </c>
      <c r="U48">
        <v>20</v>
      </c>
      <c r="V48">
        <v>9090.9090909090919</v>
      </c>
      <c r="W48">
        <f t="shared" si="4"/>
        <v>9.0909090909090917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E0F7-D3EA-4042-9329-8F828F68583C}">
  <dimension ref="A1:C31"/>
  <sheetViews>
    <sheetView topLeftCell="A6" zoomScale="85" zoomScaleNormal="85" workbookViewId="0">
      <selection activeCell="S19" sqref="S19"/>
    </sheetView>
  </sheetViews>
  <sheetFormatPr defaultRowHeight="15" x14ac:dyDescent="0.25"/>
  <cols>
    <col min="1" max="1" width="12" customWidth="1"/>
    <col min="3" max="3" width="10.7109375" bestFit="1" customWidth="1"/>
  </cols>
  <sheetData>
    <row r="1" spans="1:3" x14ac:dyDescent="0.25">
      <c r="A1" s="1" t="s">
        <v>11</v>
      </c>
    </row>
    <row r="2" spans="1:3" x14ac:dyDescent="0.25">
      <c r="A2" t="s">
        <v>1</v>
      </c>
      <c r="B2" s="9">
        <v>20000</v>
      </c>
    </row>
    <row r="3" spans="1:3" x14ac:dyDescent="0.25">
      <c r="A3" t="s">
        <v>12</v>
      </c>
      <c r="B3" t="s">
        <v>13</v>
      </c>
    </row>
    <row r="5" spans="1:3" ht="15.75" thickBot="1" x14ac:dyDescent="0.3">
      <c r="A5" t="s">
        <v>3</v>
      </c>
      <c r="B5" s="11" t="s">
        <v>4</v>
      </c>
      <c r="C5" s="11" t="s">
        <v>10</v>
      </c>
    </row>
    <row r="6" spans="1:3" x14ac:dyDescent="0.25">
      <c r="A6" s="2">
        <v>0.1</v>
      </c>
      <c r="B6">
        <v>0</v>
      </c>
      <c r="C6" s="8">
        <f t="shared" ref="C6:C11" si="0">$B$2/(1+A6)^(25-B6)</f>
        <v>1845.919963541281</v>
      </c>
    </row>
    <row r="7" spans="1:3" x14ac:dyDescent="0.25">
      <c r="A7" s="2">
        <f>A6</f>
        <v>0.1</v>
      </c>
      <c r="B7">
        <v>1</v>
      </c>
      <c r="C7" s="8">
        <f t="shared" si="0"/>
        <v>2030.5119598954095</v>
      </c>
    </row>
    <row r="8" spans="1:3" x14ac:dyDescent="0.25">
      <c r="A8" s="2">
        <f t="shared" ref="A8:A31" si="1">A7</f>
        <v>0.1</v>
      </c>
      <c r="B8">
        <v>2</v>
      </c>
      <c r="C8" s="8">
        <f t="shared" si="0"/>
        <v>2233.56315588495</v>
      </c>
    </row>
    <row r="9" spans="1:3" x14ac:dyDescent="0.25">
      <c r="A9" s="2">
        <f t="shared" si="1"/>
        <v>0.1</v>
      </c>
      <c r="B9">
        <v>3</v>
      </c>
      <c r="C9" s="8">
        <f t="shared" si="0"/>
        <v>2456.9194714734454</v>
      </c>
    </row>
    <row r="10" spans="1:3" x14ac:dyDescent="0.25">
      <c r="A10" s="2">
        <f t="shared" si="1"/>
        <v>0.1</v>
      </c>
      <c r="B10">
        <v>4</v>
      </c>
      <c r="C10" s="8">
        <f t="shared" si="0"/>
        <v>2702.6114186207906</v>
      </c>
    </row>
    <row r="11" spans="1:3" x14ac:dyDescent="0.25">
      <c r="A11" s="2">
        <f t="shared" si="1"/>
        <v>0.1</v>
      </c>
      <c r="B11">
        <v>5</v>
      </c>
      <c r="C11" s="8">
        <f t="shared" si="0"/>
        <v>2972.8725604828696</v>
      </c>
    </row>
    <row r="12" spans="1:3" x14ac:dyDescent="0.25">
      <c r="A12" s="2">
        <f t="shared" si="1"/>
        <v>0.1</v>
      </c>
      <c r="B12">
        <v>6</v>
      </c>
      <c r="C12" s="8">
        <f t="shared" ref="C12:C30" si="2">$B$2/(1+A12)^(25-B12)</f>
        <v>3270.1598165311566</v>
      </c>
    </row>
    <row r="13" spans="1:3" x14ac:dyDescent="0.25">
      <c r="A13" s="2">
        <f t="shared" si="1"/>
        <v>0.1</v>
      </c>
      <c r="B13">
        <v>7</v>
      </c>
      <c r="C13" s="8">
        <f t="shared" si="2"/>
        <v>3597.1757981842729</v>
      </c>
    </row>
    <row r="14" spans="1:3" x14ac:dyDescent="0.25">
      <c r="A14" s="2">
        <f t="shared" si="1"/>
        <v>0.1</v>
      </c>
      <c r="B14">
        <v>8</v>
      </c>
      <c r="C14" s="8">
        <f t="shared" si="2"/>
        <v>3956.8933780027005</v>
      </c>
    </row>
    <row r="15" spans="1:3" x14ac:dyDescent="0.25">
      <c r="A15" s="2">
        <f t="shared" si="1"/>
        <v>0.1</v>
      </c>
      <c r="B15">
        <v>9</v>
      </c>
      <c r="C15" s="8">
        <f t="shared" si="2"/>
        <v>4352.5827158029706</v>
      </c>
    </row>
    <row r="16" spans="1:3" x14ac:dyDescent="0.25">
      <c r="A16" s="2">
        <f t="shared" si="1"/>
        <v>0.1</v>
      </c>
      <c r="B16">
        <v>10</v>
      </c>
      <c r="C16" s="8">
        <f>$B$2/(1+A16)^(25-B16)</f>
        <v>4787.8409873832679</v>
      </c>
    </row>
    <row r="17" spans="1:3" x14ac:dyDescent="0.25">
      <c r="A17" s="2">
        <f t="shared" si="1"/>
        <v>0.1</v>
      </c>
      <c r="B17">
        <v>11</v>
      </c>
      <c r="C17" s="8">
        <f t="shared" si="2"/>
        <v>5266.6250861215949</v>
      </c>
    </row>
    <row r="18" spans="1:3" x14ac:dyDescent="0.25">
      <c r="A18" s="2">
        <f t="shared" si="1"/>
        <v>0.1</v>
      </c>
      <c r="B18">
        <v>12</v>
      </c>
      <c r="C18" s="8">
        <f t="shared" si="2"/>
        <v>5793.2875947337552</v>
      </c>
    </row>
    <row r="19" spans="1:3" x14ac:dyDescent="0.25">
      <c r="A19" s="2">
        <f t="shared" si="1"/>
        <v>0.1</v>
      </c>
      <c r="B19">
        <v>13</v>
      </c>
      <c r="C19" s="8">
        <f t="shared" si="2"/>
        <v>6372.6163542071308</v>
      </c>
    </row>
    <row r="20" spans="1:3" x14ac:dyDescent="0.25">
      <c r="A20" s="2">
        <f t="shared" si="1"/>
        <v>0.1</v>
      </c>
      <c r="B20">
        <v>14</v>
      </c>
      <c r="C20" s="8">
        <f t="shared" si="2"/>
        <v>7009.8779896278438</v>
      </c>
    </row>
    <row r="21" spans="1:3" x14ac:dyDescent="0.25">
      <c r="A21" s="2">
        <f t="shared" si="1"/>
        <v>0.1</v>
      </c>
      <c r="B21">
        <v>15</v>
      </c>
      <c r="C21" s="8">
        <f t="shared" si="2"/>
        <v>7710.8657885906296</v>
      </c>
    </row>
    <row r="22" spans="1:3" x14ac:dyDescent="0.25">
      <c r="A22" s="2">
        <f t="shared" si="1"/>
        <v>0.1</v>
      </c>
      <c r="B22">
        <v>16</v>
      </c>
      <c r="C22" s="8">
        <f t="shared" si="2"/>
        <v>8481.9523674496941</v>
      </c>
    </row>
    <row r="23" spans="1:3" x14ac:dyDescent="0.25">
      <c r="A23" s="2">
        <f t="shared" si="1"/>
        <v>0.1</v>
      </c>
      <c r="B23">
        <v>17</v>
      </c>
      <c r="C23" s="8">
        <f t="shared" si="2"/>
        <v>9330.1476041946626</v>
      </c>
    </row>
    <row r="24" spans="1:3" x14ac:dyDescent="0.25">
      <c r="A24" s="2">
        <f t="shared" si="1"/>
        <v>0.1</v>
      </c>
      <c r="B24">
        <v>18</v>
      </c>
      <c r="C24" s="8">
        <f t="shared" si="2"/>
        <v>10263.162364614129</v>
      </c>
    </row>
    <row r="25" spans="1:3" x14ac:dyDescent="0.25">
      <c r="A25" s="2">
        <f t="shared" si="1"/>
        <v>0.1</v>
      </c>
      <c r="B25">
        <v>19</v>
      </c>
      <c r="C25" s="8">
        <f t="shared" si="2"/>
        <v>11289.478601075543</v>
      </c>
    </row>
    <row r="26" spans="1:3" x14ac:dyDescent="0.25">
      <c r="A26" s="2">
        <f t="shared" si="1"/>
        <v>0.1</v>
      </c>
      <c r="B26">
        <v>20</v>
      </c>
      <c r="C26" s="8">
        <f t="shared" si="2"/>
        <v>12418.426461183099</v>
      </c>
    </row>
    <row r="27" spans="1:3" x14ac:dyDescent="0.25">
      <c r="A27" s="2">
        <f t="shared" si="1"/>
        <v>0.1</v>
      </c>
      <c r="B27">
        <v>21</v>
      </c>
      <c r="C27" s="8">
        <f t="shared" si="2"/>
        <v>13660.26910730141</v>
      </c>
    </row>
    <row r="28" spans="1:3" x14ac:dyDescent="0.25">
      <c r="A28" s="2">
        <f t="shared" si="1"/>
        <v>0.1</v>
      </c>
      <c r="B28">
        <v>22</v>
      </c>
      <c r="C28" s="8">
        <f t="shared" si="2"/>
        <v>15026.296018031551</v>
      </c>
    </row>
    <row r="29" spans="1:3" x14ac:dyDescent="0.25">
      <c r="A29" s="2">
        <f t="shared" si="1"/>
        <v>0.1</v>
      </c>
      <c r="B29">
        <v>23</v>
      </c>
      <c r="C29" s="8">
        <f t="shared" si="2"/>
        <v>16528.925619834707</v>
      </c>
    </row>
    <row r="30" spans="1:3" x14ac:dyDescent="0.25">
      <c r="A30" s="2">
        <f t="shared" si="1"/>
        <v>0.1</v>
      </c>
      <c r="B30">
        <v>24</v>
      </c>
      <c r="C30" s="8">
        <f t="shared" si="2"/>
        <v>18181.81818181818</v>
      </c>
    </row>
    <row r="31" spans="1:3" x14ac:dyDescent="0.25">
      <c r="A31" s="2">
        <f t="shared" si="1"/>
        <v>0.1</v>
      </c>
      <c r="B31">
        <v>25</v>
      </c>
      <c r="C31" s="9">
        <f>B2</f>
        <v>20000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2DCD-D633-4730-AE02-DCF0212064CB}">
  <dimension ref="A1:G15"/>
  <sheetViews>
    <sheetView zoomScale="190" zoomScaleNormal="190" workbookViewId="0">
      <selection activeCell="G15" sqref="G15"/>
    </sheetView>
  </sheetViews>
  <sheetFormatPr defaultRowHeight="15" x14ac:dyDescent="0.25"/>
  <cols>
    <col min="1" max="1" width="12.140625" customWidth="1"/>
    <col min="2" max="2" width="14.7109375" bestFit="1" customWidth="1"/>
    <col min="3" max="3" width="21.5703125" bestFit="1" customWidth="1"/>
    <col min="4" max="4" width="22.7109375" bestFit="1" customWidth="1"/>
    <col min="6" max="6" width="11.5703125" bestFit="1" customWidth="1"/>
    <col min="7" max="7" width="19.85546875" bestFit="1" customWidth="1"/>
  </cols>
  <sheetData>
    <row r="1" spans="1:7" x14ac:dyDescent="0.25">
      <c r="A1" t="s">
        <v>1</v>
      </c>
      <c r="B1" s="9">
        <v>1000000000</v>
      </c>
      <c r="F1" s="9"/>
      <c r="G1" s="9"/>
    </row>
    <row r="2" spans="1:7" x14ac:dyDescent="0.25">
      <c r="A2" t="s">
        <v>16</v>
      </c>
      <c r="B2" s="2">
        <v>0.08</v>
      </c>
    </row>
    <row r="4" spans="1:7" x14ac:dyDescent="0.25">
      <c r="C4" s="12" t="s">
        <v>17</v>
      </c>
      <c r="D4" s="12"/>
    </row>
    <row r="5" spans="1:7" ht="15.75" thickBot="1" x14ac:dyDescent="0.3">
      <c r="A5" s="13" t="s">
        <v>19</v>
      </c>
      <c r="B5" s="13" t="s">
        <v>26</v>
      </c>
      <c r="C5" s="10" t="s">
        <v>18</v>
      </c>
      <c r="D5" s="10" t="s">
        <v>28</v>
      </c>
    </row>
    <row r="6" spans="1:7" x14ac:dyDescent="0.25">
      <c r="A6" t="s">
        <v>20</v>
      </c>
      <c r="B6">
        <v>1</v>
      </c>
      <c r="C6" s="22">
        <f>B1*(1+B2)^1</f>
        <v>1080000000</v>
      </c>
      <c r="D6" s="22">
        <f>$B$1*(1+$B$2/B6)^(3*B6)</f>
        <v>1259712000.0000002</v>
      </c>
    </row>
    <row r="7" spans="1:7" x14ac:dyDescent="0.25">
      <c r="A7" t="s">
        <v>21</v>
      </c>
      <c r="B7">
        <v>2</v>
      </c>
      <c r="C7" s="22">
        <f>$B$1*(1+($B$2/$B7))^$B7</f>
        <v>1081600000</v>
      </c>
      <c r="D7" s="22">
        <f t="shared" ref="D7:D10" si="0">$B$1*(1+$B$2/B7)^(3*B7)</f>
        <v>1265319018.4960003</v>
      </c>
    </row>
    <row r="8" spans="1:7" x14ac:dyDescent="0.25">
      <c r="A8" t="s">
        <v>22</v>
      </c>
      <c r="B8">
        <v>4</v>
      </c>
      <c r="C8" s="22">
        <f>$B$1*(1+($B$2/$B8))^$B8</f>
        <v>1082432160</v>
      </c>
      <c r="D8" s="22">
        <f t="shared" si="0"/>
        <v>1268241794.5625453</v>
      </c>
    </row>
    <row r="9" spans="1:7" x14ac:dyDescent="0.25">
      <c r="A9" t="s">
        <v>23</v>
      </c>
      <c r="B9">
        <v>12</v>
      </c>
      <c r="C9" s="22">
        <f>$B$1*(1+($B$2/$B9))^$B9</f>
        <v>1082999506.8075099</v>
      </c>
      <c r="D9" s="22">
        <f t="shared" si="0"/>
        <v>1270237051.6206512</v>
      </c>
    </row>
    <row r="10" spans="1:7" x14ac:dyDescent="0.25">
      <c r="A10" t="s">
        <v>24</v>
      </c>
      <c r="B10">
        <v>365</v>
      </c>
      <c r="C10" s="22">
        <f>$B$1*(1+($B$2/$B10))^$B10</f>
        <v>1083277571.792814</v>
      </c>
      <c r="D10" s="22">
        <f t="shared" si="0"/>
        <v>1271215720.0516715</v>
      </c>
    </row>
    <row r="11" spans="1:7" x14ac:dyDescent="0.25">
      <c r="A11" t="s">
        <v>25</v>
      </c>
      <c r="C11" s="22">
        <f>B1*EXP($B$2*1)</f>
        <v>1083287067.6749587</v>
      </c>
      <c r="D11" s="22">
        <f>B1*EXP($B$2*3)</f>
        <v>1271249150.3214047</v>
      </c>
    </row>
    <row r="13" spans="1:7" x14ac:dyDescent="0.25">
      <c r="C13" t="s">
        <v>44</v>
      </c>
      <c r="D13" s="22">
        <f>D11</f>
        <v>1271249150.3214047</v>
      </c>
    </row>
    <row r="14" spans="1:7" x14ac:dyDescent="0.25">
      <c r="C14" t="s">
        <v>45</v>
      </c>
      <c r="D14" s="22">
        <f>D6</f>
        <v>1259712000.0000002</v>
      </c>
    </row>
    <row r="15" spans="1:7" x14ac:dyDescent="0.25">
      <c r="C15" t="s">
        <v>46</v>
      </c>
      <c r="D15" s="22">
        <f>D13-D14</f>
        <v>11537150.321404457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C2BC-0BE6-433C-B6E5-29D5007C0040}">
  <dimension ref="A1:X19"/>
  <sheetViews>
    <sheetView zoomScale="160" zoomScaleNormal="160" workbookViewId="0">
      <selection activeCell="Y6" sqref="Y6"/>
    </sheetView>
  </sheetViews>
  <sheetFormatPr defaultRowHeight="15" x14ac:dyDescent="0.25"/>
  <cols>
    <col min="1" max="1" width="12.5703125" customWidth="1"/>
    <col min="2" max="2" width="10.7109375" bestFit="1" customWidth="1"/>
    <col min="3" max="14" width="11.7109375" bestFit="1" customWidth="1"/>
    <col min="15" max="23" width="10.7109375" bestFit="1" customWidth="1"/>
    <col min="24" max="24" width="2.42578125" bestFit="1" customWidth="1"/>
  </cols>
  <sheetData>
    <row r="1" spans="1:24" x14ac:dyDescent="0.25">
      <c r="A1" t="s">
        <v>6</v>
      </c>
    </row>
    <row r="3" spans="1:24" x14ac:dyDescent="0.25">
      <c r="A3" t="s">
        <v>1</v>
      </c>
      <c r="B3" s="3">
        <v>1000</v>
      </c>
    </row>
    <row r="4" spans="1:24" x14ac:dyDescent="0.25">
      <c r="A4" t="s">
        <v>3</v>
      </c>
      <c r="B4" s="2">
        <v>0.05</v>
      </c>
    </row>
    <row r="5" spans="1:24" x14ac:dyDescent="0.25">
      <c r="A5" s="2"/>
      <c r="B5" s="5"/>
    </row>
    <row r="6" spans="1:24" x14ac:dyDescent="0.25">
      <c r="C6" t="s">
        <v>4</v>
      </c>
    </row>
    <row r="7" spans="1:24" x14ac:dyDescent="0.25">
      <c r="B7" s="5" t="s">
        <v>7</v>
      </c>
      <c r="C7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</row>
    <row r="8" spans="1:24" x14ac:dyDescent="0.25">
      <c r="B8" s="5">
        <v>0</v>
      </c>
      <c r="C8" s="6">
        <f>$D$8/$B$4</f>
        <v>20000</v>
      </c>
      <c r="D8" s="4">
        <f>$B$3</f>
        <v>1000</v>
      </c>
      <c r="E8" s="4">
        <f t="shared" ref="E8:W18" si="0">$B$3</f>
        <v>1000</v>
      </c>
      <c r="F8" s="4">
        <f t="shared" si="0"/>
        <v>1000</v>
      </c>
      <c r="G8" s="4">
        <f t="shared" si="0"/>
        <v>1000</v>
      </c>
      <c r="H8" s="4">
        <f t="shared" si="0"/>
        <v>1000</v>
      </c>
      <c r="I8" s="4">
        <f t="shared" si="0"/>
        <v>1000</v>
      </c>
      <c r="J8" s="4">
        <f t="shared" si="0"/>
        <v>1000</v>
      </c>
      <c r="K8" s="4">
        <f t="shared" si="0"/>
        <v>1000</v>
      </c>
      <c r="L8" s="4">
        <f t="shared" si="0"/>
        <v>1000</v>
      </c>
      <c r="M8" s="4">
        <f t="shared" si="0"/>
        <v>1000</v>
      </c>
      <c r="N8" s="4">
        <f t="shared" si="0"/>
        <v>1000</v>
      </c>
      <c r="O8" s="4">
        <f t="shared" si="0"/>
        <v>1000</v>
      </c>
      <c r="P8" s="4">
        <f t="shared" si="0"/>
        <v>1000</v>
      </c>
      <c r="Q8" s="4">
        <f t="shared" si="0"/>
        <v>1000</v>
      </c>
      <c r="R8" s="4">
        <f t="shared" si="0"/>
        <v>1000</v>
      </c>
      <c r="S8" s="4">
        <f t="shared" si="0"/>
        <v>1000</v>
      </c>
      <c r="T8" s="4">
        <f t="shared" si="0"/>
        <v>1000</v>
      </c>
      <c r="U8" s="4">
        <f t="shared" si="0"/>
        <v>1000</v>
      </c>
      <c r="V8" s="4">
        <f t="shared" si="0"/>
        <v>1000</v>
      </c>
      <c r="W8" s="4">
        <f t="shared" si="0"/>
        <v>1000</v>
      </c>
      <c r="X8" t="s">
        <v>8</v>
      </c>
    </row>
    <row r="9" spans="1:24" x14ac:dyDescent="0.25">
      <c r="B9" s="5">
        <v>1</v>
      </c>
      <c r="D9" s="6">
        <f>$E$9/$B$4</f>
        <v>20000</v>
      </c>
      <c r="E9" s="4">
        <f t="shared" si="0"/>
        <v>1000</v>
      </c>
      <c r="F9" s="4">
        <f t="shared" si="0"/>
        <v>1000</v>
      </c>
      <c r="G9" s="4">
        <f t="shared" si="0"/>
        <v>1000</v>
      </c>
      <c r="H9" s="4">
        <f t="shared" si="0"/>
        <v>1000</v>
      </c>
      <c r="I9" s="4">
        <f t="shared" si="0"/>
        <v>1000</v>
      </c>
      <c r="J9" s="4">
        <f t="shared" si="0"/>
        <v>1000</v>
      </c>
      <c r="K9" s="4">
        <f t="shared" si="0"/>
        <v>1000</v>
      </c>
      <c r="L9" s="4">
        <f t="shared" si="0"/>
        <v>1000</v>
      </c>
      <c r="M9" s="4">
        <f t="shared" si="0"/>
        <v>1000</v>
      </c>
      <c r="N9" s="4">
        <f t="shared" si="0"/>
        <v>1000</v>
      </c>
      <c r="O9" s="4">
        <f t="shared" si="0"/>
        <v>1000</v>
      </c>
      <c r="P9" s="4">
        <f t="shared" si="0"/>
        <v>1000</v>
      </c>
      <c r="Q9" s="4">
        <f t="shared" si="0"/>
        <v>1000</v>
      </c>
      <c r="R9" s="4">
        <f t="shared" si="0"/>
        <v>1000</v>
      </c>
      <c r="S9" s="4">
        <f t="shared" si="0"/>
        <v>1000</v>
      </c>
      <c r="T9" s="4">
        <f t="shared" si="0"/>
        <v>1000</v>
      </c>
      <c r="U9" s="4">
        <f t="shared" si="0"/>
        <v>1000</v>
      </c>
      <c r="V9" s="4">
        <f t="shared" si="0"/>
        <v>1000</v>
      </c>
      <c r="W9" s="4">
        <f t="shared" si="0"/>
        <v>1000</v>
      </c>
      <c r="X9" t="s">
        <v>8</v>
      </c>
    </row>
    <row r="10" spans="1:24" x14ac:dyDescent="0.25">
      <c r="B10" s="5">
        <v>2</v>
      </c>
      <c r="D10" s="4"/>
      <c r="E10" s="6">
        <f>$E$9/$B$4</f>
        <v>20000</v>
      </c>
      <c r="F10" s="4">
        <f t="shared" si="0"/>
        <v>1000</v>
      </c>
      <c r="G10" s="4">
        <f t="shared" si="0"/>
        <v>1000</v>
      </c>
      <c r="H10" s="4">
        <f t="shared" si="0"/>
        <v>1000</v>
      </c>
      <c r="I10" s="4">
        <f t="shared" si="0"/>
        <v>1000</v>
      </c>
      <c r="J10" s="4">
        <f t="shared" si="0"/>
        <v>1000</v>
      </c>
      <c r="K10" s="4">
        <f t="shared" si="0"/>
        <v>1000</v>
      </c>
      <c r="L10" s="4">
        <f t="shared" si="0"/>
        <v>1000</v>
      </c>
      <c r="M10" s="4">
        <f t="shared" si="0"/>
        <v>1000</v>
      </c>
      <c r="N10" s="4">
        <f t="shared" si="0"/>
        <v>1000</v>
      </c>
      <c r="O10" s="4">
        <f t="shared" si="0"/>
        <v>1000</v>
      </c>
      <c r="P10" s="4">
        <f t="shared" si="0"/>
        <v>1000</v>
      </c>
      <c r="Q10" s="4">
        <f t="shared" si="0"/>
        <v>1000</v>
      </c>
      <c r="R10" s="4">
        <f t="shared" si="0"/>
        <v>1000</v>
      </c>
      <c r="S10" s="4">
        <f t="shared" si="0"/>
        <v>1000</v>
      </c>
      <c r="T10" s="4">
        <f t="shared" si="0"/>
        <v>1000</v>
      </c>
      <c r="U10" s="4">
        <f t="shared" si="0"/>
        <v>1000</v>
      </c>
      <c r="V10" s="4">
        <f t="shared" si="0"/>
        <v>1000</v>
      </c>
      <c r="W10" s="4">
        <f t="shared" si="0"/>
        <v>1000</v>
      </c>
      <c r="X10" t="s">
        <v>8</v>
      </c>
    </row>
    <row r="11" spans="1:24" x14ac:dyDescent="0.25">
      <c r="A11" s="2"/>
      <c r="B11" s="5">
        <v>3</v>
      </c>
      <c r="D11" s="4"/>
      <c r="E11" s="4"/>
      <c r="F11" s="6">
        <f>$E$9/$B$4</f>
        <v>20000</v>
      </c>
      <c r="G11" s="4">
        <f t="shared" si="0"/>
        <v>1000</v>
      </c>
      <c r="H11" s="4">
        <f t="shared" si="0"/>
        <v>1000</v>
      </c>
      <c r="I11" s="4">
        <f t="shared" si="0"/>
        <v>1000</v>
      </c>
      <c r="J11" s="4">
        <f t="shared" si="0"/>
        <v>1000</v>
      </c>
      <c r="K11" s="4">
        <f t="shared" si="0"/>
        <v>1000</v>
      </c>
      <c r="L11" s="4">
        <f t="shared" si="0"/>
        <v>1000</v>
      </c>
      <c r="M11" s="4">
        <f t="shared" si="0"/>
        <v>1000</v>
      </c>
      <c r="N11" s="4">
        <f t="shared" si="0"/>
        <v>1000</v>
      </c>
      <c r="O11" s="4">
        <f t="shared" si="0"/>
        <v>1000</v>
      </c>
      <c r="P11" s="4">
        <f t="shared" si="0"/>
        <v>1000</v>
      </c>
      <c r="Q11" s="4">
        <f t="shared" si="0"/>
        <v>1000</v>
      </c>
      <c r="R11" s="4">
        <f t="shared" si="0"/>
        <v>1000</v>
      </c>
      <c r="S11" s="4">
        <f t="shared" si="0"/>
        <v>1000</v>
      </c>
      <c r="T11" s="4">
        <f t="shared" si="0"/>
        <v>1000</v>
      </c>
      <c r="U11" s="4">
        <f t="shared" si="0"/>
        <v>1000</v>
      </c>
      <c r="V11" s="4">
        <f t="shared" si="0"/>
        <v>1000</v>
      </c>
      <c r="W11" s="4">
        <f t="shared" si="0"/>
        <v>1000</v>
      </c>
      <c r="X11" t="s">
        <v>8</v>
      </c>
    </row>
    <row r="12" spans="1:24" x14ac:dyDescent="0.25">
      <c r="A12" s="2"/>
      <c r="B12" s="5">
        <v>4</v>
      </c>
      <c r="D12" s="4"/>
      <c r="E12" s="4"/>
      <c r="F12" s="4"/>
      <c r="G12" s="6">
        <f>$E$9/$B$4</f>
        <v>20000</v>
      </c>
      <c r="H12" s="4">
        <f t="shared" si="0"/>
        <v>1000</v>
      </c>
      <c r="I12" s="4">
        <f t="shared" si="0"/>
        <v>1000</v>
      </c>
      <c r="J12" s="4">
        <f t="shared" si="0"/>
        <v>1000</v>
      </c>
      <c r="K12" s="4">
        <f t="shared" si="0"/>
        <v>1000</v>
      </c>
      <c r="L12" s="4">
        <f t="shared" si="0"/>
        <v>1000</v>
      </c>
      <c r="M12" s="4">
        <f t="shared" si="0"/>
        <v>1000</v>
      </c>
      <c r="N12" s="4">
        <f t="shared" si="0"/>
        <v>1000</v>
      </c>
      <c r="O12" s="4">
        <f t="shared" si="0"/>
        <v>1000</v>
      </c>
      <c r="P12" s="4">
        <f t="shared" si="0"/>
        <v>1000</v>
      </c>
      <c r="Q12" s="4">
        <f t="shared" si="0"/>
        <v>1000</v>
      </c>
      <c r="R12" s="4">
        <f t="shared" si="0"/>
        <v>1000</v>
      </c>
      <c r="S12" s="4">
        <f t="shared" si="0"/>
        <v>1000</v>
      </c>
      <c r="T12" s="4">
        <f t="shared" si="0"/>
        <v>1000</v>
      </c>
      <c r="U12" s="4">
        <f t="shared" si="0"/>
        <v>1000</v>
      </c>
      <c r="V12" s="4">
        <f t="shared" si="0"/>
        <v>1000</v>
      </c>
      <c r="W12" s="4">
        <f t="shared" si="0"/>
        <v>1000</v>
      </c>
      <c r="X12" t="s">
        <v>8</v>
      </c>
    </row>
    <row r="13" spans="1:24" x14ac:dyDescent="0.25">
      <c r="B13" s="5">
        <v>5</v>
      </c>
      <c r="D13" s="4"/>
      <c r="E13" s="4"/>
      <c r="F13" s="4"/>
      <c r="G13" s="4"/>
      <c r="H13" s="6">
        <f>$E$9/$B$4</f>
        <v>20000</v>
      </c>
      <c r="I13" s="4">
        <f t="shared" si="0"/>
        <v>1000</v>
      </c>
      <c r="J13" s="4">
        <f t="shared" si="0"/>
        <v>1000</v>
      </c>
      <c r="K13" s="4">
        <f t="shared" si="0"/>
        <v>1000</v>
      </c>
      <c r="L13" s="4">
        <f t="shared" si="0"/>
        <v>1000</v>
      </c>
      <c r="M13" s="4">
        <f t="shared" si="0"/>
        <v>1000</v>
      </c>
      <c r="N13" s="4">
        <f t="shared" si="0"/>
        <v>1000</v>
      </c>
      <c r="O13" s="4">
        <f t="shared" si="0"/>
        <v>1000</v>
      </c>
      <c r="P13" s="4">
        <f t="shared" si="0"/>
        <v>1000</v>
      </c>
      <c r="Q13" s="4">
        <f t="shared" si="0"/>
        <v>1000</v>
      </c>
      <c r="R13" s="4">
        <f t="shared" si="0"/>
        <v>1000</v>
      </c>
      <c r="S13" s="4">
        <f t="shared" si="0"/>
        <v>1000</v>
      </c>
      <c r="T13" s="4">
        <f t="shared" si="0"/>
        <v>1000</v>
      </c>
      <c r="U13" s="4">
        <f t="shared" si="0"/>
        <v>1000</v>
      </c>
      <c r="V13" s="4">
        <f t="shared" si="0"/>
        <v>1000</v>
      </c>
      <c r="W13" s="4">
        <f t="shared" si="0"/>
        <v>1000</v>
      </c>
      <c r="X13" t="s">
        <v>8</v>
      </c>
    </row>
    <row r="14" spans="1:24" x14ac:dyDescent="0.25">
      <c r="B14" s="5">
        <v>6</v>
      </c>
      <c r="D14" s="4"/>
      <c r="E14" s="4"/>
      <c r="F14" s="4"/>
      <c r="G14" s="4"/>
      <c r="H14" s="4"/>
      <c r="I14" s="6">
        <f>$E$9/$B$4</f>
        <v>20000</v>
      </c>
      <c r="J14" s="4">
        <f t="shared" si="0"/>
        <v>1000</v>
      </c>
      <c r="K14" s="4">
        <f t="shared" si="0"/>
        <v>1000</v>
      </c>
      <c r="L14" s="4">
        <f t="shared" si="0"/>
        <v>1000</v>
      </c>
      <c r="M14" s="4">
        <f t="shared" si="0"/>
        <v>1000</v>
      </c>
      <c r="N14" s="4">
        <f t="shared" si="0"/>
        <v>1000</v>
      </c>
      <c r="O14" s="4">
        <f t="shared" si="0"/>
        <v>1000</v>
      </c>
      <c r="P14" s="4">
        <f t="shared" si="0"/>
        <v>1000</v>
      </c>
      <c r="Q14" s="4">
        <f t="shared" si="0"/>
        <v>1000</v>
      </c>
      <c r="R14" s="4">
        <f t="shared" si="0"/>
        <v>1000</v>
      </c>
      <c r="S14" s="4">
        <f t="shared" si="0"/>
        <v>1000</v>
      </c>
      <c r="T14" s="4">
        <f t="shared" si="0"/>
        <v>1000</v>
      </c>
      <c r="U14" s="4">
        <f t="shared" si="0"/>
        <v>1000</v>
      </c>
      <c r="V14" s="4">
        <f t="shared" si="0"/>
        <v>1000</v>
      </c>
      <c r="W14" s="4">
        <f t="shared" si="0"/>
        <v>1000</v>
      </c>
      <c r="X14" t="s">
        <v>8</v>
      </c>
    </row>
    <row r="15" spans="1:24" x14ac:dyDescent="0.25">
      <c r="B15" s="5">
        <v>7</v>
      </c>
      <c r="D15" s="4"/>
      <c r="E15" s="4"/>
      <c r="F15" s="4"/>
      <c r="G15" s="4"/>
      <c r="H15" s="4"/>
      <c r="I15" s="4"/>
      <c r="J15" s="6">
        <f>$E$9/$B$4</f>
        <v>20000</v>
      </c>
      <c r="K15" s="4">
        <f t="shared" si="0"/>
        <v>1000</v>
      </c>
      <c r="L15" s="4">
        <f t="shared" si="0"/>
        <v>1000</v>
      </c>
      <c r="M15" s="4">
        <f t="shared" si="0"/>
        <v>1000</v>
      </c>
      <c r="N15" s="4">
        <f t="shared" si="0"/>
        <v>1000</v>
      </c>
      <c r="O15" s="4">
        <f t="shared" si="0"/>
        <v>1000</v>
      </c>
      <c r="P15" s="4">
        <f t="shared" si="0"/>
        <v>1000</v>
      </c>
      <c r="Q15" s="4">
        <f t="shared" si="0"/>
        <v>1000</v>
      </c>
      <c r="R15" s="4">
        <f t="shared" si="0"/>
        <v>1000</v>
      </c>
      <c r="S15" s="4">
        <f t="shared" si="0"/>
        <v>1000</v>
      </c>
      <c r="T15" s="4">
        <f t="shared" si="0"/>
        <v>1000</v>
      </c>
      <c r="U15" s="4">
        <f t="shared" si="0"/>
        <v>1000</v>
      </c>
      <c r="V15" s="4">
        <f t="shared" si="0"/>
        <v>1000</v>
      </c>
      <c r="W15" s="4">
        <f t="shared" si="0"/>
        <v>1000</v>
      </c>
      <c r="X15" t="s">
        <v>8</v>
      </c>
    </row>
    <row r="16" spans="1:24" x14ac:dyDescent="0.25">
      <c r="B16" s="5">
        <v>8</v>
      </c>
      <c r="D16" s="4"/>
      <c r="E16" s="4"/>
      <c r="F16" s="4"/>
      <c r="G16" s="4"/>
      <c r="H16" s="4"/>
      <c r="I16" s="4"/>
      <c r="J16" s="4"/>
      <c r="K16" s="6">
        <f>$E$9/$B$4</f>
        <v>20000</v>
      </c>
      <c r="L16" s="4">
        <f t="shared" si="0"/>
        <v>1000</v>
      </c>
      <c r="M16" s="4">
        <f t="shared" si="0"/>
        <v>1000</v>
      </c>
      <c r="N16" s="4">
        <f t="shared" si="0"/>
        <v>1000</v>
      </c>
      <c r="O16" s="4">
        <f t="shared" si="0"/>
        <v>1000</v>
      </c>
      <c r="P16" s="4">
        <f t="shared" si="0"/>
        <v>1000</v>
      </c>
      <c r="Q16" s="4">
        <f t="shared" si="0"/>
        <v>1000</v>
      </c>
      <c r="R16" s="4">
        <f t="shared" si="0"/>
        <v>1000</v>
      </c>
      <c r="S16" s="4">
        <f t="shared" si="0"/>
        <v>1000</v>
      </c>
      <c r="T16" s="4">
        <f t="shared" si="0"/>
        <v>1000</v>
      </c>
      <c r="U16" s="4">
        <f t="shared" si="0"/>
        <v>1000</v>
      </c>
      <c r="V16" s="4">
        <f t="shared" si="0"/>
        <v>1000</v>
      </c>
      <c r="W16" s="4">
        <f t="shared" si="0"/>
        <v>1000</v>
      </c>
      <c r="X16" t="s">
        <v>8</v>
      </c>
    </row>
    <row r="17" spans="2:24" x14ac:dyDescent="0.25">
      <c r="B17" s="5">
        <v>9</v>
      </c>
      <c r="D17" s="4"/>
      <c r="E17" s="4"/>
      <c r="F17" s="4"/>
      <c r="G17" s="4"/>
      <c r="H17" s="4"/>
      <c r="I17" s="4"/>
      <c r="J17" s="4"/>
      <c r="K17" s="4"/>
      <c r="L17" s="6">
        <f>$E$9/$B$4</f>
        <v>20000</v>
      </c>
      <c r="M17" s="4">
        <f t="shared" si="0"/>
        <v>1000</v>
      </c>
      <c r="N17" s="4">
        <f t="shared" si="0"/>
        <v>1000</v>
      </c>
      <c r="O17" s="4">
        <f t="shared" si="0"/>
        <v>1000</v>
      </c>
      <c r="P17" s="4">
        <f t="shared" si="0"/>
        <v>1000</v>
      </c>
      <c r="Q17" s="4">
        <f t="shared" si="0"/>
        <v>1000</v>
      </c>
      <c r="R17" s="4">
        <f t="shared" si="0"/>
        <v>1000</v>
      </c>
      <c r="S17" s="4">
        <f t="shared" si="0"/>
        <v>1000</v>
      </c>
      <c r="T17" s="4">
        <f t="shared" si="0"/>
        <v>1000</v>
      </c>
      <c r="U17" s="4">
        <f t="shared" si="0"/>
        <v>1000</v>
      </c>
      <c r="V17" s="4">
        <f t="shared" si="0"/>
        <v>1000</v>
      </c>
      <c r="W17" s="4">
        <f t="shared" si="0"/>
        <v>1000</v>
      </c>
      <c r="X17" t="s">
        <v>8</v>
      </c>
    </row>
    <row r="18" spans="2:24" x14ac:dyDescent="0.25">
      <c r="B18" s="5">
        <v>10</v>
      </c>
      <c r="D18" s="4"/>
      <c r="E18" s="4"/>
      <c r="F18" s="4"/>
      <c r="G18" s="4"/>
      <c r="H18" s="4"/>
      <c r="I18" s="4"/>
      <c r="J18" s="4"/>
      <c r="K18" s="4"/>
      <c r="L18" s="4"/>
      <c r="M18" s="6">
        <f>$E$9/$B$4</f>
        <v>20000</v>
      </c>
      <c r="N18" s="4">
        <f t="shared" si="0"/>
        <v>1000</v>
      </c>
      <c r="O18" s="4">
        <f t="shared" si="0"/>
        <v>1000</v>
      </c>
      <c r="P18" s="4">
        <f t="shared" ref="P18:W19" si="1">$B$3</f>
        <v>1000</v>
      </c>
      <c r="Q18" s="4">
        <f t="shared" si="1"/>
        <v>1000</v>
      </c>
      <c r="R18" s="4">
        <f t="shared" si="1"/>
        <v>1000</v>
      </c>
      <c r="S18" s="4">
        <f t="shared" si="1"/>
        <v>1000</v>
      </c>
      <c r="T18" s="4">
        <f t="shared" si="1"/>
        <v>1000</v>
      </c>
      <c r="U18" s="4">
        <f t="shared" si="1"/>
        <v>1000</v>
      </c>
      <c r="V18" s="4">
        <f t="shared" si="1"/>
        <v>1000</v>
      </c>
      <c r="W18" s="4">
        <f t="shared" si="1"/>
        <v>1000</v>
      </c>
      <c r="X18" t="s">
        <v>8</v>
      </c>
    </row>
    <row r="19" spans="2:24" x14ac:dyDescent="0.25">
      <c r="B19" t="s">
        <v>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6">
        <f>$E$9/$B$4</f>
        <v>20000</v>
      </c>
      <c r="O19" s="4">
        <f t="shared" ref="O19:S19" si="2">$B$3</f>
        <v>1000</v>
      </c>
      <c r="P19" s="4">
        <f t="shared" si="2"/>
        <v>1000</v>
      </c>
      <c r="Q19" s="4">
        <f t="shared" si="2"/>
        <v>1000</v>
      </c>
      <c r="R19" s="4">
        <f t="shared" si="2"/>
        <v>1000</v>
      </c>
      <c r="S19" s="4">
        <f t="shared" si="2"/>
        <v>1000</v>
      </c>
      <c r="T19" s="4">
        <f t="shared" si="1"/>
        <v>1000</v>
      </c>
      <c r="U19" s="4">
        <f t="shared" si="1"/>
        <v>1000</v>
      </c>
      <c r="V19" s="4">
        <f t="shared" si="1"/>
        <v>1000</v>
      </c>
      <c r="W19" s="4">
        <f t="shared" si="1"/>
        <v>1000</v>
      </c>
      <c r="X19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CFD9-3D7D-4C21-95AA-2FA31919A07E}">
  <dimension ref="A1:K218"/>
  <sheetViews>
    <sheetView tabSelected="1" zoomScale="130" zoomScaleNormal="130" workbookViewId="0">
      <selection activeCell="J8" sqref="J8"/>
    </sheetView>
  </sheetViews>
  <sheetFormatPr defaultRowHeight="15" x14ac:dyDescent="0.25"/>
  <cols>
    <col min="1" max="1" width="14.7109375" customWidth="1"/>
    <col min="2" max="2" width="11.140625" bestFit="1" customWidth="1"/>
    <col min="3" max="3" width="12.7109375" bestFit="1" customWidth="1"/>
    <col min="4" max="4" width="12.140625" bestFit="1" customWidth="1"/>
    <col min="7" max="7" width="12.140625" bestFit="1" customWidth="1"/>
    <col min="8" max="8" width="13.28515625" bestFit="1" customWidth="1"/>
  </cols>
  <sheetData>
    <row r="1" spans="1:11" x14ac:dyDescent="0.25">
      <c r="A1" s="1" t="s">
        <v>0</v>
      </c>
    </row>
    <row r="2" spans="1:11" x14ac:dyDescent="0.25">
      <c r="A2" t="s">
        <v>1</v>
      </c>
      <c r="B2" s="3">
        <v>1000</v>
      </c>
    </row>
    <row r="3" spans="1:11" x14ac:dyDescent="0.25">
      <c r="A3" t="s">
        <v>2</v>
      </c>
      <c r="B3" s="2">
        <v>0.02</v>
      </c>
    </row>
    <row r="4" spans="1:11" x14ac:dyDescent="0.25">
      <c r="A4" t="s">
        <v>3</v>
      </c>
      <c r="B4" s="2">
        <v>0.1</v>
      </c>
    </row>
    <row r="6" spans="1:11" x14ac:dyDescent="0.25">
      <c r="C6" t="s">
        <v>5</v>
      </c>
    </row>
    <row r="7" spans="1:11" x14ac:dyDescent="0.25">
      <c r="C7" s="12" t="s">
        <v>14</v>
      </c>
      <c r="D7" s="12"/>
      <c r="G7" t="s">
        <v>15</v>
      </c>
      <c r="H7" s="4"/>
    </row>
    <row r="8" spans="1:11" ht="15.75" thickBot="1" x14ac:dyDescent="0.3">
      <c r="B8" t="s">
        <v>4</v>
      </c>
      <c r="C8" s="7">
        <v>0</v>
      </c>
      <c r="D8" s="7">
        <v>0.02</v>
      </c>
      <c r="F8" t="s">
        <v>4</v>
      </c>
      <c r="G8" s="7">
        <v>0</v>
      </c>
      <c r="H8" s="7">
        <v>0.02</v>
      </c>
    </row>
    <row r="9" spans="1:11" x14ac:dyDescent="0.25">
      <c r="B9">
        <v>0</v>
      </c>
      <c r="C9" s="6"/>
      <c r="D9" s="6"/>
      <c r="F9">
        <v>0</v>
      </c>
      <c r="G9" s="6">
        <f>C10/$B$4</f>
        <v>10000</v>
      </c>
      <c r="H9" s="6">
        <f>D10/($B$4-$B$3)</f>
        <v>12500</v>
      </c>
    </row>
    <row r="10" spans="1:11" x14ac:dyDescent="0.25">
      <c r="B10">
        <v>1</v>
      </c>
      <c r="C10" s="4">
        <f>$B$2</f>
        <v>1000</v>
      </c>
      <c r="D10" s="4">
        <f t="shared" ref="D10" si="0">$B$2</f>
        <v>1000</v>
      </c>
      <c r="F10">
        <v>1</v>
      </c>
      <c r="G10" s="6">
        <f t="shared" ref="G10:G73" si="1">C11/$B$4</f>
        <v>10000</v>
      </c>
      <c r="H10" s="6">
        <f>D11/($B$4-$B$3)</f>
        <v>12750</v>
      </c>
      <c r="K10" s="1"/>
    </row>
    <row r="11" spans="1:11" x14ac:dyDescent="0.25">
      <c r="B11">
        <v>2</v>
      </c>
      <c r="C11" s="4">
        <f>C10*(1+C$8)</f>
        <v>1000</v>
      </c>
      <c r="D11" s="4">
        <f>D10*(1+D$8)</f>
        <v>1020</v>
      </c>
      <c r="F11">
        <v>2</v>
      </c>
      <c r="G11" s="6">
        <f t="shared" si="1"/>
        <v>10000</v>
      </c>
      <c r="H11" s="6">
        <f t="shared" ref="H11:H74" si="2">D12/($B$4-$B$3)</f>
        <v>13005</v>
      </c>
    </row>
    <row r="12" spans="1:11" x14ac:dyDescent="0.25">
      <c r="B12">
        <v>3</v>
      </c>
      <c r="C12" s="4">
        <f>C11*(1+C$8)</f>
        <v>1000</v>
      </c>
      <c r="D12" s="4">
        <f>D11*(1+D$8)</f>
        <v>1040.4000000000001</v>
      </c>
      <c r="F12">
        <v>3</v>
      </c>
      <c r="G12" s="6">
        <f t="shared" si="1"/>
        <v>10000</v>
      </c>
      <c r="H12" s="6">
        <f t="shared" si="2"/>
        <v>13265.1</v>
      </c>
    </row>
    <row r="13" spans="1:11" x14ac:dyDescent="0.25">
      <c r="B13">
        <v>4</v>
      </c>
      <c r="C13" s="4">
        <f t="shared" ref="C13:C59" si="3">C12*(1+C$8)</f>
        <v>1000</v>
      </c>
      <c r="D13" s="4">
        <f t="shared" ref="D13:D59" si="4">D12*(1+D$8)</f>
        <v>1061.2080000000001</v>
      </c>
      <c r="F13">
        <v>4</v>
      </c>
      <c r="G13" s="6">
        <f t="shared" si="1"/>
        <v>10000</v>
      </c>
      <c r="H13" s="6">
        <f t="shared" si="2"/>
        <v>13530.402</v>
      </c>
    </row>
    <row r="14" spans="1:11" x14ac:dyDescent="0.25">
      <c r="B14">
        <v>5</v>
      </c>
      <c r="C14" s="4">
        <f t="shared" si="3"/>
        <v>1000</v>
      </c>
      <c r="D14" s="4">
        <f t="shared" si="4"/>
        <v>1082.4321600000001</v>
      </c>
      <c r="F14">
        <v>5</v>
      </c>
      <c r="G14" s="6">
        <f t="shared" si="1"/>
        <v>10000</v>
      </c>
      <c r="H14" s="6">
        <f t="shared" si="2"/>
        <v>13801.010039999999</v>
      </c>
    </row>
    <row r="15" spans="1:11" x14ac:dyDescent="0.25">
      <c r="B15">
        <v>6</v>
      </c>
      <c r="C15" s="4">
        <f t="shared" si="3"/>
        <v>1000</v>
      </c>
      <c r="D15" s="4">
        <f t="shared" si="4"/>
        <v>1104.0808032</v>
      </c>
      <c r="F15">
        <v>6</v>
      </c>
      <c r="G15" s="6">
        <f t="shared" si="1"/>
        <v>10000</v>
      </c>
      <c r="H15" s="6">
        <f t="shared" si="2"/>
        <v>14077.030240799999</v>
      </c>
    </row>
    <row r="16" spans="1:11" x14ac:dyDescent="0.25">
      <c r="B16">
        <v>7</v>
      </c>
      <c r="C16" s="4">
        <f t="shared" si="3"/>
        <v>1000</v>
      </c>
      <c r="D16" s="4">
        <f t="shared" si="4"/>
        <v>1126.1624192639999</v>
      </c>
      <c r="F16">
        <v>7</v>
      </c>
      <c r="G16" s="6">
        <f t="shared" si="1"/>
        <v>10000</v>
      </c>
      <c r="H16" s="6">
        <f t="shared" si="2"/>
        <v>14358.570845616001</v>
      </c>
    </row>
    <row r="17" spans="2:8" x14ac:dyDescent="0.25">
      <c r="B17">
        <v>8</v>
      </c>
      <c r="C17" s="4">
        <f t="shared" si="3"/>
        <v>1000</v>
      </c>
      <c r="D17" s="4">
        <f t="shared" si="4"/>
        <v>1148.68566764928</v>
      </c>
      <c r="F17">
        <v>8</v>
      </c>
      <c r="G17" s="6">
        <f t="shared" si="1"/>
        <v>10000</v>
      </c>
      <c r="H17" s="6">
        <f t="shared" si="2"/>
        <v>14645.742262528322</v>
      </c>
    </row>
    <row r="18" spans="2:8" x14ac:dyDescent="0.25">
      <c r="B18">
        <v>9</v>
      </c>
      <c r="C18" s="4">
        <f t="shared" si="3"/>
        <v>1000</v>
      </c>
      <c r="D18" s="4">
        <f t="shared" si="4"/>
        <v>1171.6593810022657</v>
      </c>
      <c r="F18">
        <v>9</v>
      </c>
      <c r="G18" s="6">
        <f t="shared" si="1"/>
        <v>10000</v>
      </c>
      <c r="H18" s="6">
        <f t="shared" si="2"/>
        <v>14938.657107778889</v>
      </c>
    </row>
    <row r="19" spans="2:8" x14ac:dyDescent="0.25">
      <c r="B19">
        <v>10</v>
      </c>
      <c r="C19" s="4">
        <f t="shared" si="3"/>
        <v>1000</v>
      </c>
      <c r="D19" s="4">
        <f t="shared" si="4"/>
        <v>1195.0925686223111</v>
      </c>
      <c r="F19">
        <v>10</v>
      </c>
      <c r="G19" s="6">
        <f t="shared" si="1"/>
        <v>10000</v>
      </c>
      <c r="H19" s="6">
        <f t="shared" si="2"/>
        <v>15237.430249934469</v>
      </c>
    </row>
    <row r="20" spans="2:8" x14ac:dyDescent="0.25">
      <c r="B20">
        <v>11</v>
      </c>
      <c r="C20" s="4">
        <f t="shared" si="3"/>
        <v>1000</v>
      </c>
      <c r="D20" s="4">
        <f t="shared" si="4"/>
        <v>1218.9944199947574</v>
      </c>
      <c r="F20">
        <v>11</v>
      </c>
      <c r="G20" s="6">
        <f t="shared" si="1"/>
        <v>10000</v>
      </c>
      <c r="H20" s="6">
        <f t="shared" si="2"/>
        <v>15542.178854933158</v>
      </c>
    </row>
    <row r="21" spans="2:8" x14ac:dyDescent="0.25">
      <c r="B21">
        <v>12</v>
      </c>
      <c r="C21" s="4">
        <f t="shared" si="3"/>
        <v>1000</v>
      </c>
      <c r="D21" s="4">
        <f t="shared" si="4"/>
        <v>1243.3743083946526</v>
      </c>
      <c r="F21">
        <v>12</v>
      </c>
      <c r="G21" s="6">
        <f t="shared" si="1"/>
        <v>10000</v>
      </c>
      <c r="H21" s="6">
        <f t="shared" si="2"/>
        <v>15853.022432031821</v>
      </c>
    </row>
    <row r="22" spans="2:8" x14ac:dyDescent="0.25">
      <c r="B22">
        <v>13</v>
      </c>
      <c r="C22" s="4">
        <f t="shared" si="3"/>
        <v>1000</v>
      </c>
      <c r="D22" s="4">
        <f t="shared" si="4"/>
        <v>1268.2417945625457</v>
      </c>
      <c r="F22">
        <v>13</v>
      </c>
      <c r="G22" s="6">
        <f t="shared" si="1"/>
        <v>10000</v>
      </c>
      <c r="H22" s="6">
        <f t="shared" si="2"/>
        <v>16170.082880672458</v>
      </c>
    </row>
    <row r="23" spans="2:8" x14ac:dyDescent="0.25">
      <c r="B23">
        <v>14</v>
      </c>
      <c r="C23" s="4">
        <f t="shared" si="3"/>
        <v>1000</v>
      </c>
      <c r="D23" s="4">
        <f t="shared" si="4"/>
        <v>1293.6066304537967</v>
      </c>
      <c r="F23">
        <v>14</v>
      </c>
      <c r="G23" s="6">
        <f t="shared" si="1"/>
        <v>10000</v>
      </c>
      <c r="H23" s="6">
        <f t="shared" si="2"/>
        <v>16493.484538285909</v>
      </c>
    </row>
    <row r="24" spans="2:8" x14ac:dyDescent="0.25">
      <c r="B24">
        <v>15</v>
      </c>
      <c r="C24" s="4">
        <f t="shared" si="3"/>
        <v>1000</v>
      </c>
      <c r="D24" s="4">
        <f t="shared" si="4"/>
        <v>1319.4787630628728</v>
      </c>
      <c r="F24">
        <v>15</v>
      </c>
      <c r="G24" s="6">
        <f t="shared" si="1"/>
        <v>10000</v>
      </c>
      <c r="H24" s="6">
        <f t="shared" si="2"/>
        <v>16823.354229051627</v>
      </c>
    </row>
    <row r="25" spans="2:8" x14ac:dyDescent="0.25">
      <c r="B25">
        <v>16</v>
      </c>
      <c r="C25" s="4">
        <f t="shared" si="3"/>
        <v>1000</v>
      </c>
      <c r="D25" s="4">
        <f t="shared" si="4"/>
        <v>1345.8683383241303</v>
      </c>
      <c r="F25">
        <v>16</v>
      </c>
      <c r="G25" s="6">
        <f t="shared" si="1"/>
        <v>10000</v>
      </c>
      <c r="H25" s="6">
        <f t="shared" si="2"/>
        <v>17159.821313632663</v>
      </c>
    </row>
    <row r="26" spans="2:8" x14ac:dyDescent="0.25">
      <c r="B26">
        <v>17</v>
      </c>
      <c r="C26" s="4">
        <f t="shared" si="3"/>
        <v>1000</v>
      </c>
      <c r="D26" s="4">
        <f t="shared" si="4"/>
        <v>1372.785705090613</v>
      </c>
      <c r="F26">
        <v>17</v>
      </c>
      <c r="G26" s="6">
        <f t="shared" si="1"/>
        <v>10000</v>
      </c>
      <c r="H26" s="6">
        <f t="shared" si="2"/>
        <v>17503.017739905314</v>
      </c>
    </row>
    <row r="27" spans="2:8" x14ac:dyDescent="0.25">
      <c r="B27">
        <v>18</v>
      </c>
      <c r="C27" s="4">
        <f t="shared" si="3"/>
        <v>1000</v>
      </c>
      <c r="D27" s="4">
        <f t="shared" si="4"/>
        <v>1400.2414191924252</v>
      </c>
      <c r="F27">
        <v>18</v>
      </c>
      <c r="G27" s="6">
        <f t="shared" si="1"/>
        <v>10000</v>
      </c>
      <c r="H27" s="6">
        <f t="shared" si="2"/>
        <v>17853.078094703418</v>
      </c>
    </row>
    <row r="28" spans="2:8" x14ac:dyDescent="0.25">
      <c r="B28">
        <v>19</v>
      </c>
      <c r="C28" s="4">
        <f t="shared" si="3"/>
        <v>1000</v>
      </c>
      <c r="D28" s="4">
        <f t="shared" si="4"/>
        <v>1428.2462475762736</v>
      </c>
      <c r="F28">
        <v>19</v>
      </c>
      <c r="G28" s="6">
        <f t="shared" si="1"/>
        <v>10000</v>
      </c>
      <c r="H28" s="6">
        <f t="shared" si="2"/>
        <v>18210.139656597486</v>
      </c>
    </row>
    <row r="29" spans="2:8" x14ac:dyDescent="0.25">
      <c r="B29">
        <v>20</v>
      </c>
      <c r="C29" s="4">
        <f t="shared" si="3"/>
        <v>1000</v>
      </c>
      <c r="D29" s="4">
        <f t="shared" si="4"/>
        <v>1456.811172527799</v>
      </c>
      <c r="F29">
        <v>20</v>
      </c>
      <c r="G29" s="6">
        <f t="shared" si="1"/>
        <v>10000</v>
      </c>
      <c r="H29" s="6">
        <f t="shared" si="2"/>
        <v>18574.342449729436</v>
      </c>
    </row>
    <row r="30" spans="2:8" x14ac:dyDescent="0.25">
      <c r="B30">
        <v>21</v>
      </c>
      <c r="C30" s="4">
        <f t="shared" si="3"/>
        <v>1000</v>
      </c>
      <c r="D30" s="4">
        <f t="shared" si="4"/>
        <v>1485.947395978355</v>
      </c>
      <c r="F30">
        <v>21</v>
      </c>
      <c r="G30" s="6">
        <f t="shared" si="1"/>
        <v>10000</v>
      </c>
      <c r="H30" s="6">
        <f t="shared" si="2"/>
        <v>18945.829298724027</v>
      </c>
    </row>
    <row r="31" spans="2:8" x14ac:dyDescent="0.25">
      <c r="B31">
        <v>22</v>
      </c>
      <c r="C31" s="4">
        <f t="shared" si="3"/>
        <v>1000</v>
      </c>
      <c r="D31" s="4">
        <f t="shared" si="4"/>
        <v>1515.6663438979222</v>
      </c>
      <c r="F31">
        <v>22</v>
      </c>
      <c r="G31" s="6">
        <f t="shared" si="1"/>
        <v>10000</v>
      </c>
      <c r="H31" s="6">
        <f t="shared" si="2"/>
        <v>19324.745884698506</v>
      </c>
    </row>
    <row r="32" spans="2:8" x14ac:dyDescent="0.25">
      <c r="B32">
        <v>23</v>
      </c>
      <c r="C32" s="4">
        <f t="shared" si="3"/>
        <v>1000</v>
      </c>
      <c r="D32" s="4">
        <f t="shared" si="4"/>
        <v>1545.9796707758805</v>
      </c>
      <c r="F32">
        <v>23</v>
      </c>
      <c r="G32" s="6">
        <f t="shared" si="1"/>
        <v>10000</v>
      </c>
      <c r="H32" s="6">
        <f t="shared" si="2"/>
        <v>19711.24080239248</v>
      </c>
    </row>
    <row r="33" spans="2:8" x14ac:dyDescent="0.25">
      <c r="B33">
        <v>24</v>
      </c>
      <c r="C33" s="4">
        <f t="shared" si="3"/>
        <v>1000</v>
      </c>
      <c r="D33" s="4">
        <f t="shared" si="4"/>
        <v>1576.8992641913983</v>
      </c>
      <c r="F33">
        <v>24</v>
      </c>
      <c r="G33" s="6">
        <f t="shared" si="1"/>
        <v>10000</v>
      </c>
      <c r="H33" s="6">
        <f t="shared" si="2"/>
        <v>20105.465618440328</v>
      </c>
    </row>
    <row r="34" spans="2:8" x14ac:dyDescent="0.25">
      <c r="B34">
        <v>25</v>
      </c>
      <c r="C34" s="4">
        <f t="shared" si="3"/>
        <v>1000</v>
      </c>
      <c r="D34" s="4">
        <f t="shared" si="4"/>
        <v>1608.4372494752263</v>
      </c>
      <c r="F34">
        <v>25</v>
      </c>
      <c r="G34" s="6">
        <f t="shared" si="1"/>
        <v>10000</v>
      </c>
      <c r="H34" s="6">
        <f t="shared" si="2"/>
        <v>20507.574930809136</v>
      </c>
    </row>
    <row r="35" spans="2:8" x14ac:dyDescent="0.25">
      <c r="B35">
        <v>26</v>
      </c>
      <c r="C35" s="4">
        <f t="shared" si="3"/>
        <v>1000</v>
      </c>
      <c r="D35" s="4">
        <f t="shared" si="4"/>
        <v>1640.6059944647309</v>
      </c>
      <c r="F35">
        <v>26</v>
      </c>
      <c r="G35" s="6">
        <f t="shared" si="1"/>
        <v>10000</v>
      </c>
      <c r="H35" s="6">
        <f t="shared" si="2"/>
        <v>20917.726429425318</v>
      </c>
    </row>
    <row r="36" spans="2:8" x14ac:dyDescent="0.25">
      <c r="B36">
        <v>27</v>
      </c>
      <c r="C36" s="4">
        <f t="shared" si="3"/>
        <v>1000</v>
      </c>
      <c r="D36" s="4">
        <f t="shared" si="4"/>
        <v>1673.4181143540254</v>
      </c>
      <c r="F36">
        <v>27</v>
      </c>
      <c r="G36" s="6">
        <f t="shared" si="1"/>
        <v>10000</v>
      </c>
      <c r="H36" s="6">
        <f t="shared" si="2"/>
        <v>21336.080958013823</v>
      </c>
    </row>
    <row r="37" spans="2:8" x14ac:dyDescent="0.25">
      <c r="B37">
        <v>28</v>
      </c>
      <c r="C37" s="4">
        <f t="shared" si="3"/>
        <v>1000</v>
      </c>
      <c r="D37" s="4">
        <f t="shared" si="4"/>
        <v>1706.8864766411059</v>
      </c>
      <c r="F37">
        <v>28</v>
      </c>
      <c r="G37" s="6">
        <f t="shared" si="1"/>
        <v>10000</v>
      </c>
      <c r="H37" s="6">
        <f t="shared" si="2"/>
        <v>21762.802577174098</v>
      </c>
    </row>
    <row r="38" spans="2:8" x14ac:dyDescent="0.25">
      <c r="B38">
        <v>29</v>
      </c>
      <c r="C38" s="4">
        <f t="shared" si="3"/>
        <v>1000</v>
      </c>
      <c r="D38" s="4">
        <f t="shared" si="4"/>
        <v>1741.024206173928</v>
      </c>
      <c r="F38">
        <v>29</v>
      </c>
      <c r="G38" s="6">
        <f t="shared" si="1"/>
        <v>10000</v>
      </c>
      <c r="H38" s="6">
        <f t="shared" si="2"/>
        <v>22198.058628717579</v>
      </c>
    </row>
    <row r="39" spans="2:8" x14ac:dyDescent="0.25">
      <c r="B39">
        <v>30</v>
      </c>
      <c r="C39" s="4">
        <f t="shared" si="3"/>
        <v>1000</v>
      </c>
      <c r="D39" s="4">
        <f t="shared" si="4"/>
        <v>1775.8446902974065</v>
      </c>
      <c r="F39">
        <v>30</v>
      </c>
      <c r="G39" s="6">
        <f t="shared" si="1"/>
        <v>10000</v>
      </c>
      <c r="H39" s="6">
        <f t="shared" si="2"/>
        <v>22642.019801291935</v>
      </c>
    </row>
    <row r="40" spans="2:8" x14ac:dyDescent="0.25">
      <c r="B40">
        <v>31</v>
      </c>
      <c r="C40" s="4">
        <f t="shared" si="3"/>
        <v>1000</v>
      </c>
      <c r="D40" s="4">
        <f t="shared" si="4"/>
        <v>1811.3615841033547</v>
      </c>
      <c r="F40">
        <v>31</v>
      </c>
      <c r="G40" s="6">
        <f t="shared" si="1"/>
        <v>10000</v>
      </c>
      <c r="H40" s="6">
        <f t="shared" si="2"/>
        <v>23094.860197317776</v>
      </c>
    </row>
    <row r="41" spans="2:8" x14ac:dyDescent="0.25">
      <c r="B41">
        <v>32</v>
      </c>
      <c r="C41" s="4">
        <f t="shared" si="3"/>
        <v>1000</v>
      </c>
      <c r="D41" s="4">
        <f t="shared" si="4"/>
        <v>1847.588815785422</v>
      </c>
      <c r="F41">
        <v>32</v>
      </c>
      <c r="G41" s="6">
        <f t="shared" si="1"/>
        <v>10000</v>
      </c>
      <c r="H41" s="6">
        <f t="shared" si="2"/>
        <v>23556.757401264131</v>
      </c>
    </row>
    <row r="42" spans="2:8" x14ac:dyDescent="0.25">
      <c r="B42">
        <v>33</v>
      </c>
      <c r="C42" s="4">
        <f t="shared" si="3"/>
        <v>1000</v>
      </c>
      <c r="D42" s="4">
        <f t="shared" si="4"/>
        <v>1884.5405921011304</v>
      </c>
      <c r="F42">
        <v>33</v>
      </c>
      <c r="G42" s="6">
        <f t="shared" si="1"/>
        <v>10000</v>
      </c>
      <c r="H42" s="6">
        <f t="shared" si="2"/>
        <v>24027.892549289412</v>
      </c>
    </row>
    <row r="43" spans="2:8" x14ac:dyDescent="0.25">
      <c r="B43">
        <v>34</v>
      </c>
      <c r="C43" s="4">
        <f t="shared" si="3"/>
        <v>1000</v>
      </c>
      <c r="D43" s="4">
        <f t="shared" si="4"/>
        <v>1922.2314039431531</v>
      </c>
      <c r="F43">
        <v>34</v>
      </c>
      <c r="G43" s="6">
        <f t="shared" si="1"/>
        <v>10000</v>
      </c>
      <c r="H43" s="6">
        <f t="shared" si="2"/>
        <v>24508.450400275204</v>
      </c>
    </row>
    <row r="44" spans="2:8" x14ac:dyDescent="0.25">
      <c r="B44">
        <v>35</v>
      </c>
      <c r="C44" s="4">
        <f t="shared" si="3"/>
        <v>1000</v>
      </c>
      <c r="D44" s="4">
        <f t="shared" si="4"/>
        <v>1960.6760320220162</v>
      </c>
      <c r="F44">
        <v>35</v>
      </c>
      <c r="G44" s="6">
        <f t="shared" si="1"/>
        <v>10000</v>
      </c>
      <c r="H44" s="6">
        <f t="shared" si="2"/>
        <v>24998.619408280705</v>
      </c>
    </row>
    <row r="45" spans="2:8" x14ac:dyDescent="0.25">
      <c r="B45">
        <v>36</v>
      </c>
      <c r="C45" s="4">
        <f t="shared" si="3"/>
        <v>1000</v>
      </c>
      <c r="D45" s="4">
        <f t="shared" si="4"/>
        <v>1999.8895526624565</v>
      </c>
      <c r="F45">
        <v>36</v>
      </c>
      <c r="G45" s="6">
        <f t="shared" si="1"/>
        <v>10000</v>
      </c>
      <c r="H45" s="6">
        <f t="shared" si="2"/>
        <v>25498.591796446319</v>
      </c>
    </row>
    <row r="46" spans="2:8" x14ac:dyDescent="0.25">
      <c r="B46">
        <v>37</v>
      </c>
      <c r="C46" s="4">
        <f t="shared" si="3"/>
        <v>1000</v>
      </c>
      <c r="D46" s="4">
        <f t="shared" si="4"/>
        <v>2039.8873437157056</v>
      </c>
      <c r="F46">
        <v>37</v>
      </c>
      <c r="G46" s="6">
        <f t="shared" si="1"/>
        <v>10000</v>
      </c>
      <c r="H46" s="6">
        <f t="shared" si="2"/>
        <v>26008.563632375244</v>
      </c>
    </row>
    <row r="47" spans="2:8" x14ac:dyDescent="0.25">
      <c r="B47">
        <v>38</v>
      </c>
      <c r="C47" s="4">
        <f t="shared" si="3"/>
        <v>1000</v>
      </c>
      <c r="D47" s="4">
        <f t="shared" si="4"/>
        <v>2080.6850905900196</v>
      </c>
      <c r="F47">
        <v>38</v>
      </c>
      <c r="G47" s="6">
        <f t="shared" si="1"/>
        <v>10000</v>
      </c>
      <c r="H47" s="6">
        <f t="shared" si="2"/>
        <v>26528.734905022753</v>
      </c>
    </row>
    <row r="48" spans="2:8" x14ac:dyDescent="0.25">
      <c r="B48">
        <v>39</v>
      </c>
      <c r="C48" s="4">
        <f t="shared" si="3"/>
        <v>1000</v>
      </c>
      <c r="D48" s="4">
        <f t="shared" si="4"/>
        <v>2122.2987924018203</v>
      </c>
      <c r="F48">
        <v>39</v>
      </c>
      <c r="G48" s="6">
        <f t="shared" si="1"/>
        <v>10000</v>
      </c>
      <c r="H48" s="6">
        <f t="shared" si="2"/>
        <v>27059.309603123209</v>
      </c>
    </row>
    <row r="49" spans="2:8" x14ac:dyDescent="0.25">
      <c r="B49">
        <v>40</v>
      </c>
      <c r="C49" s="4">
        <f t="shared" si="3"/>
        <v>1000</v>
      </c>
      <c r="D49" s="4">
        <f t="shared" si="4"/>
        <v>2164.7447682498569</v>
      </c>
      <c r="F49">
        <v>40</v>
      </c>
      <c r="G49" s="6">
        <f t="shared" si="1"/>
        <v>10000</v>
      </c>
      <c r="H49" s="6">
        <f t="shared" si="2"/>
        <v>27600.495795185674</v>
      </c>
    </row>
    <row r="50" spans="2:8" x14ac:dyDescent="0.25">
      <c r="B50">
        <v>41</v>
      </c>
      <c r="C50" s="4">
        <f t="shared" si="3"/>
        <v>1000</v>
      </c>
      <c r="D50" s="4">
        <f t="shared" si="4"/>
        <v>2208.0396636148539</v>
      </c>
      <c r="F50">
        <v>41</v>
      </c>
      <c r="G50" s="6">
        <f t="shared" si="1"/>
        <v>10000</v>
      </c>
      <c r="H50" s="6">
        <f t="shared" si="2"/>
        <v>28152.50571108939</v>
      </c>
    </row>
    <row r="51" spans="2:8" x14ac:dyDescent="0.25">
      <c r="B51">
        <v>42</v>
      </c>
      <c r="C51" s="4">
        <f t="shared" si="3"/>
        <v>1000</v>
      </c>
      <c r="D51" s="4">
        <f t="shared" si="4"/>
        <v>2252.2004568871512</v>
      </c>
      <c r="F51">
        <v>42</v>
      </c>
      <c r="G51" s="6">
        <f t="shared" si="1"/>
        <v>10000</v>
      </c>
      <c r="H51" s="6">
        <f t="shared" si="2"/>
        <v>28715.555825311178</v>
      </c>
    </row>
    <row r="52" spans="2:8" x14ac:dyDescent="0.25">
      <c r="B52">
        <v>43</v>
      </c>
      <c r="C52" s="4">
        <f t="shared" si="3"/>
        <v>1000</v>
      </c>
      <c r="D52" s="4">
        <f t="shared" si="4"/>
        <v>2297.2444660248943</v>
      </c>
      <c r="F52">
        <v>43</v>
      </c>
      <c r="G52" s="6">
        <f t="shared" si="1"/>
        <v>10000</v>
      </c>
      <c r="H52" s="6">
        <f t="shared" si="2"/>
        <v>29289.866941817403</v>
      </c>
    </row>
    <row r="53" spans="2:8" x14ac:dyDescent="0.25">
      <c r="B53">
        <v>44</v>
      </c>
      <c r="C53" s="4">
        <f t="shared" si="3"/>
        <v>1000</v>
      </c>
      <c r="D53" s="4">
        <f t="shared" si="4"/>
        <v>2343.1893553453924</v>
      </c>
      <c r="F53">
        <v>44</v>
      </c>
      <c r="G53" s="6">
        <f t="shared" si="1"/>
        <v>10000</v>
      </c>
      <c r="H53" s="6">
        <f t="shared" si="2"/>
        <v>29875.664280653749</v>
      </c>
    </row>
    <row r="54" spans="2:8" x14ac:dyDescent="0.25">
      <c r="B54">
        <v>45</v>
      </c>
      <c r="C54" s="4">
        <f t="shared" si="3"/>
        <v>1000</v>
      </c>
      <c r="D54" s="4">
        <f t="shared" si="4"/>
        <v>2390.0531424523001</v>
      </c>
      <c r="F54">
        <v>45</v>
      </c>
      <c r="G54" s="6">
        <f t="shared" si="1"/>
        <v>10000</v>
      </c>
      <c r="H54" s="6">
        <f t="shared" si="2"/>
        <v>30473.177566266826</v>
      </c>
    </row>
    <row r="55" spans="2:8" x14ac:dyDescent="0.25">
      <c r="B55">
        <v>46</v>
      </c>
      <c r="C55" s="4">
        <f t="shared" si="3"/>
        <v>1000</v>
      </c>
      <c r="D55" s="4">
        <f t="shared" si="4"/>
        <v>2437.8542053013462</v>
      </c>
      <c r="F55">
        <v>46</v>
      </c>
      <c r="G55" s="6">
        <f t="shared" si="1"/>
        <v>10000</v>
      </c>
      <c r="H55" s="6">
        <f t="shared" si="2"/>
        <v>31082.641117592164</v>
      </c>
    </row>
    <row r="56" spans="2:8" x14ac:dyDescent="0.25">
      <c r="B56">
        <v>47</v>
      </c>
      <c r="C56" s="4">
        <f t="shared" si="3"/>
        <v>1000</v>
      </c>
      <c r="D56" s="4">
        <f t="shared" si="4"/>
        <v>2486.6112894073731</v>
      </c>
      <c r="F56">
        <v>47</v>
      </c>
      <c r="G56" s="6">
        <f t="shared" si="1"/>
        <v>10000</v>
      </c>
      <c r="H56" s="6">
        <f t="shared" si="2"/>
        <v>31704.293939944004</v>
      </c>
    </row>
    <row r="57" spans="2:8" x14ac:dyDescent="0.25">
      <c r="B57">
        <v>48</v>
      </c>
      <c r="C57" s="4">
        <f t="shared" si="3"/>
        <v>1000</v>
      </c>
      <c r="D57" s="4">
        <f t="shared" si="4"/>
        <v>2536.3435151955205</v>
      </c>
      <c r="F57">
        <v>48</v>
      </c>
      <c r="G57" s="6">
        <f t="shared" si="1"/>
        <v>10000</v>
      </c>
      <c r="H57" s="6">
        <f t="shared" si="2"/>
        <v>32338.379818742884</v>
      </c>
    </row>
    <row r="58" spans="2:8" x14ac:dyDescent="0.25">
      <c r="B58">
        <v>49</v>
      </c>
      <c r="C58" s="4">
        <f t="shared" si="3"/>
        <v>1000</v>
      </c>
      <c r="D58" s="4">
        <f t="shared" si="4"/>
        <v>2587.0703854994308</v>
      </c>
      <c r="F58">
        <v>49</v>
      </c>
      <c r="G58" s="6">
        <f t="shared" si="1"/>
        <v>10000</v>
      </c>
      <c r="H58" s="6">
        <f t="shared" si="2"/>
        <v>32985.147415117746</v>
      </c>
    </row>
    <row r="59" spans="2:8" x14ac:dyDescent="0.25">
      <c r="B59">
        <v>50</v>
      </c>
      <c r="C59" s="4">
        <f t="shared" si="3"/>
        <v>1000</v>
      </c>
      <c r="D59" s="4">
        <f t="shared" si="4"/>
        <v>2638.8117932094196</v>
      </c>
      <c r="F59">
        <v>50</v>
      </c>
      <c r="G59" s="6">
        <f t="shared" si="1"/>
        <v>10000</v>
      </c>
      <c r="H59" s="6">
        <f t="shared" si="2"/>
        <v>33644.850363420104</v>
      </c>
    </row>
    <row r="60" spans="2:8" x14ac:dyDescent="0.25">
      <c r="B60">
        <v>51</v>
      </c>
      <c r="C60" s="4">
        <f t="shared" ref="C60:C73" si="5">C59*(1+C$8)</f>
        <v>1000</v>
      </c>
      <c r="D60" s="4">
        <f t="shared" ref="D60:D73" si="6">D59*(1+D$8)</f>
        <v>2691.5880290736081</v>
      </c>
      <c r="F60">
        <v>51</v>
      </c>
      <c r="G60" s="6">
        <f t="shared" si="1"/>
        <v>10000</v>
      </c>
      <c r="H60" s="6">
        <f t="shared" si="2"/>
        <v>34317.747370688507</v>
      </c>
    </row>
    <row r="61" spans="2:8" x14ac:dyDescent="0.25">
      <c r="B61">
        <v>52</v>
      </c>
      <c r="C61" s="4">
        <f t="shared" si="5"/>
        <v>1000</v>
      </c>
      <c r="D61" s="4">
        <f t="shared" si="6"/>
        <v>2745.4197896550804</v>
      </c>
      <c r="F61">
        <v>52</v>
      </c>
      <c r="G61" s="6">
        <f t="shared" si="1"/>
        <v>10000</v>
      </c>
      <c r="H61" s="6">
        <f t="shared" si="2"/>
        <v>35004.102318102276</v>
      </c>
    </row>
    <row r="62" spans="2:8" x14ac:dyDescent="0.25">
      <c r="B62">
        <v>53</v>
      </c>
      <c r="C62" s="4">
        <f t="shared" si="5"/>
        <v>1000</v>
      </c>
      <c r="D62" s="4">
        <f t="shared" si="6"/>
        <v>2800.328185448182</v>
      </c>
      <c r="F62">
        <v>53</v>
      </c>
      <c r="G62" s="6">
        <f t="shared" si="1"/>
        <v>10000</v>
      </c>
      <c r="H62" s="6">
        <f t="shared" si="2"/>
        <v>35704.184364464323</v>
      </c>
    </row>
    <row r="63" spans="2:8" x14ac:dyDescent="0.25">
      <c r="B63">
        <v>54</v>
      </c>
      <c r="C63" s="4">
        <f t="shared" si="5"/>
        <v>1000</v>
      </c>
      <c r="D63" s="4">
        <f t="shared" si="6"/>
        <v>2856.3347491571458</v>
      </c>
      <c r="F63">
        <v>54</v>
      </c>
      <c r="G63" s="6">
        <f t="shared" si="1"/>
        <v>10000</v>
      </c>
      <c r="H63" s="6">
        <f t="shared" si="2"/>
        <v>36418.268051753606</v>
      </c>
    </row>
    <row r="64" spans="2:8" x14ac:dyDescent="0.25">
      <c r="B64">
        <v>55</v>
      </c>
      <c r="C64" s="4">
        <f t="shared" si="5"/>
        <v>1000</v>
      </c>
      <c r="D64" s="4">
        <f t="shared" si="6"/>
        <v>2913.4614441402887</v>
      </c>
      <c r="F64">
        <v>55</v>
      </c>
      <c r="G64" s="6">
        <f t="shared" si="1"/>
        <v>10000</v>
      </c>
      <c r="H64" s="6">
        <f t="shared" si="2"/>
        <v>37146.63341278868</v>
      </c>
    </row>
    <row r="65" spans="2:8" x14ac:dyDescent="0.25">
      <c r="B65">
        <v>56</v>
      </c>
      <c r="C65" s="4">
        <f t="shared" si="5"/>
        <v>1000</v>
      </c>
      <c r="D65" s="4">
        <f t="shared" si="6"/>
        <v>2971.7306730230944</v>
      </c>
      <c r="F65">
        <v>56</v>
      </c>
      <c r="G65" s="6">
        <f t="shared" si="1"/>
        <v>10000</v>
      </c>
      <c r="H65" s="6">
        <f t="shared" si="2"/>
        <v>37889.566081044453</v>
      </c>
    </row>
    <row r="66" spans="2:8" x14ac:dyDescent="0.25">
      <c r="B66">
        <v>57</v>
      </c>
      <c r="C66" s="4">
        <f t="shared" si="5"/>
        <v>1000</v>
      </c>
      <c r="D66" s="4">
        <f t="shared" si="6"/>
        <v>3031.1652864835564</v>
      </c>
      <c r="F66">
        <v>57</v>
      </c>
      <c r="G66" s="6">
        <f t="shared" si="1"/>
        <v>10000</v>
      </c>
      <c r="H66" s="6">
        <f t="shared" si="2"/>
        <v>38647.357402665344</v>
      </c>
    </row>
    <row r="67" spans="2:8" x14ac:dyDescent="0.25">
      <c r="B67">
        <v>58</v>
      </c>
      <c r="C67" s="4">
        <f t="shared" si="5"/>
        <v>1000</v>
      </c>
      <c r="D67" s="4">
        <f t="shared" si="6"/>
        <v>3091.7885922132277</v>
      </c>
      <c r="F67">
        <v>58</v>
      </c>
      <c r="G67" s="6">
        <f t="shared" si="1"/>
        <v>10000</v>
      </c>
      <c r="H67" s="6">
        <f t="shared" si="2"/>
        <v>39420.304550718654</v>
      </c>
    </row>
    <row r="68" spans="2:8" x14ac:dyDescent="0.25">
      <c r="B68">
        <v>59</v>
      </c>
      <c r="C68" s="4">
        <f t="shared" si="5"/>
        <v>1000</v>
      </c>
      <c r="D68" s="4">
        <f t="shared" si="6"/>
        <v>3153.6243640574921</v>
      </c>
      <c r="F68">
        <v>59</v>
      </c>
      <c r="G68" s="6">
        <f t="shared" si="1"/>
        <v>10000</v>
      </c>
      <c r="H68" s="6">
        <f t="shared" si="2"/>
        <v>40208.710641733021</v>
      </c>
    </row>
    <row r="69" spans="2:8" x14ac:dyDescent="0.25">
      <c r="B69">
        <v>60</v>
      </c>
      <c r="C69" s="4">
        <f t="shared" si="5"/>
        <v>1000</v>
      </c>
      <c r="D69" s="4">
        <f t="shared" si="6"/>
        <v>3216.6968513386419</v>
      </c>
      <c r="F69">
        <v>60</v>
      </c>
      <c r="G69" s="6">
        <f t="shared" si="1"/>
        <v>10000</v>
      </c>
      <c r="H69" s="6">
        <f t="shared" si="2"/>
        <v>41012.884854567681</v>
      </c>
    </row>
    <row r="70" spans="2:8" x14ac:dyDescent="0.25">
      <c r="B70">
        <v>61</v>
      </c>
      <c r="C70" s="4">
        <f t="shared" si="5"/>
        <v>1000</v>
      </c>
      <c r="D70" s="4">
        <f t="shared" si="6"/>
        <v>3281.0307883654145</v>
      </c>
      <c r="F70">
        <v>61</v>
      </c>
      <c r="G70" s="6">
        <f t="shared" si="1"/>
        <v>10000</v>
      </c>
      <c r="H70" s="6">
        <f t="shared" si="2"/>
        <v>41833.142551659032</v>
      </c>
    </row>
    <row r="71" spans="2:8" x14ac:dyDescent="0.25">
      <c r="B71">
        <v>62</v>
      </c>
      <c r="C71" s="4">
        <f t="shared" si="5"/>
        <v>1000</v>
      </c>
      <c r="D71" s="4">
        <f t="shared" si="6"/>
        <v>3346.6514041327227</v>
      </c>
      <c r="F71">
        <v>62</v>
      </c>
      <c r="G71" s="6">
        <f t="shared" si="1"/>
        <v>10000</v>
      </c>
      <c r="H71" s="6">
        <f t="shared" si="2"/>
        <v>42669.805402692211</v>
      </c>
    </row>
    <row r="72" spans="2:8" x14ac:dyDescent="0.25">
      <c r="B72">
        <v>63</v>
      </c>
      <c r="C72" s="4">
        <f t="shared" si="5"/>
        <v>1000</v>
      </c>
      <c r="D72" s="4">
        <f t="shared" si="6"/>
        <v>3413.5844322153771</v>
      </c>
      <c r="F72">
        <v>63</v>
      </c>
      <c r="G72" s="6">
        <f t="shared" si="1"/>
        <v>10000</v>
      </c>
      <c r="H72" s="6">
        <f t="shared" si="2"/>
        <v>43523.201510746061</v>
      </c>
    </row>
    <row r="73" spans="2:8" x14ac:dyDescent="0.25">
      <c r="B73">
        <v>64</v>
      </c>
      <c r="C73" s="4">
        <f t="shared" si="5"/>
        <v>1000</v>
      </c>
      <c r="D73" s="4">
        <f t="shared" si="6"/>
        <v>3481.8561208596848</v>
      </c>
      <c r="F73">
        <v>64</v>
      </c>
      <c r="G73" s="6">
        <f t="shared" si="1"/>
        <v>10000</v>
      </c>
      <c r="H73" s="6">
        <f t="shared" si="2"/>
        <v>44393.665540960981</v>
      </c>
    </row>
    <row r="74" spans="2:8" x14ac:dyDescent="0.25">
      <c r="B74">
        <v>65</v>
      </c>
      <c r="C74" s="4">
        <f t="shared" ref="C74:C137" si="7">C73*(1+C$8)</f>
        <v>1000</v>
      </c>
      <c r="D74" s="4">
        <f t="shared" ref="D74:D137" si="8">D73*(1+D$8)</f>
        <v>3551.4932432768787</v>
      </c>
      <c r="F74">
        <v>65</v>
      </c>
      <c r="G74" s="6">
        <f t="shared" ref="G74:G137" si="9">C75/$B$4</f>
        <v>10000</v>
      </c>
      <c r="H74" s="6">
        <f t="shared" si="2"/>
        <v>45281.538851780206</v>
      </c>
    </row>
    <row r="75" spans="2:8" x14ac:dyDescent="0.25">
      <c r="B75">
        <v>66</v>
      </c>
      <c r="C75" s="4">
        <f t="shared" si="7"/>
        <v>1000</v>
      </c>
      <c r="D75" s="4">
        <f t="shared" si="8"/>
        <v>3622.5231081424163</v>
      </c>
      <c r="F75">
        <v>66</v>
      </c>
      <c r="G75" s="6">
        <f t="shared" si="9"/>
        <v>10000</v>
      </c>
      <c r="H75" s="6">
        <f t="shared" ref="H75:H138" si="10">D76/($B$4-$B$3)</f>
        <v>46187.169628815805</v>
      </c>
    </row>
    <row r="76" spans="2:8" x14ac:dyDescent="0.25">
      <c r="B76">
        <v>67</v>
      </c>
      <c r="C76" s="4">
        <f t="shared" si="7"/>
        <v>1000</v>
      </c>
      <c r="D76" s="4">
        <f t="shared" si="8"/>
        <v>3694.9735703052647</v>
      </c>
      <c r="F76">
        <v>67</v>
      </c>
      <c r="G76" s="6">
        <f t="shared" si="9"/>
        <v>10000</v>
      </c>
      <c r="H76" s="6">
        <f t="shared" si="10"/>
        <v>47110.913021392123</v>
      </c>
    </row>
    <row r="77" spans="2:8" x14ac:dyDescent="0.25">
      <c r="B77">
        <v>68</v>
      </c>
      <c r="C77" s="4">
        <f t="shared" si="7"/>
        <v>1000</v>
      </c>
      <c r="D77" s="4">
        <f t="shared" si="8"/>
        <v>3768.8730417113702</v>
      </c>
      <c r="F77">
        <v>68</v>
      </c>
      <c r="G77" s="6">
        <f t="shared" si="9"/>
        <v>10000</v>
      </c>
      <c r="H77" s="6">
        <f t="shared" si="10"/>
        <v>48053.131281819966</v>
      </c>
    </row>
    <row r="78" spans="2:8" x14ac:dyDescent="0.25">
      <c r="B78">
        <v>69</v>
      </c>
      <c r="C78" s="4">
        <f t="shared" si="7"/>
        <v>1000</v>
      </c>
      <c r="D78" s="4">
        <f t="shared" si="8"/>
        <v>3844.2505025455976</v>
      </c>
      <c r="F78">
        <v>69</v>
      </c>
      <c r="G78" s="6">
        <f t="shared" si="9"/>
        <v>10000</v>
      </c>
      <c r="H78" s="6">
        <f t="shared" si="10"/>
        <v>49014.193907456371</v>
      </c>
    </row>
    <row r="79" spans="2:8" x14ac:dyDescent="0.25">
      <c r="B79">
        <v>70</v>
      </c>
      <c r="C79" s="4">
        <f t="shared" si="7"/>
        <v>1000</v>
      </c>
      <c r="D79" s="4">
        <f t="shared" si="8"/>
        <v>3921.1355125965097</v>
      </c>
      <c r="F79">
        <v>70</v>
      </c>
      <c r="G79" s="6">
        <f t="shared" si="9"/>
        <v>10000</v>
      </c>
      <c r="H79" s="6">
        <f t="shared" si="10"/>
        <v>49994.477785605501</v>
      </c>
    </row>
    <row r="80" spans="2:8" x14ac:dyDescent="0.25">
      <c r="B80">
        <v>71</v>
      </c>
      <c r="C80" s="4">
        <f t="shared" si="7"/>
        <v>1000</v>
      </c>
      <c r="D80" s="4">
        <f t="shared" si="8"/>
        <v>3999.55822284844</v>
      </c>
      <c r="F80">
        <v>71</v>
      </c>
      <c r="G80" s="6">
        <f t="shared" si="9"/>
        <v>10000</v>
      </c>
      <c r="H80" s="6">
        <f t="shared" si="10"/>
        <v>50994.367341317607</v>
      </c>
    </row>
    <row r="81" spans="2:8" x14ac:dyDescent="0.25">
      <c r="B81">
        <v>72</v>
      </c>
      <c r="C81" s="4">
        <f t="shared" si="7"/>
        <v>1000</v>
      </c>
      <c r="D81" s="4">
        <f t="shared" si="8"/>
        <v>4079.5493873054088</v>
      </c>
      <c r="F81">
        <v>72</v>
      </c>
      <c r="G81" s="6">
        <f t="shared" si="9"/>
        <v>10000</v>
      </c>
      <c r="H81" s="6">
        <f t="shared" si="10"/>
        <v>52014.254688143963</v>
      </c>
    </row>
    <row r="82" spans="2:8" x14ac:dyDescent="0.25">
      <c r="B82">
        <v>73</v>
      </c>
      <c r="C82" s="4">
        <f t="shared" si="7"/>
        <v>1000</v>
      </c>
      <c r="D82" s="4">
        <f t="shared" si="8"/>
        <v>4161.1403750515174</v>
      </c>
      <c r="F82">
        <v>73</v>
      </c>
      <c r="G82" s="6">
        <f t="shared" si="9"/>
        <v>10000</v>
      </c>
      <c r="H82" s="6">
        <f t="shared" si="10"/>
        <v>53054.539781906853</v>
      </c>
    </row>
    <row r="83" spans="2:8" x14ac:dyDescent="0.25">
      <c r="B83">
        <v>74</v>
      </c>
      <c r="C83" s="4">
        <f t="shared" si="7"/>
        <v>1000</v>
      </c>
      <c r="D83" s="4">
        <f t="shared" si="8"/>
        <v>4244.3631825525481</v>
      </c>
      <c r="F83">
        <v>74</v>
      </c>
      <c r="G83" s="6">
        <f t="shared" si="9"/>
        <v>10000</v>
      </c>
      <c r="H83" s="6">
        <f t="shared" si="10"/>
        <v>54115.630577544995</v>
      </c>
    </row>
    <row r="84" spans="2:8" x14ac:dyDescent="0.25">
      <c r="B84">
        <v>75</v>
      </c>
      <c r="C84" s="4">
        <f t="shared" si="7"/>
        <v>1000</v>
      </c>
      <c r="D84" s="4">
        <f t="shared" si="8"/>
        <v>4329.2504462035995</v>
      </c>
      <c r="F84">
        <v>75</v>
      </c>
      <c r="G84" s="6">
        <f t="shared" si="9"/>
        <v>10000</v>
      </c>
      <c r="H84" s="6">
        <f t="shared" si="10"/>
        <v>55197.943189095895</v>
      </c>
    </row>
    <row r="85" spans="2:8" x14ac:dyDescent="0.25">
      <c r="B85">
        <v>76</v>
      </c>
      <c r="C85" s="4">
        <f t="shared" si="7"/>
        <v>1000</v>
      </c>
      <c r="D85" s="4">
        <f t="shared" si="8"/>
        <v>4415.8354551276716</v>
      </c>
      <c r="F85">
        <v>76</v>
      </c>
      <c r="G85" s="6">
        <f t="shared" si="9"/>
        <v>10000</v>
      </c>
      <c r="H85" s="6">
        <f t="shared" si="10"/>
        <v>56301.902052877813</v>
      </c>
    </row>
    <row r="86" spans="2:8" x14ac:dyDescent="0.25">
      <c r="B86">
        <v>77</v>
      </c>
      <c r="C86" s="4">
        <f t="shared" si="7"/>
        <v>1000</v>
      </c>
      <c r="D86" s="4">
        <f t="shared" si="8"/>
        <v>4504.152164230225</v>
      </c>
      <c r="F86">
        <v>77</v>
      </c>
      <c r="G86" s="6">
        <f t="shared" si="9"/>
        <v>10000</v>
      </c>
      <c r="H86" s="6">
        <f t="shared" si="10"/>
        <v>57427.940093935365</v>
      </c>
    </row>
    <row r="87" spans="2:8" x14ac:dyDescent="0.25">
      <c r="B87">
        <v>78</v>
      </c>
      <c r="C87" s="4">
        <f t="shared" si="7"/>
        <v>1000</v>
      </c>
      <c r="D87" s="4">
        <f t="shared" si="8"/>
        <v>4594.2352075148292</v>
      </c>
      <c r="F87">
        <v>78</v>
      </c>
      <c r="G87" s="6">
        <f t="shared" si="9"/>
        <v>10000</v>
      </c>
      <c r="H87" s="6">
        <f t="shared" si="10"/>
        <v>58576.498895814075</v>
      </c>
    </row>
    <row r="88" spans="2:8" x14ac:dyDescent="0.25">
      <c r="B88">
        <v>79</v>
      </c>
      <c r="C88" s="4">
        <f t="shared" si="7"/>
        <v>1000</v>
      </c>
      <c r="D88" s="4">
        <f t="shared" si="8"/>
        <v>4686.119911665126</v>
      </c>
      <c r="F88">
        <v>79</v>
      </c>
      <c r="G88" s="6">
        <f t="shared" si="9"/>
        <v>10000</v>
      </c>
      <c r="H88" s="6">
        <f t="shared" si="10"/>
        <v>59748.028873730356</v>
      </c>
    </row>
    <row r="89" spans="2:8" x14ac:dyDescent="0.25">
      <c r="B89">
        <v>80</v>
      </c>
      <c r="C89" s="4">
        <f t="shared" si="7"/>
        <v>1000</v>
      </c>
      <c r="D89" s="4">
        <f t="shared" si="8"/>
        <v>4779.8423098984285</v>
      </c>
      <c r="F89">
        <v>80</v>
      </c>
      <c r="G89" s="6">
        <f t="shared" si="9"/>
        <v>10000</v>
      </c>
      <c r="H89" s="6">
        <f t="shared" si="10"/>
        <v>60942.989451204958</v>
      </c>
    </row>
    <row r="90" spans="2:8" x14ac:dyDescent="0.25">
      <c r="B90">
        <v>81</v>
      </c>
      <c r="C90" s="4">
        <f t="shared" si="7"/>
        <v>1000</v>
      </c>
      <c r="D90" s="4">
        <f t="shared" si="8"/>
        <v>4875.4391560963968</v>
      </c>
      <c r="F90">
        <v>81</v>
      </c>
      <c r="G90" s="6">
        <f t="shared" si="9"/>
        <v>10000</v>
      </c>
      <c r="H90" s="6">
        <f t="shared" si="10"/>
        <v>62161.849240229058</v>
      </c>
    </row>
    <row r="91" spans="2:8" x14ac:dyDescent="0.25">
      <c r="B91">
        <v>82</v>
      </c>
      <c r="C91" s="4">
        <f t="shared" si="7"/>
        <v>1000</v>
      </c>
      <c r="D91" s="4">
        <f t="shared" si="8"/>
        <v>4972.9479392183248</v>
      </c>
      <c r="F91">
        <v>82</v>
      </c>
      <c r="G91" s="6">
        <f t="shared" si="9"/>
        <v>10000</v>
      </c>
      <c r="H91" s="6">
        <f t="shared" si="10"/>
        <v>63405.086225033643</v>
      </c>
    </row>
    <row r="92" spans="2:8" x14ac:dyDescent="0.25">
      <c r="B92">
        <v>83</v>
      </c>
      <c r="C92" s="4">
        <f t="shared" si="7"/>
        <v>1000</v>
      </c>
      <c r="D92" s="4">
        <f t="shared" si="8"/>
        <v>5072.4068980026914</v>
      </c>
      <c r="F92">
        <v>83</v>
      </c>
      <c r="G92" s="6">
        <f t="shared" si="9"/>
        <v>10000</v>
      </c>
      <c r="H92" s="6">
        <f t="shared" si="10"/>
        <v>64673.187949534316</v>
      </c>
    </row>
    <row r="93" spans="2:8" x14ac:dyDescent="0.25">
      <c r="B93">
        <v>84</v>
      </c>
      <c r="C93" s="4">
        <f t="shared" si="7"/>
        <v>1000</v>
      </c>
      <c r="D93" s="4">
        <f t="shared" si="8"/>
        <v>5173.8550359627452</v>
      </c>
      <c r="F93">
        <v>84</v>
      </c>
      <c r="G93" s="6">
        <f t="shared" si="9"/>
        <v>10000</v>
      </c>
      <c r="H93" s="6">
        <f t="shared" si="10"/>
        <v>65966.651708524994</v>
      </c>
    </row>
    <row r="94" spans="2:8" x14ac:dyDescent="0.25">
      <c r="B94">
        <v>85</v>
      </c>
      <c r="C94" s="4">
        <f t="shared" si="7"/>
        <v>1000</v>
      </c>
      <c r="D94" s="4">
        <f t="shared" si="8"/>
        <v>5277.3321366820001</v>
      </c>
      <c r="F94">
        <v>85</v>
      </c>
      <c r="G94" s="6">
        <f t="shared" si="9"/>
        <v>10000</v>
      </c>
      <c r="H94" s="6">
        <f t="shared" si="10"/>
        <v>67285.984742695509</v>
      </c>
    </row>
    <row r="95" spans="2:8" x14ac:dyDescent="0.25">
      <c r="B95">
        <v>86</v>
      </c>
      <c r="C95" s="4">
        <f t="shared" si="7"/>
        <v>1000</v>
      </c>
      <c r="D95" s="4">
        <f t="shared" si="8"/>
        <v>5382.8787794156406</v>
      </c>
      <c r="F95">
        <v>86</v>
      </c>
      <c r="G95" s="6">
        <f t="shared" si="9"/>
        <v>10000</v>
      </c>
      <c r="H95" s="6">
        <f t="shared" si="10"/>
        <v>68631.704437549415</v>
      </c>
    </row>
    <row r="96" spans="2:8" x14ac:dyDescent="0.25">
      <c r="B96">
        <v>87</v>
      </c>
      <c r="C96" s="4">
        <f t="shared" si="7"/>
        <v>1000</v>
      </c>
      <c r="D96" s="4">
        <f t="shared" si="8"/>
        <v>5490.5363550039538</v>
      </c>
      <c r="F96">
        <v>87</v>
      </c>
      <c r="G96" s="6">
        <f t="shared" si="9"/>
        <v>10000</v>
      </c>
      <c r="H96" s="6">
        <f t="shared" si="10"/>
        <v>70004.338526300402</v>
      </c>
    </row>
    <row r="97" spans="2:8" x14ac:dyDescent="0.25">
      <c r="B97">
        <v>88</v>
      </c>
      <c r="C97" s="4">
        <f t="shared" si="7"/>
        <v>1000</v>
      </c>
      <c r="D97" s="4">
        <f t="shared" si="8"/>
        <v>5600.3470821040328</v>
      </c>
      <c r="F97">
        <v>88</v>
      </c>
      <c r="G97" s="6">
        <f t="shared" si="9"/>
        <v>10000</v>
      </c>
      <c r="H97" s="6">
        <f t="shared" si="10"/>
        <v>71404.425296826419</v>
      </c>
    </row>
    <row r="98" spans="2:8" x14ac:dyDescent="0.25">
      <c r="B98">
        <v>89</v>
      </c>
      <c r="C98" s="4">
        <f t="shared" si="7"/>
        <v>1000</v>
      </c>
      <c r="D98" s="4">
        <f t="shared" si="8"/>
        <v>5712.3540237461139</v>
      </c>
      <c r="F98">
        <v>89</v>
      </c>
      <c r="G98" s="6">
        <f t="shared" si="9"/>
        <v>10000</v>
      </c>
      <c r="H98" s="6">
        <f t="shared" si="10"/>
        <v>72832.513802762958</v>
      </c>
    </row>
    <row r="99" spans="2:8" x14ac:dyDescent="0.25">
      <c r="B99">
        <v>90</v>
      </c>
      <c r="C99" s="4">
        <f t="shared" si="7"/>
        <v>1000</v>
      </c>
      <c r="D99" s="4">
        <f t="shared" si="8"/>
        <v>5826.6011042210366</v>
      </c>
      <c r="F99">
        <v>90</v>
      </c>
      <c r="G99" s="6">
        <f t="shared" si="9"/>
        <v>10000</v>
      </c>
      <c r="H99" s="6">
        <f t="shared" si="10"/>
        <v>74289.164078818212</v>
      </c>
    </row>
    <row r="100" spans="2:8" x14ac:dyDescent="0.25">
      <c r="B100">
        <v>91</v>
      </c>
      <c r="C100" s="4">
        <f t="shared" si="7"/>
        <v>1000</v>
      </c>
      <c r="D100" s="4">
        <f t="shared" si="8"/>
        <v>5943.1331263054572</v>
      </c>
      <c r="F100">
        <v>91</v>
      </c>
      <c r="G100" s="6">
        <f t="shared" si="9"/>
        <v>10000</v>
      </c>
      <c r="H100" s="6">
        <f t="shared" si="10"/>
        <v>75774.947360394581</v>
      </c>
    </row>
    <row r="101" spans="2:8" x14ac:dyDescent="0.25">
      <c r="B101">
        <v>92</v>
      </c>
      <c r="C101" s="4">
        <f t="shared" si="7"/>
        <v>1000</v>
      </c>
      <c r="D101" s="4">
        <f t="shared" si="8"/>
        <v>6061.9957888315666</v>
      </c>
      <c r="F101">
        <v>92</v>
      </c>
      <c r="G101" s="6">
        <f t="shared" si="9"/>
        <v>10000</v>
      </c>
      <c r="H101" s="6">
        <f t="shared" si="10"/>
        <v>77290.446307602469</v>
      </c>
    </row>
    <row r="102" spans="2:8" x14ac:dyDescent="0.25">
      <c r="B102">
        <v>93</v>
      </c>
      <c r="C102" s="4">
        <f t="shared" si="7"/>
        <v>1000</v>
      </c>
      <c r="D102" s="4">
        <f t="shared" si="8"/>
        <v>6183.2357046081979</v>
      </c>
      <c r="F102">
        <v>93</v>
      </c>
      <c r="G102" s="6">
        <f t="shared" si="9"/>
        <v>10000</v>
      </c>
      <c r="H102" s="6">
        <f t="shared" si="10"/>
        <v>78836.25523375452</v>
      </c>
    </row>
    <row r="103" spans="2:8" x14ac:dyDescent="0.25">
      <c r="B103">
        <v>94</v>
      </c>
      <c r="C103" s="4">
        <f t="shared" si="7"/>
        <v>1000</v>
      </c>
      <c r="D103" s="4">
        <f t="shared" si="8"/>
        <v>6306.900418700362</v>
      </c>
      <c r="F103">
        <v>94</v>
      </c>
      <c r="G103" s="6">
        <f t="shared" si="9"/>
        <v>10000</v>
      </c>
      <c r="H103" s="6">
        <f t="shared" si="10"/>
        <v>80412.980338429625</v>
      </c>
    </row>
    <row r="104" spans="2:8" x14ac:dyDescent="0.25">
      <c r="B104">
        <v>95</v>
      </c>
      <c r="C104" s="4">
        <f t="shared" si="7"/>
        <v>1000</v>
      </c>
      <c r="D104" s="4">
        <f t="shared" si="8"/>
        <v>6433.0384270743698</v>
      </c>
      <c r="F104">
        <v>95</v>
      </c>
      <c r="G104" s="6">
        <f t="shared" si="9"/>
        <v>10000</v>
      </c>
      <c r="H104" s="6">
        <f t="shared" si="10"/>
        <v>82021.23994519822</v>
      </c>
    </row>
    <row r="105" spans="2:8" x14ac:dyDescent="0.25">
      <c r="B105">
        <v>96</v>
      </c>
      <c r="C105" s="4">
        <f t="shared" si="7"/>
        <v>1000</v>
      </c>
      <c r="D105" s="4">
        <f t="shared" si="8"/>
        <v>6561.6991956158572</v>
      </c>
      <c r="F105">
        <v>96</v>
      </c>
      <c r="G105" s="6">
        <f t="shared" si="9"/>
        <v>10000</v>
      </c>
      <c r="H105" s="6">
        <f t="shared" si="10"/>
        <v>83661.664744102178</v>
      </c>
    </row>
    <row r="106" spans="2:8" x14ac:dyDescent="0.25">
      <c r="B106">
        <v>97</v>
      </c>
      <c r="C106" s="4">
        <f t="shared" si="7"/>
        <v>1000</v>
      </c>
      <c r="D106" s="4">
        <f t="shared" si="8"/>
        <v>6692.9331795281742</v>
      </c>
      <c r="F106">
        <v>97</v>
      </c>
      <c r="G106" s="6">
        <f t="shared" si="9"/>
        <v>10000</v>
      </c>
      <c r="H106" s="6">
        <f t="shared" si="10"/>
        <v>85334.898038984218</v>
      </c>
    </row>
    <row r="107" spans="2:8" x14ac:dyDescent="0.25">
      <c r="B107">
        <v>98</v>
      </c>
      <c r="C107" s="4">
        <f t="shared" si="7"/>
        <v>1000</v>
      </c>
      <c r="D107" s="4">
        <f t="shared" si="8"/>
        <v>6826.7918431187381</v>
      </c>
      <c r="F107">
        <v>98</v>
      </c>
      <c r="G107" s="6">
        <f t="shared" si="9"/>
        <v>10000</v>
      </c>
      <c r="H107" s="6">
        <f t="shared" si="10"/>
        <v>87041.595999763915</v>
      </c>
    </row>
    <row r="108" spans="2:8" x14ac:dyDescent="0.25">
      <c r="B108">
        <v>99</v>
      </c>
      <c r="C108" s="4">
        <f t="shared" si="7"/>
        <v>1000</v>
      </c>
      <c r="D108" s="4">
        <f t="shared" si="8"/>
        <v>6963.3276799811129</v>
      </c>
      <c r="F108">
        <v>99</v>
      </c>
      <c r="G108" s="6">
        <f t="shared" si="9"/>
        <v>10000</v>
      </c>
      <c r="H108" s="6">
        <f t="shared" si="10"/>
        <v>88782.427919759182</v>
      </c>
    </row>
    <row r="109" spans="2:8" x14ac:dyDescent="0.25">
      <c r="B109">
        <v>100</v>
      </c>
      <c r="C109" s="4">
        <f t="shared" si="7"/>
        <v>1000</v>
      </c>
      <c r="D109" s="4">
        <f t="shared" si="8"/>
        <v>7102.5942335807349</v>
      </c>
      <c r="F109">
        <v>100</v>
      </c>
      <c r="G109" s="6">
        <f t="shared" si="9"/>
        <v>10000</v>
      </c>
      <c r="H109" s="6">
        <f t="shared" si="10"/>
        <v>90558.076478154369</v>
      </c>
    </row>
    <row r="110" spans="2:8" x14ac:dyDescent="0.25">
      <c r="B110">
        <v>101</v>
      </c>
      <c r="C110" s="4">
        <f t="shared" si="7"/>
        <v>1000</v>
      </c>
      <c r="D110" s="4">
        <f t="shared" si="8"/>
        <v>7244.6461182523499</v>
      </c>
      <c r="F110">
        <v>101</v>
      </c>
      <c r="G110" s="6">
        <f t="shared" si="9"/>
        <v>10000</v>
      </c>
      <c r="H110" s="6">
        <f t="shared" si="10"/>
        <v>92369.23800771746</v>
      </c>
    </row>
    <row r="111" spans="2:8" x14ac:dyDescent="0.25">
      <c r="B111">
        <v>102</v>
      </c>
      <c r="C111" s="4">
        <f t="shared" si="7"/>
        <v>1000</v>
      </c>
      <c r="D111" s="4">
        <f t="shared" si="8"/>
        <v>7389.5390406173974</v>
      </c>
      <c r="F111">
        <v>102</v>
      </c>
      <c r="G111" s="6">
        <f t="shared" si="9"/>
        <v>10000</v>
      </c>
      <c r="H111" s="6">
        <f t="shared" si="10"/>
        <v>94216.622767871813</v>
      </c>
    </row>
    <row r="112" spans="2:8" x14ac:dyDescent="0.25">
      <c r="B112">
        <v>103</v>
      </c>
      <c r="C112" s="4">
        <f t="shared" si="7"/>
        <v>1000</v>
      </c>
      <c r="D112" s="4">
        <f t="shared" si="8"/>
        <v>7537.3298214297456</v>
      </c>
      <c r="F112">
        <v>103</v>
      </c>
      <c r="G112" s="6">
        <f t="shared" si="9"/>
        <v>10000</v>
      </c>
      <c r="H112" s="6">
        <f t="shared" si="10"/>
        <v>96100.955223229248</v>
      </c>
    </row>
    <row r="113" spans="2:8" x14ac:dyDescent="0.25">
      <c r="B113">
        <v>104</v>
      </c>
      <c r="C113" s="4">
        <f t="shared" si="7"/>
        <v>1000</v>
      </c>
      <c r="D113" s="4">
        <f t="shared" si="8"/>
        <v>7688.0764178583404</v>
      </c>
      <c r="F113">
        <v>104</v>
      </c>
      <c r="G113" s="6">
        <f t="shared" si="9"/>
        <v>10000</v>
      </c>
      <c r="H113" s="6">
        <f t="shared" si="10"/>
        <v>98022.974327693839</v>
      </c>
    </row>
    <row r="114" spans="2:8" x14ac:dyDescent="0.25">
      <c r="B114">
        <v>105</v>
      </c>
      <c r="C114" s="4">
        <f t="shared" si="7"/>
        <v>1000</v>
      </c>
      <c r="D114" s="4">
        <f t="shared" si="8"/>
        <v>7841.8379462155071</v>
      </c>
      <c r="F114">
        <v>105</v>
      </c>
      <c r="G114" s="6">
        <f t="shared" si="9"/>
        <v>10000</v>
      </c>
      <c r="H114" s="6">
        <f t="shared" si="10"/>
        <v>99983.433814247706</v>
      </c>
    </row>
    <row r="115" spans="2:8" x14ac:dyDescent="0.25">
      <c r="B115">
        <v>106</v>
      </c>
      <c r="C115" s="4">
        <f t="shared" si="7"/>
        <v>1000</v>
      </c>
      <c r="D115" s="4">
        <f t="shared" si="8"/>
        <v>7998.674705139817</v>
      </c>
      <c r="F115">
        <v>106</v>
      </c>
      <c r="G115" s="6">
        <f t="shared" si="9"/>
        <v>10000</v>
      </c>
      <c r="H115" s="6">
        <f t="shared" si="10"/>
        <v>101983.10249053266</v>
      </c>
    </row>
    <row r="116" spans="2:8" x14ac:dyDescent="0.25">
      <c r="B116">
        <v>107</v>
      </c>
      <c r="C116" s="4">
        <f t="shared" si="7"/>
        <v>1000</v>
      </c>
      <c r="D116" s="4">
        <f t="shared" si="8"/>
        <v>8158.6481992426134</v>
      </c>
      <c r="F116">
        <v>107</v>
      </c>
      <c r="G116" s="6">
        <f t="shared" si="9"/>
        <v>10000</v>
      </c>
      <c r="H116" s="6">
        <f t="shared" si="10"/>
        <v>104022.76454034331</v>
      </c>
    </row>
    <row r="117" spans="2:8" x14ac:dyDescent="0.25">
      <c r="B117">
        <v>108</v>
      </c>
      <c r="C117" s="4">
        <f t="shared" si="7"/>
        <v>1000</v>
      </c>
      <c r="D117" s="4">
        <f t="shared" si="8"/>
        <v>8321.8211632274651</v>
      </c>
      <c r="F117">
        <v>108</v>
      </c>
      <c r="G117" s="6">
        <f t="shared" si="9"/>
        <v>10000</v>
      </c>
      <c r="H117" s="6">
        <f t="shared" si="10"/>
        <v>106103.21983115019</v>
      </c>
    </row>
    <row r="118" spans="2:8" x14ac:dyDescent="0.25">
      <c r="B118">
        <v>109</v>
      </c>
      <c r="C118" s="4">
        <f t="shared" si="7"/>
        <v>1000</v>
      </c>
      <c r="D118" s="4">
        <f t="shared" si="8"/>
        <v>8488.2575864920145</v>
      </c>
      <c r="F118">
        <v>109</v>
      </c>
      <c r="G118" s="6">
        <f t="shared" si="9"/>
        <v>10000</v>
      </c>
      <c r="H118" s="6">
        <f t="shared" si="10"/>
        <v>108225.28422777318</v>
      </c>
    </row>
    <row r="119" spans="2:8" x14ac:dyDescent="0.25">
      <c r="B119">
        <v>110</v>
      </c>
      <c r="C119" s="4">
        <f t="shared" si="7"/>
        <v>1000</v>
      </c>
      <c r="D119" s="4">
        <f t="shared" si="8"/>
        <v>8658.0227382218545</v>
      </c>
      <c r="F119">
        <v>110</v>
      </c>
      <c r="G119" s="6">
        <f t="shared" si="9"/>
        <v>10000</v>
      </c>
      <c r="H119" s="6">
        <f t="shared" si="10"/>
        <v>110389.78991232863</v>
      </c>
    </row>
    <row r="120" spans="2:8" x14ac:dyDescent="0.25">
      <c r="B120">
        <v>111</v>
      </c>
      <c r="C120" s="4">
        <f t="shared" si="7"/>
        <v>1000</v>
      </c>
      <c r="D120" s="4">
        <f t="shared" si="8"/>
        <v>8831.183192986291</v>
      </c>
      <c r="F120">
        <v>111</v>
      </c>
      <c r="G120" s="6">
        <f t="shared" si="9"/>
        <v>10000</v>
      </c>
      <c r="H120" s="6">
        <f t="shared" si="10"/>
        <v>112597.58571057521</v>
      </c>
    </row>
    <row r="121" spans="2:8" x14ac:dyDescent="0.25">
      <c r="B121">
        <v>112</v>
      </c>
      <c r="C121" s="4">
        <f t="shared" si="7"/>
        <v>1000</v>
      </c>
      <c r="D121" s="4">
        <f t="shared" si="8"/>
        <v>9007.8068568460167</v>
      </c>
      <c r="F121">
        <v>112</v>
      </c>
      <c r="G121" s="6">
        <f t="shared" si="9"/>
        <v>10000</v>
      </c>
      <c r="H121" s="6">
        <f t="shared" si="10"/>
        <v>114849.53742478671</v>
      </c>
    </row>
    <row r="122" spans="2:8" x14ac:dyDescent="0.25">
      <c r="B122">
        <v>113</v>
      </c>
      <c r="C122" s="4">
        <f t="shared" si="7"/>
        <v>1000</v>
      </c>
      <c r="D122" s="4">
        <f t="shared" si="8"/>
        <v>9187.9629939829374</v>
      </c>
      <c r="F122">
        <v>113</v>
      </c>
      <c r="G122" s="6">
        <f t="shared" si="9"/>
        <v>10000</v>
      </c>
      <c r="H122" s="6">
        <f t="shared" si="10"/>
        <v>117146.52817328244</v>
      </c>
    </row>
    <row r="123" spans="2:8" x14ac:dyDescent="0.25">
      <c r="B123">
        <v>114</v>
      </c>
      <c r="C123" s="4">
        <f t="shared" si="7"/>
        <v>1000</v>
      </c>
      <c r="D123" s="4">
        <f t="shared" si="8"/>
        <v>9371.7222538625956</v>
      </c>
      <c r="F123">
        <v>114</v>
      </c>
      <c r="G123" s="6">
        <f t="shared" si="9"/>
        <v>10000</v>
      </c>
      <c r="H123" s="6">
        <f t="shared" si="10"/>
        <v>119489.45873674809</v>
      </c>
    </row>
    <row r="124" spans="2:8" x14ac:dyDescent="0.25">
      <c r="B124">
        <v>115</v>
      </c>
      <c r="C124" s="4">
        <f t="shared" si="7"/>
        <v>1000</v>
      </c>
      <c r="D124" s="4">
        <f t="shared" si="8"/>
        <v>9559.156698939847</v>
      </c>
      <c r="F124">
        <v>115</v>
      </c>
      <c r="G124" s="6">
        <f t="shared" si="9"/>
        <v>10000</v>
      </c>
      <c r="H124" s="6">
        <f t="shared" si="10"/>
        <v>121879.24791148305</v>
      </c>
    </row>
    <row r="125" spans="2:8" x14ac:dyDescent="0.25">
      <c r="B125">
        <v>116</v>
      </c>
      <c r="C125" s="4">
        <f t="shared" si="7"/>
        <v>1000</v>
      </c>
      <c r="D125" s="4">
        <f t="shared" si="8"/>
        <v>9750.3398329186439</v>
      </c>
      <c r="F125">
        <v>116</v>
      </c>
      <c r="G125" s="6">
        <f t="shared" si="9"/>
        <v>10000</v>
      </c>
      <c r="H125" s="6">
        <f t="shared" si="10"/>
        <v>124316.83286971271</v>
      </c>
    </row>
    <row r="126" spans="2:8" x14ac:dyDescent="0.25">
      <c r="B126">
        <v>117</v>
      </c>
      <c r="C126" s="4">
        <f t="shared" si="7"/>
        <v>1000</v>
      </c>
      <c r="D126" s="4">
        <f t="shared" si="8"/>
        <v>9945.3466295770177</v>
      </c>
      <c r="F126">
        <v>117</v>
      </c>
      <c r="G126" s="6">
        <f t="shared" si="9"/>
        <v>10000</v>
      </c>
      <c r="H126" s="6">
        <f t="shared" si="10"/>
        <v>126803.16952710698</v>
      </c>
    </row>
    <row r="127" spans="2:8" x14ac:dyDescent="0.25">
      <c r="B127">
        <v>118</v>
      </c>
      <c r="C127" s="4">
        <f t="shared" si="7"/>
        <v>1000</v>
      </c>
      <c r="D127" s="4">
        <f t="shared" si="8"/>
        <v>10144.253562168558</v>
      </c>
      <c r="F127">
        <v>118</v>
      </c>
      <c r="G127" s="6">
        <f t="shared" si="9"/>
        <v>10000</v>
      </c>
      <c r="H127" s="6">
        <f t="shared" si="10"/>
        <v>129339.2329176491</v>
      </c>
    </row>
    <row r="128" spans="2:8" x14ac:dyDescent="0.25">
      <c r="B128">
        <v>119</v>
      </c>
      <c r="C128" s="4">
        <f t="shared" si="7"/>
        <v>1000</v>
      </c>
      <c r="D128" s="4">
        <f t="shared" si="8"/>
        <v>10347.138633411929</v>
      </c>
      <c r="F128">
        <v>119</v>
      </c>
      <c r="G128" s="6">
        <f t="shared" si="9"/>
        <v>10000</v>
      </c>
      <c r="H128" s="6">
        <f t="shared" si="10"/>
        <v>131926.01757600208</v>
      </c>
    </row>
    <row r="129" spans="2:8" x14ac:dyDescent="0.25">
      <c r="B129">
        <v>120</v>
      </c>
      <c r="C129" s="4">
        <f t="shared" si="7"/>
        <v>1000</v>
      </c>
      <c r="D129" s="4">
        <f t="shared" si="8"/>
        <v>10554.081406080168</v>
      </c>
      <c r="F129">
        <v>120</v>
      </c>
      <c r="G129" s="6">
        <f t="shared" si="9"/>
        <v>10000</v>
      </c>
      <c r="H129" s="6">
        <f t="shared" si="10"/>
        <v>134564.53792752212</v>
      </c>
    </row>
    <row r="130" spans="2:8" x14ac:dyDescent="0.25">
      <c r="B130">
        <v>121</v>
      </c>
      <c r="C130" s="4">
        <f t="shared" si="7"/>
        <v>1000</v>
      </c>
      <c r="D130" s="4">
        <f t="shared" si="8"/>
        <v>10765.163034201771</v>
      </c>
      <c r="F130">
        <v>121</v>
      </c>
      <c r="G130" s="6">
        <f t="shared" si="9"/>
        <v>10000</v>
      </c>
      <c r="H130" s="6">
        <f t="shared" si="10"/>
        <v>137255.82868607258</v>
      </c>
    </row>
    <row r="131" spans="2:8" x14ac:dyDescent="0.25">
      <c r="B131">
        <v>122</v>
      </c>
      <c r="C131" s="4">
        <f t="shared" si="7"/>
        <v>1000</v>
      </c>
      <c r="D131" s="4">
        <f t="shared" si="8"/>
        <v>10980.466294885806</v>
      </c>
      <c r="F131">
        <v>122</v>
      </c>
      <c r="G131" s="6">
        <f t="shared" si="9"/>
        <v>10000</v>
      </c>
      <c r="H131" s="6">
        <f t="shared" si="10"/>
        <v>140000.94525979401</v>
      </c>
    </row>
    <row r="132" spans="2:8" x14ac:dyDescent="0.25">
      <c r="B132">
        <v>123</v>
      </c>
      <c r="C132" s="4">
        <f t="shared" si="7"/>
        <v>1000</v>
      </c>
      <c r="D132" s="4">
        <f t="shared" si="8"/>
        <v>11200.075620783522</v>
      </c>
      <c r="F132">
        <v>123</v>
      </c>
      <c r="G132" s="6">
        <f t="shared" si="9"/>
        <v>10000</v>
      </c>
      <c r="H132" s="6">
        <f t="shared" si="10"/>
        <v>142800.96416498991</v>
      </c>
    </row>
    <row r="133" spans="2:8" x14ac:dyDescent="0.25">
      <c r="B133">
        <v>124</v>
      </c>
      <c r="C133" s="4">
        <f t="shared" si="7"/>
        <v>1000</v>
      </c>
      <c r="D133" s="4">
        <f t="shared" si="8"/>
        <v>11424.077133199193</v>
      </c>
      <c r="F133">
        <v>124</v>
      </c>
      <c r="G133" s="6">
        <f t="shared" si="9"/>
        <v>10000</v>
      </c>
      <c r="H133" s="6">
        <f t="shared" si="10"/>
        <v>145656.98344828971</v>
      </c>
    </row>
    <row r="134" spans="2:8" x14ac:dyDescent="0.25">
      <c r="B134">
        <v>125</v>
      </c>
      <c r="C134" s="4">
        <f t="shared" si="7"/>
        <v>1000</v>
      </c>
      <c r="D134" s="4">
        <f t="shared" si="8"/>
        <v>11652.558675863176</v>
      </c>
      <c r="F134">
        <v>125</v>
      </c>
      <c r="G134" s="6">
        <f t="shared" si="9"/>
        <v>10000</v>
      </c>
      <c r="H134" s="6">
        <f t="shared" si="10"/>
        <v>148570.12311725551</v>
      </c>
    </row>
    <row r="135" spans="2:8" x14ac:dyDescent="0.25">
      <c r="B135">
        <v>126</v>
      </c>
      <c r="C135" s="4">
        <f t="shared" si="7"/>
        <v>1000</v>
      </c>
      <c r="D135" s="4">
        <f t="shared" si="8"/>
        <v>11885.60984938044</v>
      </c>
      <c r="F135">
        <v>126</v>
      </c>
      <c r="G135" s="6">
        <f t="shared" si="9"/>
        <v>10000</v>
      </c>
      <c r="H135" s="6">
        <f t="shared" si="10"/>
        <v>151541.52557960062</v>
      </c>
    </row>
    <row r="136" spans="2:8" x14ac:dyDescent="0.25">
      <c r="B136">
        <v>127</v>
      </c>
      <c r="C136" s="4">
        <f t="shared" si="7"/>
        <v>1000</v>
      </c>
      <c r="D136" s="4">
        <f t="shared" si="8"/>
        <v>12123.32204636805</v>
      </c>
      <c r="F136">
        <v>127</v>
      </c>
      <c r="G136" s="6">
        <f t="shared" si="9"/>
        <v>10000</v>
      </c>
      <c r="H136" s="6">
        <f t="shared" si="10"/>
        <v>154572.35609119263</v>
      </c>
    </row>
    <row r="137" spans="2:8" x14ac:dyDescent="0.25">
      <c r="B137">
        <v>128</v>
      </c>
      <c r="C137" s="4">
        <f t="shared" si="7"/>
        <v>1000</v>
      </c>
      <c r="D137" s="4">
        <f t="shared" si="8"/>
        <v>12365.788487295411</v>
      </c>
      <c r="F137">
        <v>128</v>
      </c>
      <c r="G137" s="6">
        <f t="shared" si="9"/>
        <v>10000</v>
      </c>
      <c r="H137" s="6">
        <f t="shared" si="10"/>
        <v>157663.80321301648</v>
      </c>
    </row>
    <row r="138" spans="2:8" x14ac:dyDescent="0.25">
      <c r="B138">
        <v>129</v>
      </c>
      <c r="C138" s="4">
        <f t="shared" ref="C138:C201" si="11">C137*(1+C$8)</f>
        <v>1000</v>
      </c>
      <c r="D138" s="4">
        <f t="shared" ref="D138:D201" si="12">D137*(1+D$8)</f>
        <v>12613.104257041319</v>
      </c>
      <c r="F138">
        <v>129</v>
      </c>
      <c r="G138" s="6">
        <f t="shared" ref="G138:G201" si="13">C139/$B$4</f>
        <v>10000</v>
      </c>
      <c r="H138" s="6">
        <f t="shared" si="10"/>
        <v>160817.07927727682</v>
      </c>
    </row>
    <row r="139" spans="2:8" x14ac:dyDescent="0.25">
      <c r="B139">
        <v>130</v>
      </c>
      <c r="C139" s="4">
        <f t="shared" si="11"/>
        <v>1000</v>
      </c>
      <c r="D139" s="4">
        <f t="shared" si="12"/>
        <v>12865.366342182146</v>
      </c>
      <c r="F139">
        <v>130</v>
      </c>
      <c r="G139" s="6">
        <f t="shared" si="13"/>
        <v>10000</v>
      </c>
      <c r="H139" s="6">
        <f t="shared" ref="H139:H202" si="14">D140/($B$4-$B$3)</f>
        <v>164033.42086282236</v>
      </c>
    </row>
    <row r="140" spans="2:8" x14ac:dyDescent="0.25">
      <c r="B140">
        <v>131</v>
      </c>
      <c r="C140" s="4">
        <f t="shared" si="11"/>
        <v>1000</v>
      </c>
      <c r="D140" s="4">
        <f t="shared" si="12"/>
        <v>13122.673669025789</v>
      </c>
      <c r="F140">
        <v>131</v>
      </c>
      <c r="G140" s="6">
        <f t="shared" si="13"/>
        <v>10000</v>
      </c>
      <c r="H140" s="6">
        <f t="shared" si="14"/>
        <v>167314.0892800788</v>
      </c>
    </row>
    <row r="141" spans="2:8" x14ac:dyDescent="0.25">
      <c r="B141">
        <v>132</v>
      </c>
      <c r="C141" s="4">
        <f t="shared" si="11"/>
        <v>1000</v>
      </c>
      <c r="D141" s="4">
        <f t="shared" si="12"/>
        <v>13385.127142406305</v>
      </c>
      <c r="F141">
        <v>132</v>
      </c>
      <c r="G141" s="6">
        <f t="shared" si="13"/>
        <v>10000</v>
      </c>
      <c r="H141" s="6">
        <f t="shared" si="14"/>
        <v>170660.3710656804</v>
      </c>
    </row>
    <row r="142" spans="2:8" x14ac:dyDescent="0.25">
      <c r="B142">
        <v>133</v>
      </c>
      <c r="C142" s="4">
        <f t="shared" si="11"/>
        <v>1000</v>
      </c>
      <c r="D142" s="4">
        <f t="shared" si="12"/>
        <v>13652.829685254432</v>
      </c>
      <c r="F142">
        <v>133</v>
      </c>
      <c r="G142" s="6">
        <f t="shared" si="13"/>
        <v>10000</v>
      </c>
      <c r="H142" s="6">
        <f t="shared" si="14"/>
        <v>174073.578486994</v>
      </c>
    </row>
    <row r="143" spans="2:8" x14ac:dyDescent="0.25">
      <c r="B143">
        <v>134</v>
      </c>
      <c r="C143" s="4">
        <f t="shared" si="11"/>
        <v>1000</v>
      </c>
      <c r="D143" s="4">
        <f t="shared" si="12"/>
        <v>13925.88627895952</v>
      </c>
      <c r="F143">
        <v>134</v>
      </c>
      <c r="G143" s="6">
        <f t="shared" si="13"/>
        <v>10000</v>
      </c>
      <c r="H143" s="6">
        <f t="shared" si="14"/>
        <v>177555.05005673389</v>
      </c>
    </row>
    <row r="144" spans="2:8" x14ac:dyDescent="0.25">
      <c r="B144">
        <v>135</v>
      </c>
      <c r="C144" s="4">
        <f t="shared" si="11"/>
        <v>1000</v>
      </c>
      <c r="D144" s="4">
        <f t="shared" si="12"/>
        <v>14204.404004538712</v>
      </c>
      <c r="F144">
        <v>135</v>
      </c>
      <c r="G144" s="6">
        <f t="shared" si="13"/>
        <v>10000</v>
      </c>
      <c r="H144" s="6">
        <f t="shared" si="14"/>
        <v>181106.15105786858</v>
      </c>
    </row>
    <row r="145" spans="2:8" x14ac:dyDescent="0.25">
      <c r="B145">
        <v>136</v>
      </c>
      <c r="C145" s="4">
        <f t="shared" si="11"/>
        <v>1000</v>
      </c>
      <c r="D145" s="4">
        <f t="shared" si="12"/>
        <v>14488.492084629486</v>
      </c>
      <c r="F145">
        <v>136</v>
      </c>
      <c r="G145" s="6">
        <f t="shared" si="13"/>
        <v>10000</v>
      </c>
      <c r="H145" s="6">
        <f t="shared" si="14"/>
        <v>184728.27407902596</v>
      </c>
    </row>
    <row r="146" spans="2:8" x14ac:dyDescent="0.25">
      <c r="B146">
        <v>137</v>
      </c>
      <c r="C146" s="4">
        <f t="shared" si="11"/>
        <v>1000</v>
      </c>
      <c r="D146" s="4">
        <f t="shared" si="12"/>
        <v>14778.261926322077</v>
      </c>
      <c r="F146">
        <v>137</v>
      </c>
      <c r="G146" s="6">
        <f t="shared" si="13"/>
        <v>10000</v>
      </c>
      <c r="H146" s="6">
        <f t="shared" si="14"/>
        <v>188422.83956060649</v>
      </c>
    </row>
    <row r="147" spans="2:8" x14ac:dyDescent="0.25">
      <c r="B147">
        <v>138</v>
      </c>
      <c r="C147" s="4">
        <f t="shared" si="11"/>
        <v>1000</v>
      </c>
      <c r="D147" s="4">
        <f t="shared" si="12"/>
        <v>15073.827164848519</v>
      </c>
      <c r="F147">
        <v>138</v>
      </c>
      <c r="G147" s="6">
        <f t="shared" si="13"/>
        <v>10000</v>
      </c>
      <c r="H147" s="6">
        <f t="shared" si="14"/>
        <v>192191.2963518186</v>
      </c>
    </row>
    <row r="148" spans="2:8" x14ac:dyDescent="0.25">
      <c r="B148">
        <v>139</v>
      </c>
      <c r="C148" s="4">
        <f t="shared" si="11"/>
        <v>1000</v>
      </c>
      <c r="D148" s="4">
        <f t="shared" si="12"/>
        <v>15375.30370814549</v>
      </c>
      <c r="F148">
        <v>139</v>
      </c>
      <c r="G148" s="6">
        <f t="shared" si="13"/>
        <v>10000</v>
      </c>
      <c r="H148" s="6">
        <f t="shared" si="14"/>
        <v>196035.12227885498</v>
      </c>
    </row>
    <row r="149" spans="2:8" x14ac:dyDescent="0.25">
      <c r="B149">
        <v>140</v>
      </c>
      <c r="C149" s="4">
        <f t="shared" si="11"/>
        <v>1000</v>
      </c>
      <c r="D149" s="4">
        <f t="shared" si="12"/>
        <v>15682.809782308399</v>
      </c>
      <c r="F149">
        <v>140</v>
      </c>
      <c r="G149" s="6">
        <f t="shared" si="13"/>
        <v>10000</v>
      </c>
      <c r="H149" s="6">
        <f t="shared" si="14"/>
        <v>199955.82472443208</v>
      </c>
    </row>
    <row r="150" spans="2:8" x14ac:dyDescent="0.25">
      <c r="B150">
        <v>141</v>
      </c>
      <c r="C150" s="4">
        <f t="shared" si="11"/>
        <v>1000</v>
      </c>
      <c r="D150" s="4">
        <f t="shared" si="12"/>
        <v>15996.465977954567</v>
      </c>
      <c r="F150">
        <v>141</v>
      </c>
      <c r="G150" s="6">
        <f t="shared" si="13"/>
        <v>10000</v>
      </c>
      <c r="H150" s="6">
        <f t="shared" si="14"/>
        <v>203954.94121892072</v>
      </c>
    </row>
    <row r="151" spans="2:8" x14ac:dyDescent="0.25">
      <c r="B151">
        <v>142</v>
      </c>
      <c r="C151" s="4">
        <f t="shared" si="11"/>
        <v>1000</v>
      </c>
      <c r="D151" s="4">
        <f t="shared" si="12"/>
        <v>16316.395297513658</v>
      </c>
      <c r="F151">
        <v>142</v>
      </c>
      <c r="G151" s="6">
        <f t="shared" si="13"/>
        <v>10000</v>
      </c>
      <c r="H151" s="6">
        <f t="shared" si="14"/>
        <v>208034.04004329914</v>
      </c>
    </row>
    <row r="152" spans="2:8" x14ac:dyDescent="0.25">
      <c r="B152">
        <v>143</v>
      </c>
      <c r="C152" s="4">
        <f t="shared" si="11"/>
        <v>1000</v>
      </c>
      <c r="D152" s="4">
        <f t="shared" si="12"/>
        <v>16642.723203463931</v>
      </c>
      <c r="F152">
        <v>143</v>
      </c>
      <c r="G152" s="6">
        <f t="shared" si="13"/>
        <v>10000</v>
      </c>
      <c r="H152" s="6">
        <f t="shared" si="14"/>
        <v>212194.7208441651</v>
      </c>
    </row>
    <row r="153" spans="2:8" x14ac:dyDescent="0.25">
      <c r="B153">
        <v>144</v>
      </c>
      <c r="C153" s="4">
        <f t="shared" si="11"/>
        <v>1000</v>
      </c>
      <c r="D153" s="4">
        <f t="shared" si="12"/>
        <v>16975.577667533209</v>
      </c>
      <c r="F153">
        <v>144</v>
      </c>
      <c r="G153" s="6">
        <f t="shared" si="13"/>
        <v>10000</v>
      </c>
      <c r="H153" s="6">
        <f t="shared" si="14"/>
        <v>216438.61526104843</v>
      </c>
    </row>
    <row r="154" spans="2:8" x14ac:dyDescent="0.25">
      <c r="B154">
        <v>145</v>
      </c>
      <c r="C154" s="4">
        <f t="shared" si="11"/>
        <v>1000</v>
      </c>
      <c r="D154" s="4">
        <f t="shared" si="12"/>
        <v>17315.089220883874</v>
      </c>
      <c r="F154">
        <v>145</v>
      </c>
      <c r="G154" s="6">
        <f t="shared" si="13"/>
        <v>10000</v>
      </c>
      <c r="H154" s="6">
        <f t="shared" si="14"/>
        <v>220767.3875662694</v>
      </c>
    </row>
    <row r="155" spans="2:8" x14ac:dyDescent="0.25">
      <c r="B155">
        <v>146</v>
      </c>
      <c r="C155" s="4">
        <f t="shared" si="11"/>
        <v>1000</v>
      </c>
      <c r="D155" s="4">
        <f t="shared" si="12"/>
        <v>17661.391005301553</v>
      </c>
      <c r="F155">
        <v>146</v>
      </c>
      <c r="G155" s="6">
        <f t="shared" si="13"/>
        <v>10000</v>
      </c>
      <c r="H155" s="6">
        <f t="shared" si="14"/>
        <v>225182.73531759481</v>
      </c>
    </row>
    <row r="156" spans="2:8" x14ac:dyDescent="0.25">
      <c r="B156">
        <v>147</v>
      </c>
      <c r="C156" s="4">
        <f t="shared" si="11"/>
        <v>1000</v>
      </c>
      <c r="D156" s="4">
        <f t="shared" si="12"/>
        <v>18014.618825407586</v>
      </c>
      <c r="F156">
        <v>147</v>
      </c>
      <c r="G156" s="6">
        <f t="shared" si="13"/>
        <v>10000</v>
      </c>
      <c r="H156" s="6">
        <f t="shared" si="14"/>
        <v>229686.3900239467</v>
      </c>
    </row>
    <row r="157" spans="2:8" x14ac:dyDescent="0.25">
      <c r="B157">
        <v>148</v>
      </c>
      <c r="C157" s="4">
        <f t="shared" si="11"/>
        <v>1000</v>
      </c>
      <c r="D157" s="4">
        <f t="shared" si="12"/>
        <v>18374.911201915736</v>
      </c>
      <c r="F157">
        <v>148</v>
      </c>
      <c r="G157" s="6">
        <f t="shared" si="13"/>
        <v>10000</v>
      </c>
      <c r="H157" s="6">
        <f t="shared" si="14"/>
        <v>234280.11782442563</v>
      </c>
    </row>
    <row r="158" spans="2:8" x14ac:dyDescent="0.25">
      <c r="B158">
        <v>149</v>
      </c>
      <c r="C158" s="4">
        <f t="shared" si="11"/>
        <v>1000</v>
      </c>
      <c r="D158" s="4">
        <f t="shared" si="12"/>
        <v>18742.409425954051</v>
      </c>
      <c r="F158">
        <v>149</v>
      </c>
      <c r="G158" s="6">
        <f t="shared" si="13"/>
        <v>10000</v>
      </c>
      <c r="H158" s="6">
        <f t="shared" si="14"/>
        <v>238965.72018091416</v>
      </c>
    </row>
    <row r="159" spans="2:8" x14ac:dyDescent="0.25">
      <c r="B159">
        <v>150</v>
      </c>
      <c r="C159" s="4">
        <f t="shared" si="11"/>
        <v>1000</v>
      </c>
      <c r="D159" s="4">
        <f t="shared" si="12"/>
        <v>19117.257614473132</v>
      </c>
      <c r="F159">
        <v>150</v>
      </c>
      <c r="G159" s="6">
        <f t="shared" si="13"/>
        <v>10000</v>
      </c>
      <c r="H159" s="6">
        <f t="shared" si="14"/>
        <v>243745.03458453246</v>
      </c>
    </row>
    <row r="160" spans="2:8" x14ac:dyDescent="0.25">
      <c r="B160">
        <v>151</v>
      </c>
      <c r="C160" s="4">
        <f t="shared" si="11"/>
        <v>1000</v>
      </c>
      <c r="D160" s="4">
        <f t="shared" si="12"/>
        <v>19499.602766762597</v>
      </c>
      <c r="F160">
        <v>151</v>
      </c>
      <c r="G160" s="6">
        <f t="shared" si="13"/>
        <v>10000</v>
      </c>
      <c r="H160" s="6">
        <f t="shared" si="14"/>
        <v>248619.93527622311</v>
      </c>
    </row>
    <row r="161" spans="2:8" x14ac:dyDescent="0.25">
      <c r="B161">
        <v>152</v>
      </c>
      <c r="C161" s="4">
        <f t="shared" si="11"/>
        <v>1000</v>
      </c>
      <c r="D161" s="4">
        <f t="shared" si="12"/>
        <v>19889.59482209785</v>
      </c>
      <c r="F161">
        <v>152</v>
      </c>
      <c r="G161" s="6">
        <f t="shared" si="13"/>
        <v>10000</v>
      </c>
      <c r="H161" s="6">
        <f t="shared" si="14"/>
        <v>253592.33398174759</v>
      </c>
    </row>
    <row r="162" spans="2:8" x14ac:dyDescent="0.25">
      <c r="B162">
        <v>153</v>
      </c>
      <c r="C162" s="4">
        <f t="shared" si="11"/>
        <v>1000</v>
      </c>
      <c r="D162" s="4">
        <f t="shared" si="12"/>
        <v>20287.386718539808</v>
      </c>
      <c r="F162">
        <v>153</v>
      </c>
      <c r="G162" s="6">
        <f t="shared" si="13"/>
        <v>10000</v>
      </c>
      <c r="H162" s="6">
        <f t="shared" si="14"/>
        <v>258664.18066138256</v>
      </c>
    </row>
    <row r="163" spans="2:8" x14ac:dyDescent="0.25">
      <c r="B163">
        <v>154</v>
      </c>
      <c r="C163" s="4">
        <f t="shared" si="11"/>
        <v>1000</v>
      </c>
      <c r="D163" s="4">
        <f t="shared" si="12"/>
        <v>20693.134452910606</v>
      </c>
      <c r="F163">
        <v>154</v>
      </c>
      <c r="G163" s="6">
        <f t="shared" si="13"/>
        <v>10000</v>
      </c>
      <c r="H163" s="6">
        <f t="shared" si="14"/>
        <v>263837.46427461022</v>
      </c>
    </row>
    <row r="164" spans="2:8" x14ac:dyDescent="0.25">
      <c r="B164">
        <v>155</v>
      </c>
      <c r="C164" s="4">
        <f t="shared" si="11"/>
        <v>1000</v>
      </c>
      <c r="D164" s="4">
        <f t="shared" si="12"/>
        <v>21106.997141968819</v>
      </c>
      <c r="F164">
        <v>155</v>
      </c>
      <c r="G164" s="6">
        <f t="shared" si="13"/>
        <v>10000</v>
      </c>
      <c r="H164" s="6">
        <f t="shared" si="14"/>
        <v>269114.21356010245</v>
      </c>
    </row>
    <row r="165" spans="2:8" x14ac:dyDescent="0.25">
      <c r="B165">
        <v>156</v>
      </c>
      <c r="C165" s="4">
        <f t="shared" si="11"/>
        <v>1000</v>
      </c>
      <c r="D165" s="4">
        <f t="shared" si="12"/>
        <v>21529.137084808197</v>
      </c>
      <c r="F165">
        <v>156</v>
      </c>
      <c r="G165" s="6">
        <f t="shared" si="13"/>
        <v>10000</v>
      </c>
      <c r="H165" s="6">
        <f t="shared" si="14"/>
        <v>274496.4978313045</v>
      </c>
    </row>
    <row r="166" spans="2:8" x14ac:dyDescent="0.25">
      <c r="B166">
        <v>157</v>
      </c>
      <c r="C166" s="4">
        <f t="shared" si="11"/>
        <v>1000</v>
      </c>
      <c r="D166" s="4">
        <f t="shared" si="12"/>
        <v>21959.719826504363</v>
      </c>
      <c r="F166">
        <v>157</v>
      </c>
      <c r="G166" s="6">
        <f t="shared" si="13"/>
        <v>10000</v>
      </c>
      <c r="H166" s="6">
        <f t="shared" si="14"/>
        <v>279986.42778793065</v>
      </c>
    </row>
    <row r="167" spans="2:8" x14ac:dyDescent="0.25">
      <c r="B167">
        <v>158</v>
      </c>
      <c r="C167" s="4">
        <f t="shared" si="11"/>
        <v>1000</v>
      </c>
      <c r="D167" s="4">
        <f t="shared" si="12"/>
        <v>22398.914223034451</v>
      </c>
      <c r="F167">
        <v>158</v>
      </c>
      <c r="G167" s="6">
        <f t="shared" si="13"/>
        <v>10000</v>
      </c>
      <c r="H167" s="6">
        <f t="shared" si="14"/>
        <v>285586.15634368925</v>
      </c>
    </row>
    <row r="168" spans="2:8" x14ac:dyDescent="0.25">
      <c r="B168">
        <v>159</v>
      </c>
      <c r="C168" s="4">
        <f t="shared" si="11"/>
        <v>1000</v>
      </c>
      <c r="D168" s="4">
        <f t="shared" si="12"/>
        <v>22846.89250749514</v>
      </c>
      <c r="F168">
        <v>159</v>
      </c>
      <c r="G168" s="6">
        <f t="shared" si="13"/>
        <v>10000</v>
      </c>
      <c r="H168" s="6">
        <f t="shared" si="14"/>
        <v>291297.87947056309</v>
      </c>
    </row>
    <row r="169" spans="2:8" x14ac:dyDescent="0.25">
      <c r="B169">
        <v>160</v>
      </c>
      <c r="C169" s="4">
        <f t="shared" si="11"/>
        <v>1000</v>
      </c>
      <c r="D169" s="4">
        <f t="shared" si="12"/>
        <v>23303.830357645045</v>
      </c>
      <c r="F169">
        <v>160</v>
      </c>
      <c r="G169" s="6">
        <f t="shared" si="13"/>
        <v>10000</v>
      </c>
      <c r="H169" s="6">
        <f t="shared" si="14"/>
        <v>297123.83705997432</v>
      </c>
    </row>
    <row r="170" spans="2:8" x14ac:dyDescent="0.25">
      <c r="B170">
        <v>161</v>
      </c>
      <c r="C170" s="4">
        <f t="shared" si="11"/>
        <v>1000</v>
      </c>
      <c r="D170" s="4">
        <f t="shared" si="12"/>
        <v>23769.906964797945</v>
      </c>
      <c r="F170">
        <v>161</v>
      </c>
      <c r="G170" s="6">
        <f t="shared" si="13"/>
        <v>10000</v>
      </c>
      <c r="H170" s="6">
        <f t="shared" si="14"/>
        <v>303066.31380117376</v>
      </c>
    </row>
    <row r="171" spans="2:8" x14ac:dyDescent="0.25">
      <c r="B171">
        <v>162</v>
      </c>
      <c r="C171" s="4">
        <f t="shared" si="11"/>
        <v>1000</v>
      </c>
      <c r="D171" s="4">
        <f t="shared" si="12"/>
        <v>24245.305104093903</v>
      </c>
      <c r="F171">
        <v>162</v>
      </c>
      <c r="G171" s="6">
        <f t="shared" si="13"/>
        <v>10000</v>
      </c>
      <c r="H171" s="6">
        <f t="shared" si="14"/>
        <v>309127.64007719723</v>
      </c>
    </row>
    <row r="172" spans="2:8" x14ac:dyDescent="0.25">
      <c r="B172">
        <v>163</v>
      </c>
      <c r="C172" s="4">
        <f t="shared" si="11"/>
        <v>1000</v>
      </c>
      <c r="D172" s="4">
        <f t="shared" si="12"/>
        <v>24730.21120617578</v>
      </c>
      <c r="F172">
        <v>163</v>
      </c>
      <c r="G172" s="6">
        <f t="shared" si="13"/>
        <v>10000</v>
      </c>
      <c r="H172" s="6">
        <f t="shared" si="14"/>
        <v>315310.19287874119</v>
      </c>
    </row>
    <row r="173" spans="2:8" x14ac:dyDescent="0.25">
      <c r="B173">
        <v>164</v>
      </c>
      <c r="C173" s="4">
        <f t="shared" si="11"/>
        <v>1000</v>
      </c>
      <c r="D173" s="4">
        <f t="shared" si="12"/>
        <v>25224.815430299295</v>
      </c>
      <c r="F173">
        <v>164</v>
      </c>
      <c r="G173" s="6">
        <f t="shared" si="13"/>
        <v>10000</v>
      </c>
      <c r="H173" s="6">
        <f t="shared" si="14"/>
        <v>321616.39673631603</v>
      </c>
    </row>
    <row r="174" spans="2:8" x14ac:dyDescent="0.25">
      <c r="B174">
        <v>165</v>
      </c>
      <c r="C174" s="4">
        <f t="shared" si="11"/>
        <v>1000</v>
      </c>
      <c r="D174" s="4">
        <f t="shared" si="12"/>
        <v>25729.311738905282</v>
      </c>
      <c r="F174">
        <v>165</v>
      </c>
      <c r="G174" s="6">
        <f t="shared" si="13"/>
        <v>10000</v>
      </c>
      <c r="H174" s="6">
        <f t="shared" si="14"/>
        <v>328048.72467104235</v>
      </c>
    </row>
    <row r="175" spans="2:8" x14ac:dyDescent="0.25">
      <c r="B175">
        <v>166</v>
      </c>
      <c r="C175" s="4">
        <f t="shared" si="11"/>
        <v>1000</v>
      </c>
      <c r="D175" s="4">
        <f t="shared" si="12"/>
        <v>26243.89797368339</v>
      </c>
      <c r="F175">
        <v>166</v>
      </c>
      <c r="G175" s="6">
        <f t="shared" si="13"/>
        <v>10000</v>
      </c>
      <c r="H175" s="6">
        <f t="shared" si="14"/>
        <v>334609.69916446327</v>
      </c>
    </row>
    <row r="176" spans="2:8" x14ac:dyDescent="0.25">
      <c r="B176">
        <v>167</v>
      </c>
      <c r="C176" s="4">
        <f t="shared" si="11"/>
        <v>1000</v>
      </c>
      <c r="D176" s="4">
        <f t="shared" si="12"/>
        <v>26768.77593315706</v>
      </c>
      <c r="F176">
        <v>167</v>
      </c>
      <c r="G176" s="6">
        <f t="shared" si="13"/>
        <v>10000</v>
      </c>
      <c r="H176" s="6">
        <f t="shared" si="14"/>
        <v>341301.8931477525</v>
      </c>
    </row>
    <row r="177" spans="2:8" x14ac:dyDescent="0.25">
      <c r="B177">
        <v>168</v>
      </c>
      <c r="C177" s="4">
        <f t="shared" si="11"/>
        <v>1000</v>
      </c>
      <c r="D177" s="4">
        <f t="shared" si="12"/>
        <v>27304.151451820202</v>
      </c>
      <c r="F177">
        <v>168</v>
      </c>
      <c r="G177" s="6">
        <f t="shared" si="13"/>
        <v>10000</v>
      </c>
      <c r="H177" s="6">
        <f t="shared" si="14"/>
        <v>348127.93101070757</v>
      </c>
    </row>
    <row r="178" spans="2:8" x14ac:dyDescent="0.25">
      <c r="B178">
        <v>169</v>
      </c>
      <c r="C178" s="4">
        <f t="shared" si="11"/>
        <v>1000</v>
      </c>
      <c r="D178" s="4">
        <f t="shared" si="12"/>
        <v>27850.234480856605</v>
      </c>
      <c r="F178">
        <v>169</v>
      </c>
      <c r="G178" s="6">
        <f t="shared" si="13"/>
        <v>10000</v>
      </c>
      <c r="H178" s="6">
        <f t="shared" si="14"/>
        <v>355090.48963092174</v>
      </c>
    </row>
    <row r="179" spans="2:8" x14ac:dyDescent="0.25">
      <c r="B179">
        <v>170</v>
      </c>
      <c r="C179" s="4">
        <f t="shared" si="11"/>
        <v>1000</v>
      </c>
      <c r="D179" s="4">
        <f t="shared" si="12"/>
        <v>28407.239170473738</v>
      </c>
      <c r="F179">
        <v>170</v>
      </c>
      <c r="G179" s="6">
        <f t="shared" si="13"/>
        <v>10000</v>
      </c>
      <c r="H179" s="6">
        <f t="shared" si="14"/>
        <v>362192.29942354019</v>
      </c>
    </row>
    <row r="180" spans="2:8" x14ac:dyDescent="0.25">
      <c r="B180">
        <v>171</v>
      </c>
      <c r="C180" s="4">
        <f t="shared" si="11"/>
        <v>1000</v>
      </c>
      <c r="D180" s="4">
        <f t="shared" si="12"/>
        <v>28975.383953883214</v>
      </c>
      <c r="F180">
        <v>171</v>
      </c>
      <c r="G180" s="6">
        <f t="shared" si="13"/>
        <v>10000</v>
      </c>
      <c r="H180" s="6">
        <f t="shared" si="14"/>
        <v>369436.14541201101</v>
      </c>
    </row>
    <row r="181" spans="2:8" x14ac:dyDescent="0.25">
      <c r="B181">
        <v>172</v>
      </c>
      <c r="C181" s="4">
        <f t="shared" si="11"/>
        <v>1000</v>
      </c>
      <c r="D181" s="4">
        <f t="shared" si="12"/>
        <v>29554.89163296088</v>
      </c>
      <c r="F181">
        <v>172</v>
      </c>
      <c r="G181" s="6">
        <f t="shared" si="13"/>
        <v>10000</v>
      </c>
      <c r="H181" s="6">
        <f t="shared" si="14"/>
        <v>376824.86832025123</v>
      </c>
    </row>
    <row r="182" spans="2:8" x14ac:dyDescent="0.25">
      <c r="B182">
        <v>173</v>
      </c>
      <c r="C182" s="4">
        <f t="shared" si="11"/>
        <v>1000</v>
      </c>
      <c r="D182" s="4">
        <f t="shared" si="12"/>
        <v>30145.9894656201</v>
      </c>
      <c r="F182">
        <v>173</v>
      </c>
      <c r="G182" s="6">
        <f t="shared" si="13"/>
        <v>10000</v>
      </c>
      <c r="H182" s="6">
        <f t="shared" si="14"/>
        <v>384361.36568665627</v>
      </c>
    </row>
    <row r="183" spans="2:8" x14ac:dyDescent="0.25">
      <c r="B183">
        <v>174</v>
      </c>
      <c r="C183" s="4">
        <f t="shared" si="11"/>
        <v>1000</v>
      </c>
      <c r="D183" s="4">
        <f t="shared" si="12"/>
        <v>30748.909254932503</v>
      </c>
      <c r="F183">
        <v>174</v>
      </c>
      <c r="G183" s="6">
        <f t="shared" si="13"/>
        <v>10000</v>
      </c>
      <c r="H183" s="6">
        <f t="shared" si="14"/>
        <v>392048.5930003894</v>
      </c>
    </row>
    <row r="184" spans="2:8" x14ac:dyDescent="0.25">
      <c r="B184">
        <v>175</v>
      </c>
      <c r="C184" s="4">
        <f t="shared" si="11"/>
        <v>1000</v>
      </c>
      <c r="D184" s="4">
        <f t="shared" si="12"/>
        <v>31363.887440031154</v>
      </c>
      <c r="F184">
        <v>175</v>
      </c>
      <c r="G184" s="6">
        <f t="shared" si="13"/>
        <v>10000</v>
      </c>
      <c r="H184" s="6">
        <f t="shared" si="14"/>
        <v>399889.56486039725</v>
      </c>
    </row>
    <row r="185" spans="2:8" x14ac:dyDescent="0.25">
      <c r="B185">
        <v>176</v>
      </c>
      <c r="C185" s="4">
        <f t="shared" si="11"/>
        <v>1000</v>
      </c>
      <c r="D185" s="4">
        <f t="shared" si="12"/>
        <v>31991.165188831779</v>
      </c>
      <c r="F185">
        <v>176</v>
      </c>
      <c r="G185" s="6">
        <f t="shared" si="13"/>
        <v>10000</v>
      </c>
      <c r="H185" s="6">
        <f t="shared" si="14"/>
        <v>407887.35615760519</v>
      </c>
    </row>
    <row r="186" spans="2:8" x14ac:dyDescent="0.25">
      <c r="B186">
        <v>177</v>
      </c>
      <c r="C186" s="4">
        <f t="shared" si="11"/>
        <v>1000</v>
      </c>
      <c r="D186" s="4">
        <f t="shared" si="12"/>
        <v>32630.988492608416</v>
      </c>
      <c r="F186">
        <v>177</v>
      </c>
      <c r="G186" s="6">
        <f t="shared" si="13"/>
        <v>10000</v>
      </c>
      <c r="H186" s="6">
        <f t="shared" si="14"/>
        <v>416045.10328075732</v>
      </c>
    </row>
    <row r="187" spans="2:8" x14ac:dyDescent="0.25">
      <c r="B187">
        <v>178</v>
      </c>
      <c r="C187" s="4">
        <f t="shared" si="11"/>
        <v>1000</v>
      </c>
      <c r="D187" s="4">
        <f t="shared" si="12"/>
        <v>33283.608262460584</v>
      </c>
      <c r="F187">
        <v>178</v>
      </c>
      <c r="G187" s="6">
        <f t="shared" si="13"/>
        <v>10000</v>
      </c>
      <c r="H187" s="6">
        <f t="shared" si="14"/>
        <v>424366.00534637243</v>
      </c>
    </row>
    <row r="188" spans="2:8" x14ac:dyDescent="0.25">
      <c r="B188">
        <v>179</v>
      </c>
      <c r="C188" s="4">
        <f t="shared" si="11"/>
        <v>1000</v>
      </c>
      <c r="D188" s="4">
        <f t="shared" si="12"/>
        <v>33949.280427709797</v>
      </c>
      <c r="F188">
        <v>179</v>
      </c>
      <c r="G188" s="6">
        <f t="shared" si="13"/>
        <v>10000</v>
      </c>
      <c r="H188" s="6">
        <f t="shared" si="14"/>
        <v>432853.32545329991</v>
      </c>
    </row>
    <row r="189" spans="2:8" x14ac:dyDescent="0.25">
      <c r="B189">
        <v>180</v>
      </c>
      <c r="C189" s="4">
        <f t="shared" si="11"/>
        <v>1000</v>
      </c>
      <c r="D189" s="4">
        <f t="shared" si="12"/>
        <v>34628.266036263994</v>
      </c>
      <c r="F189">
        <v>180</v>
      </c>
      <c r="G189" s="6">
        <f t="shared" si="13"/>
        <v>10000</v>
      </c>
      <c r="H189" s="6">
        <f t="shared" si="14"/>
        <v>441510.39196236595</v>
      </c>
    </row>
    <row r="190" spans="2:8" x14ac:dyDescent="0.25">
      <c r="B190">
        <v>181</v>
      </c>
      <c r="C190" s="4">
        <f t="shared" si="11"/>
        <v>1000</v>
      </c>
      <c r="D190" s="4">
        <f t="shared" si="12"/>
        <v>35320.831356989278</v>
      </c>
      <c r="F190">
        <v>181</v>
      </c>
      <c r="G190" s="6">
        <f t="shared" si="13"/>
        <v>10000</v>
      </c>
      <c r="H190" s="6">
        <f t="shared" si="14"/>
        <v>450340.59980161325</v>
      </c>
    </row>
    <row r="191" spans="2:8" x14ac:dyDescent="0.25">
      <c r="B191">
        <v>182</v>
      </c>
      <c r="C191" s="4">
        <f t="shared" si="11"/>
        <v>1000</v>
      </c>
      <c r="D191" s="4">
        <f t="shared" si="12"/>
        <v>36027.247984129062</v>
      </c>
      <c r="F191">
        <v>182</v>
      </c>
      <c r="G191" s="6">
        <f t="shared" si="13"/>
        <v>10000</v>
      </c>
      <c r="H191" s="6">
        <f t="shared" si="14"/>
        <v>459347.4117976455</v>
      </c>
    </row>
    <row r="192" spans="2:8" x14ac:dyDescent="0.25">
      <c r="B192">
        <v>183</v>
      </c>
      <c r="C192" s="4">
        <f t="shared" si="11"/>
        <v>1000</v>
      </c>
      <c r="D192" s="4">
        <f t="shared" si="12"/>
        <v>36747.792943811641</v>
      </c>
      <c r="F192">
        <v>183</v>
      </c>
      <c r="G192" s="6">
        <f t="shared" si="13"/>
        <v>10000</v>
      </c>
      <c r="H192" s="6">
        <f t="shared" si="14"/>
        <v>468534.36003359838</v>
      </c>
    </row>
    <row r="193" spans="2:8" x14ac:dyDescent="0.25">
      <c r="B193">
        <v>184</v>
      </c>
      <c r="C193" s="4">
        <f t="shared" si="11"/>
        <v>1000</v>
      </c>
      <c r="D193" s="4">
        <f t="shared" si="12"/>
        <v>37482.748802687871</v>
      </c>
      <c r="F193">
        <v>184</v>
      </c>
      <c r="G193" s="6">
        <f t="shared" si="13"/>
        <v>10000</v>
      </c>
      <c r="H193" s="6">
        <f t="shared" si="14"/>
        <v>477905.04723427037</v>
      </c>
    </row>
    <row r="194" spans="2:8" x14ac:dyDescent="0.25">
      <c r="B194">
        <v>185</v>
      </c>
      <c r="C194" s="4">
        <f t="shared" si="11"/>
        <v>1000</v>
      </c>
      <c r="D194" s="4">
        <f t="shared" si="12"/>
        <v>38232.403778741631</v>
      </c>
      <c r="F194">
        <v>185</v>
      </c>
      <c r="G194" s="6">
        <f t="shared" si="13"/>
        <v>10000</v>
      </c>
      <c r="H194" s="6">
        <f t="shared" si="14"/>
        <v>487463.14817895583</v>
      </c>
    </row>
    <row r="195" spans="2:8" x14ac:dyDescent="0.25">
      <c r="B195">
        <v>186</v>
      </c>
      <c r="C195" s="4">
        <f t="shared" si="11"/>
        <v>1000</v>
      </c>
      <c r="D195" s="4">
        <f t="shared" si="12"/>
        <v>38997.051854316465</v>
      </c>
      <c r="F195">
        <v>186</v>
      </c>
      <c r="G195" s="6">
        <f t="shared" si="13"/>
        <v>10000</v>
      </c>
      <c r="H195" s="6">
        <f t="shared" si="14"/>
        <v>497212.41114253498</v>
      </c>
    </row>
    <row r="196" spans="2:8" x14ac:dyDescent="0.25">
      <c r="B196">
        <v>187</v>
      </c>
      <c r="C196" s="4">
        <f t="shared" si="11"/>
        <v>1000</v>
      </c>
      <c r="D196" s="4">
        <f t="shared" si="12"/>
        <v>39776.992891402799</v>
      </c>
      <c r="F196">
        <v>187</v>
      </c>
      <c r="G196" s="6">
        <f t="shared" si="13"/>
        <v>10000</v>
      </c>
      <c r="H196" s="6">
        <f t="shared" si="14"/>
        <v>507156.65936538571</v>
      </c>
    </row>
    <row r="197" spans="2:8" x14ac:dyDescent="0.25">
      <c r="B197">
        <v>188</v>
      </c>
      <c r="C197" s="4">
        <f t="shared" si="11"/>
        <v>1000</v>
      </c>
      <c r="D197" s="4">
        <f t="shared" si="12"/>
        <v>40572.532749230857</v>
      </c>
      <c r="F197">
        <v>188</v>
      </c>
      <c r="G197" s="6">
        <f t="shared" si="13"/>
        <v>10000</v>
      </c>
      <c r="H197" s="6">
        <f t="shared" si="14"/>
        <v>517299.79255269346</v>
      </c>
    </row>
    <row r="198" spans="2:8" x14ac:dyDescent="0.25">
      <c r="B198">
        <v>189</v>
      </c>
      <c r="C198" s="4">
        <f t="shared" si="11"/>
        <v>1000</v>
      </c>
      <c r="D198" s="4">
        <f t="shared" si="12"/>
        <v>41383.983404215476</v>
      </c>
      <c r="F198">
        <v>189</v>
      </c>
      <c r="G198" s="6">
        <f t="shared" si="13"/>
        <v>10000</v>
      </c>
      <c r="H198" s="6">
        <f t="shared" si="14"/>
        <v>527645.78840374737</v>
      </c>
    </row>
    <row r="199" spans="2:8" x14ac:dyDescent="0.25">
      <c r="B199">
        <v>190</v>
      </c>
      <c r="C199" s="4">
        <f t="shared" si="11"/>
        <v>1000</v>
      </c>
      <c r="D199" s="4">
        <f t="shared" si="12"/>
        <v>42211.663072299787</v>
      </c>
      <c r="F199">
        <v>190</v>
      </c>
      <c r="G199" s="6">
        <f t="shared" si="13"/>
        <v>10000</v>
      </c>
      <c r="H199" s="6">
        <f t="shared" si="14"/>
        <v>538198.70417182229</v>
      </c>
    </row>
    <row r="200" spans="2:8" x14ac:dyDescent="0.25">
      <c r="B200">
        <v>191</v>
      </c>
      <c r="C200" s="4">
        <f t="shared" si="11"/>
        <v>1000</v>
      </c>
      <c r="D200" s="4">
        <f t="shared" si="12"/>
        <v>43055.896333745783</v>
      </c>
      <c r="F200">
        <v>191</v>
      </c>
      <c r="G200" s="6">
        <f t="shared" si="13"/>
        <v>10000</v>
      </c>
      <c r="H200" s="6">
        <f t="shared" si="14"/>
        <v>548962.67825525871</v>
      </c>
    </row>
    <row r="201" spans="2:8" x14ac:dyDescent="0.25">
      <c r="B201">
        <v>192</v>
      </c>
      <c r="C201" s="4">
        <f t="shared" si="11"/>
        <v>1000</v>
      </c>
      <c r="D201" s="4">
        <f t="shared" si="12"/>
        <v>43917.014260420699</v>
      </c>
      <c r="F201">
        <v>192</v>
      </c>
      <c r="G201" s="6">
        <f t="shared" si="13"/>
        <v>10000</v>
      </c>
      <c r="H201" s="6">
        <f t="shared" si="14"/>
        <v>559941.93182036397</v>
      </c>
    </row>
    <row r="202" spans="2:8" x14ac:dyDescent="0.25">
      <c r="B202">
        <v>193</v>
      </c>
      <c r="C202" s="4">
        <f t="shared" ref="C202:C209" si="15">C201*(1+C$8)</f>
        <v>1000</v>
      </c>
      <c r="D202" s="4">
        <f t="shared" ref="D202:D209" si="16">D201*(1+D$8)</f>
        <v>44795.354545629118</v>
      </c>
      <c r="F202">
        <v>193</v>
      </c>
      <c r="G202" s="6">
        <f t="shared" ref="G202:G209" si="17">C203/$B$4</f>
        <v>10000</v>
      </c>
      <c r="H202" s="6">
        <f t="shared" si="14"/>
        <v>571140.77045677125</v>
      </c>
    </row>
    <row r="203" spans="2:8" x14ac:dyDescent="0.25">
      <c r="B203">
        <v>194</v>
      </c>
      <c r="C203" s="4">
        <f t="shared" si="15"/>
        <v>1000</v>
      </c>
      <c r="D203" s="4">
        <f t="shared" si="16"/>
        <v>45691.261636541698</v>
      </c>
      <c r="F203">
        <v>194</v>
      </c>
      <c r="G203" s="6">
        <f t="shared" si="17"/>
        <v>10000</v>
      </c>
      <c r="H203" s="6">
        <f t="shared" ref="H203:H209" si="18">D204/($B$4-$B$3)</f>
        <v>582563.58586590667</v>
      </c>
    </row>
    <row r="204" spans="2:8" x14ac:dyDescent="0.25">
      <c r="B204">
        <v>195</v>
      </c>
      <c r="C204" s="4">
        <f t="shared" si="15"/>
        <v>1000</v>
      </c>
      <c r="D204" s="4">
        <f t="shared" si="16"/>
        <v>46605.086869272534</v>
      </c>
      <c r="F204">
        <v>195</v>
      </c>
      <c r="G204" s="6">
        <f t="shared" si="17"/>
        <v>10000</v>
      </c>
      <c r="H204" s="6">
        <f t="shared" si="18"/>
        <v>594214.85758322477</v>
      </c>
    </row>
    <row r="205" spans="2:8" x14ac:dyDescent="0.25">
      <c r="B205">
        <v>196</v>
      </c>
      <c r="C205" s="4">
        <f t="shared" si="15"/>
        <v>1000</v>
      </c>
      <c r="D205" s="4">
        <f t="shared" si="16"/>
        <v>47537.188606657983</v>
      </c>
      <c r="F205">
        <v>196</v>
      </c>
      <c r="G205" s="6">
        <f t="shared" si="17"/>
        <v>10000</v>
      </c>
      <c r="H205" s="6">
        <f t="shared" si="18"/>
        <v>606099.15473488928</v>
      </c>
    </row>
    <row r="206" spans="2:8" x14ac:dyDescent="0.25">
      <c r="B206">
        <v>197</v>
      </c>
      <c r="C206" s="4">
        <f t="shared" si="15"/>
        <v>1000</v>
      </c>
      <c r="D206" s="4">
        <f t="shared" si="16"/>
        <v>48487.932378791142</v>
      </c>
      <c r="F206">
        <v>197</v>
      </c>
      <c r="G206" s="6">
        <f t="shared" si="17"/>
        <v>10000</v>
      </c>
      <c r="H206" s="6">
        <f t="shared" si="18"/>
        <v>618221.13782958698</v>
      </c>
    </row>
    <row r="207" spans="2:8" x14ac:dyDescent="0.25">
      <c r="B207">
        <v>198</v>
      </c>
      <c r="C207" s="4">
        <f t="shared" si="15"/>
        <v>1000</v>
      </c>
      <c r="D207" s="4">
        <f t="shared" si="16"/>
        <v>49457.691026366963</v>
      </c>
      <c r="F207">
        <v>198</v>
      </c>
      <c r="G207" s="6">
        <f t="shared" si="17"/>
        <v>10000</v>
      </c>
      <c r="H207" s="6">
        <f t="shared" si="18"/>
        <v>630585.56058617879</v>
      </c>
    </row>
    <row r="208" spans="2:8" x14ac:dyDescent="0.25">
      <c r="B208">
        <v>199</v>
      </c>
      <c r="C208" s="4">
        <f t="shared" si="15"/>
        <v>1000</v>
      </c>
      <c r="D208" s="4">
        <f t="shared" si="16"/>
        <v>50446.844846894302</v>
      </c>
      <c r="F208">
        <v>199</v>
      </c>
      <c r="G208" s="6">
        <f t="shared" si="17"/>
        <v>10000</v>
      </c>
      <c r="H208" s="6">
        <f t="shared" si="18"/>
        <v>643197.2717979023</v>
      </c>
    </row>
    <row r="209" spans="2:8" x14ac:dyDescent="0.25">
      <c r="B209">
        <v>200</v>
      </c>
      <c r="C209" s="4">
        <f t="shared" si="15"/>
        <v>1000</v>
      </c>
      <c r="D209" s="4">
        <f t="shared" si="16"/>
        <v>51455.781743832187</v>
      </c>
      <c r="F209">
        <v>200</v>
      </c>
      <c r="G209" s="6">
        <f t="shared" si="17"/>
        <v>0</v>
      </c>
      <c r="H209" s="6">
        <f t="shared" si="18"/>
        <v>0</v>
      </c>
    </row>
    <row r="210" spans="2:8" x14ac:dyDescent="0.25">
      <c r="C210" s="4"/>
      <c r="D210" s="4"/>
      <c r="G210" s="4"/>
      <c r="H210" s="4"/>
    </row>
    <row r="211" spans="2:8" x14ac:dyDescent="0.25">
      <c r="C211" s="4"/>
      <c r="D211" s="4"/>
      <c r="G211" s="4"/>
      <c r="H211" s="4"/>
    </row>
    <row r="212" spans="2:8" x14ac:dyDescent="0.25">
      <c r="C212" s="4"/>
      <c r="D212" s="4"/>
      <c r="G212" s="4"/>
      <c r="H212" s="4"/>
    </row>
    <row r="213" spans="2:8" x14ac:dyDescent="0.25">
      <c r="C213" s="4"/>
      <c r="D213" s="4"/>
      <c r="G213" s="4"/>
      <c r="H213" s="4"/>
    </row>
    <row r="214" spans="2:8" x14ac:dyDescent="0.25">
      <c r="C214" s="4"/>
      <c r="D214" s="4"/>
      <c r="G214" s="4"/>
      <c r="H214" s="4"/>
    </row>
    <row r="215" spans="2:8" x14ac:dyDescent="0.25">
      <c r="C215" s="4"/>
      <c r="D215" s="4"/>
      <c r="G215" s="4"/>
      <c r="H215" s="4"/>
    </row>
    <row r="216" spans="2:8" x14ac:dyDescent="0.25">
      <c r="C216" s="4"/>
      <c r="D216" s="4"/>
      <c r="G216" s="4"/>
      <c r="H216" s="4"/>
    </row>
    <row r="217" spans="2:8" x14ac:dyDescent="0.25">
      <c r="C217" s="4"/>
      <c r="D217" s="4"/>
      <c r="G217" s="4"/>
      <c r="H217" s="4"/>
    </row>
    <row r="218" spans="2:8" x14ac:dyDescent="0.25">
      <c r="C218" s="4"/>
      <c r="D218" s="4"/>
      <c r="G218" s="4"/>
      <c r="H2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CouponBond</vt:lpstr>
      <vt:lpstr>CompoundingPeriodClass</vt:lpstr>
      <vt:lpstr>PerpetuityClass</vt:lpstr>
      <vt:lpstr>GrowingPerpetuityClass</vt:lpstr>
      <vt:lpstr>PerpetuityChRates</vt:lpstr>
      <vt:lpstr>ZeroCouponBondChRates</vt:lpstr>
      <vt:lpstr>CompoundingPeriod</vt:lpstr>
      <vt:lpstr>Perpetuity</vt:lpstr>
      <vt:lpstr>GrowingPerpetuity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Antle, Rick</dc:creator>
  <cp:lastModifiedBy>Antle, Rick</cp:lastModifiedBy>
  <dcterms:created xsi:type="dcterms:W3CDTF">2020-09-14T00:33:38Z</dcterms:created>
  <dcterms:modified xsi:type="dcterms:W3CDTF">2026-01-25T22:17:06Z</dcterms:modified>
</cp:coreProperties>
</file>