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ACCT270/ACCT270-F22/Class/Session_03/"/>
    </mc:Choice>
  </mc:AlternateContent>
  <xr:revisionPtr revIDLastSave="498" documentId="8_{4E44CD89-2BEA-43A7-B775-BB60C1ACEFCE}" xr6:coauthVersionLast="47" xr6:coauthVersionMax="47" xr10:uidLastSave="{BF2917F3-FF24-446C-AEAB-AD9276B4822B}"/>
  <bookViews>
    <workbookView xWindow="25260" yWindow="1760" windowWidth="30880" windowHeight="24900" tabRatio="500" xr2:uid="{00000000-000D-0000-FFFF-FFFF00000000}"/>
  </bookViews>
  <sheets>
    <sheet name="Class" sheetId="7" r:id="rId1"/>
    <sheet name="Class Safety Net" sheetId="5" r:id="rId2"/>
    <sheet name="Growth Chart Class" sheetId="6" r:id="rId3"/>
    <sheet name="Free Cash Flows" sheetId="4" state="hidden" r:id="rId4"/>
    <sheet name="Safety net" sheetId="1" state="hidden" r:id="rId5"/>
    <sheet name="Growth Chart" sheetId="3" r:id="rId6"/>
    <sheet name="Compound Growth" sheetId="2" r:id="rId7"/>
  </sheets>
  <definedNames>
    <definedName name="Interest_Rate">#REF!</definedName>
    <definedName name="InterestRate" localSheetId="0">Class!$B$4</definedName>
    <definedName name="InterestRate">'Class Safety Net'!$B$4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77" i="7" l="1"/>
  <c r="D77" i="7"/>
  <c r="E77" i="7"/>
  <c r="F77" i="7"/>
  <c r="G77" i="7"/>
  <c r="G76" i="7"/>
  <c r="D75" i="7"/>
  <c r="E75" i="7"/>
  <c r="F75" i="7"/>
  <c r="G75" i="7"/>
  <c r="C75" i="7"/>
  <c r="B66" i="7"/>
  <c r="A66" i="7" s="1"/>
  <c r="C66" i="7"/>
  <c r="D33" i="7"/>
  <c r="C32" i="7"/>
  <c r="D32" i="7" s="1"/>
  <c r="D34" i="7" s="1"/>
  <c r="C25" i="7"/>
  <c r="D26" i="7"/>
  <c r="D25" i="7"/>
  <c r="D27" i="7" s="1"/>
  <c r="A20" i="7"/>
  <c r="D19" i="7"/>
  <c r="C18" i="7"/>
  <c r="A18" i="7"/>
  <c r="A19" i="7"/>
  <c r="A17" i="7"/>
  <c r="B17" i="7"/>
  <c r="B12" i="7"/>
  <c r="A12" i="7" s="1"/>
  <c r="C12" i="7"/>
  <c r="I7" i="7"/>
  <c r="D8" i="7"/>
  <c r="C8" i="7"/>
  <c r="B8" i="7"/>
  <c r="G76" i="5"/>
  <c r="D75" i="5"/>
  <c r="D77" i="5" s="1"/>
  <c r="D78" i="5" s="1"/>
  <c r="E75" i="5"/>
  <c r="E77" i="5" s="1"/>
  <c r="E78" i="5" s="1"/>
  <c r="F75" i="5"/>
  <c r="F77" i="5" s="1"/>
  <c r="F78" i="5" s="1"/>
  <c r="G75" i="5"/>
  <c r="G77" i="5" s="1"/>
  <c r="G78" i="5" s="1"/>
  <c r="C75" i="5"/>
  <c r="C77" i="5" s="1"/>
  <c r="C78" i="5" s="1"/>
  <c r="C62" i="7"/>
  <c r="C52" i="7"/>
  <c r="F6" i="7"/>
  <c r="H6" i="7" s="1"/>
  <c r="C66" i="5"/>
  <c r="B66" i="5" s="1"/>
  <c r="A66" i="5" s="1"/>
  <c r="F61" i="5"/>
  <c r="C61" i="5" s="1"/>
  <c r="E60" i="5"/>
  <c r="C60" i="5" s="1"/>
  <c r="D59" i="5"/>
  <c r="D52" i="5"/>
  <c r="C52" i="5"/>
  <c r="C47" i="5"/>
  <c r="D47" i="5"/>
  <c r="B47" i="5"/>
  <c r="B39" i="5"/>
  <c r="A39" i="5" s="1"/>
  <c r="C40" i="5"/>
  <c r="A40" i="5" s="1"/>
  <c r="D41" i="5"/>
  <c r="A41" i="5" s="1"/>
  <c r="C32" i="5"/>
  <c r="D32" i="5"/>
  <c r="D34" i="5" s="1"/>
  <c r="D33" i="5"/>
  <c r="D26" i="5"/>
  <c r="C25" i="5"/>
  <c r="D25" i="5" s="1"/>
  <c r="D27" i="5" s="1"/>
  <c r="B17" i="5"/>
  <c r="A17" i="5"/>
  <c r="A20" i="5" s="1"/>
  <c r="C18" i="5"/>
  <c r="A18" i="5" s="1"/>
  <c r="D19" i="5"/>
  <c r="A19" i="5" s="1"/>
  <c r="C12" i="5"/>
  <c r="B12" i="5"/>
  <c r="A12" i="5"/>
  <c r="B8" i="5"/>
  <c r="C8" i="5" s="1"/>
  <c r="F6" i="5"/>
  <c r="H6" i="5" s="1"/>
  <c r="C59" i="5"/>
  <c r="C62" i="5" s="1"/>
  <c r="D20" i="1"/>
  <c r="C20" i="1"/>
  <c r="B20" i="1"/>
  <c r="C14" i="1"/>
  <c r="B14" i="1"/>
  <c r="D14" i="1"/>
  <c r="D6" i="4"/>
  <c r="B6" i="4"/>
  <c r="E6" i="4"/>
  <c r="F6" i="4"/>
  <c r="G6" i="4"/>
  <c r="H6" i="4"/>
  <c r="I6" i="4"/>
  <c r="J6" i="4"/>
  <c r="K6" i="4"/>
  <c r="L6" i="4"/>
  <c r="E7" i="4"/>
  <c r="F7" i="4"/>
  <c r="G7" i="4"/>
  <c r="H7" i="4"/>
  <c r="I7" i="4"/>
  <c r="J7" i="4"/>
  <c r="K7" i="4"/>
  <c r="L7" i="4"/>
  <c r="B7" i="4"/>
  <c r="F8" i="4"/>
  <c r="G8" i="4"/>
  <c r="H8" i="4"/>
  <c r="I8" i="4"/>
  <c r="J8" i="4"/>
  <c r="K8" i="4"/>
  <c r="L8" i="4"/>
  <c r="B8" i="4"/>
  <c r="G9" i="4"/>
  <c r="H9" i="4"/>
  <c r="I9" i="4"/>
  <c r="J9" i="4"/>
  <c r="K9" i="4"/>
  <c r="L9" i="4"/>
  <c r="H10" i="4"/>
  <c r="B10" i="4"/>
  <c r="I10" i="4"/>
  <c r="J10" i="4"/>
  <c r="K10" i="4"/>
  <c r="L10" i="4"/>
  <c r="I11" i="4"/>
  <c r="J11" i="4"/>
  <c r="K11" i="4"/>
  <c r="B11" i="4"/>
  <c r="L11" i="4"/>
  <c r="J12" i="4"/>
  <c r="K12" i="4"/>
  <c r="L12" i="4"/>
  <c r="B12" i="4"/>
  <c r="K13" i="4"/>
  <c r="L13" i="4"/>
  <c r="B13" i="4"/>
  <c r="L14" i="4"/>
  <c r="B14" i="4"/>
  <c r="C5" i="4"/>
  <c r="D5" i="4"/>
  <c r="E5" i="4"/>
  <c r="F5" i="4"/>
  <c r="G5" i="4"/>
  <c r="H5" i="4"/>
  <c r="I5" i="4"/>
  <c r="J5" i="4"/>
  <c r="K5" i="4"/>
  <c r="L5" i="4"/>
  <c r="B5" i="4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6" i="2"/>
  <c r="C8" i="2"/>
  <c r="D8" i="2"/>
  <c r="E8" i="2"/>
  <c r="F8" i="2"/>
  <c r="G8" i="2"/>
  <c r="H8" i="2"/>
  <c r="I8" i="2"/>
  <c r="J8" i="2"/>
  <c r="K8" i="2"/>
  <c r="L8" i="2"/>
  <c r="C9" i="2"/>
  <c r="D9" i="2"/>
  <c r="E9" i="2"/>
  <c r="F9" i="2"/>
  <c r="G9" i="2"/>
  <c r="H9" i="2"/>
  <c r="I9" i="2"/>
  <c r="J9" i="2"/>
  <c r="K9" i="2"/>
  <c r="L9" i="2"/>
  <c r="C10" i="2"/>
  <c r="D10" i="2"/>
  <c r="E10" i="2"/>
  <c r="F10" i="2"/>
  <c r="G10" i="2"/>
  <c r="H10" i="2"/>
  <c r="I10" i="2"/>
  <c r="J10" i="2"/>
  <c r="K10" i="2"/>
  <c r="L10" i="2"/>
  <c r="C11" i="2"/>
  <c r="D11" i="2"/>
  <c r="E11" i="2"/>
  <c r="F11" i="2"/>
  <c r="G11" i="2"/>
  <c r="H11" i="2"/>
  <c r="I11" i="2"/>
  <c r="J11" i="2"/>
  <c r="K11" i="2"/>
  <c r="L11" i="2"/>
  <c r="C12" i="2"/>
  <c r="D12" i="2"/>
  <c r="E12" i="2"/>
  <c r="F12" i="2"/>
  <c r="G12" i="2"/>
  <c r="H12" i="2"/>
  <c r="I12" i="2"/>
  <c r="J12" i="2"/>
  <c r="K12" i="2"/>
  <c r="L12" i="2"/>
  <c r="C13" i="2"/>
  <c r="D13" i="2"/>
  <c r="E13" i="2"/>
  <c r="F13" i="2"/>
  <c r="G13" i="2"/>
  <c r="H13" i="2"/>
  <c r="I13" i="2"/>
  <c r="J13" i="2"/>
  <c r="K13" i="2"/>
  <c r="L13" i="2"/>
  <c r="C14" i="2"/>
  <c r="D14" i="2"/>
  <c r="E14" i="2"/>
  <c r="F14" i="2"/>
  <c r="G14" i="2"/>
  <c r="H14" i="2"/>
  <c r="I14" i="2"/>
  <c r="J14" i="2"/>
  <c r="K14" i="2"/>
  <c r="L14" i="2"/>
  <c r="C15" i="2"/>
  <c r="D15" i="2"/>
  <c r="E15" i="2"/>
  <c r="F15" i="2"/>
  <c r="G15" i="2"/>
  <c r="H15" i="2"/>
  <c r="I15" i="2"/>
  <c r="J15" i="2"/>
  <c r="K15" i="2"/>
  <c r="L15" i="2"/>
  <c r="C16" i="2"/>
  <c r="D16" i="2"/>
  <c r="E16" i="2"/>
  <c r="F16" i="2"/>
  <c r="G16" i="2"/>
  <c r="H16" i="2"/>
  <c r="I16" i="2"/>
  <c r="J16" i="2"/>
  <c r="K16" i="2"/>
  <c r="L16" i="2"/>
  <c r="C17" i="2"/>
  <c r="D17" i="2"/>
  <c r="E17" i="2"/>
  <c r="F17" i="2"/>
  <c r="G17" i="2"/>
  <c r="H17" i="2"/>
  <c r="I17" i="2"/>
  <c r="J17" i="2"/>
  <c r="K17" i="2"/>
  <c r="L17" i="2"/>
  <c r="C18" i="2"/>
  <c r="D18" i="2"/>
  <c r="E18" i="2"/>
  <c r="F18" i="2"/>
  <c r="G18" i="2"/>
  <c r="H18" i="2"/>
  <c r="I18" i="2"/>
  <c r="J18" i="2"/>
  <c r="K18" i="2"/>
  <c r="L18" i="2"/>
  <c r="C19" i="2"/>
  <c r="D19" i="2"/>
  <c r="E19" i="2"/>
  <c r="F19" i="2"/>
  <c r="G19" i="2"/>
  <c r="H19" i="2"/>
  <c r="I19" i="2"/>
  <c r="J19" i="2"/>
  <c r="K19" i="2"/>
  <c r="L19" i="2"/>
  <c r="C20" i="2"/>
  <c r="D20" i="2"/>
  <c r="E20" i="2"/>
  <c r="F20" i="2"/>
  <c r="G20" i="2"/>
  <c r="H20" i="2"/>
  <c r="I20" i="2"/>
  <c r="J20" i="2"/>
  <c r="K20" i="2"/>
  <c r="L20" i="2"/>
  <c r="C21" i="2"/>
  <c r="D21" i="2"/>
  <c r="E21" i="2"/>
  <c r="F21" i="2"/>
  <c r="G21" i="2"/>
  <c r="H21" i="2"/>
  <c r="I21" i="2"/>
  <c r="J21" i="2"/>
  <c r="K21" i="2"/>
  <c r="L21" i="2"/>
  <c r="C22" i="2"/>
  <c r="D22" i="2"/>
  <c r="E22" i="2"/>
  <c r="F22" i="2"/>
  <c r="G22" i="2"/>
  <c r="H22" i="2"/>
  <c r="I22" i="2"/>
  <c r="J22" i="2"/>
  <c r="K22" i="2"/>
  <c r="L22" i="2"/>
  <c r="C23" i="2"/>
  <c r="D23" i="2"/>
  <c r="E23" i="2"/>
  <c r="F23" i="2"/>
  <c r="G23" i="2"/>
  <c r="H23" i="2"/>
  <c r="I23" i="2"/>
  <c r="J23" i="2"/>
  <c r="K23" i="2"/>
  <c r="L23" i="2"/>
  <c r="C24" i="2"/>
  <c r="D24" i="2"/>
  <c r="E24" i="2"/>
  <c r="F24" i="2"/>
  <c r="G24" i="2"/>
  <c r="H24" i="2"/>
  <c r="I24" i="2"/>
  <c r="J24" i="2"/>
  <c r="K24" i="2"/>
  <c r="L24" i="2"/>
  <c r="C25" i="2"/>
  <c r="D25" i="2"/>
  <c r="E25" i="2"/>
  <c r="F25" i="2"/>
  <c r="G25" i="2"/>
  <c r="H25" i="2"/>
  <c r="I25" i="2"/>
  <c r="J25" i="2"/>
  <c r="K25" i="2"/>
  <c r="L25" i="2"/>
  <c r="C26" i="2"/>
  <c r="D26" i="2"/>
  <c r="E26" i="2"/>
  <c r="F26" i="2"/>
  <c r="G26" i="2"/>
  <c r="H26" i="2"/>
  <c r="I26" i="2"/>
  <c r="J26" i="2"/>
  <c r="K26" i="2"/>
  <c r="L26" i="2"/>
  <c r="C27" i="2"/>
  <c r="D27" i="2"/>
  <c r="E27" i="2"/>
  <c r="F27" i="2"/>
  <c r="G27" i="2"/>
  <c r="H27" i="2"/>
  <c r="I27" i="2"/>
  <c r="J27" i="2"/>
  <c r="K27" i="2"/>
  <c r="L27" i="2"/>
  <c r="C28" i="2"/>
  <c r="D28" i="2"/>
  <c r="E28" i="2"/>
  <c r="F28" i="2"/>
  <c r="G28" i="2"/>
  <c r="H28" i="2"/>
  <c r="I28" i="2"/>
  <c r="J28" i="2"/>
  <c r="K28" i="2"/>
  <c r="L28" i="2"/>
  <c r="C29" i="2"/>
  <c r="D29" i="2"/>
  <c r="E29" i="2"/>
  <c r="F29" i="2"/>
  <c r="G29" i="2"/>
  <c r="H29" i="2"/>
  <c r="I29" i="2"/>
  <c r="J29" i="2"/>
  <c r="K29" i="2"/>
  <c r="L29" i="2"/>
  <c r="C30" i="2"/>
  <c r="D30" i="2"/>
  <c r="E30" i="2"/>
  <c r="F30" i="2"/>
  <c r="G30" i="2"/>
  <c r="H30" i="2"/>
  <c r="I30" i="2"/>
  <c r="J30" i="2"/>
  <c r="K30" i="2"/>
  <c r="L30" i="2"/>
  <c r="C31" i="2"/>
  <c r="D31" i="2"/>
  <c r="E31" i="2"/>
  <c r="F31" i="2"/>
  <c r="G31" i="2"/>
  <c r="H31" i="2"/>
  <c r="I31" i="2"/>
  <c r="J31" i="2"/>
  <c r="K31" i="2"/>
  <c r="L31" i="2"/>
  <c r="C7" i="2"/>
  <c r="D7" i="2"/>
  <c r="E7" i="2"/>
  <c r="F7" i="2"/>
  <c r="G7" i="2"/>
  <c r="H7" i="2"/>
  <c r="I7" i="2"/>
  <c r="J7" i="2"/>
  <c r="K7" i="2"/>
  <c r="L7" i="2"/>
  <c r="C6" i="2"/>
  <c r="D6" i="2"/>
  <c r="E6" i="2"/>
  <c r="F6" i="2"/>
  <c r="G6" i="2"/>
  <c r="H6" i="2"/>
  <c r="I6" i="2"/>
  <c r="J6" i="2"/>
  <c r="K6" i="2"/>
  <c r="L6" i="2"/>
  <c r="C18" i="1"/>
  <c r="D18" i="1"/>
  <c r="E8" i="1"/>
  <c r="E17" i="1"/>
  <c r="E18" i="1"/>
  <c r="B18" i="1"/>
  <c r="C17" i="1"/>
  <c r="B17" i="1"/>
  <c r="D17" i="1"/>
  <c r="C16" i="1"/>
  <c r="D16" i="1"/>
  <c r="E16" i="1"/>
  <c r="B16" i="1"/>
  <c r="E14" i="1"/>
  <c r="D12" i="1"/>
  <c r="C12" i="1"/>
  <c r="B12" i="1"/>
  <c r="B9" i="4"/>
  <c r="B78" i="5" l="1"/>
  <c r="A42" i="5"/>
  <c r="F7" i="5"/>
  <c r="H7" i="5" s="1"/>
  <c r="D8" i="5"/>
  <c r="F8" i="5" s="1"/>
  <c r="H8" i="5" s="1"/>
  <c r="F8" i="7" l="1"/>
  <c r="H8" i="7" s="1"/>
  <c r="F7" i="7"/>
  <c r="H7" i="7" s="1"/>
</calcChain>
</file>

<file path=xl/sharedStrings.xml><?xml version="1.0" encoding="utf-8"?>
<sst xmlns="http://schemas.openxmlformats.org/spreadsheetml/2006/main" count="83" uniqueCount="48">
  <si>
    <t>Inputs</t>
  </si>
  <si>
    <t>BLUE</t>
  </si>
  <si>
    <t>Outputs</t>
  </si>
  <si>
    <t>PINK</t>
  </si>
  <si>
    <t>Interest Rate</t>
  </si>
  <si>
    <t>Interest Earned</t>
  </si>
  <si>
    <t>Rate of Return</t>
  </si>
  <si>
    <t>Future value at time 3 of $83.96 today</t>
  </si>
  <si>
    <t>Present value of $100.00 received 3 periods hence</t>
  </si>
  <si>
    <t>Present value of $50, $40, $1.42 received at end of each of 3 periods</t>
  </si>
  <si>
    <t>Future value at time 3 of $50, $40, $1.42 received at end of each of 3 periods</t>
  </si>
  <si>
    <t>Future value at time 3 of a three period annuity in arrears of $31.41</t>
  </si>
  <si>
    <t>Present value of a three period annuity in arrears of $31.41</t>
  </si>
  <si>
    <t>Value immediately after the first payment of $31.31 has been received.</t>
  </si>
  <si>
    <t>Value immediately after the second payment of $31.31 has been received.</t>
  </si>
  <si>
    <t>A table that does the above with copy &amp; paste tricks</t>
  </si>
  <si>
    <t>Cash received at:</t>
  </si>
  <si>
    <t>Value at</t>
  </si>
  <si>
    <t>Present value of zero coupon bond, face $119.10, three period maturity.</t>
  </si>
  <si>
    <t>Present value of payments from coupon bond</t>
  </si>
  <si>
    <t>Face_Value</t>
  </si>
  <si>
    <t>Coupon_Rate</t>
  </si>
  <si>
    <t>per period</t>
  </si>
  <si>
    <t>Maturity</t>
  </si>
  <si>
    <t>periods hence</t>
  </si>
  <si>
    <t>Coupon Pmts</t>
  </si>
  <si>
    <t>Face</t>
  </si>
  <si>
    <t>Cash Flow</t>
  </si>
  <si>
    <t>Present Value</t>
  </si>
  <si>
    <t>Value thru time</t>
  </si>
  <si>
    <t>Interest rate</t>
  </si>
  <si>
    <t>Period</t>
  </si>
  <si>
    <t>Enter 0, Option drag</t>
  </si>
  <si>
    <t>A</t>
  </si>
  <si>
    <t>B</t>
  </si>
  <si>
    <t>C</t>
  </si>
  <si>
    <t>D</t>
  </si>
  <si>
    <t>E</t>
  </si>
  <si>
    <t>F</t>
  </si>
  <si>
    <t>Present values</t>
  </si>
  <si>
    <t>Copy/Paste or drag</t>
  </si>
  <si>
    <t>Use of years as exponents</t>
  </si>
  <si>
    <t xml:space="preserve"> </t>
  </si>
  <si>
    <t>Again</t>
  </si>
  <si>
    <t>Use relative column, absolute row</t>
  </si>
  <si>
    <t>Compounding</t>
  </si>
  <si>
    <t>Initial deposit</t>
  </si>
  <si>
    <t>Value at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</si>
</sst>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7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3">
    <xf numFmtId="0" fontId="0" fillId="0" borderId="0" xfId="0"/>
    <xf numFmtId="9" fontId="0" fillId="0" borderId="0" xfId="0" applyNumberFormat="1"/>
    <xf numFmtId="8" fontId="0" fillId="0" borderId="0" xfId="0" applyNumberFormat="1"/>
    <xf numFmtId="6" fontId="0" fillId="0" borderId="0" xfId="0" applyNumberFormat="1"/>
    <xf numFmtId="2" fontId="0" fillId="0" borderId="0" xfId="0" applyNumberFormat="1"/>
    <xf numFmtId="9" fontId="0" fillId="2" borderId="0" xfId="0" applyNumberFormat="1" applyFill="1"/>
    <xf numFmtId="8" fontId="0" fillId="2" borderId="0" xfId="0" applyNumberFormat="1" applyFill="1"/>
    <xf numFmtId="6" fontId="0" fillId="2" borderId="0" xfId="0" applyNumberFormat="1" applyFill="1"/>
    <xf numFmtId="2" fontId="0" fillId="3" borderId="0" xfId="0" applyNumberFormat="1" applyFill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9" fontId="0" fillId="5" borderId="0" xfId="0" applyNumberFormat="1" applyFill="1"/>
    <xf numFmtId="9" fontId="0" fillId="0" borderId="0" xfId="9" applyFont="1"/>
    <xf numFmtId="44" fontId="0" fillId="4" borderId="0" xfId="10" applyFont="1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Continuous"/>
    </xf>
    <xf numFmtId="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44" fontId="0" fillId="5" borderId="0" xfId="10" applyFont="1" applyFill="1"/>
    <xf numFmtId="44" fontId="0" fillId="0" borderId="0" xfId="10" applyFont="1"/>
    <xf numFmtId="44" fontId="0" fillId="0" borderId="0" xfId="0" applyNumberFormat="1"/>
    <xf numFmtId="44" fontId="0" fillId="4" borderId="0" xfId="0" applyNumberFormat="1" applyFill="1"/>
    <xf numFmtId="44" fontId="0" fillId="0" borderId="0" xfId="10" applyFont="1" applyFill="1"/>
    <xf numFmtId="0" fontId="0" fillId="0" borderId="2" xfId="0" applyBorder="1" applyAlignment="1">
      <alignment horizontal="center"/>
    </xf>
    <xf numFmtId="0" fontId="0" fillId="5" borderId="2" xfId="0" applyFill="1" applyBorder="1"/>
    <xf numFmtId="6" fontId="0" fillId="5" borderId="0" xfId="0" applyNumberFormat="1" applyFill="1"/>
    <xf numFmtId="6" fontId="0" fillId="5" borderId="2" xfId="0" applyNumberFormat="1" applyFill="1" applyBorder="1"/>
    <xf numFmtId="8" fontId="0" fillId="4" borderId="3" xfId="10" applyNumberFormat="1" applyFont="1" applyFill="1" applyBorder="1"/>
    <xf numFmtId="8" fontId="0" fillId="0" borderId="4" xfId="0" applyNumberFormat="1" applyBorder="1"/>
    <xf numFmtId="0" fontId="6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11">
    <cellStyle name="Currency" xfId="10" builtinId="4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5" builtinId="8" hidden="1"/>
    <cellStyle name="Hyperlink" xfId="7" builtinId="8" hidden="1"/>
    <cellStyle name="Hyperlink" xfId="3" builtinId="8" hidden="1"/>
    <cellStyle name="Hyperlink" xfId="1" builtinId="8" hidden="1"/>
    <cellStyle name="Normal" xfId="0" builtinId="0"/>
    <cellStyle name="Percent" xfId="9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'Compound Growth'!$A$6</c:f>
              <c:strCache>
                <c:ptCount val="1"/>
                <c:pt idx="0">
                  <c:v>0%</c:v>
                </c:pt>
              </c:strCache>
            </c:strRef>
          </c:tx>
          <c:marker>
            <c:symbol val="none"/>
          </c:marker>
          <c:val>
            <c:numRef>
              <c:f>'Compound Growth'!$B$6:$L$6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</c:v>
                </c:pt>
                <c:pt idx="2" formatCode="&quot;$&quot;#,##0.00_);[Red]\(&quot;$&quot;#,##0.00\)">
                  <c:v>1</c:v>
                </c:pt>
                <c:pt idx="3" formatCode="&quot;$&quot;#,##0.00_);[Red]\(&quot;$&quot;#,##0.00\)">
                  <c:v>1</c:v>
                </c:pt>
                <c:pt idx="4" formatCode="&quot;$&quot;#,##0.00_);[Red]\(&quot;$&quot;#,##0.00\)">
                  <c:v>1</c:v>
                </c:pt>
                <c:pt idx="5" formatCode="&quot;$&quot;#,##0.00_);[Red]\(&quot;$&quot;#,##0.00\)">
                  <c:v>1</c:v>
                </c:pt>
                <c:pt idx="6" formatCode="&quot;$&quot;#,##0.00_);[Red]\(&quot;$&quot;#,##0.00\)">
                  <c:v>1</c:v>
                </c:pt>
                <c:pt idx="7" formatCode="&quot;$&quot;#,##0.00_);[Red]\(&quot;$&quot;#,##0.00\)">
                  <c:v>1</c:v>
                </c:pt>
                <c:pt idx="8" formatCode="&quot;$&quot;#,##0.00_);[Red]\(&quot;$&quot;#,##0.00\)">
                  <c:v>1</c:v>
                </c:pt>
                <c:pt idx="9" formatCode="&quot;$&quot;#,##0.00_);[Red]\(&quot;$&quot;#,##0.00\)">
                  <c:v>1</c:v>
                </c:pt>
                <c:pt idx="10" formatCode="&quot;$&quot;#,##0.00_);[Red]\(&quot;$&quot;#,##0.00\)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B-4D9D-9DFF-A27505AF6360}"/>
            </c:ext>
          </c:extLst>
        </c:ser>
        <c:ser>
          <c:idx val="5"/>
          <c:order val="1"/>
          <c:tx>
            <c:strRef>
              <c:f>'Compound Growth'!$A$11</c:f>
              <c:strCache>
                <c:ptCount val="1"/>
                <c:pt idx="0">
                  <c:v>5%</c:v>
                </c:pt>
              </c:strCache>
            </c:strRef>
          </c:tx>
          <c:marker>
            <c:symbol val="none"/>
          </c:marker>
          <c:val>
            <c:numRef>
              <c:f>'Compound Growth'!$B$11:$L$11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1.05</c:v>
                </c:pt>
                <c:pt idx="2" formatCode="&quot;$&quot;#,##0.00_);[Red]\(&quot;$&quot;#,##0.00\)">
                  <c:v>1.1025</c:v>
                </c:pt>
                <c:pt idx="3" formatCode="&quot;$&quot;#,##0.00_);[Red]\(&quot;$&quot;#,##0.00\)">
                  <c:v>1.1576250000000001</c:v>
                </c:pt>
                <c:pt idx="4" formatCode="&quot;$&quot;#,##0.00_);[Red]\(&quot;$&quot;#,##0.00\)">
                  <c:v>1.2155062500000002</c:v>
                </c:pt>
                <c:pt idx="5" formatCode="&quot;$&quot;#,##0.00_);[Red]\(&quot;$&quot;#,##0.00\)">
                  <c:v>1.2762815625000004</c:v>
                </c:pt>
                <c:pt idx="6" formatCode="&quot;$&quot;#,##0.00_);[Red]\(&quot;$&quot;#,##0.00\)">
                  <c:v>1.3400956406250004</c:v>
                </c:pt>
                <c:pt idx="7" formatCode="&quot;$&quot;#,##0.00_);[Red]\(&quot;$&quot;#,##0.00\)">
                  <c:v>1.4071004226562505</c:v>
                </c:pt>
                <c:pt idx="8" formatCode="&quot;$&quot;#,##0.00_);[Red]\(&quot;$&quot;#,##0.00\)">
                  <c:v>1.477455443789063</c:v>
                </c:pt>
                <c:pt idx="9" formatCode="&quot;$&quot;#,##0.00_);[Red]\(&quot;$&quot;#,##0.00\)">
                  <c:v>1.5513282159785162</c:v>
                </c:pt>
                <c:pt idx="10" formatCode="&quot;$&quot;#,##0.00_);[Red]\(&quot;$&quot;#,##0.00\)">
                  <c:v>1.628894626777442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7B-4D9D-9DFF-A27505AF6360}"/>
            </c:ext>
          </c:extLst>
        </c:ser>
        <c:ser>
          <c:idx val="10"/>
          <c:order val="2"/>
          <c:tx>
            <c:strRef>
              <c:f>'Compound Growth'!$A$16</c:f>
              <c:strCache>
                <c:ptCount val="1"/>
                <c:pt idx="0">
                  <c:v>10%</c:v>
                </c:pt>
              </c:strCache>
            </c:strRef>
          </c:tx>
          <c:marker>
            <c:symbol val="none"/>
          </c:marker>
          <c:val>
            <c:numRef>
              <c:f>'Compound Growth'!$B$16:$L$16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1.1000000000000001</c:v>
                </c:pt>
                <c:pt idx="2" formatCode="&quot;$&quot;#,##0.00_);[Red]\(&quot;$&quot;#,##0.00\)">
                  <c:v>1.2100000000000002</c:v>
                </c:pt>
                <c:pt idx="3" formatCode="&quot;$&quot;#,##0.00_);[Red]\(&quot;$&quot;#,##0.00\)">
                  <c:v>1.3310000000000004</c:v>
                </c:pt>
                <c:pt idx="4" formatCode="&quot;$&quot;#,##0.00_);[Red]\(&quot;$&quot;#,##0.00\)">
                  <c:v>1.4641000000000006</c:v>
                </c:pt>
                <c:pt idx="5" formatCode="&quot;$&quot;#,##0.00_);[Red]\(&quot;$&quot;#,##0.00\)">
                  <c:v>1.6105100000000008</c:v>
                </c:pt>
                <c:pt idx="6" formatCode="&quot;$&quot;#,##0.00_);[Red]\(&quot;$&quot;#,##0.00\)">
                  <c:v>1.7715610000000011</c:v>
                </c:pt>
                <c:pt idx="7" formatCode="&quot;$&quot;#,##0.00_);[Red]\(&quot;$&quot;#,##0.00\)">
                  <c:v>1.9487171000000014</c:v>
                </c:pt>
                <c:pt idx="8" formatCode="&quot;$&quot;#,##0.00_);[Red]\(&quot;$&quot;#,##0.00\)">
                  <c:v>2.1435888100000016</c:v>
                </c:pt>
                <c:pt idx="9" formatCode="&quot;$&quot;#,##0.00_);[Red]\(&quot;$&quot;#,##0.00\)">
                  <c:v>2.3579476910000019</c:v>
                </c:pt>
                <c:pt idx="10" formatCode="&quot;$&quot;#,##0.00_);[Red]\(&quot;$&quot;#,##0.00\)">
                  <c:v>2.5937424601000023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7B-4D9D-9DFF-A27505AF6360}"/>
            </c:ext>
          </c:extLst>
        </c:ser>
        <c:ser>
          <c:idx val="15"/>
          <c:order val="3"/>
          <c:tx>
            <c:strRef>
              <c:f>'Compound Growth'!$A$21</c:f>
              <c:strCache>
                <c:ptCount val="1"/>
                <c:pt idx="0">
                  <c:v>15%</c:v>
                </c:pt>
              </c:strCache>
            </c:strRef>
          </c:tx>
          <c:marker>
            <c:symbol val="none"/>
          </c:marker>
          <c:val>
            <c:numRef>
              <c:f>'Compound Growth'!$B$21:$L$21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1.1499999999999999</c:v>
                </c:pt>
                <c:pt idx="2" formatCode="&quot;$&quot;#,##0.00_);[Red]\(&quot;$&quot;#,##0.00\)">
                  <c:v>1.3224999999999998</c:v>
                </c:pt>
                <c:pt idx="3" formatCode="&quot;$&quot;#,##0.00_);[Red]\(&quot;$&quot;#,##0.00\)">
                  <c:v>1.5208749999999995</c:v>
                </c:pt>
                <c:pt idx="4" formatCode="&quot;$&quot;#,##0.00_);[Red]\(&quot;$&quot;#,##0.00\)">
                  <c:v>1.7490062499999994</c:v>
                </c:pt>
                <c:pt idx="5" formatCode="&quot;$&quot;#,##0.00_);[Red]\(&quot;$&quot;#,##0.00\)">
                  <c:v>2.0113571874999994</c:v>
                </c:pt>
                <c:pt idx="6" formatCode="&quot;$&quot;#,##0.00_);[Red]\(&quot;$&quot;#,##0.00\)">
                  <c:v>2.3130607656249991</c:v>
                </c:pt>
                <c:pt idx="7" formatCode="&quot;$&quot;#,##0.00_);[Red]\(&quot;$&quot;#,##0.00\)">
                  <c:v>2.6600198804687487</c:v>
                </c:pt>
                <c:pt idx="8" formatCode="&quot;$&quot;#,##0.00_);[Red]\(&quot;$&quot;#,##0.00\)">
                  <c:v>3.0590228625390607</c:v>
                </c:pt>
                <c:pt idx="9" formatCode="&quot;$&quot;#,##0.00_);[Red]\(&quot;$&quot;#,##0.00\)">
                  <c:v>3.5178762919199196</c:v>
                </c:pt>
                <c:pt idx="10" formatCode="&quot;$&quot;#,##0.00_);[Red]\(&quot;$&quot;#,##0.00\)">
                  <c:v>4.0455577357079076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7B-4D9D-9DFF-A27505AF6360}"/>
            </c:ext>
          </c:extLst>
        </c:ser>
        <c:ser>
          <c:idx val="20"/>
          <c:order val="4"/>
          <c:tx>
            <c:strRef>
              <c:f>'Compound Growth'!$A$26</c:f>
              <c:strCache>
                <c:ptCount val="1"/>
                <c:pt idx="0">
                  <c:v>20%</c:v>
                </c:pt>
              </c:strCache>
            </c:strRef>
          </c:tx>
          <c:marker>
            <c:symbol val="none"/>
          </c:marker>
          <c:val>
            <c:numRef>
              <c:f>'Compound Growth'!$B$26:$L$26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1.2</c:v>
                </c:pt>
                <c:pt idx="2" formatCode="&quot;$&quot;#,##0.00_);[Red]\(&quot;$&quot;#,##0.00\)">
                  <c:v>1.44</c:v>
                </c:pt>
                <c:pt idx="3" formatCode="&quot;$&quot;#,##0.00_);[Red]\(&quot;$&quot;#,##0.00\)">
                  <c:v>1.728</c:v>
                </c:pt>
                <c:pt idx="4" formatCode="&quot;$&quot;#,##0.00_);[Red]\(&quot;$&quot;#,##0.00\)">
                  <c:v>2.0735999999999999</c:v>
                </c:pt>
                <c:pt idx="5" formatCode="&quot;$&quot;#,##0.00_);[Red]\(&quot;$&quot;#,##0.00\)">
                  <c:v>2.4883199999999999</c:v>
                </c:pt>
                <c:pt idx="6" formatCode="&quot;$&quot;#,##0.00_);[Red]\(&quot;$&quot;#,##0.00\)">
                  <c:v>2.9859839999999997</c:v>
                </c:pt>
                <c:pt idx="7" formatCode="&quot;$&quot;#,##0.00_);[Red]\(&quot;$&quot;#,##0.00\)">
                  <c:v>3.5831807999999996</c:v>
                </c:pt>
                <c:pt idx="8" formatCode="&quot;$&quot;#,##0.00_);[Red]\(&quot;$&quot;#,##0.00\)">
                  <c:v>4.2998169599999994</c:v>
                </c:pt>
                <c:pt idx="9" formatCode="&quot;$&quot;#,##0.00_);[Red]\(&quot;$&quot;#,##0.00\)">
                  <c:v>5.1597803519999994</c:v>
                </c:pt>
                <c:pt idx="10" formatCode="&quot;$&quot;#,##0.00_);[Red]\(&quot;$&quot;#,##0.00\)">
                  <c:v>6.1917364223999991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7B-4D9D-9DFF-A27505AF6360}"/>
            </c:ext>
          </c:extLst>
        </c:ser>
        <c:ser>
          <c:idx val="25"/>
          <c:order val="5"/>
          <c:tx>
            <c:strRef>
              <c:f>'Compound Growth'!$A$31</c:f>
              <c:strCache>
                <c:ptCount val="1"/>
                <c:pt idx="0">
                  <c:v>25%</c:v>
                </c:pt>
              </c:strCache>
            </c:strRef>
          </c:tx>
          <c:marker>
            <c:symbol val="none"/>
          </c:marker>
          <c:val>
            <c:numRef>
              <c:f>'Compound Growth'!$B$31:$L$31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1.25</c:v>
                </c:pt>
                <c:pt idx="2" formatCode="&quot;$&quot;#,##0.00_);[Red]\(&quot;$&quot;#,##0.00\)">
                  <c:v>1.5625</c:v>
                </c:pt>
                <c:pt idx="3" formatCode="&quot;$&quot;#,##0.00_);[Red]\(&quot;$&quot;#,##0.00\)">
                  <c:v>1.953125</c:v>
                </c:pt>
                <c:pt idx="4" formatCode="&quot;$&quot;#,##0.00_);[Red]\(&quot;$&quot;#,##0.00\)">
                  <c:v>2.44140625</c:v>
                </c:pt>
                <c:pt idx="5" formatCode="&quot;$&quot;#,##0.00_);[Red]\(&quot;$&quot;#,##0.00\)">
                  <c:v>3.0517578125</c:v>
                </c:pt>
                <c:pt idx="6" formatCode="&quot;$&quot;#,##0.00_);[Red]\(&quot;$&quot;#,##0.00\)">
                  <c:v>3.814697265625</c:v>
                </c:pt>
                <c:pt idx="7" formatCode="&quot;$&quot;#,##0.00_);[Red]\(&quot;$&quot;#,##0.00\)">
                  <c:v>4.76837158203125</c:v>
                </c:pt>
                <c:pt idx="8" formatCode="&quot;$&quot;#,##0.00_);[Red]\(&quot;$&quot;#,##0.00\)">
                  <c:v>5.9604644775390625</c:v>
                </c:pt>
                <c:pt idx="9" formatCode="&quot;$&quot;#,##0.00_);[Red]\(&quot;$&quot;#,##0.00\)">
                  <c:v>7.4505805969238281</c:v>
                </c:pt>
                <c:pt idx="10" formatCode="&quot;$&quot;#,##0.00_);[Red]\(&quot;$&quot;#,##0.00\)">
                  <c:v>9.3132257461547852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7B-4D9D-9DFF-A27505AF6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076000"/>
        <c:axId val="432076392"/>
      </c:lineChart>
      <c:catAx>
        <c:axId val="432076000"/>
        <c:scaling>
          <c:orientation val="minMax"/>
        </c:scaling>
        <c:delete val="0"/>
        <c:axPos val="b"/>
        <c:majorTickMark val="out"/>
        <c:minorTickMark val="none"/>
        <c:tickLblPos val="nextTo"/>
        <c:crossAx val="432076392"/>
        <c:crosses val="autoZero"/>
        <c:auto val="1"/>
        <c:lblAlgn val="ctr"/>
        <c:lblOffset val="100"/>
        <c:noMultiLvlLbl val="0"/>
      </c:catAx>
      <c:valAx>
        <c:axId val="432076392"/>
        <c:scaling>
          <c:orientation val="minMax"/>
        </c:scaling>
        <c:delete val="0"/>
        <c:axPos val="l"/>
        <c:majorGridlines/>
        <c:numFmt formatCode="&quot;$&quot;#,##0_);[Red]\(&quot;$&quot;#,##0\)" sourceLinked="1"/>
        <c:majorTickMark val="out"/>
        <c:minorTickMark val="none"/>
        <c:tickLblPos val="nextTo"/>
        <c:crossAx val="4320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120950833432799"/>
          <c:y val="2.9653318475508301E-2"/>
          <c:w val="9.7088663462331401E-2"/>
          <c:h val="0.91646035215462296"/>
        </c:manualLayout>
      </c:layout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'Compound Growth'!$B$6:$L$6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</c:v>
                </c:pt>
                <c:pt idx="2" formatCode="&quot;$&quot;#,##0.00_);[Red]\(&quot;$&quot;#,##0.00\)">
                  <c:v>1</c:v>
                </c:pt>
                <c:pt idx="3" formatCode="&quot;$&quot;#,##0.00_);[Red]\(&quot;$&quot;#,##0.00\)">
                  <c:v>1</c:v>
                </c:pt>
                <c:pt idx="4" formatCode="&quot;$&quot;#,##0.00_);[Red]\(&quot;$&quot;#,##0.00\)">
                  <c:v>1</c:v>
                </c:pt>
                <c:pt idx="5" formatCode="&quot;$&quot;#,##0.00_);[Red]\(&quot;$&quot;#,##0.00\)">
                  <c:v>1</c:v>
                </c:pt>
                <c:pt idx="6" formatCode="&quot;$&quot;#,##0.00_);[Red]\(&quot;$&quot;#,##0.00\)">
                  <c:v>1</c:v>
                </c:pt>
                <c:pt idx="7" formatCode="&quot;$&quot;#,##0.00_);[Red]\(&quot;$&quot;#,##0.00\)">
                  <c:v>1</c:v>
                </c:pt>
                <c:pt idx="8" formatCode="&quot;$&quot;#,##0.00_);[Red]\(&quot;$&quot;#,##0.00\)">
                  <c:v>1</c:v>
                </c:pt>
                <c:pt idx="9" formatCode="&quot;$&quot;#,##0.00_);[Red]\(&quot;$&quot;#,##0.00\)">
                  <c:v>1</c:v>
                </c:pt>
                <c:pt idx="10" formatCode="&quot;$&quot;#,##0.00_);[Red]\(&quot;$&quot;#,##0.00\)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8-4FA8-80E1-6ABB49BB43EF}"/>
            </c:ext>
          </c:extLst>
        </c:ser>
        <c:ser>
          <c:idx val="1"/>
          <c:order val="1"/>
          <c:marker>
            <c:symbol val="none"/>
          </c:marker>
          <c:val>
            <c:numRef>
              <c:f>'Compound Growth'!$B$7:$L$7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1.01</c:v>
                </c:pt>
                <c:pt idx="2" formatCode="&quot;$&quot;#,##0.00_);[Red]\(&quot;$&quot;#,##0.00\)">
                  <c:v>1.0201</c:v>
                </c:pt>
                <c:pt idx="3" formatCode="&quot;$&quot;#,##0.00_);[Red]\(&quot;$&quot;#,##0.00\)">
                  <c:v>1.0303009999999999</c:v>
                </c:pt>
                <c:pt idx="4" formatCode="&quot;$&quot;#,##0.00_);[Red]\(&quot;$&quot;#,##0.00\)">
                  <c:v>1.04060401</c:v>
                </c:pt>
                <c:pt idx="5" formatCode="&quot;$&quot;#,##0.00_);[Red]\(&quot;$&quot;#,##0.00\)">
                  <c:v>1.0510100500999999</c:v>
                </c:pt>
                <c:pt idx="6" formatCode="&quot;$&quot;#,##0.00_);[Red]\(&quot;$&quot;#,##0.00\)">
                  <c:v>1.0615201506009999</c:v>
                </c:pt>
                <c:pt idx="7" formatCode="&quot;$&quot;#,##0.00_);[Red]\(&quot;$&quot;#,##0.00\)">
                  <c:v>1.0721353521070098</c:v>
                </c:pt>
                <c:pt idx="8" formatCode="&quot;$&quot;#,##0.00_);[Red]\(&quot;$&quot;#,##0.00\)">
                  <c:v>1.08285670562808</c:v>
                </c:pt>
                <c:pt idx="9" formatCode="&quot;$&quot;#,##0.00_);[Red]\(&quot;$&quot;#,##0.00\)">
                  <c:v>1.0936852726843609</c:v>
                </c:pt>
                <c:pt idx="10" formatCode="&quot;$&quot;#,##0.00_);[Red]\(&quot;$&quot;#,##0.00\)">
                  <c:v>1.1046221254112045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E8-4FA8-80E1-6ABB49BB43EF}"/>
            </c:ext>
          </c:extLst>
        </c:ser>
        <c:ser>
          <c:idx val="2"/>
          <c:order val="2"/>
          <c:marker>
            <c:symbol val="none"/>
          </c:marker>
          <c:val>
            <c:numRef>
              <c:f>'Compound Growth'!$B$8:$L$8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1.02</c:v>
                </c:pt>
                <c:pt idx="2" formatCode="&quot;$&quot;#,##0.00_);[Red]\(&quot;$&quot;#,##0.00\)">
                  <c:v>1.0404</c:v>
                </c:pt>
                <c:pt idx="3" formatCode="&quot;$&quot;#,##0.00_);[Red]\(&quot;$&quot;#,##0.00\)">
                  <c:v>1.0612079999999999</c:v>
                </c:pt>
                <c:pt idx="4" formatCode="&quot;$&quot;#,##0.00_);[Red]\(&quot;$&quot;#,##0.00\)">
                  <c:v>1.08243216</c:v>
                </c:pt>
                <c:pt idx="5" formatCode="&quot;$&quot;#,##0.00_);[Red]\(&quot;$&quot;#,##0.00\)">
                  <c:v>1.1040808032</c:v>
                </c:pt>
                <c:pt idx="6" formatCode="&quot;$&quot;#,##0.00_);[Red]\(&quot;$&quot;#,##0.00\)">
                  <c:v>1.1261624192640001</c:v>
                </c:pt>
                <c:pt idx="7" formatCode="&quot;$&quot;#,##0.00_);[Red]\(&quot;$&quot;#,##0.00\)">
                  <c:v>1.14868566764928</c:v>
                </c:pt>
                <c:pt idx="8" formatCode="&quot;$&quot;#,##0.00_);[Red]\(&quot;$&quot;#,##0.00\)">
                  <c:v>1.1716593810022657</c:v>
                </c:pt>
                <c:pt idx="9" formatCode="&quot;$&quot;#,##0.00_);[Red]\(&quot;$&quot;#,##0.00\)">
                  <c:v>1.1950925686223111</c:v>
                </c:pt>
                <c:pt idx="10" formatCode="&quot;$&quot;#,##0.00_);[Red]\(&quot;$&quot;#,##0.00\)">
                  <c:v>1.2189944199947573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E8-4FA8-80E1-6ABB49BB43EF}"/>
            </c:ext>
          </c:extLst>
        </c:ser>
        <c:ser>
          <c:idx val="3"/>
          <c:order val="3"/>
          <c:marker>
            <c:symbol val="none"/>
          </c:marker>
          <c:val>
            <c:numRef>
              <c:f>'Compound Growth'!$B$9:$L$9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1.03</c:v>
                </c:pt>
                <c:pt idx="2" formatCode="&quot;$&quot;#,##0.00_);[Red]\(&quot;$&quot;#,##0.00\)">
                  <c:v>1.0609</c:v>
                </c:pt>
                <c:pt idx="3" formatCode="&quot;$&quot;#,##0.00_);[Red]\(&quot;$&quot;#,##0.00\)">
                  <c:v>1.092727</c:v>
                </c:pt>
                <c:pt idx="4" formatCode="&quot;$&quot;#,##0.00_);[Red]\(&quot;$&quot;#,##0.00\)">
                  <c:v>1.1255088100000001</c:v>
                </c:pt>
                <c:pt idx="5" formatCode="&quot;$&quot;#,##0.00_);[Red]\(&quot;$&quot;#,##0.00\)">
                  <c:v>1.1592740743000001</c:v>
                </c:pt>
                <c:pt idx="6" formatCode="&quot;$&quot;#,##0.00_);[Red]\(&quot;$&quot;#,##0.00\)">
                  <c:v>1.1940522965290001</c:v>
                </c:pt>
                <c:pt idx="7" formatCode="&quot;$&quot;#,##0.00_);[Red]\(&quot;$&quot;#,##0.00\)">
                  <c:v>1.2298738654248702</c:v>
                </c:pt>
                <c:pt idx="8" formatCode="&quot;$&quot;#,##0.00_);[Red]\(&quot;$&quot;#,##0.00\)">
                  <c:v>1.2667700813876164</c:v>
                </c:pt>
                <c:pt idx="9" formatCode="&quot;$&quot;#,##0.00_);[Red]\(&quot;$&quot;#,##0.00\)">
                  <c:v>1.3047731838292449</c:v>
                </c:pt>
                <c:pt idx="10" formatCode="&quot;$&quot;#,##0.00_);[Red]\(&quot;$&quot;#,##0.00\)">
                  <c:v>1.3439163793441222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E8-4FA8-80E1-6ABB49BB43EF}"/>
            </c:ext>
          </c:extLst>
        </c:ser>
        <c:ser>
          <c:idx val="4"/>
          <c:order val="4"/>
          <c:marker>
            <c:symbol val="none"/>
          </c:marker>
          <c:val>
            <c:numRef>
              <c:f>'Compound Growth'!$B$10:$L$10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1.04</c:v>
                </c:pt>
                <c:pt idx="2" formatCode="&quot;$&quot;#,##0.00_);[Red]\(&quot;$&quot;#,##0.00\)">
                  <c:v>1.0816000000000001</c:v>
                </c:pt>
                <c:pt idx="3" formatCode="&quot;$&quot;#,##0.00_);[Red]\(&quot;$&quot;#,##0.00\)">
                  <c:v>1.1248640000000001</c:v>
                </c:pt>
                <c:pt idx="4" formatCode="&quot;$&quot;#,##0.00_);[Red]\(&quot;$&quot;#,##0.00\)">
                  <c:v>1.1698585600000002</c:v>
                </c:pt>
                <c:pt idx="5" formatCode="&quot;$&quot;#,##0.00_);[Red]\(&quot;$&quot;#,##0.00\)">
                  <c:v>1.2166529024000003</c:v>
                </c:pt>
                <c:pt idx="6" formatCode="&quot;$&quot;#,##0.00_);[Red]\(&quot;$&quot;#,##0.00\)">
                  <c:v>1.2653190184960004</c:v>
                </c:pt>
                <c:pt idx="7" formatCode="&quot;$&quot;#,##0.00_);[Red]\(&quot;$&quot;#,##0.00\)">
                  <c:v>1.3159317792358405</c:v>
                </c:pt>
                <c:pt idx="8" formatCode="&quot;$&quot;#,##0.00_);[Red]\(&quot;$&quot;#,##0.00\)">
                  <c:v>1.3685690504052741</c:v>
                </c:pt>
                <c:pt idx="9" formatCode="&quot;$&quot;#,##0.00_);[Red]\(&quot;$&quot;#,##0.00\)">
                  <c:v>1.4233118124214852</c:v>
                </c:pt>
                <c:pt idx="10" formatCode="&quot;$&quot;#,##0.00_);[Red]\(&quot;$&quot;#,##0.00\)">
                  <c:v>1.4802442849183446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E8-4FA8-80E1-6ABB49BB43EF}"/>
            </c:ext>
          </c:extLst>
        </c:ser>
        <c:ser>
          <c:idx val="5"/>
          <c:order val="5"/>
          <c:marker>
            <c:symbol val="none"/>
          </c:marker>
          <c:val>
            <c:numRef>
              <c:f>'Compound Growth'!$B$11:$L$11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1.05</c:v>
                </c:pt>
                <c:pt idx="2" formatCode="&quot;$&quot;#,##0.00_);[Red]\(&quot;$&quot;#,##0.00\)">
                  <c:v>1.1025</c:v>
                </c:pt>
                <c:pt idx="3" formatCode="&quot;$&quot;#,##0.00_);[Red]\(&quot;$&quot;#,##0.00\)">
                  <c:v>1.1576250000000001</c:v>
                </c:pt>
                <c:pt idx="4" formatCode="&quot;$&quot;#,##0.00_);[Red]\(&quot;$&quot;#,##0.00\)">
                  <c:v>1.2155062500000002</c:v>
                </c:pt>
                <c:pt idx="5" formatCode="&quot;$&quot;#,##0.00_);[Red]\(&quot;$&quot;#,##0.00\)">
                  <c:v>1.2762815625000004</c:v>
                </c:pt>
                <c:pt idx="6" formatCode="&quot;$&quot;#,##0.00_);[Red]\(&quot;$&quot;#,##0.00\)">
                  <c:v>1.3400956406250004</c:v>
                </c:pt>
                <c:pt idx="7" formatCode="&quot;$&quot;#,##0.00_);[Red]\(&quot;$&quot;#,##0.00\)">
                  <c:v>1.4071004226562505</c:v>
                </c:pt>
                <c:pt idx="8" formatCode="&quot;$&quot;#,##0.00_);[Red]\(&quot;$&quot;#,##0.00\)">
                  <c:v>1.477455443789063</c:v>
                </c:pt>
                <c:pt idx="9" formatCode="&quot;$&quot;#,##0.00_);[Red]\(&quot;$&quot;#,##0.00\)">
                  <c:v>1.5513282159785162</c:v>
                </c:pt>
                <c:pt idx="10" formatCode="&quot;$&quot;#,##0.00_);[Red]\(&quot;$&quot;#,##0.00\)">
                  <c:v>1.628894626777442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E8-4FA8-80E1-6ABB49BB43EF}"/>
            </c:ext>
          </c:extLst>
        </c:ser>
        <c:ser>
          <c:idx val="6"/>
          <c:order val="6"/>
          <c:marker>
            <c:symbol val="none"/>
          </c:marker>
          <c:val>
            <c:numRef>
              <c:f>'Compound Growth'!$B$12:$L$12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1.06</c:v>
                </c:pt>
                <c:pt idx="2" formatCode="&quot;$&quot;#,##0.00_);[Red]\(&quot;$&quot;#,##0.00\)">
                  <c:v>1.1236000000000002</c:v>
                </c:pt>
                <c:pt idx="3" formatCode="&quot;$&quot;#,##0.00_);[Red]\(&quot;$&quot;#,##0.00\)">
                  <c:v>1.1910160000000003</c:v>
                </c:pt>
                <c:pt idx="4" formatCode="&quot;$&quot;#,##0.00_);[Red]\(&quot;$&quot;#,##0.00\)">
                  <c:v>1.2624769600000003</c:v>
                </c:pt>
                <c:pt idx="5" formatCode="&quot;$&quot;#,##0.00_);[Red]\(&quot;$&quot;#,##0.00\)">
                  <c:v>1.3382255776000005</c:v>
                </c:pt>
                <c:pt idx="6" formatCode="&quot;$&quot;#,##0.00_);[Red]\(&quot;$&quot;#,##0.00\)">
                  <c:v>1.4185191122560006</c:v>
                </c:pt>
                <c:pt idx="7" formatCode="&quot;$&quot;#,##0.00_);[Red]\(&quot;$&quot;#,##0.00\)">
                  <c:v>1.5036302589913606</c:v>
                </c:pt>
                <c:pt idx="8" formatCode="&quot;$&quot;#,##0.00_);[Red]\(&quot;$&quot;#,##0.00\)">
                  <c:v>1.5938480745308423</c:v>
                </c:pt>
                <c:pt idx="9" formatCode="&quot;$&quot;#,##0.00_);[Red]\(&quot;$&quot;#,##0.00\)">
                  <c:v>1.6894789590026928</c:v>
                </c:pt>
                <c:pt idx="10" formatCode="&quot;$&quot;#,##0.00_);[Red]\(&quot;$&quot;#,##0.00\)">
                  <c:v>1.7908476965428546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E8-4FA8-80E1-6ABB49BB43EF}"/>
            </c:ext>
          </c:extLst>
        </c:ser>
        <c:ser>
          <c:idx val="7"/>
          <c:order val="7"/>
          <c:marker>
            <c:symbol val="none"/>
          </c:marker>
          <c:val>
            <c:numRef>
              <c:f>'Compound Growth'!$B$13:$L$13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1.07</c:v>
                </c:pt>
                <c:pt idx="2" formatCode="&quot;$&quot;#,##0.00_);[Red]\(&quot;$&quot;#,##0.00\)">
                  <c:v>1.1449</c:v>
                </c:pt>
                <c:pt idx="3" formatCode="&quot;$&quot;#,##0.00_);[Red]\(&quot;$&quot;#,##0.00\)">
                  <c:v>1.2250430000000001</c:v>
                </c:pt>
                <c:pt idx="4" formatCode="&quot;$&quot;#,##0.00_);[Red]\(&quot;$&quot;#,##0.00\)">
                  <c:v>1.3107960100000002</c:v>
                </c:pt>
                <c:pt idx="5" formatCode="&quot;$&quot;#,##0.00_);[Red]\(&quot;$&quot;#,##0.00\)">
                  <c:v>1.4025517307000004</c:v>
                </c:pt>
                <c:pt idx="6" formatCode="&quot;$&quot;#,##0.00_);[Red]\(&quot;$&quot;#,##0.00\)">
                  <c:v>1.5007303518490005</c:v>
                </c:pt>
                <c:pt idx="7" formatCode="&quot;$&quot;#,##0.00_);[Red]\(&quot;$&quot;#,##0.00\)">
                  <c:v>1.6057814764784306</c:v>
                </c:pt>
                <c:pt idx="8" formatCode="&quot;$&quot;#,##0.00_);[Red]\(&quot;$&quot;#,##0.00\)">
                  <c:v>1.7181861798319209</c:v>
                </c:pt>
                <c:pt idx="9" formatCode="&quot;$&quot;#,##0.00_);[Red]\(&quot;$&quot;#,##0.00\)">
                  <c:v>1.8384592124201555</c:v>
                </c:pt>
                <c:pt idx="10" formatCode="&quot;$&quot;#,##0.00_);[Red]\(&quot;$&quot;#,##0.00\)">
                  <c:v>1.9671513572895665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E8-4FA8-80E1-6ABB49BB43EF}"/>
            </c:ext>
          </c:extLst>
        </c:ser>
        <c:ser>
          <c:idx val="8"/>
          <c:order val="8"/>
          <c:marker>
            <c:symbol val="none"/>
          </c:marker>
          <c:val>
            <c:numRef>
              <c:f>'Compound Growth'!$B$14:$L$14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1.08</c:v>
                </c:pt>
                <c:pt idx="2" formatCode="&quot;$&quot;#,##0.00_);[Red]\(&quot;$&quot;#,##0.00\)">
                  <c:v>1.1664000000000001</c:v>
                </c:pt>
                <c:pt idx="3" formatCode="&quot;$&quot;#,##0.00_);[Red]\(&quot;$&quot;#,##0.00\)">
                  <c:v>1.2597120000000002</c:v>
                </c:pt>
                <c:pt idx="4" formatCode="&quot;$&quot;#,##0.00_);[Red]\(&quot;$&quot;#,##0.00\)">
                  <c:v>1.3604889600000003</c:v>
                </c:pt>
                <c:pt idx="5" formatCode="&quot;$&quot;#,##0.00_);[Red]\(&quot;$&quot;#,##0.00\)">
                  <c:v>1.4693280768000003</c:v>
                </c:pt>
                <c:pt idx="6" formatCode="&quot;$&quot;#,##0.00_);[Red]\(&quot;$&quot;#,##0.00\)">
                  <c:v>1.5868743229440005</c:v>
                </c:pt>
                <c:pt idx="7" formatCode="&quot;$&quot;#,##0.00_);[Red]\(&quot;$&quot;#,##0.00\)">
                  <c:v>1.7138242687795207</c:v>
                </c:pt>
                <c:pt idx="8" formatCode="&quot;$&quot;#,##0.00_);[Red]\(&quot;$&quot;#,##0.00\)">
                  <c:v>1.8509302102818825</c:v>
                </c:pt>
                <c:pt idx="9" formatCode="&quot;$&quot;#,##0.00_);[Red]\(&quot;$&quot;#,##0.00\)">
                  <c:v>1.9990046271044333</c:v>
                </c:pt>
                <c:pt idx="10" formatCode="&quot;$&quot;#,##0.00_);[Red]\(&quot;$&quot;#,##0.00\)">
                  <c:v>2.1589249972727882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1E8-4FA8-80E1-6ABB49BB43EF}"/>
            </c:ext>
          </c:extLst>
        </c:ser>
        <c:ser>
          <c:idx val="9"/>
          <c:order val="9"/>
          <c:marker>
            <c:symbol val="none"/>
          </c:marker>
          <c:val>
            <c:numRef>
              <c:f>'Compound Growth'!$B$15:$L$15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1.0900000000000001</c:v>
                </c:pt>
                <c:pt idx="2" formatCode="&quot;$&quot;#,##0.00_);[Red]\(&quot;$&quot;#,##0.00\)">
                  <c:v>1.1881000000000002</c:v>
                </c:pt>
                <c:pt idx="3" formatCode="&quot;$&quot;#,##0.00_);[Red]\(&quot;$&quot;#,##0.00\)">
                  <c:v>1.2950290000000002</c:v>
                </c:pt>
                <c:pt idx="4" formatCode="&quot;$&quot;#,##0.00_);[Red]\(&quot;$&quot;#,##0.00\)">
                  <c:v>1.4115816100000003</c:v>
                </c:pt>
                <c:pt idx="5" formatCode="&quot;$&quot;#,##0.00_);[Red]\(&quot;$&quot;#,##0.00\)">
                  <c:v>1.5386239549000005</c:v>
                </c:pt>
                <c:pt idx="6" formatCode="&quot;$&quot;#,##0.00_);[Red]\(&quot;$&quot;#,##0.00\)">
                  <c:v>1.6771001108410006</c:v>
                </c:pt>
                <c:pt idx="7" formatCode="&quot;$&quot;#,##0.00_);[Red]\(&quot;$&quot;#,##0.00\)">
                  <c:v>1.8280391208166908</c:v>
                </c:pt>
                <c:pt idx="8" formatCode="&quot;$&quot;#,##0.00_);[Red]\(&quot;$&quot;#,##0.00\)">
                  <c:v>1.9925626416901931</c:v>
                </c:pt>
                <c:pt idx="9" formatCode="&quot;$&quot;#,##0.00_);[Red]\(&quot;$&quot;#,##0.00\)">
                  <c:v>2.1718932794423105</c:v>
                </c:pt>
                <c:pt idx="10" formatCode="&quot;$&quot;#,##0.00_);[Red]\(&quot;$&quot;#,##0.00\)">
                  <c:v>2.3673636745921187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1E8-4FA8-80E1-6ABB49BB43EF}"/>
            </c:ext>
          </c:extLst>
        </c:ser>
        <c:ser>
          <c:idx val="10"/>
          <c:order val="10"/>
          <c:marker>
            <c:symbol val="none"/>
          </c:marker>
          <c:val>
            <c:numRef>
              <c:f>'Compound Growth'!$B$16:$L$16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1.1000000000000001</c:v>
                </c:pt>
                <c:pt idx="2" formatCode="&quot;$&quot;#,##0.00_);[Red]\(&quot;$&quot;#,##0.00\)">
                  <c:v>1.2100000000000002</c:v>
                </c:pt>
                <c:pt idx="3" formatCode="&quot;$&quot;#,##0.00_);[Red]\(&quot;$&quot;#,##0.00\)">
                  <c:v>1.3310000000000004</c:v>
                </c:pt>
                <c:pt idx="4" formatCode="&quot;$&quot;#,##0.00_);[Red]\(&quot;$&quot;#,##0.00\)">
                  <c:v>1.4641000000000006</c:v>
                </c:pt>
                <c:pt idx="5" formatCode="&quot;$&quot;#,##0.00_);[Red]\(&quot;$&quot;#,##0.00\)">
                  <c:v>1.6105100000000008</c:v>
                </c:pt>
                <c:pt idx="6" formatCode="&quot;$&quot;#,##0.00_);[Red]\(&quot;$&quot;#,##0.00\)">
                  <c:v>1.7715610000000011</c:v>
                </c:pt>
                <c:pt idx="7" formatCode="&quot;$&quot;#,##0.00_);[Red]\(&quot;$&quot;#,##0.00\)">
                  <c:v>1.9487171000000014</c:v>
                </c:pt>
                <c:pt idx="8" formatCode="&quot;$&quot;#,##0.00_);[Red]\(&quot;$&quot;#,##0.00\)">
                  <c:v>2.1435888100000016</c:v>
                </c:pt>
                <c:pt idx="9" formatCode="&quot;$&quot;#,##0.00_);[Red]\(&quot;$&quot;#,##0.00\)">
                  <c:v>2.3579476910000019</c:v>
                </c:pt>
                <c:pt idx="10" formatCode="&quot;$&quot;#,##0.00_);[Red]\(&quot;$&quot;#,##0.00\)">
                  <c:v>2.5937424601000023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1E8-4FA8-80E1-6ABB49BB43EF}"/>
            </c:ext>
          </c:extLst>
        </c:ser>
        <c:ser>
          <c:idx val="11"/>
          <c:order val="11"/>
          <c:marker>
            <c:symbol val="none"/>
          </c:marker>
          <c:val>
            <c:numRef>
              <c:f>'Compound Growth'!$B$17:$L$17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1.1100000000000001</c:v>
                </c:pt>
                <c:pt idx="2" formatCode="&quot;$&quot;#,##0.00_);[Red]\(&quot;$&quot;#,##0.00\)">
                  <c:v>1.2321000000000002</c:v>
                </c:pt>
                <c:pt idx="3" formatCode="&quot;$&quot;#,##0.00_);[Red]\(&quot;$&quot;#,##0.00\)">
                  <c:v>1.3676310000000003</c:v>
                </c:pt>
                <c:pt idx="4" formatCode="&quot;$&quot;#,##0.00_);[Red]\(&quot;$&quot;#,##0.00\)">
                  <c:v>1.5180704100000004</c:v>
                </c:pt>
                <c:pt idx="5" formatCode="&quot;$&quot;#,##0.00_);[Red]\(&quot;$&quot;#,##0.00\)">
                  <c:v>1.6850581551000006</c:v>
                </c:pt>
                <c:pt idx="6" formatCode="&quot;$&quot;#,##0.00_);[Red]\(&quot;$&quot;#,##0.00\)">
                  <c:v>1.8704145521610007</c:v>
                </c:pt>
                <c:pt idx="7" formatCode="&quot;$&quot;#,##0.00_);[Red]\(&quot;$&quot;#,##0.00\)">
                  <c:v>2.0761601528987108</c:v>
                </c:pt>
                <c:pt idx="8" formatCode="&quot;$&quot;#,##0.00_);[Red]\(&quot;$&quot;#,##0.00\)">
                  <c:v>2.3045377697175691</c:v>
                </c:pt>
                <c:pt idx="9" formatCode="&quot;$&quot;#,##0.00_);[Red]\(&quot;$&quot;#,##0.00\)">
                  <c:v>2.558036924386502</c:v>
                </c:pt>
                <c:pt idx="10" formatCode="&quot;$&quot;#,##0.00_);[Red]\(&quot;$&quot;#,##0.00\)">
                  <c:v>2.8394209860690176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1E8-4FA8-80E1-6ABB49BB43EF}"/>
            </c:ext>
          </c:extLst>
        </c:ser>
        <c:ser>
          <c:idx val="12"/>
          <c:order val="12"/>
          <c:marker>
            <c:symbol val="none"/>
          </c:marker>
          <c:val>
            <c:numRef>
              <c:f>'Compound Growth'!$B$18:$L$18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1.1200000000000001</c:v>
                </c:pt>
                <c:pt idx="2" formatCode="&quot;$&quot;#,##0.00_);[Red]\(&quot;$&quot;#,##0.00\)">
                  <c:v>1.2544000000000002</c:v>
                </c:pt>
                <c:pt idx="3" formatCode="&quot;$&quot;#,##0.00_);[Red]\(&quot;$&quot;#,##0.00\)">
                  <c:v>1.4049280000000004</c:v>
                </c:pt>
                <c:pt idx="4" formatCode="&quot;$&quot;#,##0.00_);[Red]\(&quot;$&quot;#,##0.00\)">
                  <c:v>1.5735193600000006</c:v>
                </c:pt>
                <c:pt idx="5" formatCode="&quot;$&quot;#,##0.00_);[Red]\(&quot;$&quot;#,##0.00\)">
                  <c:v>1.7623416832000007</c:v>
                </c:pt>
                <c:pt idx="6" formatCode="&quot;$&quot;#,##0.00_);[Red]\(&quot;$&quot;#,##0.00\)">
                  <c:v>1.9738226851840011</c:v>
                </c:pt>
                <c:pt idx="7" formatCode="&quot;$&quot;#,##0.00_);[Red]\(&quot;$&quot;#,##0.00\)">
                  <c:v>2.2106814074060814</c:v>
                </c:pt>
                <c:pt idx="8" formatCode="&quot;$&quot;#,##0.00_);[Red]\(&quot;$&quot;#,##0.00\)">
                  <c:v>2.4759631762948113</c:v>
                </c:pt>
                <c:pt idx="9" formatCode="&quot;$&quot;#,##0.00_);[Red]\(&quot;$&quot;#,##0.00\)">
                  <c:v>2.7730787574501892</c:v>
                </c:pt>
                <c:pt idx="10" formatCode="&quot;$&quot;#,##0.00_);[Red]\(&quot;$&quot;#,##0.00\)">
                  <c:v>3.105848208344212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1E8-4FA8-80E1-6ABB49BB43EF}"/>
            </c:ext>
          </c:extLst>
        </c:ser>
        <c:ser>
          <c:idx val="13"/>
          <c:order val="13"/>
          <c:marker>
            <c:symbol val="none"/>
          </c:marker>
          <c:val>
            <c:numRef>
              <c:f>'Compound Growth'!$B$19:$L$19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1.1299999999999999</c:v>
                </c:pt>
                <c:pt idx="2" formatCode="&quot;$&quot;#,##0.00_);[Red]\(&quot;$&quot;#,##0.00\)">
                  <c:v>1.2768999999999997</c:v>
                </c:pt>
                <c:pt idx="3" formatCode="&quot;$&quot;#,##0.00_);[Red]\(&quot;$&quot;#,##0.00\)">
                  <c:v>1.4428969999999994</c:v>
                </c:pt>
                <c:pt idx="4" formatCode="&quot;$&quot;#,##0.00_);[Red]\(&quot;$&quot;#,##0.00\)">
                  <c:v>1.6304736099999992</c:v>
                </c:pt>
                <c:pt idx="5" formatCode="&quot;$&quot;#,##0.00_);[Red]\(&quot;$&quot;#,##0.00\)">
                  <c:v>1.8424351792999989</c:v>
                </c:pt>
                <c:pt idx="6" formatCode="&quot;$&quot;#,##0.00_);[Red]\(&quot;$&quot;#,##0.00\)">
                  <c:v>2.0819517526089983</c:v>
                </c:pt>
                <c:pt idx="7" formatCode="&quot;$&quot;#,##0.00_);[Red]\(&quot;$&quot;#,##0.00\)">
                  <c:v>2.352605480448168</c:v>
                </c:pt>
                <c:pt idx="8" formatCode="&quot;$&quot;#,##0.00_);[Red]\(&quot;$&quot;#,##0.00\)">
                  <c:v>2.6584441929064297</c:v>
                </c:pt>
                <c:pt idx="9" formatCode="&quot;$&quot;#,##0.00_);[Red]\(&quot;$&quot;#,##0.00\)">
                  <c:v>3.0040419379842653</c:v>
                </c:pt>
                <c:pt idx="10" formatCode="&quot;$&quot;#,##0.00_);[Red]\(&quot;$&quot;#,##0.00\)">
                  <c:v>3.3945673899222193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1E8-4FA8-80E1-6ABB49BB43EF}"/>
            </c:ext>
          </c:extLst>
        </c:ser>
        <c:ser>
          <c:idx val="14"/>
          <c:order val="14"/>
          <c:marker>
            <c:symbol val="none"/>
          </c:marker>
          <c:val>
            <c:numRef>
              <c:f>'Compound Growth'!$B$20:$L$20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1.1400000000000001</c:v>
                </c:pt>
                <c:pt idx="2" formatCode="&quot;$&quot;#,##0.00_);[Red]\(&quot;$&quot;#,##0.00\)">
                  <c:v>1.2996000000000003</c:v>
                </c:pt>
                <c:pt idx="3" formatCode="&quot;$&quot;#,##0.00_);[Red]\(&quot;$&quot;#,##0.00\)">
                  <c:v>1.4815440000000004</c:v>
                </c:pt>
                <c:pt idx="4" formatCode="&quot;$&quot;#,##0.00_);[Red]\(&quot;$&quot;#,##0.00\)">
                  <c:v>1.6889601600000006</c:v>
                </c:pt>
                <c:pt idx="5" formatCode="&quot;$&quot;#,##0.00_);[Red]\(&quot;$&quot;#,##0.00\)">
                  <c:v>1.9254145824000009</c:v>
                </c:pt>
                <c:pt idx="6" formatCode="&quot;$&quot;#,##0.00_);[Red]\(&quot;$&quot;#,##0.00\)">
                  <c:v>2.194972623936001</c:v>
                </c:pt>
                <c:pt idx="7" formatCode="&quot;$&quot;#,##0.00_);[Red]\(&quot;$&quot;#,##0.00\)">
                  <c:v>2.5022687912870416</c:v>
                </c:pt>
                <c:pt idx="8" formatCode="&quot;$&quot;#,##0.00_);[Red]\(&quot;$&quot;#,##0.00\)">
                  <c:v>2.8525864220672279</c:v>
                </c:pt>
                <c:pt idx="9" formatCode="&quot;$&quot;#,##0.00_);[Red]\(&quot;$&quot;#,##0.00\)">
                  <c:v>3.2519485211566401</c:v>
                </c:pt>
                <c:pt idx="10" formatCode="&quot;$&quot;#,##0.00_);[Red]\(&quot;$&quot;#,##0.00\)">
                  <c:v>3.7072213141185704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1E8-4FA8-80E1-6ABB49BB43EF}"/>
            </c:ext>
          </c:extLst>
        </c:ser>
        <c:ser>
          <c:idx val="15"/>
          <c:order val="15"/>
          <c:marker>
            <c:symbol val="none"/>
          </c:marker>
          <c:val>
            <c:numRef>
              <c:f>'Compound Growth'!$B$21:$L$21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1.1499999999999999</c:v>
                </c:pt>
                <c:pt idx="2" formatCode="&quot;$&quot;#,##0.00_);[Red]\(&quot;$&quot;#,##0.00\)">
                  <c:v>1.3224999999999998</c:v>
                </c:pt>
                <c:pt idx="3" formatCode="&quot;$&quot;#,##0.00_);[Red]\(&quot;$&quot;#,##0.00\)">
                  <c:v>1.5208749999999995</c:v>
                </c:pt>
                <c:pt idx="4" formatCode="&quot;$&quot;#,##0.00_);[Red]\(&quot;$&quot;#,##0.00\)">
                  <c:v>1.7490062499999994</c:v>
                </c:pt>
                <c:pt idx="5" formatCode="&quot;$&quot;#,##0.00_);[Red]\(&quot;$&quot;#,##0.00\)">
                  <c:v>2.0113571874999994</c:v>
                </c:pt>
                <c:pt idx="6" formatCode="&quot;$&quot;#,##0.00_);[Red]\(&quot;$&quot;#,##0.00\)">
                  <c:v>2.3130607656249991</c:v>
                </c:pt>
                <c:pt idx="7" formatCode="&quot;$&quot;#,##0.00_);[Red]\(&quot;$&quot;#,##0.00\)">
                  <c:v>2.6600198804687487</c:v>
                </c:pt>
                <c:pt idx="8" formatCode="&quot;$&quot;#,##0.00_);[Red]\(&quot;$&quot;#,##0.00\)">
                  <c:v>3.0590228625390607</c:v>
                </c:pt>
                <c:pt idx="9" formatCode="&quot;$&quot;#,##0.00_);[Red]\(&quot;$&quot;#,##0.00\)">
                  <c:v>3.5178762919199196</c:v>
                </c:pt>
                <c:pt idx="10" formatCode="&quot;$&quot;#,##0.00_);[Red]\(&quot;$&quot;#,##0.00\)">
                  <c:v>4.0455577357079076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1E8-4FA8-80E1-6ABB49BB43EF}"/>
            </c:ext>
          </c:extLst>
        </c:ser>
        <c:ser>
          <c:idx val="16"/>
          <c:order val="16"/>
          <c:marker>
            <c:symbol val="none"/>
          </c:marker>
          <c:val>
            <c:numRef>
              <c:f>'Compound Growth'!$B$22:$L$22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1.1599999999999999</c:v>
                </c:pt>
                <c:pt idx="2" formatCode="&quot;$&quot;#,##0.00_);[Red]\(&quot;$&quot;#,##0.00\)">
                  <c:v>1.3455999999999999</c:v>
                </c:pt>
                <c:pt idx="3" formatCode="&quot;$&quot;#,##0.00_);[Red]\(&quot;$&quot;#,##0.00\)">
                  <c:v>1.5608959999999998</c:v>
                </c:pt>
                <c:pt idx="4" formatCode="&quot;$&quot;#,##0.00_);[Red]\(&quot;$&quot;#,##0.00\)">
                  <c:v>1.8106393599999997</c:v>
                </c:pt>
                <c:pt idx="5" formatCode="&quot;$&quot;#,##0.00_);[Red]\(&quot;$&quot;#,##0.00\)">
                  <c:v>2.1003416575999996</c:v>
                </c:pt>
                <c:pt idx="6" formatCode="&quot;$&quot;#,##0.00_);[Red]\(&quot;$&quot;#,##0.00\)">
                  <c:v>2.4363963228159995</c:v>
                </c:pt>
                <c:pt idx="7" formatCode="&quot;$&quot;#,##0.00_);[Red]\(&quot;$&quot;#,##0.00\)">
                  <c:v>2.8262197344665592</c:v>
                </c:pt>
                <c:pt idx="8" formatCode="&quot;$&quot;#,##0.00_);[Red]\(&quot;$&quot;#,##0.00\)">
                  <c:v>3.2784148919812086</c:v>
                </c:pt>
                <c:pt idx="9" formatCode="&quot;$&quot;#,##0.00_);[Red]\(&quot;$&quot;#,##0.00\)">
                  <c:v>3.8029612746982018</c:v>
                </c:pt>
                <c:pt idx="10" formatCode="&quot;$&quot;#,##0.00_);[Red]\(&quot;$&quot;#,##0.00\)">
                  <c:v>4.4114350786499141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1E8-4FA8-80E1-6ABB49BB43EF}"/>
            </c:ext>
          </c:extLst>
        </c:ser>
        <c:ser>
          <c:idx val="17"/>
          <c:order val="17"/>
          <c:marker>
            <c:symbol val="none"/>
          </c:marker>
          <c:val>
            <c:numRef>
              <c:f>'Compound Growth'!$B$23:$L$23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1.17</c:v>
                </c:pt>
                <c:pt idx="2" formatCode="&quot;$&quot;#,##0.00_);[Red]\(&quot;$&quot;#,##0.00\)">
                  <c:v>1.3688999999999998</c:v>
                </c:pt>
                <c:pt idx="3" formatCode="&quot;$&quot;#,##0.00_);[Red]\(&quot;$&quot;#,##0.00\)">
                  <c:v>1.6016129999999997</c:v>
                </c:pt>
                <c:pt idx="4" formatCode="&quot;$&quot;#,##0.00_);[Red]\(&quot;$&quot;#,##0.00\)">
                  <c:v>1.8738872099999995</c:v>
                </c:pt>
                <c:pt idx="5" formatCode="&quot;$&quot;#,##0.00_);[Red]\(&quot;$&quot;#,##0.00\)">
                  <c:v>2.1924480356999991</c:v>
                </c:pt>
                <c:pt idx="6" formatCode="&quot;$&quot;#,##0.00_);[Red]\(&quot;$&quot;#,##0.00\)">
                  <c:v>2.5651642017689986</c:v>
                </c:pt>
                <c:pt idx="7" formatCode="&quot;$&quot;#,##0.00_);[Red]\(&quot;$&quot;#,##0.00\)">
                  <c:v>3.001242116069728</c:v>
                </c:pt>
                <c:pt idx="8" formatCode="&quot;$&quot;#,##0.00_);[Red]\(&quot;$&quot;#,##0.00\)">
                  <c:v>3.5114532758015815</c:v>
                </c:pt>
                <c:pt idx="9" formatCode="&quot;$&quot;#,##0.00_);[Red]\(&quot;$&quot;#,##0.00\)">
                  <c:v>4.1084003326878502</c:v>
                </c:pt>
                <c:pt idx="10" formatCode="&quot;$&quot;#,##0.00_);[Red]\(&quot;$&quot;#,##0.00\)">
                  <c:v>4.8068283892447843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1E8-4FA8-80E1-6ABB49BB43EF}"/>
            </c:ext>
          </c:extLst>
        </c:ser>
        <c:ser>
          <c:idx val="18"/>
          <c:order val="18"/>
          <c:marker>
            <c:symbol val="none"/>
          </c:marker>
          <c:val>
            <c:numRef>
              <c:f>'Compound Growth'!$B$24:$L$24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1.18</c:v>
                </c:pt>
                <c:pt idx="2" formatCode="&quot;$&quot;#,##0.00_);[Red]\(&quot;$&quot;#,##0.00\)">
                  <c:v>1.3923999999999999</c:v>
                </c:pt>
                <c:pt idx="3" formatCode="&quot;$&quot;#,##0.00_);[Red]\(&quot;$&quot;#,##0.00\)">
                  <c:v>1.6430319999999998</c:v>
                </c:pt>
                <c:pt idx="4" formatCode="&quot;$&quot;#,##0.00_);[Red]\(&quot;$&quot;#,##0.00\)">
                  <c:v>1.9387777599999998</c:v>
                </c:pt>
                <c:pt idx="5" formatCode="&quot;$&quot;#,##0.00_);[Red]\(&quot;$&quot;#,##0.00\)">
                  <c:v>2.2877577567999996</c:v>
                </c:pt>
                <c:pt idx="6" formatCode="&quot;$&quot;#,##0.00_);[Red]\(&quot;$&quot;#,##0.00\)">
                  <c:v>2.6995541530239993</c:v>
                </c:pt>
                <c:pt idx="7" formatCode="&quot;$&quot;#,##0.00_);[Red]\(&quot;$&quot;#,##0.00\)">
                  <c:v>3.185473900568319</c:v>
                </c:pt>
                <c:pt idx="8" formatCode="&quot;$&quot;#,##0.00_);[Red]\(&quot;$&quot;#,##0.00\)">
                  <c:v>3.7588592026706165</c:v>
                </c:pt>
                <c:pt idx="9" formatCode="&quot;$&quot;#,##0.00_);[Red]\(&quot;$&quot;#,##0.00\)">
                  <c:v>4.4354538591513268</c:v>
                </c:pt>
                <c:pt idx="10" formatCode="&quot;$&quot;#,##0.00_);[Red]\(&quot;$&quot;#,##0.00\)">
                  <c:v>5.2338355537985652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1E8-4FA8-80E1-6ABB49BB43EF}"/>
            </c:ext>
          </c:extLst>
        </c:ser>
        <c:ser>
          <c:idx val="19"/>
          <c:order val="19"/>
          <c:marker>
            <c:symbol val="none"/>
          </c:marker>
          <c:val>
            <c:numRef>
              <c:f>'Compound Growth'!$B$25:$L$25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1.19</c:v>
                </c:pt>
                <c:pt idx="2" formatCode="&quot;$&quot;#,##0.00_);[Red]\(&quot;$&quot;#,##0.00\)">
                  <c:v>1.4160999999999999</c:v>
                </c:pt>
                <c:pt idx="3" formatCode="&quot;$&quot;#,##0.00_);[Red]\(&quot;$&quot;#,##0.00\)">
                  <c:v>1.6851589999999999</c:v>
                </c:pt>
                <c:pt idx="4" formatCode="&quot;$&quot;#,##0.00_);[Red]\(&quot;$&quot;#,##0.00\)">
                  <c:v>2.0053392099999998</c:v>
                </c:pt>
                <c:pt idx="5" formatCode="&quot;$&quot;#,##0.00_);[Red]\(&quot;$&quot;#,##0.00\)">
                  <c:v>2.3863536598999997</c:v>
                </c:pt>
                <c:pt idx="6" formatCode="&quot;$&quot;#,##0.00_);[Red]\(&quot;$&quot;#,##0.00\)">
                  <c:v>2.8397608552809994</c:v>
                </c:pt>
                <c:pt idx="7" formatCode="&quot;$&quot;#,##0.00_);[Red]\(&quot;$&quot;#,##0.00\)">
                  <c:v>3.3793154177843894</c:v>
                </c:pt>
                <c:pt idx="8" formatCode="&quot;$&quot;#,##0.00_);[Red]\(&quot;$&quot;#,##0.00\)">
                  <c:v>4.0213853471634229</c:v>
                </c:pt>
                <c:pt idx="9" formatCode="&quot;$&quot;#,##0.00_);[Red]\(&quot;$&quot;#,##0.00\)">
                  <c:v>4.785448563124473</c:v>
                </c:pt>
                <c:pt idx="10" formatCode="&quot;$&quot;#,##0.00_);[Red]\(&quot;$&quot;#,##0.00\)">
                  <c:v>5.6946837901181224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1E8-4FA8-80E1-6ABB49BB43EF}"/>
            </c:ext>
          </c:extLst>
        </c:ser>
        <c:ser>
          <c:idx val="20"/>
          <c:order val="20"/>
          <c:marker>
            <c:symbol val="none"/>
          </c:marker>
          <c:val>
            <c:numRef>
              <c:f>'Compound Growth'!$B$26:$L$26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1.2</c:v>
                </c:pt>
                <c:pt idx="2" formatCode="&quot;$&quot;#,##0.00_);[Red]\(&quot;$&quot;#,##0.00\)">
                  <c:v>1.44</c:v>
                </c:pt>
                <c:pt idx="3" formatCode="&quot;$&quot;#,##0.00_);[Red]\(&quot;$&quot;#,##0.00\)">
                  <c:v>1.728</c:v>
                </c:pt>
                <c:pt idx="4" formatCode="&quot;$&quot;#,##0.00_);[Red]\(&quot;$&quot;#,##0.00\)">
                  <c:v>2.0735999999999999</c:v>
                </c:pt>
                <c:pt idx="5" formatCode="&quot;$&quot;#,##0.00_);[Red]\(&quot;$&quot;#,##0.00\)">
                  <c:v>2.4883199999999999</c:v>
                </c:pt>
                <c:pt idx="6" formatCode="&quot;$&quot;#,##0.00_);[Red]\(&quot;$&quot;#,##0.00\)">
                  <c:v>2.9859839999999997</c:v>
                </c:pt>
                <c:pt idx="7" formatCode="&quot;$&quot;#,##0.00_);[Red]\(&quot;$&quot;#,##0.00\)">
                  <c:v>3.5831807999999996</c:v>
                </c:pt>
                <c:pt idx="8" formatCode="&quot;$&quot;#,##0.00_);[Red]\(&quot;$&quot;#,##0.00\)">
                  <c:v>4.2998169599999994</c:v>
                </c:pt>
                <c:pt idx="9" formatCode="&quot;$&quot;#,##0.00_);[Red]\(&quot;$&quot;#,##0.00\)">
                  <c:v>5.1597803519999994</c:v>
                </c:pt>
                <c:pt idx="10" formatCode="&quot;$&quot;#,##0.00_);[Red]\(&quot;$&quot;#,##0.00\)">
                  <c:v>6.1917364223999991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1E8-4FA8-80E1-6ABB49BB43EF}"/>
            </c:ext>
          </c:extLst>
        </c:ser>
        <c:ser>
          <c:idx val="21"/>
          <c:order val="21"/>
          <c:marker>
            <c:symbol val="none"/>
          </c:marker>
          <c:val>
            <c:numRef>
              <c:f>'Compound Growth'!$B$27:$L$27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1.21</c:v>
                </c:pt>
                <c:pt idx="2" formatCode="&quot;$&quot;#,##0.00_);[Red]\(&quot;$&quot;#,##0.00\)">
                  <c:v>1.4641</c:v>
                </c:pt>
                <c:pt idx="3" formatCode="&quot;$&quot;#,##0.00_);[Red]\(&quot;$&quot;#,##0.00\)">
                  <c:v>1.7715609999999999</c:v>
                </c:pt>
                <c:pt idx="4" formatCode="&quot;$&quot;#,##0.00_);[Red]\(&quot;$&quot;#,##0.00\)">
                  <c:v>2.1435888099999998</c:v>
                </c:pt>
                <c:pt idx="5" formatCode="&quot;$&quot;#,##0.00_);[Red]\(&quot;$&quot;#,##0.00\)">
                  <c:v>2.5937424600999996</c:v>
                </c:pt>
                <c:pt idx="6" formatCode="&quot;$&quot;#,##0.00_);[Red]\(&quot;$&quot;#,##0.00\)">
                  <c:v>3.1384283767209995</c:v>
                </c:pt>
                <c:pt idx="7" formatCode="&quot;$&quot;#,##0.00_);[Red]\(&quot;$&quot;#,##0.00\)">
                  <c:v>3.7974983358324095</c:v>
                </c:pt>
                <c:pt idx="8" formatCode="&quot;$&quot;#,##0.00_);[Red]\(&quot;$&quot;#,##0.00\)">
                  <c:v>4.5949729863572157</c:v>
                </c:pt>
                <c:pt idx="9" formatCode="&quot;$&quot;#,##0.00_);[Red]\(&quot;$&quot;#,##0.00\)">
                  <c:v>5.5599173134922308</c:v>
                </c:pt>
                <c:pt idx="10" formatCode="&quot;$&quot;#,##0.00_);[Red]\(&quot;$&quot;#,##0.00\)">
                  <c:v>6.7274999493255994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1E8-4FA8-80E1-6ABB49BB43EF}"/>
            </c:ext>
          </c:extLst>
        </c:ser>
        <c:ser>
          <c:idx val="22"/>
          <c:order val="22"/>
          <c:marker>
            <c:symbol val="none"/>
          </c:marker>
          <c:val>
            <c:numRef>
              <c:f>'Compound Growth'!$B$28:$L$28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1.22</c:v>
                </c:pt>
                <c:pt idx="2" formatCode="&quot;$&quot;#,##0.00_);[Red]\(&quot;$&quot;#,##0.00\)">
                  <c:v>1.4883999999999999</c:v>
                </c:pt>
                <c:pt idx="3" formatCode="&quot;$&quot;#,##0.00_);[Red]\(&quot;$&quot;#,##0.00\)">
                  <c:v>1.8158479999999999</c:v>
                </c:pt>
                <c:pt idx="4" formatCode="&quot;$&quot;#,##0.00_);[Red]\(&quot;$&quot;#,##0.00\)">
                  <c:v>2.2153345599999996</c:v>
                </c:pt>
                <c:pt idx="5" formatCode="&quot;$&quot;#,##0.00_);[Red]\(&quot;$&quot;#,##0.00\)">
                  <c:v>2.7027081631999996</c:v>
                </c:pt>
                <c:pt idx="6" formatCode="&quot;$&quot;#,##0.00_);[Red]\(&quot;$&quot;#,##0.00\)">
                  <c:v>3.2973039591039996</c:v>
                </c:pt>
                <c:pt idx="7" formatCode="&quot;$&quot;#,##0.00_);[Red]\(&quot;$&quot;#,##0.00\)">
                  <c:v>4.0227108301068792</c:v>
                </c:pt>
                <c:pt idx="8" formatCode="&quot;$&quot;#,##0.00_);[Red]\(&quot;$&quot;#,##0.00\)">
                  <c:v>4.9077072127303927</c:v>
                </c:pt>
                <c:pt idx="9" formatCode="&quot;$&quot;#,##0.00_);[Red]\(&quot;$&quot;#,##0.00\)">
                  <c:v>5.987402799531079</c:v>
                </c:pt>
                <c:pt idx="10" formatCode="&quot;$&quot;#,##0.00_);[Red]\(&quot;$&quot;#,##0.00\)">
                  <c:v>7.3046314154279166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1E8-4FA8-80E1-6ABB49BB43EF}"/>
            </c:ext>
          </c:extLst>
        </c:ser>
        <c:ser>
          <c:idx val="23"/>
          <c:order val="23"/>
          <c:marker>
            <c:symbol val="none"/>
          </c:marker>
          <c:val>
            <c:numRef>
              <c:f>'Compound Growth'!$B$29:$L$29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1.23</c:v>
                </c:pt>
                <c:pt idx="2" formatCode="&quot;$&quot;#,##0.00_);[Red]\(&quot;$&quot;#,##0.00\)">
                  <c:v>1.5128999999999999</c:v>
                </c:pt>
                <c:pt idx="3" formatCode="&quot;$&quot;#,##0.00_);[Red]\(&quot;$&quot;#,##0.00\)">
                  <c:v>1.8608669999999998</c:v>
                </c:pt>
                <c:pt idx="4" formatCode="&quot;$&quot;#,##0.00_);[Red]\(&quot;$&quot;#,##0.00\)">
                  <c:v>2.2888664099999998</c:v>
                </c:pt>
                <c:pt idx="5" formatCode="&quot;$&quot;#,##0.00_);[Red]\(&quot;$&quot;#,##0.00\)">
                  <c:v>2.8153056842999997</c:v>
                </c:pt>
                <c:pt idx="6" formatCode="&quot;$&quot;#,##0.00_);[Red]\(&quot;$&quot;#,##0.00\)">
                  <c:v>3.4628259916889994</c:v>
                </c:pt>
                <c:pt idx="7" formatCode="&quot;$&quot;#,##0.00_);[Red]\(&quot;$&quot;#,##0.00\)">
                  <c:v>4.2592759697774696</c:v>
                </c:pt>
                <c:pt idx="8" formatCode="&quot;$&quot;#,##0.00_);[Red]\(&quot;$&quot;#,##0.00\)">
                  <c:v>5.2389094428262872</c:v>
                </c:pt>
                <c:pt idx="9" formatCode="&quot;$&quot;#,##0.00_);[Red]\(&quot;$&quot;#,##0.00\)">
                  <c:v>6.4438586146763335</c:v>
                </c:pt>
                <c:pt idx="10" formatCode="&quot;$&quot;#,##0.00_);[Red]\(&quot;$&quot;#,##0.00\)">
                  <c:v>7.9259460960518897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1E8-4FA8-80E1-6ABB49BB43EF}"/>
            </c:ext>
          </c:extLst>
        </c:ser>
        <c:ser>
          <c:idx val="24"/>
          <c:order val="24"/>
          <c:marker>
            <c:symbol val="none"/>
          </c:marker>
          <c:val>
            <c:numRef>
              <c:f>'Compound Growth'!$B$30:$L$30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1.24</c:v>
                </c:pt>
                <c:pt idx="2" formatCode="&quot;$&quot;#,##0.00_);[Red]\(&quot;$&quot;#,##0.00\)">
                  <c:v>1.5376000000000001</c:v>
                </c:pt>
                <c:pt idx="3" formatCode="&quot;$&quot;#,##0.00_);[Red]\(&quot;$&quot;#,##0.00\)">
                  <c:v>1.9066240000000001</c:v>
                </c:pt>
                <c:pt idx="4" formatCode="&quot;$&quot;#,##0.00_);[Red]\(&quot;$&quot;#,##0.00\)">
                  <c:v>2.3642137600000002</c:v>
                </c:pt>
                <c:pt idx="5" formatCode="&quot;$&quot;#,##0.00_);[Red]\(&quot;$&quot;#,##0.00\)">
                  <c:v>2.9316250624000002</c:v>
                </c:pt>
                <c:pt idx="6" formatCode="&quot;$&quot;#,##0.00_);[Red]\(&quot;$&quot;#,##0.00\)">
                  <c:v>3.6352150773760004</c:v>
                </c:pt>
                <c:pt idx="7" formatCode="&quot;$&quot;#,##0.00_);[Red]\(&quot;$&quot;#,##0.00\)">
                  <c:v>4.5076666959462406</c:v>
                </c:pt>
                <c:pt idx="8" formatCode="&quot;$&quot;#,##0.00_);[Red]\(&quot;$&quot;#,##0.00\)">
                  <c:v>5.5895067029733383</c:v>
                </c:pt>
                <c:pt idx="9" formatCode="&quot;$&quot;#,##0.00_);[Red]\(&quot;$&quot;#,##0.00\)">
                  <c:v>6.9309883116869395</c:v>
                </c:pt>
                <c:pt idx="10" formatCode="&quot;$&quot;#,##0.00_);[Red]\(&quot;$&quot;#,##0.00\)">
                  <c:v>8.5944255064918043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1E8-4FA8-80E1-6ABB49BB43EF}"/>
            </c:ext>
          </c:extLst>
        </c:ser>
        <c:ser>
          <c:idx val="25"/>
          <c:order val="25"/>
          <c:marker>
            <c:symbol val="none"/>
          </c:marker>
          <c:val>
            <c:numRef>
              <c:f>'Compound Growth'!$B$31:$L$31</c:f>
              <c:numCache>
                <c:formatCode>0.00</c:formatCode>
                <c:ptCount val="11"/>
                <c:pt idx="0" formatCode="&quot;$&quot;#,##0_);[Red]\(&quot;$&quot;#,##0\)">
                  <c:v>1</c:v>
                </c:pt>
                <c:pt idx="1">
                  <c:v>1.25</c:v>
                </c:pt>
                <c:pt idx="2" formatCode="&quot;$&quot;#,##0.00_);[Red]\(&quot;$&quot;#,##0.00\)">
                  <c:v>1.5625</c:v>
                </c:pt>
                <c:pt idx="3" formatCode="&quot;$&quot;#,##0.00_);[Red]\(&quot;$&quot;#,##0.00\)">
                  <c:v>1.953125</c:v>
                </c:pt>
                <c:pt idx="4" formatCode="&quot;$&quot;#,##0.00_);[Red]\(&quot;$&quot;#,##0.00\)">
                  <c:v>2.44140625</c:v>
                </c:pt>
                <c:pt idx="5" formatCode="&quot;$&quot;#,##0.00_);[Red]\(&quot;$&quot;#,##0.00\)">
                  <c:v>3.0517578125</c:v>
                </c:pt>
                <c:pt idx="6" formatCode="&quot;$&quot;#,##0.00_);[Red]\(&quot;$&quot;#,##0.00\)">
                  <c:v>3.814697265625</c:v>
                </c:pt>
                <c:pt idx="7" formatCode="&quot;$&quot;#,##0.00_);[Red]\(&quot;$&quot;#,##0.00\)">
                  <c:v>4.76837158203125</c:v>
                </c:pt>
                <c:pt idx="8" formatCode="&quot;$&quot;#,##0.00_);[Red]\(&quot;$&quot;#,##0.00\)">
                  <c:v>5.9604644775390625</c:v>
                </c:pt>
                <c:pt idx="9" formatCode="&quot;$&quot;#,##0.00_);[Red]\(&quot;$&quot;#,##0.00\)">
                  <c:v>7.4505805969238281</c:v>
                </c:pt>
                <c:pt idx="10" formatCode="&quot;$&quot;#,##0.00_);[Red]\(&quot;$&quot;#,##0.00\)">
                  <c:v>9.3132257461547852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1E8-4FA8-80E1-6ABB49BB4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077176"/>
        <c:axId val="432077568"/>
      </c:lineChart>
      <c:catAx>
        <c:axId val="432077176"/>
        <c:scaling>
          <c:orientation val="minMax"/>
        </c:scaling>
        <c:delete val="0"/>
        <c:axPos val="b"/>
        <c:majorTickMark val="out"/>
        <c:minorTickMark val="none"/>
        <c:tickLblPos val="nextTo"/>
        <c:crossAx val="432077568"/>
        <c:crosses val="autoZero"/>
        <c:auto val="1"/>
        <c:lblAlgn val="ctr"/>
        <c:lblOffset val="100"/>
        <c:noMultiLvlLbl val="0"/>
      </c:catAx>
      <c:valAx>
        <c:axId val="432077568"/>
        <c:scaling>
          <c:orientation val="minMax"/>
        </c:scaling>
        <c:delete val="0"/>
        <c:axPos val="l"/>
        <c:majorGridlines/>
        <c:numFmt formatCode="&quot;$&quot;#,##0_);[Red]\(&quot;$&quot;#,##0\)" sourceLinked="1"/>
        <c:majorTickMark val="out"/>
        <c:minorTickMark val="none"/>
        <c:tickLblPos val="nextTo"/>
        <c:crossAx val="432077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85" workbookViewId="0"/>
  </sheetViews>
  <pageMargins left="0.75" right="0.75" top="1" bottom="1" header="0.5" footer="0.5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133" workbookViewId="0" zoomToFit="1"/>
  </sheetViews>
  <pageMargins left="0.75" right="0.75" top="1" bottom="1" header="0.5" footer="0.5"/>
  <drawing r:id="rId1"/>
</chartsheet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65</xdr:row>
      <xdr:rowOff>100361</xdr:rowOff>
    </xdr:from>
    <xdr:to>
      <xdr:col>3</xdr:col>
      <xdr:colOff>52037</xdr:colOff>
      <xdr:row>65</xdr:row>
      <xdr:rowOff>104078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C81EE25-B92F-0C4D-B289-68CE0FFF2DE3}"/>
            </a:ext>
          </a:extLst>
        </xdr:cNvPr>
        <xdr:cNvCxnSpPr/>
      </xdr:nvCxnSpPr>
      <xdr:spPr>
        <a:xfrm flipH="1" flipV="1">
          <a:off x="2146300" y="13308361"/>
          <a:ext cx="115537" cy="3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620751</xdr:colOff>
      <xdr:row>65</xdr:row>
      <xdr:rowOff>107795</xdr:rowOff>
    </xdr:from>
    <xdr:to>
      <xdr:col>2</xdr:col>
      <xdr:colOff>63189</xdr:colOff>
      <xdr:row>65</xdr:row>
      <xdr:rowOff>111512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9B359DA-D7C5-BF4A-B5A7-62EE88C396BB}"/>
            </a:ext>
          </a:extLst>
        </xdr:cNvPr>
        <xdr:cNvCxnSpPr/>
      </xdr:nvCxnSpPr>
      <xdr:spPr>
        <a:xfrm flipH="1" flipV="1">
          <a:off x="1484351" y="13315795"/>
          <a:ext cx="115538" cy="3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602167</xdr:colOff>
      <xdr:row>11</xdr:row>
      <xdr:rowOff>104078</xdr:rowOff>
    </xdr:from>
    <xdr:to>
      <xdr:col>3</xdr:col>
      <xdr:colOff>44604</xdr:colOff>
      <xdr:row>11</xdr:row>
      <xdr:rowOff>107795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3FB6E87-34CD-9F44-A078-99F8DD9E40EB}"/>
            </a:ext>
          </a:extLst>
        </xdr:cNvPr>
        <xdr:cNvCxnSpPr/>
      </xdr:nvCxnSpPr>
      <xdr:spPr>
        <a:xfrm flipH="1" flipV="1">
          <a:off x="2138867" y="2339278"/>
          <a:ext cx="115537" cy="3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617035</xdr:colOff>
      <xdr:row>11</xdr:row>
      <xdr:rowOff>100361</xdr:rowOff>
    </xdr:from>
    <xdr:to>
      <xdr:col>2</xdr:col>
      <xdr:colOff>59473</xdr:colOff>
      <xdr:row>11</xdr:row>
      <xdr:rowOff>104078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2F3B8A1-F3A3-7A4C-8D79-C034528E0C8B}"/>
            </a:ext>
          </a:extLst>
        </xdr:cNvPr>
        <xdr:cNvCxnSpPr/>
      </xdr:nvCxnSpPr>
      <xdr:spPr>
        <a:xfrm flipH="1" flipV="1">
          <a:off x="1480635" y="2335561"/>
          <a:ext cx="115538" cy="3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802888</xdr:colOff>
      <xdr:row>11</xdr:row>
      <xdr:rowOff>96643</xdr:rowOff>
    </xdr:from>
    <xdr:to>
      <xdr:col>1</xdr:col>
      <xdr:colOff>52038</xdr:colOff>
      <xdr:row>11</xdr:row>
      <xdr:rowOff>100360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F73D6CC-13D6-C742-9662-CB1FD8CA62A6}"/>
            </a:ext>
          </a:extLst>
        </xdr:cNvPr>
        <xdr:cNvCxnSpPr/>
      </xdr:nvCxnSpPr>
      <xdr:spPr>
        <a:xfrm flipH="1" flipV="1">
          <a:off x="802888" y="2331843"/>
          <a:ext cx="112750" cy="3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825189</xdr:colOff>
      <xdr:row>7</xdr:row>
      <xdr:rowOff>100361</xdr:rowOff>
    </xdr:from>
    <xdr:to>
      <xdr:col>1</xdr:col>
      <xdr:colOff>74341</xdr:colOff>
      <xdr:row>7</xdr:row>
      <xdr:rowOff>100362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816404AD-CD4E-C74F-AEA0-644246F390FC}"/>
            </a:ext>
          </a:extLst>
        </xdr:cNvPr>
        <xdr:cNvCxnSpPr/>
      </xdr:nvCxnSpPr>
      <xdr:spPr>
        <a:xfrm flipV="1">
          <a:off x="825189" y="1522761"/>
          <a:ext cx="112752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628185</xdr:colOff>
      <xdr:row>7</xdr:row>
      <xdr:rowOff>104078</xdr:rowOff>
    </xdr:from>
    <xdr:to>
      <xdr:col>2</xdr:col>
      <xdr:colOff>70625</xdr:colOff>
      <xdr:row>7</xdr:row>
      <xdr:rowOff>104079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E42B8391-23EE-8943-BB3B-4C4328DB923E}"/>
            </a:ext>
          </a:extLst>
        </xdr:cNvPr>
        <xdr:cNvCxnSpPr/>
      </xdr:nvCxnSpPr>
      <xdr:spPr>
        <a:xfrm flipV="1">
          <a:off x="1491785" y="1526478"/>
          <a:ext cx="115540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628185</xdr:colOff>
      <xdr:row>7</xdr:row>
      <xdr:rowOff>111512</xdr:rowOff>
    </xdr:from>
    <xdr:to>
      <xdr:col>3</xdr:col>
      <xdr:colOff>70624</xdr:colOff>
      <xdr:row>7</xdr:row>
      <xdr:rowOff>111513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92F7FE4-DBA9-494A-99F0-DE6B7D428512}"/>
            </a:ext>
          </a:extLst>
        </xdr:cNvPr>
        <xdr:cNvCxnSpPr/>
      </xdr:nvCxnSpPr>
      <xdr:spPr>
        <a:xfrm flipV="1">
          <a:off x="2164885" y="1533912"/>
          <a:ext cx="115539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825189</xdr:colOff>
      <xdr:row>7</xdr:row>
      <xdr:rowOff>100361</xdr:rowOff>
    </xdr:from>
    <xdr:to>
      <xdr:col>2</xdr:col>
      <xdr:colOff>74341</xdr:colOff>
      <xdr:row>7</xdr:row>
      <xdr:rowOff>100362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2C0F03A7-690E-4939-BF38-77F15A83FD89}"/>
            </a:ext>
            <a:ext uri="{147F2762-F138-4A5C-976F-8EAC2B608ADB}">
              <a16:predDERef xmlns:a16="http://schemas.microsoft.com/office/drawing/2014/main" pred="{A92F7FE4-DBA9-494A-99F0-DE6B7D428512}"/>
            </a:ext>
          </a:extLst>
        </xdr:cNvPr>
        <xdr:cNvCxnSpPr/>
      </xdr:nvCxnSpPr>
      <xdr:spPr>
        <a:xfrm flipV="1">
          <a:off x="825189" y="1500536"/>
          <a:ext cx="192127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628185</xdr:colOff>
      <xdr:row>7</xdr:row>
      <xdr:rowOff>104078</xdr:rowOff>
    </xdr:from>
    <xdr:to>
      <xdr:col>3</xdr:col>
      <xdr:colOff>70625</xdr:colOff>
      <xdr:row>7</xdr:row>
      <xdr:rowOff>104079</xdr:rowOff>
    </xdr:to>
    <xdr:cxnSp macro="">
      <xdr:nvCxnSpPr>
        <xdr:cNvPr id="12" name="Straight Arrow Connector 8">
          <a:extLst>
            <a:ext uri="{FF2B5EF4-FFF2-40B4-BE49-F238E27FC236}">
              <a16:creationId xmlns:a16="http://schemas.microsoft.com/office/drawing/2014/main" id="{5094A311-A9EF-4924-87B9-F0F04DE2134E}"/>
            </a:ext>
            <a:ext uri="{147F2762-F138-4A5C-976F-8EAC2B608ADB}">
              <a16:predDERef xmlns:a16="http://schemas.microsoft.com/office/drawing/2014/main" pred="{2C0F03A7-690E-4939-BF38-77F15A83FD89}"/>
            </a:ext>
          </a:extLst>
        </xdr:cNvPr>
        <xdr:cNvCxnSpPr/>
      </xdr:nvCxnSpPr>
      <xdr:spPr>
        <a:xfrm flipV="1">
          <a:off x="1571160" y="1504253"/>
          <a:ext cx="118715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628185</xdr:colOff>
      <xdr:row>7</xdr:row>
      <xdr:rowOff>104078</xdr:rowOff>
    </xdr:from>
    <xdr:to>
      <xdr:col>3</xdr:col>
      <xdr:colOff>70625</xdr:colOff>
      <xdr:row>7</xdr:row>
      <xdr:rowOff>104079</xdr:rowOff>
    </xdr:to>
    <xdr:cxnSp macro="">
      <xdr:nvCxnSpPr>
        <xdr:cNvPr id="13" name="Straight Arrow Connector 8">
          <a:extLst>
            <a:ext uri="{FF2B5EF4-FFF2-40B4-BE49-F238E27FC236}">
              <a16:creationId xmlns:a16="http://schemas.microsoft.com/office/drawing/2014/main" id="{91A1282F-2154-4B0D-B839-568A0D5D0570}"/>
            </a:ext>
            <a:ext uri="{147F2762-F138-4A5C-976F-8EAC2B608ADB}">
              <a16:predDERef xmlns:a16="http://schemas.microsoft.com/office/drawing/2014/main" pred="{5094A311-A9EF-4924-87B9-F0F04DE2134E}"/>
            </a:ext>
          </a:extLst>
        </xdr:cNvPr>
        <xdr:cNvCxnSpPr/>
      </xdr:nvCxnSpPr>
      <xdr:spPr>
        <a:xfrm flipV="1">
          <a:off x="1571160" y="1504253"/>
          <a:ext cx="118715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825189</xdr:colOff>
      <xdr:row>7</xdr:row>
      <xdr:rowOff>100361</xdr:rowOff>
    </xdr:from>
    <xdr:to>
      <xdr:col>3</xdr:col>
      <xdr:colOff>74341</xdr:colOff>
      <xdr:row>7</xdr:row>
      <xdr:rowOff>100362</xdr:rowOff>
    </xdr:to>
    <xdr:cxnSp macro="">
      <xdr:nvCxnSpPr>
        <xdr:cNvPr id="15" name="Straight Arrow Connector 7">
          <a:extLst>
            <a:ext uri="{FF2B5EF4-FFF2-40B4-BE49-F238E27FC236}">
              <a16:creationId xmlns:a16="http://schemas.microsoft.com/office/drawing/2014/main" id="{D4768221-3E4E-4C4F-BC16-E22BDB1CC14E}"/>
            </a:ext>
            <a:ext uri="{147F2762-F138-4A5C-976F-8EAC2B608ADB}">
              <a16:predDERef xmlns:a16="http://schemas.microsoft.com/office/drawing/2014/main" pred="{100552FD-A816-4D1B-9A4E-760A23EFC475}"/>
            </a:ext>
          </a:extLst>
        </xdr:cNvPr>
        <xdr:cNvCxnSpPr/>
      </xdr:nvCxnSpPr>
      <xdr:spPr>
        <a:xfrm flipV="1">
          <a:off x="1615764" y="1500536"/>
          <a:ext cx="77827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617035</xdr:colOff>
      <xdr:row>11</xdr:row>
      <xdr:rowOff>100361</xdr:rowOff>
    </xdr:from>
    <xdr:to>
      <xdr:col>0</xdr:col>
      <xdr:colOff>59473</xdr:colOff>
      <xdr:row>11</xdr:row>
      <xdr:rowOff>104078</xdr:rowOff>
    </xdr:to>
    <xdr:cxnSp macro="">
      <xdr:nvCxnSpPr>
        <xdr:cNvPr id="18" name="Straight Arrow Connector 5">
          <a:extLst>
            <a:ext uri="{FF2B5EF4-FFF2-40B4-BE49-F238E27FC236}">
              <a16:creationId xmlns:a16="http://schemas.microsoft.com/office/drawing/2014/main" id="{364A88AB-4683-4C0D-A589-959C7D99EA03}"/>
            </a:ext>
            <a:ext uri="{147F2762-F138-4A5C-976F-8EAC2B608ADB}">
              <a16:predDERef xmlns:a16="http://schemas.microsoft.com/office/drawing/2014/main" pred="{FCD34B62-8202-4646-9859-46D075563C3C}"/>
            </a:ext>
          </a:extLst>
        </xdr:cNvPr>
        <xdr:cNvCxnSpPr/>
      </xdr:nvCxnSpPr>
      <xdr:spPr>
        <a:xfrm flipH="1" flipV="1">
          <a:off x="1560010" y="2300636"/>
          <a:ext cx="118713" cy="3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602167</xdr:colOff>
      <xdr:row>11</xdr:row>
      <xdr:rowOff>104078</xdr:rowOff>
    </xdr:from>
    <xdr:to>
      <xdr:col>2</xdr:col>
      <xdr:colOff>44604</xdr:colOff>
      <xdr:row>11</xdr:row>
      <xdr:rowOff>107795</xdr:rowOff>
    </xdr:to>
    <xdr:cxnSp macro="">
      <xdr:nvCxnSpPr>
        <xdr:cNvPr id="19" name="Straight Arrow Connector 4">
          <a:extLst>
            <a:ext uri="{FF2B5EF4-FFF2-40B4-BE49-F238E27FC236}">
              <a16:creationId xmlns:a16="http://schemas.microsoft.com/office/drawing/2014/main" id="{CDB7C967-E693-4F04-93BB-2BE125E36557}"/>
            </a:ext>
            <a:ext uri="{147F2762-F138-4A5C-976F-8EAC2B608ADB}">
              <a16:predDERef xmlns:a16="http://schemas.microsoft.com/office/drawing/2014/main" pred="{364A88AB-4683-4C0D-A589-959C7D99EA03}"/>
            </a:ext>
          </a:extLst>
        </xdr:cNvPr>
        <xdr:cNvCxnSpPr/>
      </xdr:nvCxnSpPr>
      <xdr:spPr>
        <a:xfrm flipH="1" flipV="1">
          <a:off x="2221417" y="2304353"/>
          <a:ext cx="118712" cy="3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188410</xdr:colOff>
      <xdr:row>30</xdr:row>
      <xdr:rowOff>33686</xdr:rowOff>
    </xdr:from>
    <xdr:to>
      <xdr:col>9</xdr:col>
      <xdr:colOff>573823</xdr:colOff>
      <xdr:row>30</xdr:row>
      <xdr:rowOff>37403</xdr:rowOff>
    </xdr:to>
    <xdr:cxnSp macro="">
      <xdr:nvCxnSpPr>
        <xdr:cNvPr id="20" name="Straight Arrow Connector 5">
          <a:extLst>
            <a:ext uri="{FF2B5EF4-FFF2-40B4-BE49-F238E27FC236}">
              <a16:creationId xmlns:a16="http://schemas.microsoft.com/office/drawing/2014/main" id="{60655107-1166-43F0-9CE5-4ACD4CD4BF99}"/>
            </a:ext>
            <a:ext uri="{147F2762-F138-4A5C-976F-8EAC2B608ADB}">
              <a16:predDERef xmlns:a16="http://schemas.microsoft.com/office/drawing/2014/main" pred="{CDB7C967-E693-4F04-93BB-2BE125E36557}"/>
            </a:ext>
          </a:extLst>
        </xdr:cNvPr>
        <xdr:cNvCxnSpPr/>
      </xdr:nvCxnSpPr>
      <xdr:spPr>
        <a:xfrm flipH="1" flipV="1">
          <a:off x="6541585" y="6034436"/>
          <a:ext cx="385413" cy="3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65</xdr:row>
      <xdr:rowOff>100361</xdr:rowOff>
    </xdr:from>
    <xdr:to>
      <xdr:col>2</xdr:col>
      <xdr:colOff>52037</xdr:colOff>
      <xdr:row>65</xdr:row>
      <xdr:rowOff>104078</xdr:rowOff>
    </xdr:to>
    <xdr:cxnSp macro="">
      <xdr:nvCxnSpPr>
        <xdr:cNvPr id="23" name="Straight Arrow Connector 1">
          <a:extLst>
            <a:ext uri="{FF2B5EF4-FFF2-40B4-BE49-F238E27FC236}">
              <a16:creationId xmlns:a16="http://schemas.microsoft.com/office/drawing/2014/main" id="{D678FD05-E236-497B-A5E6-59FDB3C539A2}"/>
            </a:ext>
            <a:ext uri="{147F2762-F138-4A5C-976F-8EAC2B608ADB}">
              <a16:predDERef xmlns:a16="http://schemas.microsoft.com/office/drawing/2014/main" pred="{F2CADC9F-B0F2-426B-BB6C-68C10829CCB4}"/>
            </a:ext>
          </a:extLst>
        </xdr:cNvPr>
        <xdr:cNvCxnSpPr/>
      </xdr:nvCxnSpPr>
      <xdr:spPr>
        <a:xfrm flipH="1" flipV="1">
          <a:off x="2228850" y="13101986"/>
          <a:ext cx="118712" cy="3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620751</xdr:colOff>
      <xdr:row>65</xdr:row>
      <xdr:rowOff>107795</xdr:rowOff>
    </xdr:from>
    <xdr:to>
      <xdr:col>0</xdr:col>
      <xdr:colOff>63189</xdr:colOff>
      <xdr:row>65</xdr:row>
      <xdr:rowOff>111512</xdr:rowOff>
    </xdr:to>
    <xdr:cxnSp macro="">
      <xdr:nvCxnSpPr>
        <xdr:cNvPr id="26" name="Straight Arrow Connector 2">
          <a:extLst>
            <a:ext uri="{FF2B5EF4-FFF2-40B4-BE49-F238E27FC236}">
              <a16:creationId xmlns:a16="http://schemas.microsoft.com/office/drawing/2014/main" id="{F487185E-DD9D-438C-98EA-3D40F92FBF50}"/>
            </a:ext>
            <a:ext uri="{147F2762-F138-4A5C-976F-8EAC2B608ADB}">
              <a16:predDERef xmlns:a16="http://schemas.microsoft.com/office/drawing/2014/main" pred="{66421FC2-39FC-4361-BBE9-B7A24F1BDE22}"/>
            </a:ext>
          </a:extLst>
        </xdr:cNvPr>
        <xdr:cNvCxnSpPr/>
      </xdr:nvCxnSpPr>
      <xdr:spPr>
        <a:xfrm flipH="1" flipV="1">
          <a:off x="1563726" y="13109420"/>
          <a:ext cx="118713" cy="3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609600</xdr:colOff>
      <xdr:row>65</xdr:row>
      <xdr:rowOff>100361</xdr:rowOff>
    </xdr:from>
    <xdr:to>
      <xdr:col>0</xdr:col>
      <xdr:colOff>52037</xdr:colOff>
      <xdr:row>65</xdr:row>
      <xdr:rowOff>104078</xdr:rowOff>
    </xdr:to>
    <xdr:cxnSp macro="">
      <xdr:nvCxnSpPr>
        <xdr:cNvPr id="27" name="Straight Arrow Connector 1">
          <a:extLst>
            <a:ext uri="{FF2B5EF4-FFF2-40B4-BE49-F238E27FC236}">
              <a16:creationId xmlns:a16="http://schemas.microsoft.com/office/drawing/2014/main" id="{103EE0E9-EF9C-45EA-811E-04F89F595FBA}"/>
            </a:ext>
            <a:ext uri="{147F2762-F138-4A5C-976F-8EAC2B608ADB}">
              <a16:predDERef xmlns:a16="http://schemas.microsoft.com/office/drawing/2014/main" pred="{F487185E-DD9D-438C-98EA-3D40F92FBF50}"/>
            </a:ext>
          </a:extLst>
        </xdr:cNvPr>
        <xdr:cNvCxnSpPr/>
      </xdr:nvCxnSpPr>
      <xdr:spPr>
        <a:xfrm flipH="1" flipV="1">
          <a:off x="1552575" y="13101986"/>
          <a:ext cx="118712" cy="3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65</xdr:row>
      <xdr:rowOff>100361</xdr:rowOff>
    </xdr:from>
    <xdr:to>
      <xdr:col>2</xdr:col>
      <xdr:colOff>52037</xdr:colOff>
      <xdr:row>65</xdr:row>
      <xdr:rowOff>104078</xdr:rowOff>
    </xdr:to>
    <xdr:cxnSp macro="">
      <xdr:nvCxnSpPr>
        <xdr:cNvPr id="28" name="Straight Arrow Connector 1">
          <a:extLst>
            <a:ext uri="{FF2B5EF4-FFF2-40B4-BE49-F238E27FC236}">
              <a16:creationId xmlns:a16="http://schemas.microsoft.com/office/drawing/2014/main" id="{B503E107-0EDE-4555-BBD4-DC5CA5281961}"/>
            </a:ext>
            <a:ext uri="{147F2762-F138-4A5C-976F-8EAC2B608ADB}">
              <a16:predDERef xmlns:a16="http://schemas.microsoft.com/office/drawing/2014/main" pred="{103EE0E9-EF9C-45EA-811E-04F89F595FBA}"/>
            </a:ext>
          </a:extLst>
        </xdr:cNvPr>
        <xdr:cNvCxnSpPr/>
      </xdr:nvCxnSpPr>
      <xdr:spPr>
        <a:xfrm flipH="1" flipV="1">
          <a:off x="2228850" y="13101986"/>
          <a:ext cx="118712" cy="3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65</xdr:row>
      <xdr:rowOff>100361</xdr:rowOff>
    </xdr:from>
    <xdr:to>
      <xdr:col>3</xdr:col>
      <xdr:colOff>52037</xdr:colOff>
      <xdr:row>65</xdr:row>
      <xdr:rowOff>104078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AF2653BF-1478-44AA-A0E3-25F4941EFD6B}"/>
            </a:ext>
          </a:extLst>
        </xdr:cNvPr>
        <xdr:cNvCxnSpPr/>
      </xdr:nvCxnSpPr>
      <xdr:spPr>
        <a:xfrm flipH="1" flipV="1">
          <a:off x="2155902" y="12905678"/>
          <a:ext cx="118945" cy="3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620751</xdr:colOff>
      <xdr:row>65</xdr:row>
      <xdr:rowOff>107795</xdr:rowOff>
    </xdr:from>
    <xdr:to>
      <xdr:col>2</xdr:col>
      <xdr:colOff>63189</xdr:colOff>
      <xdr:row>65</xdr:row>
      <xdr:rowOff>111512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CA105F6-EC7B-4FF9-BC34-2CCEA8B07BB2}"/>
            </a:ext>
          </a:extLst>
        </xdr:cNvPr>
        <xdr:cNvCxnSpPr/>
      </xdr:nvCxnSpPr>
      <xdr:spPr>
        <a:xfrm flipH="1" flipV="1">
          <a:off x="1490546" y="12913112"/>
          <a:ext cx="118945" cy="3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795453</xdr:colOff>
      <xdr:row>65</xdr:row>
      <xdr:rowOff>92927</xdr:rowOff>
    </xdr:from>
    <xdr:to>
      <xdr:col>1</xdr:col>
      <xdr:colOff>44603</xdr:colOff>
      <xdr:row>65</xdr:row>
      <xdr:rowOff>96644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66869943-BACA-449D-A97E-5039714AE502}"/>
            </a:ext>
          </a:extLst>
        </xdr:cNvPr>
        <xdr:cNvCxnSpPr/>
      </xdr:nvCxnSpPr>
      <xdr:spPr>
        <a:xfrm flipH="1" flipV="1">
          <a:off x="795453" y="12898244"/>
          <a:ext cx="118945" cy="3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602167</xdr:colOff>
      <xdr:row>11</xdr:row>
      <xdr:rowOff>104078</xdr:rowOff>
    </xdr:from>
    <xdr:to>
      <xdr:col>3</xdr:col>
      <xdr:colOff>44604</xdr:colOff>
      <xdr:row>11</xdr:row>
      <xdr:rowOff>107795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54556D9-E4E0-4B96-91D8-2B4BDEA5D7EB}"/>
            </a:ext>
          </a:extLst>
        </xdr:cNvPr>
        <xdr:cNvCxnSpPr/>
      </xdr:nvCxnSpPr>
      <xdr:spPr>
        <a:xfrm flipH="1" flipV="1">
          <a:off x="2148469" y="2271132"/>
          <a:ext cx="118945" cy="3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617035</xdr:colOff>
      <xdr:row>11</xdr:row>
      <xdr:rowOff>100361</xdr:rowOff>
    </xdr:from>
    <xdr:to>
      <xdr:col>2</xdr:col>
      <xdr:colOff>59473</xdr:colOff>
      <xdr:row>11</xdr:row>
      <xdr:rowOff>104078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58025EFD-89B7-4A6E-AE70-25431744834D}"/>
            </a:ext>
          </a:extLst>
        </xdr:cNvPr>
        <xdr:cNvCxnSpPr/>
      </xdr:nvCxnSpPr>
      <xdr:spPr>
        <a:xfrm flipH="1" flipV="1">
          <a:off x="1486830" y="2267415"/>
          <a:ext cx="118945" cy="3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802888</xdr:colOff>
      <xdr:row>11</xdr:row>
      <xdr:rowOff>96643</xdr:rowOff>
    </xdr:from>
    <xdr:to>
      <xdr:col>1</xdr:col>
      <xdr:colOff>52038</xdr:colOff>
      <xdr:row>11</xdr:row>
      <xdr:rowOff>100360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2A4A4C6C-073D-4796-B7D7-62E647120143}"/>
            </a:ext>
          </a:extLst>
        </xdr:cNvPr>
        <xdr:cNvCxnSpPr/>
      </xdr:nvCxnSpPr>
      <xdr:spPr>
        <a:xfrm flipH="1" flipV="1">
          <a:off x="802888" y="2263697"/>
          <a:ext cx="118945" cy="3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825189</xdr:colOff>
      <xdr:row>7</xdr:row>
      <xdr:rowOff>100361</xdr:rowOff>
    </xdr:from>
    <xdr:to>
      <xdr:col>1</xdr:col>
      <xdr:colOff>74341</xdr:colOff>
      <xdr:row>7</xdr:row>
      <xdr:rowOff>100362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577468EF-9ED2-4C01-A130-15E0D7AF9953}"/>
            </a:ext>
          </a:extLst>
        </xdr:cNvPr>
        <xdr:cNvCxnSpPr/>
      </xdr:nvCxnSpPr>
      <xdr:spPr>
        <a:xfrm flipV="1">
          <a:off x="825189" y="1479395"/>
          <a:ext cx="118947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628185</xdr:colOff>
      <xdr:row>7</xdr:row>
      <xdr:rowOff>104078</xdr:rowOff>
    </xdr:from>
    <xdr:to>
      <xdr:col>2</xdr:col>
      <xdr:colOff>70625</xdr:colOff>
      <xdr:row>7</xdr:row>
      <xdr:rowOff>104079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58BF6ABA-5E7B-4E1D-86AE-6FA8BA7B9A84}"/>
            </a:ext>
          </a:extLst>
        </xdr:cNvPr>
        <xdr:cNvCxnSpPr/>
      </xdr:nvCxnSpPr>
      <xdr:spPr>
        <a:xfrm flipV="1">
          <a:off x="1497980" y="1483112"/>
          <a:ext cx="118947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628185</xdr:colOff>
      <xdr:row>7</xdr:row>
      <xdr:rowOff>111512</xdr:rowOff>
    </xdr:from>
    <xdr:to>
      <xdr:col>3</xdr:col>
      <xdr:colOff>70624</xdr:colOff>
      <xdr:row>7</xdr:row>
      <xdr:rowOff>111513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C049D477-DA8D-49E1-83E2-1D59D00BB8A5}"/>
            </a:ext>
          </a:extLst>
        </xdr:cNvPr>
        <xdr:cNvCxnSpPr/>
      </xdr:nvCxnSpPr>
      <xdr:spPr>
        <a:xfrm flipV="1">
          <a:off x="2174487" y="1490546"/>
          <a:ext cx="118947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80824" cy="63051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50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AF940-5A1F-F442-B944-797F618CA06D}">
  <dimension ref="A1:I79"/>
  <sheetViews>
    <sheetView tabSelected="1" topLeftCell="A69" zoomScale="205" zoomScaleNormal="205" workbookViewId="0">
      <selection activeCell="C75" sqref="C75:G77"/>
    </sheetView>
  </sheetViews>
  <sheetFormatPr defaultColWidth="8.875" defaultRowHeight="15.95"/>
  <cols>
    <col min="1" max="1" width="12.375" customWidth="1"/>
  </cols>
  <sheetData>
    <row r="1" spans="1:9">
      <c r="A1" t="s">
        <v>0</v>
      </c>
      <c r="B1" s="31" t="s">
        <v>1</v>
      </c>
    </row>
    <row r="2" spans="1:9">
      <c r="A2" t="s">
        <v>2</v>
      </c>
      <c r="B2" s="32" t="s">
        <v>3</v>
      </c>
    </row>
    <row r="4" spans="1:9">
      <c r="A4" t="s">
        <v>4</v>
      </c>
      <c r="B4" s="12">
        <v>0.06</v>
      </c>
    </row>
    <row r="5" spans="1:9">
      <c r="F5" t="s">
        <v>5</v>
      </c>
      <c r="H5" t="s">
        <v>6</v>
      </c>
    </row>
    <row r="6" spans="1:9">
      <c r="A6" t="s">
        <v>7</v>
      </c>
      <c r="F6">
        <f>B8-A8</f>
        <v>5.0375999999999976</v>
      </c>
      <c r="H6" s="13">
        <f>F6/A8</f>
        <v>5.9999999999999977E-2</v>
      </c>
    </row>
    <row r="7" spans="1:9">
      <c r="A7" s="15">
        <v>0</v>
      </c>
      <c r="B7" s="15">
        <v>1</v>
      </c>
      <c r="C7" s="15">
        <v>2</v>
      </c>
      <c r="D7" s="15">
        <v>3</v>
      </c>
      <c r="F7">
        <f>C8-B8</f>
        <v>5.3398559999999975</v>
      </c>
      <c r="H7" s="13">
        <f>F7/B8</f>
        <v>5.9999999999999977E-2</v>
      </c>
      <c r="I7">
        <f>(InterestRate*F6)</f>
        <v>0.30225599999999986</v>
      </c>
    </row>
    <row r="8" spans="1:9">
      <c r="A8" s="20">
        <v>83.96</v>
      </c>
      <c r="B8" s="21">
        <f>A8*(1+InterestRate)</f>
        <v>88.997599999999991</v>
      </c>
      <c r="C8" s="21">
        <f>B8*(1+InterestRate)</f>
        <v>94.337455999999989</v>
      </c>
      <c r="D8" s="21">
        <f>C8*(1+InterestRate)</f>
        <v>99.997703359999988</v>
      </c>
      <c r="F8">
        <f>D8-C8</f>
        <v>5.6602473599999996</v>
      </c>
      <c r="H8" s="13">
        <f>F8/C8</f>
        <v>6.0000000000000005E-2</v>
      </c>
    </row>
    <row r="10" spans="1:9">
      <c r="A10" t="s">
        <v>8</v>
      </c>
    </row>
    <row r="11" spans="1:9">
      <c r="A11" s="15">
        <v>0</v>
      </c>
      <c r="B11" s="15">
        <v>1</v>
      </c>
      <c r="C11" s="15">
        <v>2</v>
      </c>
      <c r="D11" s="15">
        <v>3</v>
      </c>
    </row>
    <row r="12" spans="1:9">
      <c r="A12" s="21">
        <f>B12/(1+InterestRate)</f>
        <v>83.961928303230167</v>
      </c>
      <c r="B12" s="21">
        <f>C12/(1+InterestRate)</f>
        <v>88.999644001423988</v>
      </c>
      <c r="C12" s="21">
        <f>D12/(1+InterestRate)</f>
        <v>94.339622641509436</v>
      </c>
      <c r="D12" s="20">
        <v>100</v>
      </c>
    </row>
    <row r="14" spans="1:9">
      <c r="A14" t="s">
        <v>9</v>
      </c>
    </row>
    <row r="15" spans="1:9">
      <c r="A15" s="15">
        <v>0</v>
      </c>
      <c r="B15" s="15">
        <v>1</v>
      </c>
      <c r="C15" s="15">
        <v>2</v>
      </c>
      <c r="D15" s="15">
        <v>3</v>
      </c>
    </row>
    <row r="16" spans="1:9">
      <c r="B16" s="20">
        <v>50</v>
      </c>
      <c r="C16" s="20">
        <v>40</v>
      </c>
      <c r="D16" s="20">
        <v>1.42</v>
      </c>
    </row>
    <row r="17" spans="1:5">
      <c r="A17" s="22">
        <f>SUM(B17:D17)</f>
        <v>47.169811320754718</v>
      </c>
      <c r="B17" s="22">
        <f>B16/(1+InterestRate)</f>
        <v>47.169811320754718</v>
      </c>
    </row>
    <row r="18" spans="1:5">
      <c r="A18" s="22">
        <f t="shared" ref="A18:A19" si="0">SUM(B18:D18)</f>
        <v>35.599857600569592</v>
      </c>
      <c r="C18" s="22">
        <f>C$16/(1+InterestRate)^C$15</f>
        <v>35.599857600569592</v>
      </c>
    </row>
    <row r="19" spans="1:5">
      <c r="A19" s="22">
        <f t="shared" si="0"/>
        <v>1.1922593819058682</v>
      </c>
      <c r="D19" s="22">
        <f>D$16/(1+InterestRate)^D$15</f>
        <v>1.1922593819058682</v>
      </c>
    </row>
    <row r="20" spans="1:5">
      <c r="A20" s="23">
        <f>SUM(A17:A19)</f>
        <v>83.961928303230181</v>
      </c>
    </row>
    <row r="22" spans="1:5">
      <c r="A22" t="s">
        <v>10</v>
      </c>
    </row>
    <row r="23" spans="1:5">
      <c r="A23" s="15">
        <v>0</v>
      </c>
      <c r="B23" s="15">
        <v>1</v>
      </c>
      <c r="C23" s="15">
        <v>2</v>
      </c>
      <c r="D23" s="15">
        <v>3</v>
      </c>
    </row>
    <row r="24" spans="1:5">
      <c r="B24" s="20">
        <v>50</v>
      </c>
      <c r="C24" s="20">
        <v>40</v>
      </c>
      <c r="D24" s="20">
        <v>1.42</v>
      </c>
    </row>
    <row r="25" spans="1:5">
      <c r="C25" s="22">
        <f>B24*(1.06)</f>
        <v>53</v>
      </c>
      <c r="D25" s="22">
        <f>C25*1.06</f>
        <v>56.18</v>
      </c>
    </row>
    <row r="26" spans="1:5">
      <c r="D26" s="22">
        <f>C24*1.06</f>
        <v>42.400000000000006</v>
      </c>
    </row>
    <row r="27" spans="1:5">
      <c r="D27" s="14">
        <f>SUM(D24:D26)</f>
        <v>100</v>
      </c>
    </row>
    <row r="29" spans="1:5">
      <c r="A29" t="s">
        <v>11</v>
      </c>
    </row>
    <row r="30" spans="1:5">
      <c r="A30" s="15">
        <v>0</v>
      </c>
      <c r="B30" s="15">
        <v>1</v>
      </c>
      <c r="C30" s="15">
        <v>2</v>
      </c>
      <c r="D30" s="15">
        <v>3</v>
      </c>
      <c r="E30" s="15"/>
    </row>
    <row r="31" spans="1:5">
      <c r="B31" s="20">
        <v>31.41</v>
      </c>
      <c r="C31" s="20">
        <v>31.41</v>
      </c>
      <c r="D31" s="20">
        <v>31.41</v>
      </c>
    </row>
    <row r="32" spans="1:5">
      <c r="B32" s="22"/>
      <c r="C32" s="22">
        <f>B31*(1.06)</f>
        <v>33.294600000000003</v>
      </c>
      <c r="D32" s="22">
        <f>C32*1.06</f>
        <v>35.292276000000001</v>
      </c>
    </row>
    <row r="33" spans="1:4">
      <c r="D33" s="22">
        <f>C31*1.06</f>
        <v>33.294600000000003</v>
      </c>
    </row>
    <row r="34" spans="1:4">
      <c r="D34" s="14">
        <f>SUM(D31:D33)</f>
        <v>99.996876</v>
      </c>
    </row>
    <row r="36" spans="1:4">
      <c r="A36" t="s">
        <v>12</v>
      </c>
    </row>
    <row r="37" spans="1:4">
      <c r="A37" s="15">
        <v>0</v>
      </c>
      <c r="B37" s="15">
        <v>1</v>
      </c>
      <c r="C37" s="15">
        <v>2</v>
      </c>
      <c r="D37" s="15">
        <v>3</v>
      </c>
    </row>
    <row r="38" spans="1:4">
      <c r="B38" s="20">
        <v>31.41</v>
      </c>
      <c r="C38" s="20">
        <v>31.41</v>
      </c>
      <c r="D38" s="20">
        <v>31.41</v>
      </c>
    </row>
    <row r="39" spans="1:4">
      <c r="A39" s="22"/>
      <c r="B39" s="22"/>
    </row>
    <row r="40" spans="1:4">
      <c r="A40" s="22"/>
      <c r="C40" s="22"/>
    </row>
    <row r="41" spans="1:4">
      <c r="A41" s="22"/>
      <c r="D41" s="22"/>
    </row>
    <row r="42" spans="1:4">
      <c r="A42" s="23"/>
    </row>
    <row r="44" spans="1:4">
      <c r="A44" t="s">
        <v>13</v>
      </c>
    </row>
    <row r="45" spans="1:4">
      <c r="B45" s="15">
        <v>0</v>
      </c>
      <c r="C45" s="15">
        <v>1</v>
      </c>
      <c r="D45" s="15">
        <v>2</v>
      </c>
    </row>
    <row r="46" spans="1:4">
      <c r="C46" s="20">
        <v>31.41</v>
      </c>
      <c r="D46" s="20">
        <v>31.41</v>
      </c>
    </row>
    <row r="47" spans="1:4">
      <c r="B47" s="23"/>
      <c r="C47" s="22"/>
      <c r="D47" s="22"/>
    </row>
    <row r="48" spans="1:4">
      <c r="C48" s="22"/>
      <c r="D48" s="22"/>
    </row>
    <row r="49" spans="1:6">
      <c r="A49" t="s">
        <v>14</v>
      </c>
    </row>
    <row r="50" spans="1:6">
      <c r="C50" s="15">
        <v>0</v>
      </c>
      <c r="D50" s="15">
        <v>1</v>
      </c>
    </row>
    <row r="51" spans="1:6">
      <c r="D51" s="20">
        <v>31.41</v>
      </c>
    </row>
    <row r="52" spans="1:6">
      <c r="C52" s="23">
        <f>D52</f>
        <v>0</v>
      </c>
      <c r="D52" s="22"/>
    </row>
    <row r="54" spans="1:6">
      <c r="A54" t="s">
        <v>15</v>
      </c>
    </row>
    <row r="56" spans="1:6">
      <c r="C56" t="s">
        <v>16</v>
      </c>
    </row>
    <row r="57" spans="1:6">
      <c r="C57" s="15">
        <v>0</v>
      </c>
      <c r="D57" s="15">
        <v>1</v>
      </c>
      <c r="E57" s="15">
        <v>2</v>
      </c>
      <c r="F57" s="15">
        <v>3</v>
      </c>
    </row>
    <row r="58" spans="1:6">
      <c r="B58" t="s">
        <v>17</v>
      </c>
      <c r="D58" s="11">
        <v>31.41</v>
      </c>
      <c r="E58" s="11">
        <v>31.41</v>
      </c>
      <c r="F58" s="11">
        <v>31.41</v>
      </c>
    </row>
    <row r="59" spans="1:6">
      <c r="B59" s="15">
        <v>0</v>
      </c>
      <c r="C59" s="24"/>
      <c r="D59" s="22"/>
    </row>
    <row r="60" spans="1:6">
      <c r="B60" s="15">
        <v>1</v>
      </c>
      <c r="C60" s="24"/>
      <c r="E60" s="22"/>
    </row>
    <row r="61" spans="1:6">
      <c r="B61" s="15">
        <v>2</v>
      </c>
      <c r="C61" s="24"/>
      <c r="F61" s="22"/>
    </row>
    <row r="62" spans="1:6">
      <c r="C62" s="14">
        <f>SUM(C59:C61)</f>
        <v>0</v>
      </c>
    </row>
    <row r="63" spans="1:6">
      <c r="A63" t="s">
        <v>18</v>
      </c>
    </row>
    <row r="65" spans="1:7">
      <c r="A65" s="15">
        <v>0</v>
      </c>
      <c r="B65" s="15">
        <v>1</v>
      </c>
      <c r="C65" s="15">
        <v>2</v>
      </c>
      <c r="D65" s="15">
        <v>3</v>
      </c>
    </row>
    <row r="66" spans="1:7">
      <c r="A66" s="22">
        <f t="shared" ref="A66:B66" si="1">B66/1.08</f>
        <v>87.321546512218646</v>
      </c>
      <c r="B66" s="22">
        <f t="shared" si="1"/>
        <v>94.307270233196149</v>
      </c>
      <c r="C66" s="22">
        <f>D66/1.08</f>
        <v>101.85185185185185</v>
      </c>
      <c r="D66" s="20">
        <v>110</v>
      </c>
    </row>
    <row r="68" spans="1:7">
      <c r="A68" t="s">
        <v>19</v>
      </c>
    </row>
    <row r="70" spans="1:7">
      <c r="A70" t="s">
        <v>20</v>
      </c>
      <c r="B70" s="3">
        <v>100</v>
      </c>
      <c r="C70" s="3"/>
    </row>
    <row r="71" spans="1:7">
      <c r="A71" t="s">
        <v>21</v>
      </c>
      <c r="B71" s="1">
        <v>0.04</v>
      </c>
      <c r="C71" t="s">
        <v>22</v>
      </c>
    </row>
    <row r="72" spans="1:7">
      <c r="A72" t="s">
        <v>23</v>
      </c>
      <c r="B72">
        <v>5</v>
      </c>
      <c r="C72" t="s">
        <v>24</v>
      </c>
    </row>
    <row r="74" spans="1:7">
      <c r="B74" s="25">
        <v>0</v>
      </c>
      <c r="C74" s="25">
        <v>1</v>
      </c>
      <c r="D74" s="25">
        <v>2</v>
      </c>
      <c r="E74" s="25">
        <v>3</v>
      </c>
      <c r="F74" s="25">
        <v>4</v>
      </c>
      <c r="G74" s="25">
        <v>5</v>
      </c>
    </row>
    <row r="75" spans="1:7">
      <c r="A75" t="s">
        <v>25</v>
      </c>
      <c r="C75" s="27">
        <f>$B$70*$B$71</f>
        <v>4</v>
      </c>
      <c r="D75" s="27">
        <f t="shared" ref="D75:G75" si="2">$B$70*$B$71</f>
        <v>4</v>
      </c>
      <c r="E75" s="27">
        <f t="shared" si="2"/>
        <v>4</v>
      </c>
      <c r="F75" s="27">
        <f t="shared" si="2"/>
        <v>4</v>
      </c>
      <c r="G75" s="27">
        <f t="shared" si="2"/>
        <v>4</v>
      </c>
    </row>
    <row r="76" spans="1:7">
      <c r="A76" t="s">
        <v>26</v>
      </c>
      <c r="C76" s="26"/>
      <c r="D76" s="26"/>
      <c r="E76" s="26"/>
      <c r="F76" s="26"/>
      <c r="G76" s="28">
        <f>B70</f>
        <v>100</v>
      </c>
    </row>
    <row r="77" spans="1:7">
      <c r="A77" t="s">
        <v>27</v>
      </c>
      <c r="C77" s="3">
        <f>SUM(C75:C76)</f>
        <v>4</v>
      </c>
      <c r="D77" s="3">
        <f>SUM(D75:D76)</f>
        <v>4</v>
      </c>
      <c r="E77" s="3">
        <f>SUM(E75:E76)</f>
        <v>4</v>
      </c>
      <c r="F77" s="3">
        <f>SUM(F75:F76)</f>
        <v>4</v>
      </c>
      <c r="G77" s="3">
        <f>SUM(G75:G76)</f>
        <v>104</v>
      </c>
    </row>
    <row r="78" spans="1:7" ht="17.100000000000001" thickBot="1">
      <c r="A78" t="s">
        <v>28</v>
      </c>
      <c r="B78" s="29"/>
      <c r="C78" s="30"/>
      <c r="D78" s="30"/>
      <c r="E78" s="30"/>
      <c r="F78" s="30"/>
      <c r="G78" s="30"/>
    </row>
    <row r="79" spans="1:7" ht="17.100000000000001" thickTop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opLeftCell="A58" zoomScale="205" zoomScaleNormal="205" workbookViewId="0">
      <selection activeCell="C80" sqref="C80"/>
    </sheetView>
  </sheetViews>
  <sheetFormatPr defaultColWidth="8.875" defaultRowHeight="15.95"/>
  <cols>
    <col min="1" max="1" width="11.375" bestFit="1" customWidth="1"/>
  </cols>
  <sheetData>
    <row r="1" spans="1:8">
      <c r="A1" t="s">
        <v>0</v>
      </c>
      <c r="B1" s="10" t="s">
        <v>1</v>
      </c>
    </row>
    <row r="2" spans="1:8">
      <c r="A2" t="s">
        <v>2</v>
      </c>
      <c r="B2" s="9" t="s">
        <v>3</v>
      </c>
    </row>
    <row r="4" spans="1:8">
      <c r="A4" t="s">
        <v>4</v>
      </c>
      <c r="B4" s="12">
        <v>0.06</v>
      </c>
    </row>
    <row r="5" spans="1:8">
      <c r="F5" t="s">
        <v>5</v>
      </c>
      <c r="H5" t="s">
        <v>6</v>
      </c>
    </row>
    <row r="6" spans="1:8">
      <c r="A6" t="s">
        <v>7</v>
      </c>
      <c r="F6">
        <f>B8-A8</f>
        <v>5.0375999999999976</v>
      </c>
      <c r="H6" s="13">
        <f>F6/A8</f>
        <v>5.9999999999999977E-2</v>
      </c>
    </row>
    <row r="7" spans="1:8">
      <c r="A7" s="15">
        <v>0</v>
      </c>
      <c r="B7" s="15">
        <v>1</v>
      </c>
      <c r="C7" s="15">
        <v>2</v>
      </c>
      <c r="D7" s="15">
        <v>3</v>
      </c>
      <c r="F7">
        <f>C8-B8</f>
        <v>5.3398559999999975</v>
      </c>
      <c r="H7" s="13">
        <f>F7/B8</f>
        <v>5.9999999999999977E-2</v>
      </c>
    </row>
    <row r="8" spans="1:8">
      <c r="A8" s="20">
        <v>83.96</v>
      </c>
      <c r="B8" s="21">
        <f>A8*(1+InterestRate)</f>
        <v>88.997599999999991</v>
      </c>
      <c r="C8" s="21">
        <f>B8*(1+InterestRate)</f>
        <v>94.337455999999989</v>
      </c>
      <c r="D8" s="23">
        <f>C8*(1+InterestRate)</f>
        <v>99.997703359999988</v>
      </c>
      <c r="F8">
        <f>D8-C8</f>
        <v>5.6602473599999996</v>
      </c>
      <c r="H8" s="13">
        <f>F8/C8</f>
        <v>6.0000000000000005E-2</v>
      </c>
    </row>
    <row r="10" spans="1:8">
      <c r="A10" t="s">
        <v>8</v>
      </c>
    </row>
    <row r="11" spans="1:8">
      <c r="A11" s="15">
        <v>0</v>
      </c>
      <c r="B11" s="15">
        <v>1</v>
      </c>
      <c r="C11" s="15">
        <v>2</v>
      </c>
      <c r="D11" s="15">
        <v>3</v>
      </c>
    </row>
    <row r="12" spans="1:8">
      <c r="A12" s="23">
        <f>B12/(1+InterestRate)</f>
        <v>83.961928303230167</v>
      </c>
      <c r="B12" s="21">
        <f>C12/(1+InterestRate)</f>
        <v>88.999644001423988</v>
      </c>
      <c r="C12" s="21">
        <f>D12/(1+InterestRate)</f>
        <v>94.339622641509436</v>
      </c>
      <c r="D12" s="20">
        <v>100</v>
      </c>
    </row>
    <row r="14" spans="1:8">
      <c r="A14" t="s">
        <v>9</v>
      </c>
    </row>
    <row r="15" spans="1:8">
      <c r="A15" s="15">
        <v>0</v>
      </c>
      <c r="B15" s="15">
        <v>1</v>
      </c>
      <c r="C15" s="15">
        <v>2</v>
      </c>
      <c r="D15" s="15">
        <v>3</v>
      </c>
    </row>
    <row r="16" spans="1:8">
      <c r="B16" s="20">
        <v>50</v>
      </c>
      <c r="C16" s="20">
        <v>40</v>
      </c>
      <c r="D16" s="20">
        <v>1.42</v>
      </c>
    </row>
    <row r="17" spans="1:5">
      <c r="A17" s="22">
        <f>SUM(B17:D17)</f>
        <v>47.169811320754718</v>
      </c>
      <c r="B17" s="22">
        <f>B$16/(1+InterestRate)^B$15</f>
        <v>47.169811320754718</v>
      </c>
    </row>
    <row r="18" spans="1:5">
      <c r="A18" s="22">
        <f t="shared" ref="A18:A19" si="0">SUM(B18:D18)</f>
        <v>35.599857600569592</v>
      </c>
      <c r="C18" s="22">
        <f>C$16/(1+InterestRate)^C$15</f>
        <v>35.599857600569592</v>
      </c>
    </row>
    <row r="19" spans="1:5">
      <c r="A19" s="22">
        <f t="shared" si="0"/>
        <v>1.1922593819058682</v>
      </c>
      <c r="D19" s="22">
        <f>D$16/(1+InterestRate)^D$15</f>
        <v>1.1922593819058682</v>
      </c>
    </row>
    <row r="20" spans="1:5">
      <c r="A20" s="23">
        <f>SUM(A17:A19)</f>
        <v>83.961928303230181</v>
      </c>
    </row>
    <row r="22" spans="1:5">
      <c r="A22" t="s">
        <v>10</v>
      </c>
    </row>
    <row r="23" spans="1:5">
      <c r="A23" s="15">
        <v>0</v>
      </c>
      <c r="B23" s="15">
        <v>1</v>
      </c>
      <c r="C23" s="15">
        <v>2</v>
      </c>
      <c r="D23" s="15">
        <v>3</v>
      </c>
    </row>
    <row r="24" spans="1:5">
      <c r="B24" s="20">
        <v>50</v>
      </c>
      <c r="C24" s="20">
        <v>40</v>
      </c>
      <c r="D24" s="20">
        <v>1.42</v>
      </c>
    </row>
    <row r="25" spans="1:5">
      <c r="C25" s="22">
        <f>B24*(1+InterestRate)</f>
        <v>53</v>
      </c>
      <c r="D25" s="22">
        <f>C25*(1+InterestRate)</f>
        <v>56.18</v>
      </c>
    </row>
    <row r="26" spans="1:5">
      <c r="D26" s="22">
        <f>C24*(1+InterestRate)</f>
        <v>42.400000000000006</v>
      </c>
    </row>
    <row r="27" spans="1:5">
      <c r="D27" s="14">
        <f>SUM(D24:D26)</f>
        <v>100</v>
      </c>
    </row>
    <row r="29" spans="1:5">
      <c r="A29" t="s">
        <v>11</v>
      </c>
    </row>
    <row r="30" spans="1:5">
      <c r="A30" s="15">
        <v>0</v>
      </c>
      <c r="B30" s="15">
        <v>1</v>
      </c>
      <c r="C30" s="15">
        <v>2</v>
      </c>
      <c r="D30" s="15">
        <v>3</v>
      </c>
      <c r="E30" s="15"/>
    </row>
    <row r="31" spans="1:5">
      <c r="B31" s="20">
        <v>31.41</v>
      </c>
      <c r="C31" s="20">
        <v>31.41</v>
      </c>
      <c r="D31" s="20">
        <v>31.41</v>
      </c>
    </row>
    <row r="32" spans="1:5">
      <c r="C32" s="22">
        <f>B31*(1+InterestRate)</f>
        <v>33.294600000000003</v>
      </c>
      <c r="D32" s="22">
        <f>C32*(1+InterestRate)</f>
        <v>35.292276000000001</v>
      </c>
    </row>
    <row r="33" spans="1:4">
      <c r="D33" s="22">
        <f>C31*(1+InterestRate)</f>
        <v>33.294600000000003</v>
      </c>
    </row>
    <row r="34" spans="1:4">
      <c r="D34" s="14">
        <f>SUM(D31:D33)</f>
        <v>99.996876</v>
      </c>
    </row>
    <row r="36" spans="1:4">
      <c r="A36" t="s">
        <v>12</v>
      </c>
    </row>
    <row r="37" spans="1:4">
      <c r="A37" s="15">
        <v>0</v>
      </c>
      <c r="B37" s="15">
        <v>1</v>
      </c>
      <c r="C37" s="15">
        <v>2</v>
      </c>
      <c r="D37" s="15">
        <v>3</v>
      </c>
    </row>
    <row r="38" spans="1:4">
      <c r="B38" s="20">
        <v>31.41</v>
      </c>
      <c r="C38" s="20">
        <v>31.41</v>
      </c>
      <c r="D38" s="20">
        <v>31.41</v>
      </c>
    </row>
    <row r="39" spans="1:4">
      <c r="A39" s="22">
        <f>SUM(B39:D39)</f>
        <v>29.632075471698112</v>
      </c>
      <c r="B39" s="22">
        <f>B$38/(1+InterestRate)^(B$37-$A$37)</f>
        <v>29.632075471698112</v>
      </c>
    </row>
    <row r="40" spans="1:4">
      <c r="A40" s="22">
        <f t="shared" ref="A40:A41" si="1">SUM(B40:D40)</f>
        <v>27.954788180847274</v>
      </c>
      <c r="C40" s="22">
        <f>C$38/(1+InterestRate)^(C$37-$A$37)</f>
        <v>27.954788180847274</v>
      </c>
    </row>
    <row r="41" spans="1:4">
      <c r="A41" s="22">
        <f t="shared" si="1"/>
        <v>26.372441680044595</v>
      </c>
      <c r="D41" s="22">
        <f>D$38/(1+InterestRate)^(D$37-$A$37)</f>
        <v>26.372441680044595</v>
      </c>
    </row>
    <row r="42" spans="1:4">
      <c r="A42" s="23">
        <f>SUM(A39:A41)</f>
        <v>83.959305332589992</v>
      </c>
    </row>
    <row r="44" spans="1:4">
      <c r="A44" t="s">
        <v>13</v>
      </c>
    </row>
    <row r="45" spans="1:4">
      <c r="B45" s="15">
        <v>0</v>
      </c>
      <c r="C45" s="15">
        <v>1</v>
      </c>
      <c r="D45" s="15">
        <v>2</v>
      </c>
    </row>
    <row r="46" spans="1:4">
      <c r="C46" s="20">
        <v>31.41</v>
      </c>
      <c r="D46" s="20">
        <v>31.41</v>
      </c>
    </row>
    <row r="47" spans="1:4">
      <c r="B47" s="23">
        <f>SUM(C47:D47)</f>
        <v>57.586863652545389</v>
      </c>
      <c r="C47" s="22">
        <f>C$46/(1+InterestRate)^(C$45-$B$45)</f>
        <v>29.632075471698112</v>
      </c>
      <c r="D47" s="22">
        <f>D$46/(1+InterestRate)^(D$45-$B$45)</f>
        <v>27.954788180847274</v>
      </c>
    </row>
    <row r="48" spans="1:4">
      <c r="C48" s="22"/>
      <c r="D48" s="22"/>
    </row>
    <row r="49" spans="1:6">
      <c r="A49" t="s">
        <v>14</v>
      </c>
    </row>
    <row r="50" spans="1:6">
      <c r="C50" s="15">
        <v>0</v>
      </c>
      <c r="D50" s="15">
        <v>1</v>
      </c>
    </row>
    <row r="51" spans="1:6">
      <c r="D51" s="20">
        <v>31.41</v>
      </c>
    </row>
    <row r="52" spans="1:6">
      <c r="C52" s="23">
        <f>D52</f>
        <v>29.632075471698112</v>
      </c>
      <c r="D52" s="22">
        <f>D$51/(1+InterestRate)^(D$50-$C$50)</f>
        <v>29.632075471698112</v>
      </c>
    </row>
    <row r="54" spans="1:6">
      <c r="A54" t="s">
        <v>15</v>
      </c>
    </row>
    <row r="56" spans="1:6">
      <c r="C56" t="s">
        <v>16</v>
      </c>
    </row>
    <row r="57" spans="1:6">
      <c r="C57" s="15">
        <v>0</v>
      </c>
      <c r="D57" s="15">
        <v>1</v>
      </c>
      <c r="E57" s="15">
        <v>2</v>
      </c>
      <c r="F57" s="15">
        <v>3</v>
      </c>
    </row>
    <row r="58" spans="1:6">
      <c r="B58" t="s">
        <v>17</v>
      </c>
      <c r="D58" s="11">
        <v>31.41</v>
      </c>
      <c r="E58" s="11">
        <v>31.41</v>
      </c>
      <c r="F58" s="11">
        <v>31.41</v>
      </c>
    </row>
    <row r="59" spans="1:6">
      <c r="B59" s="15">
        <v>0</v>
      </c>
      <c r="C59" s="24">
        <f>SUM(D59:F59)</f>
        <v>29.632075471698112</v>
      </c>
      <c r="D59" s="22">
        <f>D$58/(1+InterestRate)^(D$57-$C$57)</f>
        <v>29.632075471698112</v>
      </c>
    </row>
    <row r="60" spans="1:6">
      <c r="B60" s="15">
        <v>1</v>
      </c>
      <c r="C60" s="24">
        <f>SUM(D60:F60)</f>
        <v>27.954788180847274</v>
      </c>
      <c r="E60" s="22">
        <f>E$58/(1+InterestRate)^(E$57-$C$57)</f>
        <v>27.954788180847274</v>
      </c>
    </row>
    <row r="61" spans="1:6">
      <c r="B61" s="15">
        <v>2</v>
      </c>
      <c r="C61" s="24">
        <f>SUM(D61:F61)</f>
        <v>26.372441680044595</v>
      </c>
      <c r="F61" s="22">
        <f>F$58/(1+InterestRate)^(F$57-$C$57)</f>
        <v>26.372441680044595</v>
      </c>
    </row>
    <row r="62" spans="1:6">
      <c r="C62" s="14">
        <f>SUM(C59:C61)</f>
        <v>83.959305332589992</v>
      </c>
    </row>
    <row r="63" spans="1:6">
      <c r="A63" t="s">
        <v>18</v>
      </c>
    </row>
    <row r="65" spans="1:7">
      <c r="A65" s="15">
        <v>0</v>
      </c>
      <c r="B65" s="15">
        <v>1</v>
      </c>
      <c r="C65" s="15">
        <v>2</v>
      </c>
      <c r="D65" s="15">
        <v>3</v>
      </c>
    </row>
    <row r="66" spans="1:7">
      <c r="A66" s="14">
        <f>B66/(1+InterestRate)</f>
        <v>99.998656609147133</v>
      </c>
      <c r="B66" s="22">
        <f>C66/(1+InterestRate)</f>
        <v>105.99857600569597</v>
      </c>
      <c r="C66" s="22">
        <f>D66/(1+InterestRate)</f>
        <v>112.35849056603773</v>
      </c>
      <c r="D66" s="20">
        <v>119.1</v>
      </c>
    </row>
    <row r="68" spans="1:7">
      <c r="A68" t="s">
        <v>19</v>
      </c>
    </row>
    <row r="70" spans="1:7">
      <c r="A70" t="s">
        <v>20</v>
      </c>
      <c r="B70" s="3">
        <v>100</v>
      </c>
      <c r="C70" s="3"/>
    </row>
    <row r="71" spans="1:7">
      <c r="A71" t="s">
        <v>21</v>
      </c>
      <c r="B71" s="1">
        <v>0.04</v>
      </c>
      <c r="C71" t="s">
        <v>22</v>
      </c>
    </row>
    <row r="72" spans="1:7">
      <c r="A72" t="s">
        <v>23</v>
      </c>
      <c r="B72">
        <v>5</v>
      </c>
      <c r="C72" t="s">
        <v>24</v>
      </c>
    </row>
    <row r="74" spans="1:7">
      <c r="B74" s="25">
        <v>0</v>
      </c>
      <c r="C74" s="25">
        <v>1</v>
      </c>
      <c r="D74" s="25">
        <v>2</v>
      </c>
      <c r="E74" s="25">
        <v>3</v>
      </c>
      <c r="F74" s="25">
        <v>4</v>
      </c>
      <c r="G74" s="25">
        <v>5</v>
      </c>
    </row>
    <row r="75" spans="1:7">
      <c r="A75" t="s">
        <v>25</v>
      </c>
      <c r="C75" s="27">
        <f>$B$70*$B$71</f>
        <v>4</v>
      </c>
      <c r="D75" s="27">
        <f t="shared" ref="D75:G75" si="2">$B$70*$B$71</f>
        <v>4</v>
      </c>
      <c r="E75" s="27">
        <f t="shared" si="2"/>
        <v>4</v>
      </c>
      <c r="F75" s="27">
        <f t="shared" si="2"/>
        <v>4</v>
      </c>
      <c r="G75" s="27">
        <f t="shared" si="2"/>
        <v>4</v>
      </c>
    </row>
    <row r="76" spans="1:7">
      <c r="A76" t="s">
        <v>26</v>
      </c>
      <c r="C76" s="26"/>
      <c r="D76" s="26"/>
      <c r="E76" s="26"/>
      <c r="F76" s="26"/>
      <c r="G76" s="28">
        <f>$B$70</f>
        <v>100</v>
      </c>
    </row>
    <row r="77" spans="1:7">
      <c r="A77" t="s">
        <v>27</v>
      </c>
      <c r="C77" s="3">
        <f>SUM(C75:C76)</f>
        <v>4</v>
      </c>
      <c r="D77" s="3">
        <f>SUM(D75:D76)</f>
        <v>4</v>
      </c>
      <c r="E77" s="3">
        <f>SUM(E75:E76)</f>
        <v>4</v>
      </c>
      <c r="F77" s="3">
        <f>SUM(F75:F76)</f>
        <v>4</v>
      </c>
      <c r="G77" s="3">
        <f>SUM(G75:G76)</f>
        <v>104</v>
      </c>
    </row>
    <row r="78" spans="1:7" ht="17.100000000000001" thickBot="1">
      <c r="A78" t="s">
        <v>28</v>
      </c>
      <c r="B78" s="29">
        <f>SUM(C78:G78)</f>
        <v>91.575272428868544</v>
      </c>
      <c r="C78" s="30">
        <f>C77/((1+InterestRate)^C74)</f>
        <v>3.773584905660377</v>
      </c>
      <c r="D78" s="30">
        <f>D77/((1+InterestRate)^D74)</f>
        <v>3.5599857600569593</v>
      </c>
      <c r="E78" s="30">
        <f>E77/((1+InterestRate)^E74)</f>
        <v>3.3584771321292064</v>
      </c>
      <c r="F78" s="30">
        <f>F77/((1+InterestRate)^F74)</f>
        <v>3.1683746529520818</v>
      </c>
      <c r="G78" s="30">
        <f>G77/((1+InterestRate)^G74)</f>
        <v>77.714849978069921</v>
      </c>
    </row>
    <row r="79" spans="1:7" ht="17.100000000000001" thickTop="1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zoomScale="115" zoomScaleNormal="115" zoomScalePageLayoutView="150" workbookViewId="0">
      <selection activeCell="B17" sqref="B17"/>
    </sheetView>
  </sheetViews>
  <sheetFormatPr defaultColWidth="11" defaultRowHeight="15.95"/>
  <sheetData>
    <row r="1" spans="1:12">
      <c r="A1" t="s">
        <v>29</v>
      </c>
    </row>
    <row r="2" spans="1:12">
      <c r="A2" s="1">
        <v>0.08</v>
      </c>
    </row>
    <row r="3" spans="1:12"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</row>
    <row r="4" spans="1:12"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</row>
    <row r="5" spans="1:12">
      <c r="A5">
        <v>0</v>
      </c>
      <c r="B5">
        <f>SUM(C5:L5)</f>
        <v>671.00813989414428</v>
      </c>
      <c r="C5">
        <f>C$4/(1+$A$2)^(C$3-$A5)</f>
        <v>92.592592592592581</v>
      </c>
      <c r="D5">
        <f>D$4/(1+$A$2)^(D$3-$A5)</f>
        <v>85.733882030178322</v>
      </c>
      <c r="E5">
        <f t="shared" ref="E5:L14" si="0">E$4/(1+$A$2)^(E$3-$A5)</f>
        <v>79.383224102016953</v>
      </c>
      <c r="F5">
        <f t="shared" si="0"/>
        <v>73.50298527964533</v>
      </c>
      <c r="G5">
        <f t="shared" si="0"/>
        <v>68.058319703375304</v>
      </c>
      <c r="H5">
        <f t="shared" si="0"/>
        <v>63.016962688310457</v>
      </c>
      <c r="I5">
        <f t="shared" si="0"/>
        <v>58.349039526213382</v>
      </c>
      <c r="J5">
        <f t="shared" si="0"/>
        <v>54.026888450197575</v>
      </c>
      <c r="K5">
        <f t="shared" si="0"/>
        <v>50.0248967131459</v>
      </c>
      <c r="L5">
        <f t="shared" si="0"/>
        <v>46.319348808468426</v>
      </c>
    </row>
    <row r="6" spans="1:12">
      <c r="A6">
        <v>1</v>
      </c>
      <c r="B6">
        <f t="shared" ref="B6:B14" si="1">SUM(C6:L6)</f>
        <v>624.6887910856758</v>
      </c>
      <c r="D6">
        <f>D$4/(1+$A$2)^(D$3-$A6)</f>
        <v>92.592592592592581</v>
      </c>
      <c r="E6">
        <f t="shared" si="0"/>
        <v>85.733882030178322</v>
      </c>
      <c r="F6">
        <f t="shared" si="0"/>
        <v>79.383224102016953</v>
      </c>
      <c r="G6">
        <f t="shared" si="0"/>
        <v>73.50298527964533</v>
      </c>
      <c r="H6">
        <f t="shared" si="0"/>
        <v>68.058319703375304</v>
      </c>
      <c r="I6">
        <f t="shared" si="0"/>
        <v>63.016962688310457</v>
      </c>
      <c r="J6">
        <f t="shared" si="0"/>
        <v>58.349039526213382</v>
      </c>
      <c r="K6">
        <f t="shared" si="0"/>
        <v>54.026888450197575</v>
      </c>
      <c r="L6">
        <f t="shared" si="0"/>
        <v>50.0248967131459</v>
      </c>
    </row>
    <row r="7" spans="1:12">
      <c r="A7">
        <v>2</v>
      </c>
      <c r="B7">
        <f t="shared" si="1"/>
        <v>574.66389437252985</v>
      </c>
      <c r="E7">
        <f t="shared" si="0"/>
        <v>92.592592592592581</v>
      </c>
      <c r="F7">
        <f t="shared" si="0"/>
        <v>85.733882030178322</v>
      </c>
      <c r="G7">
        <f t="shared" si="0"/>
        <v>79.383224102016953</v>
      </c>
      <c r="H7">
        <f t="shared" si="0"/>
        <v>73.50298527964533</v>
      </c>
      <c r="I7">
        <f t="shared" si="0"/>
        <v>68.058319703375304</v>
      </c>
      <c r="J7">
        <f t="shared" si="0"/>
        <v>63.016962688310457</v>
      </c>
      <c r="K7">
        <f t="shared" si="0"/>
        <v>58.349039526213382</v>
      </c>
      <c r="L7">
        <f t="shared" si="0"/>
        <v>54.026888450197575</v>
      </c>
    </row>
    <row r="8" spans="1:12">
      <c r="A8">
        <v>3</v>
      </c>
      <c r="B8">
        <f t="shared" si="1"/>
        <v>520.63700592233226</v>
      </c>
      <c r="F8">
        <f t="shared" si="0"/>
        <v>92.592592592592581</v>
      </c>
      <c r="G8">
        <f t="shared" si="0"/>
        <v>85.733882030178322</v>
      </c>
      <c r="H8">
        <f t="shared" si="0"/>
        <v>79.383224102016953</v>
      </c>
      <c r="I8">
        <f t="shared" si="0"/>
        <v>73.50298527964533</v>
      </c>
      <c r="J8">
        <f t="shared" si="0"/>
        <v>68.058319703375304</v>
      </c>
      <c r="K8">
        <f t="shared" si="0"/>
        <v>63.016962688310457</v>
      </c>
      <c r="L8">
        <f t="shared" si="0"/>
        <v>58.349039526213382</v>
      </c>
    </row>
    <row r="9" spans="1:12">
      <c r="A9">
        <v>4</v>
      </c>
      <c r="B9">
        <f t="shared" si="1"/>
        <v>462.28796639611886</v>
      </c>
      <c r="G9">
        <f t="shared" si="0"/>
        <v>92.592592592592581</v>
      </c>
      <c r="H9">
        <f t="shared" si="0"/>
        <v>85.733882030178322</v>
      </c>
      <c r="I9">
        <f t="shared" si="0"/>
        <v>79.383224102016953</v>
      </c>
      <c r="J9">
        <f t="shared" si="0"/>
        <v>73.50298527964533</v>
      </c>
      <c r="K9">
        <f t="shared" si="0"/>
        <v>68.058319703375304</v>
      </c>
      <c r="L9">
        <f t="shared" si="0"/>
        <v>63.016962688310457</v>
      </c>
    </row>
    <row r="10" spans="1:12">
      <c r="A10">
        <v>5</v>
      </c>
      <c r="B10">
        <f t="shared" si="1"/>
        <v>399.2710037078084</v>
      </c>
      <c r="H10">
        <f t="shared" si="0"/>
        <v>92.592592592592581</v>
      </c>
      <c r="I10">
        <f t="shared" si="0"/>
        <v>85.733882030178322</v>
      </c>
      <c r="J10">
        <f t="shared" si="0"/>
        <v>79.383224102016953</v>
      </c>
      <c r="K10">
        <f t="shared" si="0"/>
        <v>73.50298527964533</v>
      </c>
      <c r="L10">
        <f t="shared" si="0"/>
        <v>68.058319703375304</v>
      </c>
    </row>
    <row r="11" spans="1:12">
      <c r="A11">
        <v>6</v>
      </c>
      <c r="B11">
        <f t="shared" si="1"/>
        <v>331.21268400443313</v>
      </c>
      <c r="I11">
        <f t="shared" si="0"/>
        <v>92.592592592592581</v>
      </c>
      <c r="J11">
        <f t="shared" si="0"/>
        <v>85.733882030178322</v>
      </c>
      <c r="K11">
        <f t="shared" si="0"/>
        <v>79.383224102016953</v>
      </c>
      <c r="L11">
        <f t="shared" si="0"/>
        <v>73.50298527964533</v>
      </c>
    </row>
    <row r="12" spans="1:12">
      <c r="A12">
        <v>7</v>
      </c>
      <c r="B12">
        <f t="shared" si="1"/>
        <v>257.70969872478781</v>
      </c>
      <c r="J12">
        <f t="shared" si="0"/>
        <v>92.592592592592581</v>
      </c>
      <c r="K12">
        <f t="shared" si="0"/>
        <v>85.733882030178322</v>
      </c>
      <c r="L12">
        <f t="shared" si="0"/>
        <v>79.383224102016953</v>
      </c>
    </row>
    <row r="13" spans="1:12">
      <c r="A13">
        <v>8</v>
      </c>
      <c r="B13">
        <f t="shared" si="1"/>
        <v>178.32647462277089</v>
      </c>
      <c r="K13">
        <f t="shared" si="0"/>
        <v>92.592592592592581</v>
      </c>
      <c r="L13">
        <f t="shared" si="0"/>
        <v>85.733882030178322</v>
      </c>
    </row>
    <row r="14" spans="1:12">
      <c r="A14">
        <v>9</v>
      </c>
      <c r="B14">
        <f t="shared" si="1"/>
        <v>92.592592592592581</v>
      </c>
      <c r="L14">
        <f t="shared" si="0"/>
        <v>92.592592592592581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zoomScale="150" zoomScaleNormal="150" zoomScalePageLayoutView="150" workbookViewId="0">
      <selection activeCell="F20" sqref="F20"/>
    </sheetView>
  </sheetViews>
  <sheetFormatPr defaultColWidth="11" defaultRowHeight="15.95"/>
  <cols>
    <col min="1" max="1" width="13.125" bestFit="1" customWidth="1"/>
  </cols>
  <sheetData>
    <row r="1" spans="1:7">
      <c r="A1" t="s">
        <v>30</v>
      </c>
      <c r="B1" s="5">
        <v>0.06</v>
      </c>
    </row>
    <row r="3" spans="1:7">
      <c r="A3" t="s">
        <v>31</v>
      </c>
      <c r="B3">
        <v>0</v>
      </c>
      <c r="C3">
        <v>1</v>
      </c>
      <c r="D3">
        <v>2</v>
      </c>
      <c r="E3">
        <v>3</v>
      </c>
      <c r="G3" t="s">
        <v>32</v>
      </c>
    </row>
    <row r="4" spans="1:7">
      <c r="A4" t="s">
        <v>33</v>
      </c>
      <c r="B4" s="6">
        <v>83.96</v>
      </c>
    </row>
    <row r="5" spans="1:7">
      <c r="A5" t="s">
        <v>34</v>
      </c>
      <c r="E5" s="7">
        <v>100</v>
      </c>
    </row>
    <row r="6" spans="1:7">
      <c r="A6" t="s">
        <v>35</v>
      </c>
      <c r="C6" s="6">
        <v>50</v>
      </c>
      <c r="D6" s="6">
        <v>40</v>
      </c>
      <c r="E6" s="6">
        <v>1.42</v>
      </c>
    </row>
    <row r="7" spans="1:7">
      <c r="A7" t="s">
        <v>36</v>
      </c>
      <c r="C7" s="6">
        <v>31.41</v>
      </c>
      <c r="D7" s="6">
        <v>31.41</v>
      </c>
      <c r="E7" s="6">
        <v>31.41</v>
      </c>
    </row>
    <row r="8" spans="1:7">
      <c r="A8" t="s">
        <v>37</v>
      </c>
      <c r="C8" s="6">
        <v>6</v>
      </c>
      <c r="D8" s="6">
        <v>6</v>
      </c>
      <c r="E8" s="6">
        <f>100+6</f>
        <v>106</v>
      </c>
    </row>
    <row r="9" spans="1:7">
      <c r="A9" t="s">
        <v>38</v>
      </c>
      <c r="C9" s="2"/>
      <c r="D9" s="2"/>
      <c r="E9" s="6">
        <v>119.1</v>
      </c>
    </row>
    <row r="10" spans="1:7">
      <c r="C10" s="2"/>
      <c r="D10" s="2"/>
      <c r="E10" s="2"/>
    </row>
    <row r="11" spans="1:7">
      <c r="A11" t="s">
        <v>39</v>
      </c>
    </row>
    <row r="12" spans="1:7">
      <c r="A12" t="s">
        <v>34</v>
      </c>
      <c r="B12" s="8">
        <f>C12/(1+$B$1)</f>
        <v>83.961928303230167</v>
      </c>
      <c r="C12" s="8">
        <f>D12/(1+$B$1)</f>
        <v>88.999644001423988</v>
      </c>
      <c r="D12" s="8">
        <f>E5/(1+$B$1)</f>
        <v>94.339622641509436</v>
      </c>
      <c r="E12" s="4"/>
      <c r="G12" t="s">
        <v>40</v>
      </c>
    </row>
    <row r="13" spans="1:7">
      <c r="B13" s="4"/>
      <c r="C13" s="4"/>
      <c r="D13" s="4"/>
      <c r="E13" s="4"/>
    </row>
    <row r="14" spans="1:7">
      <c r="A14" t="s">
        <v>35</v>
      </c>
      <c r="B14" s="8">
        <f>SUM(C14:E14)</f>
        <v>83.961928303230181</v>
      </c>
      <c r="C14" s="8">
        <f t="shared" ref="C14:D14" si="0">C6/(1+$B$1)^C3</f>
        <v>47.169811320754718</v>
      </c>
      <c r="D14" s="8">
        <f t="shared" si="0"/>
        <v>35.599857600569592</v>
      </c>
      <c r="E14" s="8">
        <f>E6/(1+$B$1)^E3</f>
        <v>1.1922593819058682</v>
      </c>
      <c r="G14" t="s">
        <v>41</v>
      </c>
    </row>
    <row r="15" spans="1:7">
      <c r="C15" s="4"/>
      <c r="D15" s="4"/>
      <c r="E15" s="4"/>
    </row>
    <row r="16" spans="1:7">
      <c r="A16" t="s">
        <v>36</v>
      </c>
      <c r="B16" s="8">
        <f>SUM(C16:E16)</f>
        <v>83.959305332589992</v>
      </c>
      <c r="C16" s="8">
        <f>C7/(1+$B$1)^C3</f>
        <v>29.632075471698112</v>
      </c>
      <c r="D16" s="8">
        <f>D7/(1+$B$1)^D3</f>
        <v>27.954788180847274</v>
      </c>
      <c r="E16" s="8">
        <f>E7/(1+$B$1)^E3</f>
        <v>26.372441680044595</v>
      </c>
      <c r="G16" t="s">
        <v>42</v>
      </c>
    </row>
    <row r="17" spans="1:7">
      <c r="A17" t="s">
        <v>37</v>
      </c>
      <c r="B17" s="8">
        <f>SUM(C17:E17)</f>
        <v>99.999999999999972</v>
      </c>
      <c r="C17" s="8">
        <f>C8/(1+$B$1)^C$3</f>
        <v>5.6603773584905657</v>
      </c>
      <c r="D17" s="8">
        <f>D8/(1+$B$1)^D3</f>
        <v>5.3399786400854392</v>
      </c>
      <c r="E17" s="8">
        <f>E8/(1+$B$1)^E3</f>
        <v>88.999644001423974</v>
      </c>
    </row>
    <row r="18" spans="1:7">
      <c r="A18" t="s">
        <v>43</v>
      </c>
      <c r="B18" s="8">
        <f>SUM(C18:E18)</f>
        <v>99.999999999999972</v>
      </c>
      <c r="C18" s="8">
        <f>C8/(1+$B$1)^C$3</f>
        <v>5.6603773584905657</v>
      </c>
      <c r="D18" s="8">
        <f>D8/(1+$B$1)^D$3</f>
        <v>5.3399786400854392</v>
      </c>
      <c r="E18" s="8">
        <f>E8/(1+$B$1)^E$3</f>
        <v>88.999644001423974</v>
      </c>
      <c r="G18" t="s">
        <v>44</v>
      </c>
    </row>
    <row r="19" spans="1:7">
      <c r="C19" s="4"/>
      <c r="D19" s="4"/>
      <c r="E19" s="4"/>
    </row>
    <row r="20" spans="1:7">
      <c r="A20" t="s">
        <v>38</v>
      </c>
      <c r="B20" s="8">
        <f>C20/(1+$B$1)</f>
        <v>99.998656609147133</v>
      </c>
      <c r="C20" s="8">
        <f>D20/(1+$B$1)</f>
        <v>105.99857600569597</v>
      </c>
      <c r="D20" s="8">
        <f>E20/(1+$B$1)</f>
        <v>112.35849056603773</v>
      </c>
      <c r="E20" s="8">
        <v>119.1</v>
      </c>
    </row>
    <row r="21" spans="1:7">
      <c r="C21" s="4"/>
      <c r="D21" s="4"/>
      <c r="E21" s="4"/>
    </row>
    <row r="22" spans="1:7">
      <c r="C22" s="4"/>
      <c r="D22" s="4"/>
      <c r="E22" s="4"/>
    </row>
    <row r="23" spans="1:7">
      <c r="C23" s="4"/>
      <c r="D23" s="4"/>
      <c r="E23" s="4"/>
    </row>
  </sheetData>
  <pageMargins left="0.75" right="0.75" top="1" bottom="1" header="0.5" footer="0.5"/>
  <pageSetup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1"/>
  <sheetViews>
    <sheetView zoomScale="115" zoomScaleNormal="115" zoomScalePageLayoutView="150" workbookViewId="0">
      <selection activeCell="N15" sqref="N15"/>
    </sheetView>
  </sheetViews>
  <sheetFormatPr defaultColWidth="11" defaultRowHeight="15.95"/>
  <cols>
    <col min="1" max="1" width="12.625" bestFit="1" customWidth="1"/>
  </cols>
  <sheetData>
    <row r="1" spans="1:12">
      <c r="A1" t="s">
        <v>45</v>
      </c>
    </row>
    <row r="3" spans="1:12">
      <c r="A3" t="s">
        <v>46</v>
      </c>
      <c r="B3" s="3">
        <v>1</v>
      </c>
    </row>
    <row r="4" spans="1:12">
      <c r="B4" s="16" t="s">
        <v>47</v>
      </c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2" ht="17.100000000000001" thickBot="1">
      <c r="A5" s="18" t="s">
        <v>30</v>
      </c>
      <c r="B5" s="19">
        <v>0</v>
      </c>
      <c r="C5" s="19">
        <v>1</v>
      </c>
      <c r="D5" s="19">
        <v>2</v>
      </c>
      <c r="E5" s="19">
        <v>3</v>
      </c>
      <c r="F5" s="19">
        <v>4</v>
      </c>
      <c r="G5" s="19">
        <v>5</v>
      </c>
      <c r="H5" s="19">
        <v>6</v>
      </c>
      <c r="I5" s="19">
        <v>7</v>
      </c>
      <c r="J5" s="19">
        <v>8</v>
      </c>
      <c r="K5" s="19">
        <v>9</v>
      </c>
      <c r="L5" s="19">
        <v>10</v>
      </c>
    </row>
    <row r="6" spans="1:12">
      <c r="A6" s="17">
        <v>0</v>
      </c>
      <c r="B6" s="3">
        <f>$B$3</f>
        <v>1</v>
      </c>
      <c r="C6" s="4">
        <f t="shared" ref="C6:C31" si="0">$B$3*(1+A6)</f>
        <v>1</v>
      </c>
      <c r="D6" s="2">
        <f t="shared" ref="D6:L6" si="1">C6*(1+$A6)</f>
        <v>1</v>
      </c>
      <c r="E6" s="2">
        <f t="shared" si="1"/>
        <v>1</v>
      </c>
      <c r="F6" s="2">
        <f t="shared" si="1"/>
        <v>1</v>
      </c>
      <c r="G6" s="2">
        <f t="shared" si="1"/>
        <v>1</v>
      </c>
      <c r="H6" s="2">
        <f t="shared" si="1"/>
        <v>1</v>
      </c>
      <c r="I6" s="2">
        <f t="shared" si="1"/>
        <v>1</v>
      </c>
      <c r="J6" s="2">
        <f t="shared" si="1"/>
        <v>1</v>
      </c>
      <c r="K6" s="2">
        <f t="shared" si="1"/>
        <v>1</v>
      </c>
      <c r="L6" s="2">
        <f t="shared" si="1"/>
        <v>1</v>
      </c>
    </row>
    <row r="7" spans="1:12">
      <c r="A7" s="17">
        <v>0.01</v>
      </c>
      <c r="B7" s="3">
        <f t="shared" ref="B7:B31" si="2">$B$3</f>
        <v>1</v>
      </c>
      <c r="C7" s="4">
        <f t="shared" si="0"/>
        <v>1.01</v>
      </c>
      <c r="D7" s="2">
        <f t="shared" ref="D7:L7" si="3">C7*(1+$A7)</f>
        <v>1.0201</v>
      </c>
      <c r="E7" s="2">
        <f t="shared" si="3"/>
        <v>1.0303009999999999</v>
      </c>
      <c r="F7" s="2">
        <f t="shared" si="3"/>
        <v>1.04060401</v>
      </c>
      <c r="G7" s="2">
        <f t="shared" si="3"/>
        <v>1.0510100500999999</v>
      </c>
      <c r="H7" s="2">
        <f t="shared" si="3"/>
        <v>1.0615201506009999</v>
      </c>
      <c r="I7" s="2">
        <f t="shared" si="3"/>
        <v>1.0721353521070098</v>
      </c>
      <c r="J7" s="2">
        <f t="shared" si="3"/>
        <v>1.08285670562808</v>
      </c>
      <c r="K7" s="2">
        <f t="shared" si="3"/>
        <v>1.0936852726843609</v>
      </c>
      <c r="L7" s="2">
        <f t="shared" si="3"/>
        <v>1.1046221254112045</v>
      </c>
    </row>
    <row r="8" spans="1:12">
      <c r="A8" s="17">
        <v>0.02</v>
      </c>
      <c r="B8" s="3">
        <f t="shared" si="2"/>
        <v>1</v>
      </c>
      <c r="C8" s="4">
        <f t="shared" si="0"/>
        <v>1.02</v>
      </c>
      <c r="D8" s="2">
        <f t="shared" ref="D8:L8" si="4">C8*(1+$A8)</f>
        <v>1.0404</v>
      </c>
      <c r="E8" s="2">
        <f t="shared" si="4"/>
        <v>1.0612079999999999</v>
      </c>
      <c r="F8" s="2">
        <f t="shared" si="4"/>
        <v>1.08243216</v>
      </c>
      <c r="G8" s="2">
        <f t="shared" si="4"/>
        <v>1.1040808032</v>
      </c>
      <c r="H8" s="2">
        <f t="shared" si="4"/>
        <v>1.1261624192640001</v>
      </c>
      <c r="I8" s="2">
        <f t="shared" si="4"/>
        <v>1.14868566764928</v>
      </c>
      <c r="J8" s="2">
        <f t="shared" si="4"/>
        <v>1.1716593810022657</v>
      </c>
      <c r="K8" s="2">
        <f t="shared" si="4"/>
        <v>1.1950925686223111</v>
      </c>
      <c r="L8" s="2">
        <f t="shared" si="4"/>
        <v>1.2189944199947573</v>
      </c>
    </row>
    <row r="9" spans="1:12">
      <c r="A9" s="17">
        <v>0.03</v>
      </c>
      <c r="B9" s="3">
        <f t="shared" si="2"/>
        <v>1</v>
      </c>
      <c r="C9" s="4">
        <f t="shared" si="0"/>
        <v>1.03</v>
      </c>
      <c r="D9" s="2">
        <f t="shared" ref="D9:L9" si="5">C9*(1+$A9)</f>
        <v>1.0609</v>
      </c>
      <c r="E9" s="2">
        <f t="shared" si="5"/>
        <v>1.092727</v>
      </c>
      <c r="F9" s="2">
        <f t="shared" si="5"/>
        <v>1.1255088100000001</v>
      </c>
      <c r="G9" s="2">
        <f t="shared" si="5"/>
        <v>1.1592740743000001</v>
      </c>
      <c r="H9" s="2">
        <f t="shared" si="5"/>
        <v>1.1940522965290001</v>
      </c>
      <c r="I9" s="2">
        <f t="shared" si="5"/>
        <v>1.2298738654248702</v>
      </c>
      <c r="J9" s="2">
        <f t="shared" si="5"/>
        <v>1.2667700813876164</v>
      </c>
      <c r="K9" s="2">
        <f t="shared" si="5"/>
        <v>1.3047731838292449</v>
      </c>
      <c r="L9" s="2">
        <f t="shared" si="5"/>
        <v>1.3439163793441222</v>
      </c>
    </row>
    <row r="10" spans="1:12">
      <c r="A10" s="17">
        <v>0.04</v>
      </c>
      <c r="B10" s="3">
        <f t="shared" si="2"/>
        <v>1</v>
      </c>
      <c r="C10" s="4">
        <f t="shared" si="0"/>
        <v>1.04</v>
      </c>
      <c r="D10" s="2">
        <f t="shared" ref="D10:L10" si="6">C10*(1+$A10)</f>
        <v>1.0816000000000001</v>
      </c>
      <c r="E10" s="2">
        <f t="shared" si="6"/>
        <v>1.1248640000000001</v>
      </c>
      <c r="F10" s="2">
        <f t="shared" si="6"/>
        <v>1.1698585600000002</v>
      </c>
      <c r="G10" s="2">
        <f t="shared" si="6"/>
        <v>1.2166529024000003</v>
      </c>
      <c r="H10" s="2">
        <f t="shared" si="6"/>
        <v>1.2653190184960004</v>
      </c>
      <c r="I10" s="2">
        <f t="shared" si="6"/>
        <v>1.3159317792358405</v>
      </c>
      <c r="J10" s="2">
        <f t="shared" si="6"/>
        <v>1.3685690504052741</v>
      </c>
      <c r="K10" s="2">
        <f t="shared" si="6"/>
        <v>1.4233118124214852</v>
      </c>
      <c r="L10" s="2">
        <f t="shared" si="6"/>
        <v>1.4802442849183446</v>
      </c>
    </row>
    <row r="11" spans="1:12">
      <c r="A11" s="17">
        <v>0.05</v>
      </c>
      <c r="B11" s="3">
        <f t="shared" si="2"/>
        <v>1</v>
      </c>
      <c r="C11" s="4">
        <f t="shared" si="0"/>
        <v>1.05</v>
      </c>
      <c r="D11" s="2">
        <f t="shared" ref="D11:L11" si="7">C11*(1+$A11)</f>
        <v>1.1025</v>
      </c>
      <c r="E11" s="2">
        <f t="shared" si="7"/>
        <v>1.1576250000000001</v>
      </c>
      <c r="F11" s="2">
        <f t="shared" si="7"/>
        <v>1.2155062500000002</v>
      </c>
      <c r="G11" s="2">
        <f t="shared" si="7"/>
        <v>1.2762815625000004</v>
      </c>
      <c r="H11" s="2">
        <f t="shared" si="7"/>
        <v>1.3400956406250004</v>
      </c>
      <c r="I11" s="2">
        <f t="shared" si="7"/>
        <v>1.4071004226562505</v>
      </c>
      <c r="J11" s="2">
        <f t="shared" si="7"/>
        <v>1.477455443789063</v>
      </c>
      <c r="K11" s="2">
        <f t="shared" si="7"/>
        <v>1.5513282159785162</v>
      </c>
      <c r="L11" s="2">
        <f t="shared" si="7"/>
        <v>1.628894626777442</v>
      </c>
    </row>
    <row r="12" spans="1:12">
      <c r="A12" s="17">
        <v>0.06</v>
      </c>
      <c r="B12" s="3">
        <f t="shared" si="2"/>
        <v>1</v>
      </c>
      <c r="C12" s="4">
        <f t="shared" si="0"/>
        <v>1.06</v>
      </c>
      <c r="D12" s="2">
        <f t="shared" ref="D12:L12" si="8">C12*(1+$A12)</f>
        <v>1.1236000000000002</v>
      </c>
      <c r="E12" s="2">
        <f t="shared" si="8"/>
        <v>1.1910160000000003</v>
      </c>
      <c r="F12" s="2">
        <f t="shared" si="8"/>
        <v>1.2624769600000003</v>
      </c>
      <c r="G12" s="2">
        <f t="shared" si="8"/>
        <v>1.3382255776000005</v>
      </c>
      <c r="H12" s="2">
        <f t="shared" si="8"/>
        <v>1.4185191122560006</v>
      </c>
      <c r="I12" s="2">
        <f t="shared" si="8"/>
        <v>1.5036302589913606</v>
      </c>
      <c r="J12" s="2">
        <f t="shared" si="8"/>
        <v>1.5938480745308423</v>
      </c>
      <c r="K12" s="2">
        <f t="shared" si="8"/>
        <v>1.6894789590026928</v>
      </c>
      <c r="L12" s="2">
        <f t="shared" si="8"/>
        <v>1.7908476965428546</v>
      </c>
    </row>
    <row r="13" spans="1:12">
      <c r="A13" s="17">
        <v>7.0000000000000007E-2</v>
      </c>
      <c r="B13" s="3">
        <f t="shared" si="2"/>
        <v>1</v>
      </c>
      <c r="C13" s="4">
        <f t="shared" si="0"/>
        <v>1.07</v>
      </c>
      <c r="D13" s="2">
        <f t="shared" ref="D13:L13" si="9">C13*(1+$A13)</f>
        <v>1.1449</v>
      </c>
      <c r="E13" s="2">
        <f t="shared" si="9"/>
        <v>1.2250430000000001</v>
      </c>
      <c r="F13" s="2">
        <f t="shared" si="9"/>
        <v>1.3107960100000002</v>
      </c>
      <c r="G13" s="2">
        <f t="shared" si="9"/>
        <v>1.4025517307000004</v>
      </c>
      <c r="H13" s="2">
        <f t="shared" si="9"/>
        <v>1.5007303518490005</v>
      </c>
      <c r="I13" s="2">
        <f t="shared" si="9"/>
        <v>1.6057814764784306</v>
      </c>
      <c r="J13" s="2">
        <f t="shared" si="9"/>
        <v>1.7181861798319209</v>
      </c>
      <c r="K13" s="2">
        <f t="shared" si="9"/>
        <v>1.8384592124201555</v>
      </c>
      <c r="L13" s="2">
        <f t="shared" si="9"/>
        <v>1.9671513572895665</v>
      </c>
    </row>
    <row r="14" spans="1:12">
      <c r="A14" s="17">
        <v>0.08</v>
      </c>
      <c r="B14" s="3">
        <f t="shared" si="2"/>
        <v>1</v>
      </c>
      <c r="C14" s="4">
        <f t="shared" si="0"/>
        <v>1.08</v>
      </c>
      <c r="D14" s="2">
        <f t="shared" ref="D14:L14" si="10">C14*(1+$A14)</f>
        <v>1.1664000000000001</v>
      </c>
      <c r="E14" s="2">
        <f t="shared" si="10"/>
        <v>1.2597120000000002</v>
      </c>
      <c r="F14" s="2">
        <f t="shared" si="10"/>
        <v>1.3604889600000003</v>
      </c>
      <c r="G14" s="2">
        <f t="shared" si="10"/>
        <v>1.4693280768000003</v>
      </c>
      <c r="H14" s="2">
        <f t="shared" si="10"/>
        <v>1.5868743229440005</v>
      </c>
      <c r="I14" s="2">
        <f t="shared" si="10"/>
        <v>1.7138242687795207</v>
      </c>
      <c r="J14" s="2">
        <f t="shared" si="10"/>
        <v>1.8509302102818825</v>
      </c>
      <c r="K14" s="2">
        <f t="shared" si="10"/>
        <v>1.9990046271044333</v>
      </c>
      <c r="L14" s="2">
        <f t="shared" si="10"/>
        <v>2.1589249972727882</v>
      </c>
    </row>
    <row r="15" spans="1:12">
      <c r="A15" s="17">
        <v>0.09</v>
      </c>
      <c r="B15" s="3">
        <f t="shared" si="2"/>
        <v>1</v>
      </c>
      <c r="C15" s="4">
        <f t="shared" si="0"/>
        <v>1.0900000000000001</v>
      </c>
      <c r="D15" s="2">
        <f t="shared" ref="D15:L15" si="11">C15*(1+$A15)</f>
        <v>1.1881000000000002</v>
      </c>
      <c r="E15" s="2">
        <f t="shared" si="11"/>
        <v>1.2950290000000002</v>
      </c>
      <c r="F15" s="2">
        <f t="shared" si="11"/>
        <v>1.4115816100000003</v>
      </c>
      <c r="G15" s="2">
        <f t="shared" si="11"/>
        <v>1.5386239549000005</v>
      </c>
      <c r="H15" s="2">
        <f t="shared" si="11"/>
        <v>1.6771001108410006</v>
      </c>
      <c r="I15" s="2">
        <f t="shared" si="11"/>
        <v>1.8280391208166908</v>
      </c>
      <c r="J15" s="2">
        <f t="shared" si="11"/>
        <v>1.9925626416901931</v>
      </c>
      <c r="K15" s="2">
        <f t="shared" si="11"/>
        <v>2.1718932794423105</v>
      </c>
      <c r="L15" s="2">
        <f t="shared" si="11"/>
        <v>2.3673636745921187</v>
      </c>
    </row>
    <row r="16" spans="1:12">
      <c r="A16" s="17">
        <v>0.1</v>
      </c>
      <c r="B16" s="3">
        <f t="shared" si="2"/>
        <v>1</v>
      </c>
      <c r="C16" s="4">
        <f t="shared" si="0"/>
        <v>1.1000000000000001</v>
      </c>
      <c r="D16" s="2">
        <f t="shared" ref="D16:L16" si="12">C16*(1+$A16)</f>
        <v>1.2100000000000002</v>
      </c>
      <c r="E16" s="2">
        <f t="shared" si="12"/>
        <v>1.3310000000000004</v>
      </c>
      <c r="F16" s="2">
        <f t="shared" si="12"/>
        <v>1.4641000000000006</v>
      </c>
      <c r="G16" s="2">
        <f t="shared" si="12"/>
        <v>1.6105100000000008</v>
      </c>
      <c r="H16" s="2">
        <f t="shared" si="12"/>
        <v>1.7715610000000011</v>
      </c>
      <c r="I16" s="2">
        <f t="shared" si="12"/>
        <v>1.9487171000000014</v>
      </c>
      <c r="J16" s="2">
        <f t="shared" si="12"/>
        <v>2.1435888100000016</v>
      </c>
      <c r="K16" s="2">
        <f t="shared" si="12"/>
        <v>2.3579476910000019</v>
      </c>
      <c r="L16" s="2">
        <f t="shared" si="12"/>
        <v>2.5937424601000023</v>
      </c>
    </row>
    <row r="17" spans="1:12">
      <c r="A17" s="17">
        <v>0.11</v>
      </c>
      <c r="B17" s="3">
        <f t="shared" si="2"/>
        <v>1</v>
      </c>
      <c r="C17" s="4">
        <f t="shared" si="0"/>
        <v>1.1100000000000001</v>
      </c>
      <c r="D17" s="2">
        <f t="shared" ref="D17:L17" si="13">C17*(1+$A17)</f>
        <v>1.2321000000000002</v>
      </c>
      <c r="E17" s="2">
        <f t="shared" si="13"/>
        <v>1.3676310000000003</v>
      </c>
      <c r="F17" s="2">
        <f t="shared" si="13"/>
        <v>1.5180704100000004</v>
      </c>
      <c r="G17" s="2">
        <f t="shared" si="13"/>
        <v>1.6850581551000006</v>
      </c>
      <c r="H17" s="2">
        <f t="shared" si="13"/>
        <v>1.8704145521610007</v>
      </c>
      <c r="I17" s="2">
        <f t="shared" si="13"/>
        <v>2.0761601528987108</v>
      </c>
      <c r="J17" s="2">
        <f t="shared" si="13"/>
        <v>2.3045377697175691</v>
      </c>
      <c r="K17" s="2">
        <f t="shared" si="13"/>
        <v>2.558036924386502</v>
      </c>
      <c r="L17" s="2">
        <f t="shared" si="13"/>
        <v>2.8394209860690176</v>
      </c>
    </row>
    <row r="18" spans="1:12">
      <c r="A18" s="17">
        <v>0.12</v>
      </c>
      <c r="B18" s="3">
        <f t="shared" si="2"/>
        <v>1</v>
      </c>
      <c r="C18" s="4">
        <f t="shared" si="0"/>
        <v>1.1200000000000001</v>
      </c>
      <c r="D18" s="2">
        <f t="shared" ref="D18:L18" si="14">C18*(1+$A18)</f>
        <v>1.2544000000000002</v>
      </c>
      <c r="E18" s="2">
        <f t="shared" si="14"/>
        <v>1.4049280000000004</v>
      </c>
      <c r="F18" s="2">
        <f t="shared" si="14"/>
        <v>1.5735193600000006</v>
      </c>
      <c r="G18" s="2">
        <f t="shared" si="14"/>
        <v>1.7623416832000007</v>
      </c>
      <c r="H18" s="2">
        <f t="shared" si="14"/>
        <v>1.9738226851840011</v>
      </c>
      <c r="I18" s="2">
        <f t="shared" si="14"/>
        <v>2.2106814074060814</v>
      </c>
      <c r="J18" s="2">
        <f t="shared" si="14"/>
        <v>2.4759631762948113</v>
      </c>
      <c r="K18" s="2">
        <f t="shared" si="14"/>
        <v>2.7730787574501892</v>
      </c>
      <c r="L18" s="2">
        <f t="shared" si="14"/>
        <v>3.105848208344212</v>
      </c>
    </row>
    <row r="19" spans="1:12">
      <c r="A19" s="17">
        <v>0.13</v>
      </c>
      <c r="B19" s="3">
        <f t="shared" si="2"/>
        <v>1</v>
      </c>
      <c r="C19" s="4">
        <f t="shared" si="0"/>
        <v>1.1299999999999999</v>
      </c>
      <c r="D19" s="2">
        <f t="shared" ref="D19:L19" si="15">C19*(1+$A19)</f>
        <v>1.2768999999999997</v>
      </c>
      <c r="E19" s="2">
        <f t="shared" si="15"/>
        <v>1.4428969999999994</v>
      </c>
      <c r="F19" s="2">
        <f t="shared" si="15"/>
        <v>1.6304736099999992</v>
      </c>
      <c r="G19" s="2">
        <f t="shared" si="15"/>
        <v>1.8424351792999989</v>
      </c>
      <c r="H19" s="2">
        <f t="shared" si="15"/>
        <v>2.0819517526089983</v>
      </c>
      <c r="I19" s="2">
        <f t="shared" si="15"/>
        <v>2.352605480448168</v>
      </c>
      <c r="J19" s="2">
        <f t="shared" si="15"/>
        <v>2.6584441929064297</v>
      </c>
      <c r="K19" s="2">
        <f t="shared" si="15"/>
        <v>3.0040419379842653</v>
      </c>
      <c r="L19" s="2">
        <f t="shared" si="15"/>
        <v>3.3945673899222193</v>
      </c>
    </row>
    <row r="20" spans="1:12">
      <c r="A20" s="17">
        <v>0.14000000000000001</v>
      </c>
      <c r="B20" s="3">
        <f t="shared" si="2"/>
        <v>1</v>
      </c>
      <c r="C20" s="4">
        <f t="shared" si="0"/>
        <v>1.1400000000000001</v>
      </c>
      <c r="D20" s="2">
        <f t="shared" ref="D20:L20" si="16">C20*(1+$A20)</f>
        <v>1.2996000000000003</v>
      </c>
      <c r="E20" s="2">
        <f t="shared" si="16"/>
        <v>1.4815440000000004</v>
      </c>
      <c r="F20" s="2">
        <f t="shared" si="16"/>
        <v>1.6889601600000006</v>
      </c>
      <c r="G20" s="2">
        <f t="shared" si="16"/>
        <v>1.9254145824000009</v>
      </c>
      <c r="H20" s="2">
        <f t="shared" si="16"/>
        <v>2.194972623936001</v>
      </c>
      <c r="I20" s="2">
        <f t="shared" si="16"/>
        <v>2.5022687912870416</v>
      </c>
      <c r="J20" s="2">
        <f t="shared" si="16"/>
        <v>2.8525864220672279</v>
      </c>
      <c r="K20" s="2">
        <f t="shared" si="16"/>
        <v>3.2519485211566401</v>
      </c>
      <c r="L20" s="2">
        <f t="shared" si="16"/>
        <v>3.7072213141185704</v>
      </c>
    </row>
    <row r="21" spans="1:12">
      <c r="A21" s="17">
        <v>0.15</v>
      </c>
      <c r="B21" s="3">
        <f t="shared" si="2"/>
        <v>1</v>
      </c>
      <c r="C21" s="4">
        <f t="shared" si="0"/>
        <v>1.1499999999999999</v>
      </c>
      <c r="D21" s="2">
        <f t="shared" ref="D21:L21" si="17">C21*(1+$A21)</f>
        <v>1.3224999999999998</v>
      </c>
      <c r="E21" s="2">
        <f t="shared" si="17"/>
        <v>1.5208749999999995</v>
      </c>
      <c r="F21" s="2">
        <f t="shared" si="17"/>
        <v>1.7490062499999994</v>
      </c>
      <c r="G21" s="2">
        <f t="shared" si="17"/>
        <v>2.0113571874999994</v>
      </c>
      <c r="H21" s="2">
        <f t="shared" si="17"/>
        <v>2.3130607656249991</v>
      </c>
      <c r="I21" s="2">
        <f t="shared" si="17"/>
        <v>2.6600198804687487</v>
      </c>
      <c r="J21" s="2">
        <f t="shared" si="17"/>
        <v>3.0590228625390607</v>
      </c>
      <c r="K21" s="2">
        <f t="shared" si="17"/>
        <v>3.5178762919199196</v>
      </c>
      <c r="L21" s="2">
        <f t="shared" si="17"/>
        <v>4.0455577357079076</v>
      </c>
    </row>
    <row r="22" spans="1:12">
      <c r="A22" s="17">
        <v>0.16</v>
      </c>
      <c r="B22" s="3">
        <f t="shared" si="2"/>
        <v>1</v>
      </c>
      <c r="C22" s="4">
        <f t="shared" si="0"/>
        <v>1.1599999999999999</v>
      </c>
      <c r="D22" s="2">
        <f t="shared" ref="D22:L22" si="18">C22*(1+$A22)</f>
        <v>1.3455999999999999</v>
      </c>
      <c r="E22" s="2">
        <f t="shared" si="18"/>
        <v>1.5608959999999998</v>
      </c>
      <c r="F22" s="2">
        <f t="shared" si="18"/>
        <v>1.8106393599999997</v>
      </c>
      <c r="G22" s="2">
        <f t="shared" si="18"/>
        <v>2.1003416575999996</v>
      </c>
      <c r="H22" s="2">
        <f t="shared" si="18"/>
        <v>2.4363963228159995</v>
      </c>
      <c r="I22" s="2">
        <f t="shared" si="18"/>
        <v>2.8262197344665592</v>
      </c>
      <c r="J22" s="2">
        <f t="shared" si="18"/>
        <v>3.2784148919812086</v>
      </c>
      <c r="K22" s="2">
        <f t="shared" si="18"/>
        <v>3.8029612746982018</v>
      </c>
      <c r="L22" s="2">
        <f t="shared" si="18"/>
        <v>4.4114350786499141</v>
      </c>
    </row>
    <row r="23" spans="1:12">
      <c r="A23" s="17">
        <v>0.17</v>
      </c>
      <c r="B23" s="3">
        <f t="shared" si="2"/>
        <v>1</v>
      </c>
      <c r="C23" s="4">
        <f t="shared" si="0"/>
        <v>1.17</v>
      </c>
      <c r="D23" s="2">
        <f t="shared" ref="D23:L23" si="19">C23*(1+$A23)</f>
        <v>1.3688999999999998</v>
      </c>
      <c r="E23" s="2">
        <f t="shared" si="19"/>
        <v>1.6016129999999997</v>
      </c>
      <c r="F23" s="2">
        <f t="shared" si="19"/>
        <v>1.8738872099999995</v>
      </c>
      <c r="G23" s="2">
        <f t="shared" si="19"/>
        <v>2.1924480356999991</v>
      </c>
      <c r="H23" s="2">
        <f t="shared" si="19"/>
        <v>2.5651642017689986</v>
      </c>
      <c r="I23" s="2">
        <f t="shared" si="19"/>
        <v>3.001242116069728</v>
      </c>
      <c r="J23" s="2">
        <f t="shared" si="19"/>
        <v>3.5114532758015815</v>
      </c>
      <c r="K23" s="2">
        <f t="shared" si="19"/>
        <v>4.1084003326878502</v>
      </c>
      <c r="L23" s="2">
        <f t="shared" si="19"/>
        <v>4.8068283892447843</v>
      </c>
    </row>
    <row r="24" spans="1:12">
      <c r="A24" s="17">
        <v>0.18</v>
      </c>
      <c r="B24" s="3">
        <f t="shared" si="2"/>
        <v>1</v>
      </c>
      <c r="C24" s="4">
        <f t="shared" si="0"/>
        <v>1.18</v>
      </c>
      <c r="D24" s="2">
        <f t="shared" ref="D24:L24" si="20">C24*(1+$A24)</f>
        <v>1.3923999999999999</v>
      </c>
      <c r="E24" s="2">
        <f t="shared" si="20"/>
        <v>1.6430319999999998</v>
      </c>
      <c r="F24" s="2">
        <f t="shared" si="20"/>
        <v>1.9387777599999998</v>
      </c>
      <c r="G24" s="2">
        <f t="shared" si="20"/>
        <v>2.2877577567999996</v>
      </c>
      <c r="H24" s="2">
        <f t="shared" si="20"/>
        <v>2.6995541530239993</v>
      </c>
      <c r="I24" s="2">
        <f t="shared" si="20"/>
        <v>3.185473900568319</v>
      </c>
      <c r="J24" s="2">
        <f t="shared" si="20"/>
        <v>3.7588592026706165</v>
      </c>
      <c r="K24" s="2">
        <f t="shared" si="20"/>
        <v>4.4354538591513268</v>
      </c>
      <c r="L24" s="2">
        <f t="shared" si="20"/>
        <v>5.2338355537985652</v>
      </c>
    </row>
    <row r="25" spans="1:12">
      <c r="A25" s="17">
        <v>0.19</v>
      </c>
      <c r="B25" s="3">
        <f t="shared" si="2"/>
        <v>1</v>
      </c>
      <c r="C25" s="4">
        <f t="shared" si="0"/>
        <v>1.19</v>
      </c>
      <c r="D25" s="2">
        <f t="shared" ref="D25:L25" si="21">C25*(1+$A25)</f>
        <v>1.4160999999999999</v>
      </c>
      <c r="E25" s="2">
        <f t="shared" si="21"/>
        <v>1.6851589999999999</v>
      </c>
      <c r="F25" s="2">
        <f t="shared" si="21"/>
        <v>2.0053392099999998</v>
      </c>
      <c r="G25" s="2">
        <f t="shared" si="21"/>
        <v>2.3863536598999997</v>
      </c>
      <c r="H25" s="2">
        <f t="shared" si="21"/>
        <v>2.8397608552809994</v>
      </c>
      <c r="I25" s="2">
        <f t="shared" si="21"/>
        <v>3.3793154177843894</v>
      </c>
      <c r="J25" s="2">
        <f t="shared" si="21"/>
        <v>4.0213853471634229</v>
      </c>
      <c r="K25" s="2">
        <f t="shared" si="21"/>
        <v>4.785448563124473</v>
      </c>
      <c r="L25" s="2">
        <f t="shared" si="21"/>
        <v>5.6946837901181224</v>
      </c>
    </row>
    <row r="26" spans="1:12">
      <c r="A26" s="17">
        <v>0.2</v>
      </c>
      <c r="B26" s="3">
        <f t="shared" si="2"/>
        <v>1</v>
      </c>
      <c r="C26" s="4">
        <f t="shared" si="0"/>
        <v>1.2</v>
      </c>
      <c r="D26" s="2">
        <f t="shared" ref="D26:L26" si="22">C26*(1+$A26)</f>
        <v>1.44</v>
      </c>
      <c r="E26" s="2">
        <f t="shared" si="22"/>
        <v>1.728</v>
      </c>
      <c r="F26" s="2">
        <f t="shared" si="22"/>
        <v>2.0735999999999999</v>
      </c>
      <c r="G26" s="2">
        <f t="shared" si="22"/>
        <v>2.4883199999999999</v>
      </c>
      <c r="H26" s="2">
        <f t="shared" si="22"/>
        <v>2.9859839999999997</v>
      </c>
      <c r="I26" s="2">
        <f t="shared" si="22"/>
        <v>3.5831807999999996</v>
      </c>
      <c r="J26" s="2">
        <f t="shared" si="22"/>
        <v>4.2998169599999994</v>
      </c>
      <c r="K26" s="2">
        <f t="shared" si="22"/>
        <v>5.1597803519999994</v>
      </c>
      <c r="L26" s="2">
        <f t="shared" si="22"/>
        <v>6.1917364223999991</v>
      </c>
    </row>
    <row r="27" spans="1:12">
      <c r="A27" s="17">
        <v>0.21</v>
      </c>
      <c r="B27" s="3">
        <f t="shared" si="2"/>
        <v>1</v>
      </c>
      <c r="C27" s="4">
        <f t="shared" si="0"/>
        <v>1.21</v>
      </c>
      <c r="D27" s="2">
        <f t="shared" ref="D27:L27" si="23">C27*(1+$A27)</f>
        <v>1.4641</v>
      </c>
      <c r="E27" s="2">
        <f t="shared" si="23"/>
        <v>1.7715609999999999</v>
      </c>
      <c r="F27" s="2">
        <f t="shared" si="23"/>
        <v>2.1435888099999998</v>
      </c>
      <c r="G27" s="2">
        <f t="shared" si="23"/>
        <v>2.5937424600999996</v>
      </c>
      <c r="H27" s="2">
        <f t="shared" si="23"/>
        <v>3.1384283767209995</v>
      </c>
      <c r="I27" s="2">
        <f t="shared" si="23"/>
        <v>3.7974983358324095</v>
      </c>
      <c r="J27" s="2">
        <f t="shared" si="23"/>
        <v>4.5949729863572157</v>
      </c>
      <c r="K27" s="2">
        <f t="shared" si="23"/>
        <v>5.5599173134922308</v>
      </c>
      <c r="L27" s="2">
        <f t="shared" si="23"/>
        <v>6.7274999493255994</v>
      </c>
    </row>
    <row r="28" spans="1:12">
      <c r="A28" s="17">
        <v>0.22</v>
      </c>
      <c r="B28" s="3">
        <f t="shared" si="2"/>
        <v>1</v>
      </c>
      <c r="C28" s="4">
        <f t="shared" si="0"/>
        <v>1.22</v>
      </c>
      <c r="D28" s="2">
        <f t="shared" ref="D28:L28" si="24">C28*(1+$A28)</f>
        <v>1.4883999999999999</v>
      </c>
      <c r="E28" s="2">
        <f t="shared" si="24"/>
        <v>1.8158479999999999</v>
      </c>
      <c r="F28" s="2">
        <f t="shared" si="24"/>
        <v>2.2153345599999996</v>
      </c>
      <c r="G28" s="2">
        <f t="shared" si="24"/>
        <v>2.7027081631999996</v>
      </c>
      <c r="H28" s="2">
        <f t="shared" si="24"/>
        <v>3.2973039591039996</v>
      </c>
      <c r="I28" s="2">
        <f t="shared" si="24"/>
        <v>4.0227108301068792</v>
      </c>
      <c r="J28" s="2">
        <f t="shared" si="24"/>
        <v>4.9077072127303927</v>
      </c>
      <c r="K28" s="2">
        <f t="shared" si="24"/>
        <v>5.987402799531079</v>
      </c>
      <c r="L28" s="2">
        <f t="shared" si="24"/>
        <v>7.3046314154279166</v>
      </c>
    </row>
    <row r="29" spans="1:12">
      <c r="A29" s="17">
        <v>0.23</v>
      </c>
      <c r="B29" s="3">
        <f t="shared" si="2"/>
        <v>1</v>
      </c>
      <c r="C29" s="4">
        <f t="shared" si="0"/>
        <v>1.23</v>
      </c>
      <c r="D29" s="2">
        <f t="shared" ref="D29:L29" si="25">C29*(1+$A29)</f>
        <v>1.5128999999999999</v>
      </c>
      <c r="E29" s="2">
        <f t="shared" si="25"/>
        <v>1.8608669999999998</v>
      </c>
      <c r="F29" s="2">
        <f t="shared" si="25"/>
        <v>2.2888664099999998</v>
      </c>
      <c r="G29" s="2">
        <f t="shared" si="25"/>
        <v>2.8153056842999997</v>
      </c>
      <c r="H29" s="2">
        <f t="shared" si="25"/>
        <v>3.4628259916889994</v>
      </c>
      <c r="I29" s="2">
        <f t="shared" si="25"/>
        <v>4.2592759697774696</v>
      </c>
      <c r="J29" s="2">
        <f t="shared" si="25"/>
        <v>5.2389094428262872</v>
      </c>
      <c r="K29" s="2">
        <f t="shared" si="25"/>
        <v>6.4438586146763335</v>
      </c>
      <c r="L29" s="2">
        <f t="shared" si="25"/>
        <v>7.9259460960518897</v>
      </c>
    </row>
    <row r="30" spans="1:12">
      <c r="A30" s="17">
        <v>0.24</v>
      </c>
      <c r="B30" s="3">
        <f t="shared" si="2"/>
        <v>1</v>
      </c>
      <c r="C30" s="4">
        <f t="shared" si="0"/>
        <v>1.24</v>
      </c>
      <c r="D30" s="2">
        <f t="shared" ref="D30:L30" si="26">C30*(1+$A30)</f>
        <v>1.5376000000000001</v>
      </c>
      <c r="E30" s="2">
        <f t="shared" si="26"/>
        <v>1.9066240000000001</v>
      </c>
      <c r="F30" s="2">
        <f t="shared" si="26"/>
        <v>2.3642137600000002</v>
      </c>
      <c r="G30" s="2">
        <f t="shared" si="26"/>
        <v>2.9316250624000002</v>
      </c>
      <c r="H30" s="2">
        <f t="shared" si="26"/>
        <v>3.6352150773760004</v>
      </c>
      <c r="I30" s="2">
        <f t="shared" si="26"/>
        <v>4.5076666959462406</v>
      </c>
      <c r="J30" s="2">
        <f t="shared" si="26"/>
        <v>5.5895067029733383</v>
      </c>
      <c r="K30" s="2">
        <f t="shared" si="26"/>
        <v>6.9309883116869395</v>
      </c>
      <c r="L30" s="2">
        <f t="shared" si="26"/>
        <v>8.5944255064918043</v>
      </c>
    </row>
    <row r="31" spans="1:12">
      <c r="A31" s="17">
        <v>0.25</v>
      </c>
      <c r="B31" s="3">
        <f t="shared" si="2"/>
        <v>1</v>
      </c>
      <c r="C31" s="4">
        <f t="shared" si="0"/>
        <v>1.25</v>
      </c>
      <c r="D31" s="2">
        <f t="shared" ref="D31:L31" si="27">C31*(1+$A31)</f>
        <v>1.5625</v>
      </c>
      <c r="E31" s="2">
        <f t="shared" si="27"/>
        <v>1.953125</v>
      </c>
      <c r="F31" s="2">
        <f t="shared" si="27"/>
        <v>2.44140625</v>
      </c>
      <c r="G31" s="2">
        <f t="shared" si="27"/>
        <v>3.0517578125</v>
      </c>
      <c r="H31" s="2">
        <f t="shared" si="27"/>
        <v>3.814697265625</v>
      </c>
      <c r="I31" s="2">
        <f t="shared" si="27"/>
        <v>4.76837158203125</v>
      </c>
      <c r="J31" s="2">
        <f t="shared" si="27"/>
        <v>5.9604644775390625</v>
      </c>
      <c r="K31" s="2">
        <f t="shared" si="27"/>
        <v>7.4505805969238281</v>
      </c>
      <c r="L31" s="2">
        <f t="shared" si="27"/>
        <v>9.3132257461547852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Yale School of Management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 Antle</dc:creator>
  <cp:keywords/>
  <dc:description/>
  <cp:lastModifiedBy>Antle, Rick</cp:lastModifiedBy>
  <cp:revision/>
  <dcterms:created xsi:type="dcterms:W3CDTF">2013-09-04T23:12:11Z</dcterms:created>
  <dcterms:modified xsi:type="dcterms:W3CDTF">2026-01-21T14:52:02Z</dcterms:modified>
  <cp:category/>
  <cp:contentStatus/>
</cp:coreProperties>
</file>