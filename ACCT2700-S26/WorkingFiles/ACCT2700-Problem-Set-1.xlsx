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trlProps/ctrlProp1.xml" ContentType="application/vnd.ms-excel.controlpropertie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1.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2.xml" ContentType="application/vnd.openxmlformats-officedocument.drawing+xml"/>
  <Override PartName="/xl/drawings/drawing2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yaleedu-my.sharepoint.com/personal/rick_antle_yale_edu/Documents/Courses/ACCT270/ACCT2700-S26/WorkingFiles/"/>
    </mc:Choice>
  </mc:AlternateContent>
  <xr:revisionPtr revIDLastSave="216" documentId="8_{4F51B683-008F-428F-8B43-695875877E72}" xr6:coauthVersionLast="47" xr6:coauthVersionMax="47" xr10:uidLastSave="{C5EFD4B3-074A-42ED-873F-DC4E5010D4F0}"/>
  <workbookProtection workbookAlgorithmName="SHA-512" workbookHashValue="rIia1hGHb0RQVTulq/PjTbNuwJI0pGzX5oG6F3PboXu6BxksBdmwFMJZ3cGA8zotN8T4wljsxUAPORJXKfFkrw==" workbookSaltValue="gTfSiuT7ICBgkXLcuxVmVw==" workbookSpinCount="100000" lockStructure="1"/>
  <bookViews>
    <workbookView xWindow="27705" yWindow="1470" windowWidth="25410" windowHeight="18735" firstSheet="12" activeTab="12" xr2:uid="{5B177754-F90E-4F41-AAD8-03F512C655C4}"/>
  </bookViews>
  <sheets>
    <sheet name="General Instructions" sheetId="1" r:id="rId1"/>
    <sheet name="1Ans" sheetId="16" state="hidden" r:id="rId2"/>
    <sheet name="2Ans" sheetId="17" state="hidden" r:id="rId3"/>
    <sheet name="3Ans" sheetId="18" state="hidden" r:id="rId4"/>
    <sheet name="4Ans" sheetId="19" state="hidden" r:id="rId5"/>
    <sheet name="5Ans" sheetId="20" state="hidden" r:id="rId6"/>
    <sheet name="6Ans" sheetId="21" state="hidden" r:id="rId7"/>
    <sheet name="7Ans" sheetId="22" state="hidden" r:id="rId8"/>
    <sheet name="8Ans" sheetId="23" state="hidden" r:id="rId9"/>
    <sheet name="8aAns" sheetId="25" state="hidden" r:id="rId10"/>
    <sheet name="9Ans" sheetId="24" state="hidden" r:id="rId11"/>
    <sheet name="10Ans" sheetId="26" state="hidden" r:id="rId12"/>
    <sheet name="1 Cash Flow Diagrams" sheetId="2" r:id="rId13"/>
    <sheet name="2 Future Values" sheetId="3" r:id="rId14"/>
    <sheet name="3 Values at End of Each Year" sheetId="4" r:id="rId15"/>
    <sheet name="4 Present Values" sheetId="5" r:id="rId16"/>
    <sheet name="5 Bonds" sheetId="6" r:id="rId17"/>
    <sheet name="6 Perpetuities" sheetId="7" r:id="rId18"/>
    <sheet name="7 Effective Interest Rates" sheetId="8" r:id="rId19"/>
    <sheet name="8 Unexpected Chs in Int Rates" sheetId="10" r:id="rId20"/>
    <sheet name="8a Graphs" sheetId="15" r:id="rId21"/>
    <sheet name="9 Valuing a Business" sheetId="11" r:id="rId22"/>
    <sheet name="10 Verizon Buyout of Vodafone" sheetId="12" r:id="rId23"/>
    <sheet name="Grading" sheetId="14" state="hidden" r:id="rId24"/>
    <sheet name="Names Choices Etc" sheetId="13" state="hidden" r:id="rId25"/>
  </sheets>
  <definedNames>
    <definedName name="Amount_f" localSheetId="1">'1Ans'!$B$105</definedName>
    <definedName name="Amount_f">'1 Cash Flow Diagrams'!$B$105</definedName>
    <definedName name="Amount_g" localSheetId="1">'1Ans'!$B$118</definedName>
    <definedName name="Amount_g">'1 Cash Flow Diagrams'!$B$118</definedName>
    <definedName name="Amount_h" localSheetId="1">'1Ans'!$B$131</definedName>
    <definedName name="Amount_h">'1 Cash Flow Diagrams'!$B$131</definedName>
    <definedName name="Amount_i" localSheetId="1">'1Ans'!$B$144</definedName>
    <definedName name="Amount_i">'1 Cash Flow Diagrams'!$B$144</definedName>
    <definedName name="Amount_j" localSheetId="1">'1Ans'!$B$157</definedName>
    <definedName name="Amount_j">'1 Cash Flow Diagrams'!$B$157</definedName>
    <definedName name="Amount_k" localSheetId="1">'1Ans'!$B$171</definedName>
    <definedName name="Amount_k">'1 Cash Flow Diagrams'!$B$171</definedName>
    <definedName name="Amount_l" localSheetId="1">'1Ans'!$B$184</definedName>
    <definedName name="Amount_l">'1 Cash Flow Diagrams'!$B$184</definedName>
    <definedName name="Amount_m" localSheetId="1">'1Ans'!$B$197</definedName>
    <definedName name="Amount_m">'1 Cash Flow Diagrams'!$B$197</definedName>
    <definedName name="Coupon_rate_a" localSheetId="1">'1Ans'!$B$41</definedName>
    <definedName name="Coupon_rate_a">'1 Cash Flow Diagrams'!$B$41</definedName>
    <definedName name="Coupon_rate_b" localSheetId="1">'1Ans'!$B$54</definedName>
    <definedName name="Coupon_rate_b">'1 Cash Flow Diagrams'!$B$54</definedName>
    <definedName name="Coupon_rate_c" localSheetId="1">'1Ans'!$B$67</definedName>
    <definedName name="Coupon_rate_c">'1 Cash Flow Diagrams'!$B$67</definedName>
    <definedName name="Coupon_rate_d" localSheetId="1">'1Ans'!$B$80</definedName>
    <definedName name="Coupon_rate_d">'1 Cash Flow Diagrams'!$B$80</definedName>
    <definedName name="Coupon_rate_e" localSheetId="1">'1Ans'!$B$93</definedName>
    <definedName name="Coupon_rate_e">'1 Cash Flow Diagrams'!$B$93</definedName>
    <definedName name="Coupon_rate_Ex1" localSheetId="1">'1Ans'!$B$10</definedName>
    <definedName name="Coupon_rate_Ex1">'1 Cash Flow Diagrams'!$B$10</definedName>
    <definedName name="Coupon_rate_Ex2" localSheetId="1">'1Ans'!$B$25</definedName>
    <definedName name="Coupon_rate_Ex2">'1 Cash Flow Diagrams'!$B$25</definedName>
    <definedName name="Face_a" localSheetId="1">'1Ans'!$B$40</definedName>
    <definedName name="Face_a">'1 Cash Flow Diagrams'!$B$40</definedName>
    <definedName name="Face_b" localSheetId="1">'1Ans'!$B$53</definedName>
    <definedName name="Face_b">'1 Cash Flow Diagrams'!$B$53</definedName>
    <definedName name="Face_c" localSheetId="1">'1Ans'!$B$66</definedName>
    <definedName name="Face_c">'1 Cash Flow Diagrams'!$B$66</definedName>
    <definedName name="Face_d" localSheetId="1">'1Ans'!$B$79</definedName>
    <definedName name="Face_d">'1 Cash Flow Diagrams'!$B$79</definedName>
    <definedName name="Face_e" localSheetId="1">'1Ans'!$B$92</definedName>
    <definedName name="Face_e">'1 Cash Flow Diagrams'!$B$92</definedName>
    <definedName name="Face_Ex1" localSheetId="1">'1Ans'!$B$9</definedName>
    <definedName name="Face_Ex1">'1 Cash Flow Diagrams'!$B$9</definedName>
    <definedName name="Face_Ex2" localSheetId="1">'1Ans'!$B$24</definedName>
    <definedName name="Face_Ex2">'1 Cash Flow Diagrams'!$B$24</definedName>
    <definedName name="Growth_rate___m" localSheetId="1">'1Ans'!$B$200</definedName>
    <definedName name="Growth_rate___m">'1 Cash Flow Diagrams'!$B$200</definedName>
    <definedName name="Implicit_interest_rate" localSheetId="7">'7Ans'!$B$43</definedName>
    <definedName name="Implicit_interest_rate">'7 Effective Interest Rates'!$B$43</definedName>
    <definedName name="One_Period_a" localSheetId="1">'1Ans'!$B$42</definedName>
    <definedName name="One_Period_a">'1 Cash Flow Diagrams'!$B$42</definedName>
    <definedName name="One_Period_b" localSheetId="1">'1Ans'!$B$55</definedName>
    <definedName name="One_Period_b">'1 Cash Flow Diagrams'!$B$55</definedName>
    <definedName name="One_Period_c" localSheetId="1">'1Ans'!$B$68</definedName>
    <definedName name="One_Period_c">'1 Cash Flow Diagrams'!$B$68</definedName>
    <definedName name="One_Period_d" localSheetId="1">'1Ans'!$B$81</definedName>
    <definedName name="One_Period_d">'1 Cash Flow Diagrams'!$B$81</definedName>
    <definedName name="One_Period_e" localSheetId="1">'1Ans'!$B$94</definedName>
    <definedName name="One_Period_e">'1 Cash Flow Diagrams'!$B$94</definedName>
    <definedName name="One_Period_Ex1" localSheetId="1">'1Ans'!$B$11</definedName>
    <definedName name="One_Period_Ex1">'1 Cash Flow Diagrams'!$B$11</definedName>
    <definedName name="One_Period_Ex2" localSheetId="1">'1Ans'!$B$26</definedName>
    <definedName name="One_Period_Ex2">'1 Cash Flow Diagrams'!$B$26</definedName>
    <definedName name="One_Period_f" localSheetId="1">'1Ans'!$B$107</definedName>
    <definedName name="One_Period_f">'1 Cash Flow Diagrams'!$B$107</definedName>
    <definedName name="One_Period_g" localSheetId="1">'1Ans'!$B$120</definedName>
    <definedName name="One_Period_g">'1 Cash Flow Diagrams'!$B$120</definedName>
    <definedName name="One_Period_h" localSheetId="1">'1Ans'!$B$133</definedName>
    <definedName name="One_Period_h">'1 Cash Flow Diagrams'!$B$133</definedName>
    <definedName name="One_Period_i" localSheetId="1">'1Ans'!$B$146</definedName>
    <definedName name="One_Period_i">'1 Cash Flow Diagrams'!$B$146</definedName>
    <definedName name="One_Period_j" localSheetId="1">'1Ans'!$B$159</definedName>
    <definedName name="One_Period_j">'1 Cash Flow Diagrams'!$B$159</definedName>
    <definedName name="One_Period_k" localSheetId="1">'1Ans'!$B$173</definedName>
    <definedName name="One_Period_k">'1 Cash Flow Diagrams'!$B$173</definedName>
    <definedName name="One_Period_l" localSheetId="1">'1Ans'!$B$186</definedName>
    <definedName name="One_Period_l">'1 Cash Flow Diagrams'!$B$186</definedName>
    <definedName name="One_Period_m" localSheetId="1">'1Ans'!$B$199</definedName>
    <definedName name="One_Period_m">'1 Cash Flow Diagrams'!$B$199</definedName>
    <definedName name="P2_Amount_Ex1" localSheetId="2">'2Ans'!$B$7</definedName>
    <definedName name="P2_Amount_Ex1">'2 Future Values'!$B$7</definedName>
    <definedName name="P2_Compounding_Period_Ex1" localSheetId="2">'2Ans'!$B$9</definedName>
    <definedName name="P2_Compounding_Period_Ex1">'2 Future Values'!$B$9</definedName>
    <definedName name="P2_Interest_Rate_Ex1" localSheetId="2">'2Ans'!$B$8</definedName>
    <definedName name="P2_Interest_Rate_Ex1">'2 Future Values'!$B$8</definedName>
    <definedName name="P3_Amount_Ex" localSheetId="3">'3Ans'!$B$8</definedName>
    <definedName name="P3_Amount_Ex">'3 Values at End of Each Year'!$B$8</definedName>
    <definedName name="P3_Compounding_Period_Ex" localSheetId="3">'3Ans'!$B$10</definedName>
    <definedName name="P3_Compounding_Period_Ex">'3 Values at End of Each Year'!$B$10</definedName>
    <definedName name="P3_Interest_Rate_Ex" localSheetId="3">'3Ans'!$B$9</definedName>
    <definedName name="P3_Interest_Rate_Ex">'3 Values at End of Each Year'!$B$9</definedName>
    <definedName name="P4_Interest_Rate" localSheetId="4">'4Ans'!$B$22</definedName>
    <definedName name="P4_Interest_Rate">'4 Present Values'!$B$22</definedName>
    <definedName name="P4_Interest_Rate_Ex" localSheetId="4">'4Ans'!$B$7</definedName>
    <definedName name="P4_Interest_Rate_Ex">'4 Present Values'!$B$7</definedName>
    <definedName name="P5_Coupon_Rate_Ex1" localSheetId="5">'5Ans'!$B$8</definedName>
    <definedName name="P5_Coupon_Rate_Ex1">'5 Bonds'!$B$8</definedName>
    <definedName name="P5_Coupon_Rate_Ex2" localSheetId="5">'5Ans'!$B$24</definedName>
    <definedName name="P5_Coupon_Rate_Ex2">'5 Bonds'!$B$24</definedName>
    <definedName name="P5_Face_Ex1" localSheetId="5">'5Ans'!$B$7</definedName>
    <definedName name="P5_Face_Ex1">'5 Bonds'!$B$7</definedName>
    <definedName name="P5_Face_Ex2" localSheetId="5">'5Ans'!$B$23</definedName>
    <definedName name="P5_Face_Ex2">'5 Bonds'!$B$23</definedName>
    <definedName name="P5_Interest_Rate_Ex1" localSheetId="5">'5Ans'!$B$9</definedName>
    <definedName name="P5_Interest_Rate_Ex1">'5 Bonds'!$B$9</definedName>
    <definedName name="P5_Interest_Rate_Ex2" localSheetId="5">'5Ans'!$B$25</definedName>
    <definedName name="P5_Interest_Rate_Ex2">'5 Bonds'!$B$25</definedName>
    <definedName name="P5_One_Period_Ex1" localSheetId="5">'5Ans'!$B$10</definedName>
    <definedName name="P5_One_Period_Ex1">'5 Bonds'!$B$10</definedName>
    <definedName name="P5_One_Period_Ex2" localSheetId="5">'5Ans'!$B$26</definedName>
    <definedName name="P5_One_Period_Ex2">'5 Bonds'!$B$26</definedName>
    <definedName name="P6_Amount_Ex1" localSheetId="6">'6Ans'!$B$6</definedName>
    <definedName name="P6_Amount_Ex1">'6 Perpetuities'!$B$6</definedName>
    <definedName name="P6_Amount_Ex2" localSheetId="6">'6Ans'!$B$15</definedName>
    <definedName name="P6_Amount_Ex2">'6 Perpetuities'!$B$15</definedName>
    <definedName name="P6_Amount_Ex3" localSheetId="6">'6Ans'!$B$25</definedName>
    <definedName name="P6_Amount_Ex3">'6 Perpetuities'!$B$25</definedName>
    <definedName name="P6_Growth_Rate_Ex1" localSheetId="6">'6Ans'!$B$8</definedName>
    <definedName name="P6_Growth_Rate_Ex1">'6 Perpetuities'!$B$8</definedName>
    <definedName name="P6_Growth_Rate_Ex2" localSheetId="6">'6Ans'!$B$17</definedName>
    <definedName name="P6_Growth_Rate_Ex2">'6 Perpetuities'!$B$17</definedName>
    <definedName name="P6_Growth_Rate_Ex3" localSheetId="6">'6Ans'!$B$27</definedName>
    <definedName name="P6_Growth_Rate_Ex3">'6 Perpetuities'!$B$27</definedName>
    <definedName name="P6_Interest_Rate_Ex1" localSheetId="6">'6Ans'!$B$7</definedName>
    <definedName name="P6_Interest_Rate_Ex1">'6 Perpetuities'!$B$7</definedName>
    <definedName name="P6_Interest_Rate_Ex2" localSheetId="6">'6Ans'!$B$16</definedName>
    <definedName name="P6_Interest_Rate_Ex2">'6 Perpetuities'!$B$16</definedName>
    <definedName name="P6_Interest_Rate_Ex3" localSheetId="6">'6Ans'!$B$26</definedName>
    <definedName name="P6_Interest_Rate_Ex3">'6 Perpetuities'!$B$26</definedName>
    <definedName name="P7_Amount_1" localSheetId="7">'7Ans'!$B$41</definedName>
    <definedName name="P7_Amount_1">'7 Effective Interest Rates'!$B$41</definedName>
    <definedName name="P7_Amount_Ex1" localSheetId="7">'7Ans'!$B$6</definedName>
    <definedName name="P7_Amount_Ex1">'7 Effective Interest Rates'!$B$6</definedName>
    <definedName name="P7_Coupon_Rate_3" localSheetId="7">'7Ans'!$B$62</definedName>
    <definedName name="P7_Coupon_Rate_3">'7 Effective Interest Rates'!$B$62</definedName>
    <definedName name="P7_Coupon_Rate_Ex3" localSheetId="7">'7Ans'!$B$27</definedName>
    <definedName name="P7_Coupon_Rate_Ex3">'7 Effective Interest Rates'!$B$27</definedName>
    <definedName name="P7_Face_2" localSheetId="7">'7Ans'!$B$50</definedName>
    <definedName name="P7_Face_2">'7 Effective Interest Rates'!$B$50</definedName>
    <definedName name="P7_Face_3" localSheetId="7">'7Ans'!$B$61</definedName>
    <definedName name="P7_Face_3">'7 Effective Interest Rates'!$B$61</definedName>
    <definedName name="P7_Face_Ex2" localSheetId="7">'7Ans'!$B$15</definedName>
    <definedName name="P7_Face_Ex2">'7 Effective Interest Rates'!$B$15</definedName>
    <definedName name="P7_Face_Ex3" localSheetId="7">'7Ans'!$B$26</definedName>
    <definedName name="P7_Face_Ex3">'7 Effective Interest Rates'!$B$26</definedName>
    <definedName name="P7_Implicit_interest_rate_2" localSheetId="7">'7Ans'!$B$54</definedName>
    <definedName name="P7_Implicit_interest_rate_2">'7 Effective Interest Rates'!$B$54</definedName>
    <definedName name="P7_Implicit_Interest_Rate_Ex2" localSheetId="7">'7Ans'!$B$19</definedName>
    <definedName name="P7_Implicit_Interest_Rate_Ex2">'7 Effective Interest Rates'!$B$19</definedName>
    <definedName name="P7_Interest_Rate_3" localSheetId="7">'7Ans'!$B$63</definedName>
    <definedName name="P7_Interest_Rate_3">'7 Effective Interest Rates'!$B$63</definedName>
    <definedName name="P7_Interest_Rate_Ex3" localSheetId="7">'7Ans'!$B$28</definedName>
    <definedName name="P7_Interest_Rate_Ex3">'7 Effective Interest Rates'!$B$28</definedName>
    <definedName name="P7_Maturity_2" localSheetId="7">'7Ans'!$B$52</definedName>
    <definedName name="P7_Maturity_2">'7 Effective Interest Rates'!$B$52</definedName>
    <definedName name="P7_Maturity_Ex2" localSheetId="7">'7Ans'!$B$17</definedName>
    <definedName name="P7_Maturity_Ex2">'7 Effective Interest Rates'!$B$17</definedName>
    <definedName name="P7_One_Period_3" localSheetId="7">'7Ans'!$B$64</definedName>
    <definedName name="P7_One_Period_3">'7 Effective Interest Rates'!$B$64</definedName>
    <definedName name="P7_One_Period_Ex3" localSheetId="7">'7Ans'!$B$29</definedName>
    <definedName name="P7_One_Period_Ex3">'7 Effective Interest Rates'!$B$29</definedName>
    <definedName name="P7_PV_1" localSheetId="7">'7Ans'!$B$42</definedName>
    <definedName name="P7_PV_1">'7 Effective Interest Rates'!$B$42</definedName>
    <definedName name="P7_PV_2" localSheetId="7">'7Ans'!$B$51</definedName>
    <definedName name="P7_PV_2">'7 Effective Interest Rates'!$B$51</definedName>
    <definedName name="P7_PV_Ex1" localSheetId="7">'7Ans'!$B$7</definedName>
    <definedName name="P7_PV_Ex1">'7 Effective Interest Rates'!$B$7</definedName>
    <definedName name="P7_PV_Ex2" localSheetId="7">'7Ans'!$B$16</definedName>
    <definedName name="P7_PV_Ex2">'7 Effective Interest Rates'!$B$16</definedName>
    <definedName name="P8_Face_Value_1" localSheetId="8">'8Ans'!$B$30</definedName>
    <definedName name="P8_Face_Value_1">'8 Unexpected Chs in Int Rates'!$B$30</definedName>
    <definedName name="P8_Face_Value_Ex" localSheetId="8">'8Ans'!$B$11</definedName>
    <definedName name="P8_Face_Value_Ex">'8 Unexpected Chs in Int Rates'!$B$11</definedName>
    <definedName name="P9_Interest_Rate" localSheetId="10">'9Ans'!$B$47</definedName>
    <definedName name="P9_Interest_Rate">'9 Valuing a Business'!$B$47</definedName>
    <definedName name="P9_Interest_Rate_Ex" localSheetId="10">'9Ans'!$B$15</definedName>
    <definedName name="P9_Interest_Rate_Ex">'9 Valuing a Business'!$B$15</definedName>
    <definedName name="Paid_Every_f" localSheetId="1">'1Ans'!$B$106</definedName>
    <definedName name="Paid_Every_f">'1 Cash Flow Diagrams'!$B$106</definedName>
    <definedName name="Paid_Every_g" localSheetId="1">'1Ans'!$B$119</definedName>
    <definedName name="Paid_Every_g">'1 Cash Flow Diagrams'!$B$119</definedName>
    <definedName name="Paid_Every_h" localSheetId="1">'1Ans'!$B$132</definedName>
    <definedName name="Paid_Every_h">'1 Cash Flow Diagrams'!$B$132</definedName>
    <definedName name="Paid_Every_i" localSheetId="1">'1Ans'!$B$145</definedName>
    <definedName name="Paid_Every_i">'1 Cash Flow Diagrams'!$B$145</definedName>
    <definedName name="Paid_Every_j" localSheetId="1">'1Ans'!$B$158</definedName>
    <definedName name="Paid_Every_j">'1 Cash Flow Diagrams'!$B$158</definedName>
    <definedName name="Security_Deposit_k" localSheetId="1">'1Ans'!$B$174</definedName>
    <definedName name="Security_Deposit_k">'1 Cash Flow Diagrams'!$B$174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9" i="8" l="1"/>
  <c r="D69" i="8"/>
  <c r="E69" i="8"/>
  <c r="F69" i="8"/>
  <c r="G69" i="8"/>
  <c r="H69" i="8"/>
  <c r="I69" i="8"/>
  <c r="J69" i="8"/>
  <c r="K69" i="8"/>
  <c r="L69" i="8"/>
  <c r="F66" i="24"/>
  <c r="I98" i="16"/>
  <c r="J98" i="16"/>
  <c r="K98" i="16"/>
  <c r="L98" i="16"/>
  <c r="M98" i="16"/>
  <c r="N98" i="16"/>
  <c r="N99" i="16"/>
  <c r="R73" i="16"/>
  <c r="Q60" i="16"/>
  <c r="E190" i="16"/>
  <c r="F190" i="16"/>
  <c r="T47" i="16"/>
  <c r="S46" i="16"/>
  <c r="T46" i="16"/>
  <c r="D49" i="6"/>
  <c r="E49" i="6"/>
  <c r="F49" i="6"/>
  <c r="G49" i="6"/>
  <c r="H49" i="6"/>
  <c r="I49" i="6"/>
  <c r="J49" i="6"/>
  <c r="K49" i="6"/>
  <c r="L49" i="6"/>
  <c r="C49" i="6"/>
  <c r="B11" i="3"/>
  <c r="B47" i="26"/>
  <c r="D52" i="24"/>
  <c r="D51" i="24"/>
  <c r="D49" i="24"/>
  <c r="F42" i="24"/>
  <c r="F49" i="24"/>
  <c r="E42" i="24"/>
  <c r="E49" i="24"/>
  <c r="D42" i="24"/>
  <c r="C42" i="24"/>
  <c r="C49" i="24"/>
  <c r="C51" i="24"/>
  <c r="C52" i="24"/>
  <c r="N29" i="24"/>
  <c r="M29" i="24"/>
  <c r="L29" i="24"/>
  <c r="K29" i="24"/>
  <c r="J29" i="24"/>
  <c r="I29" i="24"/>
  <c r="H29" i="24"/>
  <c r="G18" i="24"/>
  <c r="G30" i="24"/>
  <c r="H10" i="24"/>
  <c r="G10" i="24"/>
  <c r="G17" i="24"/>
  <c r="F10" i="24"/>
  <c r="F17" i="24"/>
  <c r="E10" i="24"/>
  <c r="E17" i="24"/>
  <c r="E19" i="24"/>
  <c r="E20" i="24"/>
  <c r="D10" i="24"/>
  <c r="D17" i="24"/>
  <c r="D19" i="24"/>
  <c r="D20" i="24"/>
  <c r="C10" i="24"/>
  <c r="C17" i="24"/>
  <c r="C19" i="24"/>
  <c r="C20" i="24"/>
  <c r="J45" i="23"/>
  <c r="H45" i="23"/>
  <c r="H35" i="23"/>
  <c r="F45" i="23"/>
  <c r="F41" i="23"/>
  <c r="J44" i="23"/>
  <c r="J43" i="23"/>
  <c r="H43" i="23"/>
  <c r="J42" i="23"/>
  <c r="J35" i="23"/>
  <c r="J21" i="23"/>
  <c r="H21" i="23"/>
  <c r="F21" i="23"/>
  <c r="J20" i="23"/>
  <c r="H20" i="23"/>
  <c r="F20" i="23"/>
  <c r="J19" i="23"/>
  <c r="H19" i="23"/>
  <c r="F19" i="23"/>
  <c r="J18" i="23"/>
  <c r="H18" i="23"/>
  <c r="F18" i="23"/>
  <c r="J17" i="23"/>
  <c r="H17" i="23"/>
  <c r="F17" i="23"/>
  <c r="J16" i="23"/>
  <c r="H16" i="23"/>
  <c r="F16" i="23"/>
  <c r="J15" i="23"/>
  <c r="H15" i="23"/>
  <c r="F15" i="23"/>
  <c r="J14" i="23"/>
  <c r="H14" i="23"/>
  <c r="F14" i="23"/>
  <c r="J13" i="23"/>
  <c r="H13" i="23"/>
  <c r="F13" i="23"/>
  <c r="J12" i="23"/>
  <c r="H12" i="23"/>
  <c r="F12" i="23"/>
  <c r="J11" i="23"/>
  <c r="H11" i="23"/>
  <c r="F11" i="23"/>
  <c r="B73" i="22"/>
  <c r="N72" i="22"/>
  <c r="M72" i="22"/>
  <c r="N69" i="22"/>
  <c r="M69" i="22"/>
  <c r="B69" i="22"/>
  <c r="L68" i="22"/>
  <c r="L67" i="22"/>
  <c r="K67" i="22"/>
  <c r="K69" i="22"/>
  <c r="K71" i="22"/>
  <c r="K72" i="22"/>
  <c r="J67" i="22"/>
  <c r="J69" i="22"/>
  <c r="J71" i="22"/>
  <c r="J72" i="22"/>
  <c r="I67" i="22"/>
  <c r="I69" i="22"/>
  <c r="I71" i="22"/>
  <c r="I72" i="22"/>
  <c r="H67" i="22"/>
  <c r="H69" i="22"/>
  <c r="H71" i="22"/>
  <c r="H72" i="22"/>
  <c r="G67" i="22"/>
  <c r="G69" i="22"/>
  <c r="G71" i="22"/>
  <c r="G72" i="22"/>
  <c r="F67" i="22"/>
  <c r="F69" i="22"/>
  <c r="F71" i="22"/>
  <c r="F72" i="22"/>
  <c r="E67" i="22"/>
  <c r="E69" i="22"/>
  <c r="E71" i="22"/>
  <c r="E72" i="22"/>
  <c r="D67" i="22"/>
  <c r="D69" i="22"/>
  <c r="D71" i="22"/>
  <c r="D72" i="22"/>
  <c r="C67" i="22"/>
  <c r="C69" i="22"/>
  <c r="C71" i="22"/>
  <c r="B55" i="22"/>
  <c r="B51" i="22"/>
  <c r="B43" i="22"/>
  <c r="B44" i="22"/>
  <c r="B34" i="22"/>
  <c r="N33" i="22"/>
  <c r="N32" i="22"/>
  <c r="M32" i="22"/>
  <c r="M34" i="22"/>
  <c r="M36" i="22"/>
  <c r="M37" i="22"/>
  <c r="L32" i="22"/>
  <c r="L34" i="22"/>
  <c r="L36" i="22"/>
  <c r="L37" i="22"/>
  <c r="K32" i="22"/>
  <c r="K34" i="22"/>
  <c r="K36" i="22"/>
  <c r="K37" i="22"/>
  <c r="J32" i="22"/>
  <c r="J34" i="22"/>
  <c r="J36" i="22"/>
  <c r="J37" i="22"/>
  <c r="I32" i="22"/>
  <c r="I34" i="22"/>
  <c r="I36" i="22"/>
  <c r="I37" i="22"/>
  <c r="H32" i="22"/>
  <c r="H34" i="22"/>
  <c r="H36" i="22"/>
  <c r="H37" i="22"/>
  <c r="G32" i="22"/>
  <c r="G34" i="22"/>
  <c r="G36" i="22"/>
  <c r="G37" i="22"/>
  <c r="F32" i="22"/>
  <c r="F34" i="22"/>
  <c r="F36" i="22"/>
  <c r="F37" i="22"/>
  <c r="E32" i="22"/>
  <c r="E34" i="22"/>
  <c r="E36" i="22"/>
  <c r="E37" i="22"/>
  <c r="D32" i="22"/>
  <c r="D34" i="22"/>
  <c r="D36" i="22"/>
  <c r="D37" i="22"/>
  <c r="C32" i="22"/>
  <c r="C34" i="22"/>
  <c r="C36" i="22"/>
  <c r="B16" i="22"/>
  <c r="B8" i="22"/>
  <c r="F58" i="21"/>
  <c r="E58" i="21"/>
  <c r="D58" i="21"/>
  <c r="C58" i="21"/>
  <c r="B58" i="21"/>
  <c r="J58" i="21"/>
  <c r="B47" i="21"/>
  <c r="J47" i="21"/>
  <c r="B38" i="21"/>
  <c r="J38" i="21"/>
  <c r="D30" i="21"/>
  <c r="C30" i="21"/>
  <c r="B30" i="21"/>
  <c r="J30" i="21"/>
  <c r="B19" i="21"/>
  <c r="J19" i="21"/>
  <c r="B10" i="21"/>
  <c r="J10" i="21"/>
  <c r="N81" i="20"/>
  <c r="M81" i="20"/>
  <c r="F81" i="20"/>
  <c r="F83" i="20"/>
  <c r="E81" i="20"/>
  <c r="E83" i="20"/>
  <c r="D81" i="20"/>
  <c r="D83" i="20"/>
  <c r="C81" i="20"/>
  <c r="C83" i="20"/>
  <c r="B81" i="20"/>
  <c r="L80" i="20"/>
  <c r="L79" i="20"/>
  <c r="L81" i="20"/>
  <c r="L83" i="20"/>
  <c r="K79" i="20"/>
  <c r="K81" i="20"/>
  <c r="K83" i="20"/>
  <c r="J79" i="20"/>
  <c r="J81" i="20"/>
  <c r="J83" i="20"/>
  <c r="I79" i="20"/>
  <c r="I81" i="20"/>
  <c r="I83" i="20"/>
  <c r="H79" i="20"/>
  <c r="H81" i="20"/>
  <c r="H83" i="20"/>
  <c r="G79" i="20"/>
  <c r="G81" i="20"/>
  <c r="G83" i="20"/>
  <c r="F79" i="20"/>
  <c r="E79" i="20"/>
  <c r="D79" i="20"/>
  <c r="C79" i="20"/>
  <c r="N65" i="20"/>
  <c r="M65" i="20"/>
  <c r="I65" i="20"/>
  <c r="I67" i="20"/>
  <c r="H65" i="20"/>
  <c r="H67" i="20"/>
  <c r="G65" i="20"/>
  <c r="G67" i="20"/>
  <c r="F65" i="20"/>
  <c r="F67" i="20"/>
  <c r="E65" i="20"/>
  <c r="E67" i="20"/>
  <c r="D65" i="20"/>
  <c r="D67" i="20"/>
  <c r="C65" i="20"/>
  <c r="C67" i="20"/>
  <c r="B65" i="20"/>
  <c r="L64" i="20"/>
  <c r="L63" i="20"/>
  <c r="L65" i="20"/>
  <c r="L67" i="20"/>
  <c r="K63" i="20"/>
  <c r="K65" i="20"/>
  <c r="K67" i="20"/>
  <c r="J63" i="20"/>
  <c r="J65" i="20"/>
  <c r="J67" i="20"/>
  <c r="I63" i="20"/>
  <c r="H63" i="20"/>
  <c r="G63" i="20"/>
  <c r="F63" i="20"/>
  <c r="E63" i="20"/>
  <c r="D63" i="20"/>
  <c r="C63" i="20"/>
  <c r="N49" i="20"/>
  <c r="M49" i="20"/>
  <c r="K49" i="20"/>
  <c r="K51" i="20"/>
  <c r="J49" i="20"/>
  <c r="J51" i="20"/>
  <c r="I49" i="20"/>
  <c r="I51" i="20"/>
  <c r="H49" i="20"/>
  <c r="H51" i="20"/>
  <c r="G49" i="20"/>
  <c r="G51" i="20"/>
  <c r="F49" i="20"/>
  <c r="F51" i="20"/>
  <c r="E49" i="20"/>
  <c r="E51" i="20"/>
  <c r="D49" i="20"/>
  <c r="D51" i="20"/>
  <c r="C49" i="20"/>
  <c r="C51" i="20"/>
  <c r="B49" i="20"/>
  <c r="L48" i="20"/>
  <c r="L49" i="20"/>
  <c r="L51" i="20"/>
  <c r="L47" i="20"/>
  <c r="K47" i="20"/>
  <c r="J47" i="20"/>
  <c r="I47" i="20"/>
  <c r="H47" i="20"/>
  <c r="G47" i="20"/>
  <c r="F47" i="20"/>
  <c r="E47" i="20"/>
  <c r="D47" i="20"/>
  <c r="C47" i="20"/>
  <c r="B31" i="20"/>
  <c r="N30" i="20"/>
  <c r="N29" i="20"/>
  <c r="M29" i="20"/>
  <c r="M31" i="20"/>
  <c r="M33" i="20"/>
  <c r="L29" i="20"/>
  <c r="L31" i="20"/>
  <c r="L33" i="20"/>
  <c r="K29" i="20"/>
  <c r="K31" i="20"/>
  <c r="K33" i="20"/>
  <c r="J29" i="20"/>
  <c r="J31" i="20"/>
  <c r="J33" i="20"/>
  <c r="I29" i="20"/>
  <c r="I31" i="20"/>
  <c r="I33" i="20"/>
  <c r="H29" i="20"/>
  <c r="H31" i="20"/>
  <c r="H33" i="20"/>
  <c r="G29" i="20"/>
  <c r="G31" i="20"/>
  <c r="G33" i="20"/>
  <c r="F29" i="20"/>
  <c r="F31" i="20"/>
  <c r="F33" i="20"/>
  <c r="E29" i="20"/>
  <c r="E31" i="20"/>
  <c r="E33" i="20"/>
  <c r="D29" i="20"/>
  <c r="D31" i="20"/>
  <c r="D33" i="20"/>
  <c r="C29" i="20"/>
  <c r="C31" i="20"/>
  <c r="C33" i="20"/>
  <c r="B15" i="20"/>
  <c r="N14" i="20"/>
  <c r="N13" i="20"/>
  <c r="M13" i="20"/>
  <c r="M15" i="20"/>
  <c r="M17" i="20"/>
  <c r="L13" i="20"/>
  <c r="L15" i="20"/>
  <c r="L17" i="20"/>
  <c r="K13" i="20"/>
  <c r="K15" i="20"/>
  <c r="K17" i="20"/>
  <c r="J13" i="20"/>
  <c r="J15" i="20"/>
  <c r="J17" i="20"/>
  <c r="I13" i="20"/>
  <c r="I15" i="20"/>
  <c r="I17" i="20"/>
  <c r="H13" i="20"/>
  <c r="H15" i="20"/>
  <c r="H17" i="20"/>
  <c r="G13" i="20"/>
  <c r="G15" i="20"/>
  <c r="G17" i="20"/>
  <c r="F13" i="20"/>
  <c r="F15" i="20"/>
  <c r="F17" i="20"/>
  <c r="E13" i="20"/>
  <c r="E15" i="20"/>
  <c r="E17" i="20"/>
  <c r="D13" i="20"/>
  <c r="D15" i="20"/>
  <c r="D17" i="20"/>
  <c r="C13" i="20"/>
  <c r="C15" i="20"/>
  <c r="C17" i="20"/>
  <c r="O37" i="19" a="1"/>
  <c r="O37" i="19"/>
  <c r="N37" i="19"/>
  <c r="O36" i="19" a="1"/>
  <c r="O36" i="19"/>
  <c r="N36" i="19" a="1"/>
  <c r="N36" i="19"/>
  <c r="M36" i="19"/>
  <c r="O35" i="19" a="1"/>
  <c r="O35" i="19"/>
  <c r="N35" i="19" a="1"/>
  <c r="N35" i="19"/>
  <c r="M35" i="19" a="1"/>
  <c r="M35" i="19"/>
  <c r="O34" i="19" a="1"/>
  <c r="O34" i="19"/>
  <c r="N34" i="19" a="1"/>
  <c r="N34" i="19"/>
  <c r="M34" i="19" a="1"/>
  <c r="M34" i="19"/>
  <c r="L34" i="19" a="1"/>
  <c r="L34" i="19"/>
  <c r="O33" i="19" a="1"/>
  <c r="O33" i="19"/>
  <c r="N33" i="19" a="1"/>
  <c r="N33" i="19"/>
  <c r="M33" i="19" a="1"/>
  <c r="M33" i="19"/>
  <c r="L33" i="19" a="1"/>
  <c r="L33" i="19"/>
  <c r="K33" i="19" a="1"/>
  <c r="K33" i="19"/>
  <c r="O32" i="19" a="1"/>
  <c r="O32" i="19"/>
  <c r="N32" i="19" a="1"/>
  <c r="N32" i="19"/>
  <c r="M32" i="19" a="1"/>
  <c r="M32" i="19"/>
  <c r="L32" i="19" a="1"/>
  <c r="L32" i="19"/>
  <c r="K32" i="19" a="1"/>
  <c r="K32" i="19"/>
  <c r="J32" i="19" a="1"/>
  <c r="J32" i="19"/>
  <c r="O31" i="19" a="1"/>
  <c r="O31" i="19"/>
  <c r="N31" i="19" a="1"/>
  <c r="N31" i="19"/>
  <c r="M31" i="19" a="1"/>
  <c r="M31" i="19"/>
  <c r="L31" i="19" a="1"/>
  <c r="L31" i="19"/>
  <c r="K31" i="19" a="1"/>
  <c r="K31" i="19"/>
  <c r="J31" i="19" a="1"/>
  <c r="J31" i="19"/>
  <c r="I31" i="19" a="1"/>
  <c r="I31" i="19"/>
  <c r="O30" i="19" a="1"/>
  <c r="O30" i="19"/>
  <c r="N30" i="19" a="1"/>
  <c r="N30" i="19"/>
  <c r="M30" i="19" a="1"/>
  <c r="M30" i="19"/>
  <c r="L30" i="19" a="1"/>
  <c r="L30" i="19"/>
  <c r="K30" i="19" a="1"/>
  <c r="K30" i="19"/>
  <c r="J30" i="19" a="1"/>
  <c r="J30" i="19"/>
  <c r="I30" i="19" a="1"/>
  <c r="I30" i="19"/>
  <c r="H30" i="19" a="1"/>
  <c r="H30" i="19"/>
  <c r="O29" i="19" a="1"/>
  <c r="O29" i="19"/>
  <c r="N29" i="19" a="1"/>
  <c r="N29" i="19"/>
  <c r="M29" i="19" a="1"/>
  <c r="M29" i="19"/>
  <c r="L29" i="19" a="1"/>
  <c r="L29" i="19"/>
  <c r="K29" i="19" a="1"/>
  <c r="K29" i="19"/>
  <c r="J29" i="19" a="1"/>
  <c r="J29" i="19"/>
  <c r="I29" i="19" a="1"/>
  <c r="I29" i="19"/>
  <c r="H29" i="19" a="1"/>
  <c r="H29" i="19"/>
  <c r="G29" i="19" a="1"/>
  <c r="G29" i="19"/>
  <c r="O28" i="19" a="1"/>
  <c r="O28" i="19"/>
  <c r="N28" i="19" a="1"/>
  <c r="N28" i="19"/>
  <c r="M28" i="19" a="1"/>
  <c r="M28" i="19"/>
  <c r="L28" i="19" a="1"/>
  <c r="L28" i="19"/>
  <c r="K28" i="19" a="1"/>
  <c r="K28" i="19"/>
  <c r="J28" i="19" a="1"/>
  <c r="J28" i="19"/>
  <c r="I28" i="19" a="1"/>
  <c r="I28" i="19"/>
  <c r="H28" i="19" a="1"/>
  <c r="H28" i="19"/>
  <c r="G28" i="19" a="1"/>
  <c r="G28" i="19"/>
  <c r="F28" i="19" a="1"/>
  <c r="F28" i="19"/>
  <c r="O27" i="19" a="1"/>
  <c r="O27" i="19"/>
  <c r="N27" i="19" a="1"/>
  <c r="N27" i="19"/>
  <c r="M27" i="19" a="1"/>
  <c r="M27" i="19"/>
  <c r="L27" i="19" a="1"/>
  <c r="L27" i="19"/>
  <c r="K27" i="19" a="1"/>
  <c r="K27" i="19"/>
  <c r="J27" i="19" a="1"/>
  <c r="J27" i="19"/>
  <c r="I27" i="19" a="1"/>
  <c r="I27" i="19"/>
  <c r="H27" i="19" a="1"/>
  <c r="H27" i="19"/>
  <c r="G27" i="19" a="1"/>
  <c r="G27" i="19"/>
  <c r="F27" i="19" a="1"/>
  <c r="F27" i="19"/>
  <c r="E27" i="19" a="1"/>
  <c r="E27" i="19"/>
  <c r="O26" i="19" a="1"/>
  <c r="O26" i="19"/>
  <c r="N26" i="19" a="1"/>
  <c r="N26" i="19"/>
  <c r="M26" i="19" a="1"/>
  <c r="M26" i="19"/>
  <c r="L26" i="19" a="1"/>
  <c r="L26" i="19"/>
  <c r="K26" i="19" a="1"/>
  <c r="K26" i="19"/>
  <c r="J26" i="19" a="1"/>
  <c r="J26" i="19"/>
  <c r="I26" i="19" a="1"/>
  <c r="I26" i="19"/>
  <c r="H26" i="19" a="1"/>
  <c r="H26" i="19"/>
  <c r="G26" i="19" a="1"/>
  <c r="G26" i="19"/>
  <c r="F26" i="19" a="1"/>
  <c r="F26" i="19"/>
  <c r="E26" i="19" a="1"/>
  <c r="E26" i="19"/>
  <c r="D26" i="19" a="1"/>
  <c r="D26" i="19"/>
  <c r="H16" i="19"/>
  <c r="H15" i="19"/>
  <c r="G15" i="19"/>
  <c r="H14" i="19"/>
  <c r="G14" i="19"/>
  <c r="F14" i="19"/>
  <c r="H13" i="19"/>
  <c r="G13" i="19"/>
  <c r="F13" i="19"/>
  <c r="E13" i="19"/>
  <c r="H12" i="19"/>
  <c r="G12" i="19"/>
  <c r="F12" i="19"/>
  <c r="E12" i="19"/>
  <c r="H11" i="19"/>
  <c r="G11" i="19"/>
  <c r="F11" i="19"/>
  <c r="E11" i="19"/>
  <c r="D11" i="19"/>
  <c r="C28" i="18"/>
  <c r="C29" i="18"/>
  <c r="C17" i="18"/>
  <c r="H17" i="18"/>
  <c r="C16" i="18"/>
  <c r="H16" i="18"/>
  <c r="C15" i="18"/>
  <c r="H15" i="18"/>
  <c r="C14" i="18"/>
  <c r="H14" i="18"/>
  <c r="E13" i="18"/>
  <c r="E14" i="18"/>
  <c r="E15" i="18"/>
  <c r="E16" i="18"/>
  <c r="E17" i="18"/>
  <c r="C13" i="18"/>
  <c r="H13" i="18"/>
  <c r="G32" i="17"/>
  <c r="E32" i="17"/>
  <c r="E31" i="17"/>
  <c r="G31" i="17"/>
  <c r="E30" i="17"/>
  <c r="G30" i="17"/>
  <c r="E29" i="17"/>
  <c r="G29" i="17"/>
  <c r="E28" i="17"/>
  <c r="G28" i="17"/>
  <c r="E27" i="17"/>
  <c r="G27" i="17"/>
  <c r="E26" i="17"/>
  <c r="G26" i="17"/>
  <c r="E25" i="17"/>
  <c r="G25" i="17"/>
  <c r="E24" i="17"/>
  <c r="G24" i="17"/>
  <c r="E23" i="17"/>
  <c r="G23" i="17"/>
  <c r="E22" i="17"/>
  <c r="G22" i="17"/>
  <c r="E21" i="17"/>
  <c r="G21" i="17"/>
  <c r="E20" i="17"/>
  <c r="G20" i="17"/>
  <c r="E19" i="17"/>
  <c r="G19" i="17"/>
  <c r="E18" i="17"/>
  <c r="G18" i="17"/>
  <c r="G17" i="17"/>
  <c r="E17" i="17"/>
  <c r="B11" i="17"/>
  <c r="G11" i="17"/>
  <c r="B9" i="17"/>
  <c r="E205" i="16"/>
  <c r="D205" i="16"/>
  <c r="C205" i="16"/>
  <c r="B205" i="16"/>
  <c r="F203" i="16"/>
  <c r="F205" i="16"/>
  <c r="B201" i="16"/>
  <c r="F192" i="16"/>
  <c r="E192" i="16"/>
  <c r="D192" i="16"/>
  <c r="C192" i="16"/>
  <c r="B192" i="16"/>
  <c r="V190" i="16"/>
  <c r="V192" i="16"/>
  <c r="U190" i="16"/>
  <c r="U192" i="16"/>
  <c r="T190" i="16"/>
  <c r="T192" i="16"/>
  <c r="S190" i="16"/>
  <c r="S192" i="16"/>
  <c r="R190" i="16"/>
  <c r="R192" i="16"/>
  <c r="Q190" i="16"/>
  <c r="Q192" i="16"/>
  <c r="P190" i="16"/>
  <c r="P192" i="16"/>
  <c r="O190" i="16"/>
  <c r="O192" i="16"/>
  <c r="N190" i="16"/>
  <c r="N192" i="16"/>
  <c r="M190" i="16"/>
  <c r="M192" i="16"/>
  <c r="L190" i="16"/>
  <c r="L192" i="16"/>
  <c r="K190" i="16"/>
  <c r="K192" i="16"/>
  <c r="J190" i="16"/>
  <c r="J192" i="16"/>
  <c r="I190" i="16"/>
  <c r="I192" i="16"/>
  <c r="H190" i="16"/>
  <c r="H192" i="16"/>
  <c r="G190" i="16"/>
  <c r="G192" i="16"/>
  <c r="B188" i="16"/>
  <c r="V179" i="16"/>
  <c r="U179" i="16"/>
  <c r="T179" i="16"/>
  <c r="S179" i="16"/>
  <c r="R179" i="16"/>
  <c r="Q179" i="16"/>
  <c r="P179" i="16"/>
  <c r="O179" i="16"/>
  <c r="M179" i="16"/>
  <c r="L179" i="16"/>
  <c r="K179" i="16"/>
  <c r="J179" i="16"/>
  <c r="I179" i="16"/>
  <c r="H179" i="16"/>
  <c r="G179" i="16"/>
  <c r="F179" i="16"/>
  <c r="E179" i="16"/>
  <c r="D179" i="16"/>
  <c r="C179" i="16"/>
  <c r="B179" i="16"/>
  <c r="N178" i="16"/>
  <c r="N179" i="16"/>
  <c r="B178" i="16"/>
  <c r="M177" i="16"/>
  <c r="L177" i="16"/>
  <c r="K177" i="16"/>
  <c r="J177" i="16"/>
  <c r="I177" i="16"/>
  <c r="H177" i="16"/>
  <c r="G177" i="16"/>
  <c r="F177" i="16"/>
  <c r="E177" i="16"/>
  <c r="D177" i="16"/>
  <c r="C177" i="16"/>
  <c r="B177" i="16"/>
  <c r="B175" i="16"/>
  <c r="B174" i="16"/>
  <c r="V165" i="16"/>
  <c r="U165" i="16"/>
  <c r="T165" i="16"/>
  <c r="S165" i="16"/>
  <c r="R165" i="16"/>
  <c r="Q165" i="16"/>
  <c r="P165" i="16"/>
  <c r="O165" i="16"/>
  <c r="N165" i="16"/>
  <c r="M165" i="16"/>
  <c r="L165" i="16"/>
  <c r="K165" i="16"/>
  <c r="J165" i="16"/>
  <c r="I165" i="16"/>
  <c r="H165" i="16"/>
  <c r="G165" i="16"/>
  <c r="B164" i="16"/>
  <c r="L163" i="16"/>
  <c r="K163" i="16"/>
  <c r="J163" i="16"/>
  <c r="I163" i="16"/>
  <c r="H163" i="16"/>
  <c r="G163" i="16"/>
  <c r="F163" i="16"/>
  <c r="F165" i="16"/>
  <c r="E163" i="16"/>
  <c r="E165" i="16"/>
  <c r="D163" i="16"/>
  <c r="D165" i="16"/>
  <c r="C163" i="16"/>
  <c r="C165" i="16"/>
  <c r="B163" i="16"/>
  <c r="B165" i="16"/>
  <c r="B161" i="16"/>
  <c r="V152" i="16"/>
  <c r="U152" i="16"/>
  <c r="T152" i="16"/>
  <c r="S152" i="16"/>
  <c r="R152" i="16"/>
  <c r="Q152" i="16"/>
  <c r="P152" i="16"/>
  <c r="O152" i="16"/>
  <c r="N152" i="16"/>
  <c r="M150" i="16"/>
  <c r="M152" i="16"/>
  <c r="L150" i="16"/>
  <c r="L152" i="16"/>
  <c r="K150" i="16"/>
  <c r="K152" i="16"/>
  <c r="J150" i="16"/>
  <c r="J152" i="16"/>
  <c r="I150" i="16"/>
  <c r="I152" i="16"/>
  <c r="H150" i="16"/>
  <c r="H152" i="16"/>
  <c r="G150" i="16"/>
  <c r="G152" i="16"/>
  <c r="F150" i="16"/>
  <c r="F152" i="16"/>
  <c r="E150" i="16"/>
  <c r="E152" i="16"/>
  <c r="D150" i="16"/>
  <c r="D152" i="16"/>
  <c r="C150" i="16"/>
  <c r="C152" i="16"/>
  <c r="B150" i="16"/>
  <c r="B152" i="16"/>
  <c r="B148" i="16"/>
  <c r="B139" i="16"/>
  <c r="V137" i="16"/>
  <c r="V139" i="16"/>
  <c r="U137" i="16"/>
  <c r="U139" i="16"/>
  <c r="T137" i="16"/>
  <c r="T139" i="16"/>
  <c r="S137" i="16"/>
  <c r="S139" i="16"/>
  <c r="R137" i="16"/>
  <c r="R139" i="16"/>
  <c r="Q137" i="16"/>
  <c r="Q139" i="16"/>
  <c r="P137" i="16"/>
  <c r="P139" i="16"/>
  <c r="O137" i="16"/>
  <c r="O139" i="16"/>
  <c r="N137" i="16"/>
  <c r="N139" i="16"/>
  <c r="M137" i="16"/>
  <c r="M139" i="16"/>
  <c r="L137" i="16"/>
  <c r="L139" i="16"/>
  <c r="K137" i="16"/>
  <c r="K139" i="16"/>
  <c r="J137" i="16"/>
  <c r="J139" i="16"/>
  <c r="I137" i="16"/>
  <c r="I139" i="16"/>
  <c r="H137" i="16"/>
  <c r="H139" i="16"/>
  <c r="G137" i="16"/>
  <c r="G139" i="16"/>
  <c r="F137" i="16"/>
  <c r="F139" i="16"/>
  <c r="E137" i="16"/>
  <c r="E139" i="16"/>
  <c r="D137" i="16"/>
  <c r="D139" i="16"/>
  <c r="C137" i="16"/>
  <c r="C139" i="16"/>
  <c r="B135" i="16"/>
  <c r="V126" i="16"/>
  <c r="U126" i="16"/>
  <c r="T126" i="16"/>
  <c r="S126" i="16"/>
  <c r="R126" i="16"/>
  <c r="Q126" i="16"/>
  <c r="P126" i="16"/>
  <c r="O126" i="16"/>
  <c r="N126" i="16"/>
  <c r="M126" i="16"/>
  <c r="L126" i="16"/>
  <c r="K126" i="16"/>
  <c r="J126" i="16"/>
  <c r="I126" i="16"/>
  <c r="H124" i="16"/>
  <c r="H126" i="16"/>
  <c r="G124" i="16"/>
  <c r="G126" i="16"/>
  <c r="F124" i="16"/>
  <c r="F126" i="16"/>
  <c r="E124" i="16"/>
  <c r="E126" i="16"/>
  <c r="D124" i="16"/>
  <c r="D126" i="16"/>
  <c r="C124" i="16"/>
  <c r="C126" i="16"/>
  <c r="B124" i="16"/>
  <c r="B126" i="16"/>
  <c r="B122" i="16"/>
  <c r="V113" i="16"/>
  <c r="U113" i="16"/>
  <c r="T113" i="16"/>
  <c r="S113" i="16"/>
  <c r="R113" i="16"/>
  <c r="Q113" i="16"/>
  <c r="P113" i="16"/>
  <c r="O113" i="16"/>
  <c r="N113" i="16"/>
  <c r="M113" i="16"/>
  <c r="L113" i="16"/>
  <c r="K113" i="16"/>
  <c r="B113" i="16"/>
  <c r="J113" i="16"/>
  <c r="I111" i="16"/>
  <c r="I113" i="16"/>
  <c r="H111" i="16"/>
  <c r="H113" i="16"/>
  <c r="G111" i="16"/>
  <c r="G113" i="16"/>
  <c r="F111" i="16"/>
  <c r="F113" i="16"/>
  <c r="E111" i="16"/>
  <c r="E113" i="16"/>
  <c r="D111" i="16"/>
  <c r="D113" i="16"/>
  <c r="C111" i="16"/>
  <c r="C113" i="16"/>
  <c r="B109" i="16"/>
  <c r="V100" i="16"/>
  <c r="U100" i="16"/>
  <c r="T100" i="16"/>
  <c r="S100" i="16"/>
  <c r="R100" i="16"/>
  <c r="Q100" i="16"/>
  <c r="P100" i="16"/>
  <c r="O100" i="16"/>
  <c r="N100" i="16"/>
  <c r="M100" i="16"/>
  <c r="B100" i="16"/>
  <c r="K100" i="16"/>
  <c r="J100" i="16"/>
  <c r="I100" i="16"/>
  <c r="H98" i="16"/>
  <c r="H100" i="16"/>
  <c r="G98" i="16"/>
  <c r="G100" i="16"/>
  <c r="F98" i="16"/>
  <c r="F100" i="16"/>
  <c r="E98" i="16"/>
  <c r="E100" i="16"/>
  <c r="D98" i="16"/>
  <c r="D100" i="16"/>
  <c r="C98" i="16"/>
  <c r="C100" i="16"/>
  <c r="B96" i="16"/>
  <c r="V87" i="16"/>
  <c r="U87" i="16"/>
  <c r="T87" i="16"/>
  <c r="S87" i="16"/>
  <c r="R87" i="16"/>
  <c r="Q87" i="16"/>
  <c r="O87" i="16"/>
  <c r="N87" i="16"/>
  <c r="M87" i="16"/>
  <c r="L87" i="16"/>
  <c r="K87" i="16"/>
  <c r="J87" i="16"/>
  <c r="I87" i="16"/>
  <c r="H87" i="16"/>
  <c r="G87" i="16"/>
  <c r="F87" i="16"/>
  <c r="E87" i="16"/>
  <c r="D87" i="16"/>
  <c r="C87" i="16"/>
  <c r="B87" i="16"/>
  <c r="P86" i="16"/>
  <c r="P87" i="16"/>
  <c r="B83" i="16"/>
  <c r="V74" i="16"/>
  <c r="U74" i="16"/>
  <c r="T74" i="16"/>
  <c r="S74" i="16"/>
  <c r="R74" i="16"/>
  <c r="Q74" i="16"/>
  <c r="P74" i="16"/>
  <c r="O74" i="16"/>
  <c r="M74" i="16"/>
  <c r="L74" i="16"/>
  <c r="K74" i="16"/>
  <c r="J74" i="16"/>
  <c r="I74" i="16"/>
  <c r="H74" i="16"/>
  <c r="G74" i="16"/>
  <c r="F74" i="16"/>
  <c r="E74" i="16"/>
  <c r="D74" i="16"/>
  <c r="C74" i="16"/>
  <c r="B74" i="16"/>
  <c r="N74" i="16"/>
  <c r="B70" i="16"/>
  <c r="V61" i="16"/>
  <c r="T61" i="16"/>
  <c r="S61" i="16"/>
  <c r="R61" i="16"/>
  <c r="Q61" i="16"/>
  <c r="P61" i="16"/>
  <c r="O61" i="16"/>
  <c r="N61" i="16"/>
  <c r="M61" i="16"/>
  <c r="L61" i="16"/>
  <c r="K61" i="16"/>
  <c r="J61" i="16"/>
  <c r="I61" i="16"/>
  <c r="H61" i="16"/>
  <c r="G61" i="16"/>
  <c r="F61" i="16"/>
  <c r="E61" i="16"/>
  <c r="D61" i="16"/>
  <c r="C61" i="16"/>
  <c r="B61" i="16"/>
  <c r="U61" i="16"/>
  <c r="B57" i="16"/>
  <c r="V48" i="16"/>
  <c r="U48" i="16"/>
  <c r="T48" i="16"/>
  <c r="S48" i="16"/>
  <c r="B48" i="16"/>
  <c r="R46" i="16"/>
  <c r="Q46" i="16"/>
  <c r="Q48" i="16"/>
  <c r="P46" i="16"/>
  <c r="P48" i="16"/>
  <c r="O46" i="16"/>
  <c r="O48" i="16"/>
  <c r="N46" i="16"/>
  <c r="N48" i="16"/>
  <c r="M46" i="16"/>
  <c r="M48" i="16"/>
  <c r="L46" i="16"/>
  <c r="L48" i="16"/>
  <c r="K46" i="16"/>
  <c r="K48" i="16"/>
  <c r="J46" i="16"/>
  <c r="J48" i="16"/>
  <c r="I46" i="16"/>
  <c r="I48" i="16"/>
  <c r="H46" i="16"/>
  <c r="H48" i="16"/>
  <c r="G46" i="16"/>
  <c r="G48" i="16"/>
  <c r="F46" i="16"/>
  <c r="F48" i="16"/>
  <c r="E46" i="16"/>
  <c r="E48" i="16"/>
  <c r="D46" i="16"/>
  <c r="D48" i="16"/>
  <c r="C46" i="16"/>
  <c r="C48" i="16"/>
  <c r="B44" i="16"/>
  <c r="V32" i="16"/>
  <c r="U32" i="16"/>
  <c r="T32" i="16"/>
  <c r="S32" i="16"/>
  <c r="R32" i="16"/>
  <c r="Q32" i="16"/>
  <c r="P32" i="16"/>
  <c r="O32" i="16"/>
  <c r="N32" i="16"/>
  <c r="M32" i="16"/>
  <c r="L32" i="16"/>
  <c r="K32" i="16"/>
  <c r="B32" i="16"/>
  <c r="J31" i="16"/>
  <c r="J30" i="16"/>
  <c r="I30" i="16"/>
  <c r="I32" i="16"/>
  <c r="H30" i="16"/>
  <c r="H32" i="16"/>
  <c r="G30" i="16"/>
  <c r="G32" i="16"/>
  <c r="F30" i="16"/>
  <c r="F32" i="16"/>
  <c r="E30" i="16"/>
  <c r="E32" i="16"/>
  <c r="D30" i="16"/>
  <c r="D32" i="16"/>
  <c r="C30" i="16"/>
  <c r="C32" i="16"/>
  <c r="B28" i="16"/>
  <c r="V17" i="16"/>
  <c r="U17" i="16"/>
  <c r="T17" i="16"/>
  <c r="S17" i="16"/>
  <c r="R17" i="16"/>
  <c r="Q17" i="16"/>
  <c r="P17" i="16"/>
  <c r="O17" i="16"/>
  <c r="N17" i="16"/>
  <c r="M17" i="16"/>
  <c r="L17" i="16"/>
  <c r="K17" i="16"/>
  <c r="J17" i="16"/>
  <c r="I17" i="16"/>
  <c r="H17" i="16"/>
  <c r="G17" i="16"/>
  <c r="F17" i="16"/>
  <c r="B17" i="16"/>
  <c r="E16" i="16"/>
  <c r="E15" i="16"/>
  <c r="D15" i="16"/>
  <c r="D17" i="16"/>
  <c r="C15" i="16"/>
  <c r="C17" i="16"/>
  <c r="B13" i="16"/>
  <c r="L100" i="16"/>
  <c r="L69" i="22"/>
  <c r="L71" i="22"/>
  <c r="L72" i="22"/>
  <c r="D12" i="19"/>
  <c r="F35" i="23"/>
  <c r="F43" i="23"/>
  <c r="F31" i="23"/>
  <c r="H31" i="23"/>
  <c r="F32" i="23"/>
  <c r="N34" i="22"/>
  <c r="N36" i="22"/>
  <c r="N37" i="22"/>
  <c r="H32" i="23"/>
  <c r="J32" i="23"/>
  <c r="F33" i="23"/>
  <c r="H33" i="23"/>
  <c r="J33" i="23"/>
  <c r="F19" i="24"/>
  <c r="F20" i="24"/>
  <c r="F29" i="24"/>
  <c r="F31" i="24"/>
  <c r="F32" i="24"/>
  <c r="E60" i="24"/>
  <c r="E50" i="24"/>
  <c r="E51" i="24"/>
  <c r="E52" i="24"/>
  <c r="B52" i="24"/>
  <c r="B54" i="24"/>
  <c r="F60" i="24"/>
  <c r="E61" i="24"/>
  <c r="G49" i="24"/>
  <c r="G29" i="24"/>
  <c r="G31" i="24"/>
  <c r="G32" i="24"/>
  <c r="G19" i="24"/>
  <c r="G20" i="24"/>
  <c r="B20" i="24"/>
  <c r="B22" i="24"/>
  <c r="F42" i="23"/>
  <c r="J31" i="23"/>
  <c r="H42" i="23"/>
  <c r="F34" i="23"/>
  <c r="F44" i="23"/>
  <c r="H44" i="23"/>
  <c r="J36" i="23"/>
  <c r="F37" i="23"/>
  <c r="H37" i="23"/>
  <c r="J37" i="23"/>
  <c r="F36" i="23"/>
  <c r="F38" i="23"/>
  <c r="H38" i="23"/>
  <c r="J38" i="23"/>
  <c r="F39" i="23"/>
  <c r="F30" i="23"/>
  <c r="F40" i="23"/>
  <c r="H30" i="23"/>
  <c r="H40" i="23"/>
  <c r="J30" i="23"/>
  <c r="H36" i="23"/>
  <c r="H41" i="23"/>
  <c r="J41" i="23"/>
  <c r="N15" i="20"/>
  <c r="N17" i="20"/>
  <c r="H39" i="23"/>
  <c r="J39" i="23"/>
  <c r="H34" i="23"/>
  <c r="J34" i="23"/>
  <c r="J40" i="23"/>
  <c r="N31" i="20"/>
  <c r="N33" i="20"/>
  <c r="B71" i="22"/>
  <c r="B72" i="22"/>
  <c r="C72" i="22"/>
  <c r="C37" i="22"/>
  <c r="B36" i="22"/>
  <c r="B37" i="22"/>
  <c r="B51" i="20"/>
  <c r="B17" i="20"/>
  <c r="B33" i="20"/>
  <c r="B83" i="20"/>
  <c r="B67" i="20"/>
  <c r="C11" i="19"/>
  <c r="H29" i="18"/>
  <c r="C30" i="18"/>
  <c r="H28" i="18"/>
  <c r="G203" i="16"/>
  <c r="H203" i="16"/>
  <c r="G205" i="16"/>
  <c r="J32" i="16"/>
  <c r="R48" i="16"/>
  <c r="E17" i="16"/>
  <c r="E42" i="11"/>
  <c r="F42" i="11"/>
  <c r="E62" i="11"/>
  <c r="D63" i="11"/>
  <c r="B65" i="11"/>
  <c r="E51" i="11"/>
  <c r="D42" i="11"/>
  <c r="D51" i="11"/>
  <c r="C42" i="11"/>
  <c r="C51" i="11"/>
  <c r="F10" i="11"/>
  <c r="F17" i="11"/>
  <c r="F29" i="11"/>
  <c r="F31" i="11"/>
  <c r="F32" i="11"/>
  <c r="G10" i="11"/>
  <c r="G17" i="11"/>
  <c r="G29" i="11"/>
  <c r="G18" i="11"/>
  <c r="G19" i="11"/>
  <c r="G20" i="11"/>
  <c r="C10" i="11"/>
  <c r="C17" i="11"/>
  <c r="C19" i="11"/>
  <c r="C20" i="11"/>
  <c r="D10" i="11"/>
  <c r="D17" i="11"/>
  <c r="D19" i="11"/>
  <c r="D20" i="11"/>
  <c r="E10" i="11"/>
  <c r="E17" i="11"/>
  <c r="E19" i="11"/>
  <c r="E20" i="11"/>
  <c r="F19" i="11"/>
  <c r="F20" i="11"/>
  <c r="H10" i="11"/>
  <c r="H29" i="11"/>
  <c r="I29" i="11"/>
  <c r="J29" i="11"/>
  <c r="K29" i="11"/>
  <c r="L29" i="11"/>
  <c r="M29" i="11"/>
  <c r="N29" i="11"/>
  <c r="N69" i="8"/>
  <c r="M69" i="8"/>
  <c r="B69" i="8"/>
  <c r="N33" i="8"/>
  <c r="B34" i="8"/>
  <c r="B10" i="7"/>
  <c r="B15" i="6"/>
  <c r="B31" i="6"/>
  <c r="N49" i="6"/>
  <c r="M49" i="6"/>
  <c r="B49" i="6"/>
  <c r="N81" i="6"/>
  <c r="M81" i="6"/>
  <c r="B81" i="6"/>
  <c r="B65" i="6"/>
  <c r="H65" i="6"/>
  <c r="M65" i="6"/>
  <c r="N65" i="6"/>
  <c r="C29" i="6"/>
  <c r="C31" i="6"/>
  <c r="C33" i="6"/>
  <c r="D29" i="6"/>
  <c r="D31" i="6"/>
  <c r="D33" i="6"/>
  <c r="E29" i="6"/>
  <c r="E31" i="6"/>
  <c r="E33" i="6"/>
  <c r="F29" i="6"/>
  <c r="F31" i="6"/>
  <c r="F33" i="6"/>
  <c r="G29" i="6"/>
  <c r="G31" i="6"/>
  <c r="G33" i="6"/>
  <c r="H29" i="6"/>
  <c r="H31" i="6"/>
  <c r="H33" i="6"/>
  <c r="I29" i="6"/>
  <c r="I31" i="6"/>
  <c r="I33" i="6"/>
  <c r="J29" i="6"/>
  <c r="J31" i="6"/>
  <c r="J33" i="6"/>
  <c r="K29" i="6"/>
  <c r="K31" i="6"/>
  <c r="K33" i="6"/>
  <c r="L29" i="6"/>
  <c r="L31" i="6"/>
  <c r="L33" i="6"/>
  <c r="M29" i="6"/>
  <c r="M31" i="6"/>
  <c r="M33" i="6"/>
  <c r="N29" i="6"/>
  <c r="N30" i="6"/>
  <c r="C13" i="6"/>
  <c r="C15" i="6"/>
  <c r="C17" i="6"/>
  <c r="D13" i="6"/>
  <c r="D15" i="6"/>
  <c r="D17" i="6"/>
  <c r="E13" i="6"/>
  <c r="E15" i="6"/>
  <c r="E17" i="6"/>
  <c r="F13" i="6"/>
  <c r="F15" i="6"/>
  <c r="F17" i="6"/>
  <c r="G13" i="6"/>
  <c r="G15" i="6"/>
  <c r="G17" i="6"/>
  <c r="H13" i="6"/>
  <c r="H15" i="6"/>
  <c r="H17" i="6"/>
  <c r="I13" i="6"/>
  <c r="I15" i="6"/>
  <c r="I17" i="6"/>
  <c r="J13" i="6"/>
  <c r="J15" i="6"/>
  <c r="J17" i="6"/>
  <c r="K13" i="6"/>
  <c r="K15" i="6"/>
  <c r="K17" i="6"/>
  <c r="L13" i="6"/>
  <c r="L15" i="6"/>
  <c r="L17" i="6"/>
  <c r="M13" i="6"/>
  <c r="M15" i="6"/>
  <c r="M17" i="6"/>
  <c r="N13" i="6"/>
  <c r="N14" i="6"/>
  <c r="N37" i="5"/>
  <c r="E12" i="5"/>
  <c r="F12" i="5"/>
  <c r="G12" i="5"/>
  <c r="H12" i="5"/>
  <c r="F13" i="5"/>
  <c r="G13" i="5"/>
  <c r="H13" i="5"/>
  <c r="G14" i="5"/>
  <c r="H14" i="5"/>
  <c r="F14" i="5"/>
  <c r="H15" i="5"/>
  <c r="G15" i="5"/>
  <c r="H16" i="5"/>
  <c r="D11" i="5"/>
  <c r="E11" i="5"/>
  <c r="F11" i="5"/>
  <c r="G11" i="5"/>
  <c r="H11" i="5"/>
  <c r="E205" i="2"/>
  <c r="D205" i="2"/>
  <c r="C205" i="2"/>
  <c r="B205" i="2"/>
  <c r="F192" i="2"/>
  <c r="E192" i="2"/>
  <c r="D192" i="2"/>
  <c r="C192" i="2"/>
  <c r="B192" i="2"/>
  <c r="V179" i="2"/>
  <c r="U179" i="2"/>
  <c r="T179" i="2"/>
  <c r="S179" i="2"/>
  <c r="R179" i="2"/>
  <c r="Q179" i="2"/>
  <c r="P179" i="2"/>
  <c r="O179" i="2"/>
  <c r="L179" i="2"/>
  <c r="J179" i="2"/>
  <c r="H179" i="2"/>
  <c r="G179" i="2"/>
  <c r="V165" i="2"/>
  <c r="U165" i="2"/>
  <c r="T165" i="2"/>
  <c r="S165" i="2"/>
  <c r="R165" i="2"/>
  <c r="Q165" i="2"/>
  <c r="P165" i="2"/>
  <c r="O165" i="2"/>
  <c r="N165" i="2"/>
  <c r="M165" i="2"/>
  <c r="V152" i="2"/>
  <c r="U152" i="2"/>
  <c r="T152" i="2"/>
  <c r="S152" i="2"/>
  <c r="R152" i="2"/>
  <c r="Q152" i="2"/>
  <c r="P152" i="2"/>
  <c r="O152" i="2"/>
  <c r="N152" i="2"/>
  <c r="B139" i="2"/>
  <c r="V126" i="2"/>
  <c r="U126" i="2"/>
  <c r="T126" i="2"/>
  <c r="S126" i="2"/>
  <c r="R126" i="2"/>
  <c r="Q126" i="2"/>
  <c r="P126" i="2"/>
  <c r="O126" i="2"/>
  <c r="N126" i="2"/>
  <c r="M126" i="2"/>
  <c r="L126" i="2"/>
  <c r="K126" i="2"/>
  <c r="J126" i="2"/>
  <c r="V113" i="2"/>
  <c r="U113" i="2"/>
  <c r="T113" i="2"/>
  <c r="S113" i="2"/>
  <c r="R113" i="2"/>
  <c r="Q113" i="2"/>
  <c r="P113" i="2"/>
  <c r="O113" i="2"/>
  <c r="N113" i="2"/>
  <c r="M113" i="2"/>
  <c r="L113" i="2"/>
  <c r="K113" i="2"/>
  <c r="B113" i="2"/>
  <c r="V100" i="2"/>
  <c r="U100" i="2"/>
  <c r="T100" i="2"/>
  <c r="S100" i="2"/>
  <c r="R100" i="2"/>
  <c r="Q100" i="2"/>
  <c r="P100" i="2"/>
  <c r="O100" i="2"/>
  <c r="N100" i="2"/>
  <c r="M100" i="2"/>
  <c r="B100" i="2"/>
  <c r="V87" i="2"/>
  <c r="U87" i="2"/>
  <c r="T87" i="2"/>
  <c r="S87" i="2"/>
  <c r="R87" i="2"/>
  <c r="Q87" i="2"/>
  <c r="O87" i="2"/>
  <c r="N87" i="2"/>
  <c r="M87" i="2"/>
  <c r="L87" i="2"/>
  <c r="K87" i="2"/>
  <c r="J87" i="2"/>
  <c r="I87" i="2"/>
  <c r="H87" i="2"/>
  <c r="G87" i="2"/>
  <c r="F87" i="2"/>
  <c r="E87" i="2"/>
  <c r="D87" i="2"/>
  <c r="C87" i="2"/>
  <c r="B87" i="2"/>
  <c r="V74" i="2"/>
  <c r="U74" i="2"/>
  <c r="T74" i="2"/>
  <c r="S74" i="2"/>
  <c r="R74" i="2"/>
  <c r="Q74" i="2"/>
  <c r="P74" i="2"/>
  <c r="O74" i="2"/>
  <c r="M74" i="2"/>
  <c r="L74" i="2"/>
  <c r="K74" i="2"/>
  <c r="J74" i="2"/>
  <c r="I74" i="2"/>
  <c r="H74" i="2"/>
  <c r="G74" i="2"/>
  <c r="F74" i="2"/>
  <c r="E74" i="2"/>
  <c r="D74" i="2"/>
  <c r="C74" i="2"/>
  <c r="B74" i="2"/>
  <c r="V61" i="2"/>
  <c r="T61" i="2"/>
  <c r="S61" i="2"/>
  <c r="R61" i="2"/>
  <c r="Q61" i="2"/>
  <c r="P61" i="2"/>
  <c r="O61" i="2"/>
  <c r="N61" i="2"/>
  <c r="M61" i="2"/>
  <c r="L61" i="2"/>
  <c r="K61" i="2"/>
  <c r="J61" i="2"/>
  <c r="I61" i="2"/>
  <c r="H61" i="2"/>
  <c r="G61" i="2"/>
  <c r="F61" i="2"/>
  <c r="E61" i="2"/>
  <c r="D61" i="2"/>
  <c r="C61" i="2"/>
  <c r="B61" i="2"/>
  <c r="V48" i="2"/>
  <c r="U48" i="2"/>
  <c r="T48" i="2"/>
  <c r="S48" i="2"/>
  <c r="B48" i="2"/>
  <c r="V32" i="2"/>
  <c r="U32" i="2"/>
  <c r="T32" i="2"/>
  <c r="S32" i="2"/>
  <c r="R32" i="2"/>
  <c r="Q32" i="2"/>
  <c r="P32" i="2"/>
  <c r="O32" i="2"/>
  <c r="N32" i="2"/>
  <c r="M32" i="2"/>
  <c r="L32" i="2"/>
  <c r="K32" i="2"/>
  <c r="B32" i="2"/>
  <c r="F17" i="2"/>
  <c r="G17" i="2"/>
  <c r="H17" i="2"/>
  <c r="I17" i="2"/>
  <c r="J17" i="2"/>
  <c r="K17" i="2"/>
  <c r="L17" i="2"/>
  <c r="M17" i="2"/>
  <c r="N17" i="2"/>
  <c r="O17" i="2"/>
  <c r="P17" i="2"/>
  <c r="Q17" i="2"/>
  <c r="R17" i="2"/>
  <c r="S17" i="2"/>
  <c r="T17" i="2"/>
  <c r="U17" i="2"/>
  <c r="V17" i="2"/>
  <c r="B17" i="2"/>
  <c r="F205" i="2"/>
  <c r="H192" i="2"/>
  <c r="I192" i="2"/>
  <c r="J192" i="2"/>
  <c r="K192" i="2"/>
  <c r="L192" i="2"/>
  <c r="M192" i="2"/>
  <c r="N192" i="2"/>
  <c r="O192" i="2"/>
  <c r="P192" i="2"/>
  <c r="Q192" i="2"/>
  <c r="R192" i="2"/>
  <c r="S192" i="2"/>
  <c r="T192" i="2"/>
  <c r="U192" i="2"/>
  <c r="V192" i="2"/>
  <c r="G192" i="2"/>
  <c r="C152" i="2"/>
  <c r="D152" i="2"/>
  <c r="E152" i="2"/>
  <c r="F152" i="2"/>
  <c r="G152" i="2"/>
  <c r="H152" i="2"/>
  <c r="I152" i="2"/>
  <c r="J152" i="2"/>
  <c r="K152" i="2"/>
  <c r="L152" i="2"/>
  <c r="M152" i="2"/>
  <c r="B152" i="2"/>
  <c r="D139" i="2"/>
  <c r="E139" i="2"/>
  <c r="F139" i="2"/>
  <c r="G139" i="2"/>
  <c r="H139" i="2"/>
  <c r="I139" i="2"/>
  <c r="J139" i="2"/>
  <c r="K139" i="2"/>
  <c r="L139" i="2"/>
  <c r="M139" i="2"/>
  <c r="N139" i="2"/>
  <c r="O139" i="2"/>
  <c r="P139" i="2"/>
  <c r="Q139" i="2"/>
  <c r="R139" i="2"/>
  <c r="S139" i="2"/>
  <c r="T139" i="2"/>
  <c r="U139" i="2"/>
  <c r="V139" i="2"/>
  <c r="C139" i="2"/>
  <c r="C126" i="2"/>
  <c r="D126" i="2"/>
  <c r="E126" i="2"/>
  <c r="F126" i="2"/>
  <c r="G126" i="2"/>
  <c r="H126" i="2"/>
  <c r="I126" i="2"/>
  <c r="B126" i="2"/>
  <c r="D113" i="2"/>
  <c r="E113" i="2"/>
  <c r="F113" i="2"/>
  <c r="G113" i="2"/>
  <c r="H113" i="2"/>
  <c r="I113" i="2"/>
  <c r="J113" i="2"/>
  <c r="C113" i="2"/>
  <c r="K100" i="2"/>
  <c r="P87" i="2"/>
  <c r="U60" i="2"/>
  <c r="U61" i="2"/>
  <c r="N74" i="2"/>
  <c r="J31" i="2"/>
  <c r="E15" i="2"/>
  <c r="E16" i="2"/>
  <c r="D15" i="2"/>
  <c r="D17" i="2"/>
  <c r="C15" i="2"/>
  <c r="C17" i="2"/>
  <c r="M48" i="2"/>
  <c r="N48" i="2"/>
  <c r="O48" i="2"/>
  <c r="P48" i="2"/>
  <c r="Q48" i="2"/>
  <c r="K81" i="6"/>
  <c r="J81" i="6"/>
  <c r="I81" i="6"/>
  <c r="H81" i="6"/>
  <c r="G81" i="6"/>
  <c r="F81" i="6"/>
  <c r="E81" i="6"/>
  <c r="D81" i="6"/>
  <c r="C81" i="6"/>
  <c r="K65" i="6"/>
  <c r="J65" i="6"/>
  <c r="I65" i="6"/>
  <c r="G65" i="6"/>
  <c r="F65" i="6"/>
  <c r="E65" i="6"/>
  <c r="D65" i="6"/>
  <c r="C65" i="6"/>
  <c r="B179" i="2"/>
  <c r="C179" i="2"/>
  <c r="D179" i="2"/>
  <c r="E179" i="2"/>
  <c r="F179" i="2"/>
  <c r="I179" i="2"/>
  <c r="K179" i="2"/>
  <c r="M179" i="2"/>
  <c r="N179" i="2"/>
  <c r="C165" i="2"/>
  <c r="D165" i="2"/>
  <c r="E165" i="2"/>
  <c r="F165" i="2"/>
  <c r="G165" i="2"/>
  <c r="H165" i="2"/>
  <c r="I165" i="2"/>
  <c r="J165" i="2"/>
  <c r="K165" i="2"/>
  <c r="L165" i="2"/>
  <c r="B165" i="2"/>
  <c r="C100" i="2"/>
  <c r="D100" i="2"/>
  <c r="E100" i="2"/>
  <c r="F100" i="2"/>
  <c r="G100" i="2"/>
  <c r="H100" i="2"/>
  <c r="I100" i="2"/>
  <c r="J100" i="2"/>
  <c r="C48" i="2"/>
  <c r="D48" i="2"/>
  <c r="E48" i="2"/>
  <c r="F48" i="2"/>
  <c r="G48" i="2"/>
  <c r="H48" i="2"/>
  <c r="I48" i="2"/>
  <c r="J48" i="2"/>
  <c r="K48" i="2"/>
  <c r="L48" i="2"/>
  <c r="B13" i="2"/>
  <c r="B201" i="2"/>
  <c r="B188" i="2"/>
  <c r="B175" i="2"/>
  <c r="B161" i="2"/>
  <c r="B148" i="2"/>
  <c r="B135" i="2"/>
  <c r="B122" i="2"/>
  <c r="B109" i="2"/>
  <c r="B96" i="2"/>
  <c r="B83" i="2"/>
  <c r="B70" i="2"/>
  <c r="B57" i="2"/>
  <c r="B44" i="2"/>
  <c r="B28" i="2"/>
  <c r="B6" i="13"/>
  <c r="B5" i="13"/>
  <c r="B4" i="13"/>
  <c r="J21" i="10"/>
  <c r="J20" i="10"/>
  <c r="J19" i="10"/>
  <c r="J18" i="10"/>
  <c r="J17" i="10"/>
  <c r="J16" i="10"/>
  <c r="J15" i="10"/>
  <c r="J14" i="10"/>
  <c r="J13" i="10"/>
  <c r="J12" i="10"/>
  <c r="J11" i="10"/>
  <c r="H21" i="10"/>
  <c r="H20" i="10"/>
  <c r="H19" i="10"/>
  <c r="H18" i="10"/>
  <c r="H17" i="10"/>
  <c r="H16" i="10"/>
  <c r="H15" i="10"/>
  <c r="H14" i="10"/>
  <c r="H13" i="10"/>
  <c r="H12" i="10"/>
  <c r="H11" i="10"/>
  <c r="F21" i="10"/>
  <c r="F12" i="10"/>
  <c r="F13" i="10"/>
  <c r="F14" i="10"/>
  <c r="F15" i="10"/>
  <c r="F16" i="10"/>
  <c r="F17" i="10"/>
  <c r="F18" i="10"/>
  <c r="F19" i="10"/>
  <c r="F20" i="10"/>
  <c r="F11" i="10"/>
  <c r="D32" i="8"/>
  <c r="D34" i="8"/>
  <c r="D36" i="8"/>
  <c r="E32" i="8"/>
  <c r="E34" i="8"/>
  <c r="E36" i="8"/>
  <c r="F32" i="8"/>
  <c r="F34" i="8"/>
  <c r="F36" i="8"/>
  <c r="G32" i="8"/>
  <c r="G34" i="8"/>
  <c r="G36" i="8"/>
  <c r="H32" i="8"/>
  <c r="H34" i="8"/>
  <c r="H36" i="8"/>
  <c r="I32" i="8"/>
  <c r="I34" i="8"/>
  <c r="I36" i="8"/>
  <c r="J32" i="8"/>
  <c r="J34" i="8"/>
  <c r="J36" i="8"/>
  <c r="K32" i="8"/>
  <c r="K34" i="8"/>
  <c r="K36" i="8"/>
  <c r="L32" i="8"/>
  <c r="L34" i="8"/>
  <c r="L36" i="8"/>
  <c r="M32" i="8"/>
  <c r="M34" i="8"/>
  <c r="M36" i="8"/>
  <c r="N32" i="8"/>
  <c r="C32" i="8"/>
  <c r="C34" i="8"/>
  <c r="C36" i="8"/>
  <c r="B16" i="8"/>
  <c r="B8" i="8"/>
  <c r="D30" i="7"/>
  <c r="C30" i="7"/>
  <c r="B30" i="7"/>
  <c r="B19" i="7"/>
  <c r="C14" i="4"/>
  <c r="C15" i="4"/>
  <c r="C16" i="4"/>
  <c r="C17" i="4"/>
  <c r="C13" i="4"/>
  <c r="E13" i="4"/>
  <c r="E14" i="4"/>
  <c r="E15" i="4"/>
  <c r="E16" i="4"/>
  <c r="E17" i="4"/>
  <c r="B9" i="3"/>
  <c r="D30" i="2"/>
  <c r="D32" i="2"/>
  <c r="E30" i="2"/>
  <c r="E32" i="2"/>
  <c r="F30" i="2"/>
  <c r="F32" i="2"/>
  <c r="G30" i="2"/>
  <c r="G32" i="2"/>
  <c r="H30" i="2"/>
  <c r="H32" i="2"/>
  <c r="I30" i="2"/>
  <c r="I32" i="2"/>
  <c r="J30" i="2"/>
  <c r="C30" i="2"/>
  <c r="C32" i="2"/>
  <c r="L81" i="6"/>
  <c r="B83" i="6"/>
  <c r="L65" i="6"/>
  <c r="B67" i="6"/>
  <c r="B51" i="6"/>
  <c r="I32" i="5"/>
  <c r="G60" i="24"/>
  <c r="H49" i="24"/>
  <c r="E62" i="24"/>
  <c r="E63" i="24"/>
  <c r="D63" i="24"/>
  <c r="B65" i="24"/>
  <c r="E32" i="24"/>
  <c r="B34" i="24"/>
  <c r="M36" i="5"/>
  <c r="N31" i="6"/>
  <c r="N33" i="6"/>
  <c r="B33" i="6"/>
  <c r="E17" i="2"/>
  <c r="L100" i="2"/>
  <c r="G205" i="2"/>
  <c r="R48" i="2"/>
  <c r="J32" i="2"/>
  <c r="D12" i="5"/>
  <c r="G30" i="5"/>
  <c r="N34" i="8"/>
  <c r="N36" i="8"/>
  <c r="C11" i="5"/>
  <c r="H31" i="5"/>
  <c r="H30" i="18"/>
  <c r="C31" i="18"/>
  <c r="L35" i="5"/>
  <c r="D27" i="5"/>
  <c r="B20" i="11"/>
  <c r="B22" i="11"/>
  <c r="N15" i="6"/>
  <c r="N17" i="6"/>
  <c r="B17" i="6"/>
  <c r="E13" i="5"/>
  <c r="F29" i="5"/>
  <c r="K34" i="5"/>
  <c r="C26" i="5"/>
  <c r="E28" i="5"/>
  <c r="B52" i="11"/>
  <c r="B54" i="11"/>
  <c r="J33" i="5"/>
  <c r="G30" i="11"/>
  <c r="G31" i="11"/>
  <c r="G32" i="11"/>
  <c r="E32" i="11"/>
  <c r="B34" i="11"/>
  <c r="H60" i="24"/>
  <c r="I49" i="24"/>
  <c r="H205" i="2"/>
  <c r="B36" i="8"/>
  <c r="C32" i="18"/>
  <c r="H31" i="18"/>
  <c r="I205" i="2"/>
  <c r="J49" i="24"/>
  <c r="I60" i="24"/>
  <c r="C33" i="18"/>
  <c r="H32" i="18"/>
  <c r="K49" i="24"/>
  <c r="J60" i="24"/>
  <c r="C34" i="18"/>
  <c r="H33" i="18"/>
  <c r="J205" i="2"/>
  <c r="L49" i="24"/>
  <c r="K60" i="24"/>
  <c r="C35" i="18"/>
  <c r="H34" i="18"/>
  <c r="K205" i="2"/>
  <c r="L60" i="24"/>
  <c r="M49" i="24"/>
  <c r="C36" i="18"/>
  <c r="H35" i="18"/>
  <c r="L205" i="2"/>
  <c r="M60" i="24"/>
  <c r="N49" i="24"/>
  <c r="N60" i="24"/>
  <c r="C37" i="18"/>
  <c r="H36" i="18"/>
  <c r="M205" i="2"/>
  <c r="C38" i="18"/>
  <c r="H38" i="18"/>
  <c r="H37" i="18"/>
  <c r="N205" i="2"/>
  <c r="O205" i="2"/>
  <c r="P205" i="2"/>
  <c r="Q205" i="2"/>
  <c r="R205" i="2"/>
  <c r="S205" i="2"/>
  <c r="T205" i="2"/>
  <c r="U205" i="2"/>
  <c r="V205" i="2"/>
  <c r="E28" i="19"/>
  <c r="K34" i="19"/>
  <c r="H31" i="19"/>
  <c r="J33" i="19"/>
  <c r="L35" i="19"/>
  <c r="G30" i="19"/>
  <c r="D27" i="19"/>
  <c r="I32" i="19"/>
  <c r="C26" i="19"/>
  <c r="F29" i="19"/>
  <c r="I203" i="16"/>
  <c r="H205" i="16"/>
  <c r="I205" i="16"/>
  <c r="J203" i="16"/>
  <c r="K203" i="16"/>
  <c r="J205" i="16"/>
  <c r="K205" i="16"/>
  <c r="L203" i="16"/>
  <c r="M203" i="16"/>
  <c r="L205" i="16"/>
  <c r="N203" i="16"/>
  <c r="M205" i="16"/>
  <c r="N205" i="16"/>
  <c r="O203" i="16"/>
  <c r="O205" i="16"/>
  <c r="P203" i="16"/>
  <c r="Q203" i="16"/>
  <c r="P205" i="16"/>
  <c r="Q205" i="16"/>
  <c r="R203" i="16"/>
  <c r="R205" i="16"/>
  <c r="S203" i="16"/>
  <c r="T203" i="16"/>
  <c r="S205" i="16"/>
  <c r="T205" i="16"/>
  <c r="U203" i="16"/>
  <c r="U205" i="16"/>
  <c r="V203" i="16"/>
  <c r="V205"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<sst xmlns="http://schemas.openxmlformats.org/spreadsheetml/2006/main" count="1308" uniqueCount="301">
  <si>
    <t>End of Period</t>
  </si>
  <si>
    <t>End of Year</t>
  </si>
  <si>
    <t>Face</t>
  </si>
  <si>
    <t>Coupon Payments</t>
  </si>
  <si>
    <t>Total Cash Flow</t>
  </si>
  <si>
    <t>years</t>
  </si>
  <si>
    <t>Value</t>
  </si>
  <si>
    <t>Name</t>
  </si>
  <si>
    <t>Face_Ex1</t>
  </si>
  <si>
    <t>Coupon_rate_Ex1</t>
  </si>
  <si>
    <t>One_Period_Ex1</t>
  </si>
  <si>
    <t>Face_Ex2</t>
  </si>
  <si>
    <t>Coupon_rate_Ex2</t>
  </si>
  <si>
    <t>One_Period_Ex2</t>
  </si>
  <si>
    <t>Face_a</t>
  </si>
  <si>
    <t>Coupon_rate_a</t>
  </si>
  <si>
    <t>One_Period_a</t>
  </si>
  <si>
    <t>Face_b</t>
  </si>
  <si>
    <t>Coupon_rate_b</t>
  </si>
  <si>
    <t>One_Period_b</t>
  </si>
  <si>
    <t>Face_c</t>
  </si>
  <si>
    <t>Coupon_rate_c</t>
  </si>
  <si>
    <t>One_Period_c</t>
  </si>
  <si>
    <t>Face_d</t>
  </si>
  <si>
    <t>Coupon_rate_d</t>
  </si>
  <si>
    <t>One_Period_d</t>
  </si>
  <si>
    <t>Face_e</t>
  </si>
  <si>
    <t>Coupon_rate_e</t>
  </si>
  <si>
    <t>One_Period_e</t>
  </si>
  <si>
    <t>One_Period_f</t>
  </si>
  <si>
    <t>Amount_g</t>
  </si>
  <si>
    <t>One_Period_g</t>
  </si>
  <si>
    <t>Paid_Every_g</t>
  </si>
  <si>
    <t>Paid_Every_f</t>
  </si>
  <si>
    <t>Paid_Every_h</t>
  </si>
  <si>
    <t>One_Period_h</t>
  </si>
  <si>
    <t>Amount_h</t>
  </si>
  <si>
    <t>Amount_i</t>
  </si>
  <si>
    <t>One_Period_i</t>
  </si>
  <si>
    <t>One_Period_j</t>
  </si>
  <si>
    <t>Amount_j</t>
  </si>
  <si>
    <t>One_Period_k</t>
  </si>
  <si>
    <t>Amount_k</t>
  </si>
  <si>
    <t>One_Period_l</t>
  </si>
  <si>
    <t>Security_Deposit_k</t>
  </si>
  <si>
    <t>Paid_Every_i</t>
  </si>
  <si>
    <t>Paid_Every_j</t>
  </si>
  <si>
    <t>Amount_l</t>
  </si>
  <si>
    <t>One_Period_m</t>
  </si>
  <si>
    <t>Amount_m</t>
  </si>
  <si>
    <t>Growth_rate_%_m</t>
  </si>
  <si>
    <t>Pattern Continues?</t>
  </si>
  <si>
    <t>Continues?</t>
  </si>
  <si>
    <t>Answer:</t>
  </si>
  <si>
    <t>P2_Amount_Ex1</t>
  </si>
  <si>
    <t>P2_Interest_Rate_Ex1</t>
  </si>
  <si>
    <t>P2_Compounding_Period_Ex1</t>
  </si>
  <si>
    <t>Amount</t>
  </si>
  <si>
    <t>Interest Rate</t>
  </si>
  <si>
    <t>Compounding Period</t>
  </si>
  <si>
    <t>Value at the end of 8 Years</t>
  </si>
  <si>
    <t>Annual</t>
  </si>
  <si>
    <t>Semi-annual</t>
  </si>
  <si>
    <t>Daily</t>
  </si>
  <si>
    <t>Quarterly</t>
  </si>
  <si>
    <t>P3_Amount</t>
  </si>
  <si>
    <t>P3_Interest_Rate</t>
  </si>
  <si>
    <t>P3_Compounding_Period</t>
  </si>
  <si>
    <t>Value of Investment</t>
  </si>
  <si>
    <t xml:space="preserve">or </t>
  </si>
  <si>
    <t>P3_Amount_Ex</t>
  </si>
  <si>
    <t>P3_Interest_Rate_Ex</t>
  </si>
  <si>
    <t>P3_Compounding_Period_Ex</t>
  </si>
  <si>
    <t>Cash flow</t>
  </si>
  <si>
    <t>P4_Interest_Rate_Ex</t>
  </si>
  <si>
    <t>P4_Interest_Rate</t>
  </si>
  <si>
    <t>P5_Face_Ex1</t>
  </si>
  <si>
    <t>P5_Coupon_Rate_Ex1</t>
  </si>
  <si>
    <t>P5_Interest_Rate_Ex1</t>
  </si>
  <si>
    <t>P5_One_Period_Ex1</t>
  </si>
  <si>
    <t>Coupon</t>
  </si>
  <si>
    <t xml:space="preserve">Face </t>
  </si>
  <si>
    <t>Present Value</t>
  </si>
  <si>
    <t>P5_Face_Ex2</t>
  </si>
  <si>
    <t>P5_Coupon_Rate_Ex2</t>
  </si>
  <si>
    <t>P5_Interest_Rate_Ex2</t>
  </si>
  <si>
    <t>P5_One_Period_Ex2</t>
  </si>
  <si>
    <t>P5_Face_1</t>
  </si>
  <si>
    <t>P5_Coupon_Rate_1</t>
  </si>
  <si>
    <t>P5_Interest_Rate_1</t>
  </si>
  <si>
    <t>P5_One_Period_1</t>
  </si>
  <si>
    <t>P5_Face_2</t>
  </si>
  <si>
    <t>P5_Coupon_Rate_2</t>
  </si>
  <si>
    <t>P5_Interest_Rate_2</t>
  </si>
  <si>
    <t>P5_One_Period_2</t>
  </si>
  <si>
    <t>P5_Face_3</t>
  </si>
  <si>
    <t>P5_Coupon_Rate_3</t>
  </si>
  <si>
    <t>P5_Interest_Rate_3</t>
  </si>
  <si>
    <t>P5_One_Period_3</t>
  </si>
  <si>
    <t>P6_Amount_Ex1</t>
  </si>
  <si>
    <t>P6_Interest_Rate_Ex1</t>
  </si>
  <si>
    <t>P6_Growth_Rate_Ex1</t>
  </si>
  <si>
    <t>P6_Amount_Ex2</t>
  </si>
  <si>
    <t>P6_Interest_Rate_Ex2</t>
  </si>
  <si>
    <t>P6_Growth_Rate_Ex2</t>
  </si>
  <si>
    <t>P6_Amount_Ex3</t>
  </si>
  <si>
    <t>P6_Interest_Rate_Ex3</t>
  </si>
  <si>
    <t>P6_Growth_Rate_Ex3</t>
  </si>
  <si>
    <t>P6_Amount_1</t>
  </si>
  <si>
    <t>P6_Interest_Rate_1</t>
  </si>
  <si>
    <t>P6_Growth_Rate_1</t>
  </si>
  <si>
    <t>P6_Amount_2</t>
  </si>
  <si>
    <t>P6_Interest_Rate_2</t>
  </si>
  <si>
    <t>P6_Growth_Rate_2</t>
  </si>
  <si>
    <t>P7_Amount_Ex1</t>
  </si>
  <si>
    <t>P7_PV_Ex1</t>
  </si>
  <si>
    <t>Implicit interest rate</t>
  </si>
  <si>
    <t>P7_Face_Ex2</t>
  </si>
  <si>
    <t>P7_PV_Ex2</t>
  </si>
  <si>
    <t>P7_Maturity_Ex2</t>
  </si>
  <si>
    <t>P7_Face_Ex3</t>
  </si>
  <si>
    <t>P7_Coupon_Rate_Ex3</t>
  </si>
  <si>
    <t>P7_Interest_Rate_Ex3</t>
  </si>
  <si>
    <t>P7_One_Period_Ex3</t>
  </si>
  <si>
    <t>P7_Amount_1</t>
  </si>
  <si>
    <t>P7_PV_1</t>
  </si>
  <si>
    <t>P7_Face_2</t>
  </si>
  <si>
    <t>P7_PV_2</t>
  </si>
  <si>
    <t>P7_Maturity_2</t>
  </si>
  <si>
    <t>P7_Implicit_interest_rate_2</t>
  </si>
  <si>
    <t>P7_Implicit_Interest_Rate_Ex2</t>
  </si>
  <si>
    <t>P7_Face_3</t>
  </si>
  <si>
    <t>P7_Coupon_Rate_3</t>
  </si>
  <si>
    <t>P7_Interest_Rate_3</t>
  </si>
  <si>
    <t>P7_One_Period_3</t>
  </si>
  <si>
    <t>Interest Rate Path 1</t>
  </si>
  <si>
    <t>Value of Bond</t>
  </si>
  <si>
    <t>Interest Rate Path 2</t>
  </si>
  <si>
    <t>Interest Rate Path 3</t>
  </si>
  <si>
    <t>P8_Face_Value_Ex</t>
  </si>
  <si>
    <t>P8_Face_Value_1</t>
  </si>
  <si>
    <t>Value of Bond P1</t>
  </si>
  <si>
    <t>Value of Bond P2</t>
  </si>
  <si>
    <t>Year 1</t>
  </si>
  <si>
    <t>Year 2</t>
  </si>
  <si>
    <t>Year 3</t>
  </si>
  <si>
    <t>Year 4</t>
  </si>
  <si>
    <t>Year 5</t>
  </si>
  <si>
    <t>In perpetuity thereafter</t>
  </si>
  <si>
    <t>UrCo cash receipts</t>
  </si>
  <si>
    <t>UrCo cash disbursements</t>
  </si>
  <si>
    <t>Cash in your pocket</t>
  </si>
  <si>
    <t>P9_Interest_Rate_Ex</t>
  </si>
  <si>
    <t>Cash Flow</t>
  </si>
  <si>
    <t>and so on</t>
  </si>
  <si>
    <t>PV of Perpetuity @EOY 5</t>
  </si>
  <si>
    <t>MyCo cash receipts</t>
  </si>
  <si>
    <t>MyCo cash disbursements</t>
  </si>
  <si>
    <t>P6_Amount_3</t>
  </si>
  <si>
    <t>P6_Interest_Rate_3</t>
  </si>
  <si>
    <t>P6_Growth_Rate_3</t>
  </si>
  <si>
    <t>P9_Interest_Rate</t>
  </si>
  <si>
    <t>Quarter</t>
  </si>
  <si>
    <t>Month</t>
  </si>
  <si>
    <t>Week</t>
  </si>
  <si>
    <t>Day</t>
  </si>
  <si>
    <t>PV of remaining cash flows at time:</t>
  </si>
  <si>
    <t>Amount_f</t>
  </si>
  <si>
    <t>Yes</t>
  </si>
  <si>
    <t>No</t>
  </si>
  <si>
    <t>ProblemType</t>
  </si>
  <si>
    <t>WorksheetName</t>
  </si>
  <si>
    <t>Range</t>
  </si>
  <si>
    <t>Comparison</t>
  </si>
  <si>
    <t>Grade</t>
  </si>
  <si>
    <t>IncorrectFeedback</t>
  </si>
  <si>
    <t>CorrectFeedback</t>
  </si>
  <si>
    <t>CELL</t>
  </si>
  <si>
    <t>1 Cash Flow Diagrams</t>
  </si>
  <si>
    <t>B40:B42</t>
  </si>
  <si>
    <t>C41</t>
  </si>
  <si>
    <t>B48:V48</t>
  </si>
  <si>
    <t>B66:B68</t>
  </si>
  <si>
    <t>C67</t>
  </si>
  <si>
    <t>B74:V74</t>
  </si>
  <si>
    <t>B53:B55</t>
  </si>
  <si>
    <t>C54</t>
  </si>
  <si>
    <t>B61:V61</t>
  </si>
  <si>
    <t>ReRead the terms</t>
  </si>
  <si>
    <t>B79:B81</t>
  </si>
  <si>
    <t>C80</t>
  </si>
  <si>
    <t>B87:V87</t>
  </si>
  <si>
    <t>B100:V100</t>
  </si>
  <si>
    <t>B113:V113</t>
  </si>
  <si>
    <t>B126:V126</t>
  </si>
  <si>
    <t>B139:V139</t>
  </si>
  <si>
    <t>B152:V152</t>
  </si>
  <si>
    <t>B165:V165</t>
  </si>
  <si>
    <t>B178:V178</t>
  </si>
  <si>
    <t>B191:V191</t>
  </si>
  <si>
    <t>B204:V204</t>
  </si>
  <si>
    <t>MOEValue(.1)</t>
  </si>
  <si>
    <t>Check the cash flows</t>
  </si>
  <si>
    <t>B92:B94</t>
  </si>
  <si>
    <t>C93</t>
  </si>
  <si>
    <t>B196</t>
  </si>
  <si>
    <t>B199</t>
  </si>
  <si>
    <t>B183</t>
  </si>
  <si>
    <t>B170</t>
  </si>
  <si>
    <t>B172:B173</t>
  </si>
  <si>
    <t>B105</t>
  </si>
  <si>
    <t>B107</t>
  </si>
  <si>
    <t>B118</t>
  </si>
  <si>
    <t>B120</t>
  </si>
  <si>
    <t>B131</t>
  </si>
  <si>
    <t>B133</t>
  </si>
  <si>
    <t>B144</t>
  </si>
  <si>
    <t>B146</t>
  </si>
  <si>
    <t>B157</t>
  </si>
  <si>
    <t>B159</t>
  </si>
  <si>
    <t>2 Future Values</t>
  </si>
  <si>
    <t>Check your formula!</t>
  </si>
  <si>
    <t>3 Values at End of Each Year</t>
  </si>
  <si>
    <t>B23:B25</t>
  </si>
  <si>
    <t>4 Present Values</t>
  </si>
  <si>
    <t>W139</t>
  </si>
  <si>
    <t>W191</t>
  </si>
  <si>
    <t>C26:O26</t>
  </si>
  <si>
    <t>O38</t>
  </si>
  <si>
    <t>N37:O37</t>
  </si>
  <si>
    <t>M36:O36</t>
  </si>
  <si>
    <t>L35:O35</t>
  </si>
  <si>
    <t>K34:O34</t>
  </si>
  <si>
    <t>D27:O27</t>
  </si>
  <si>
    <t>J33:O33</t>
  </si>
  <si>
    <t>I32:O32</t>
  </si>
  <si>
    <t>H31:O31</t>
  </si>
  <si>
    <t>G30:O30</t>
  </si>
  <si>
    <t>F29:O29</t>
  </si>
  <si>
    <t>E28:O28</t>
  </si>
  <si>
    <t>5 Bonds</t>
  </si>
  <si>
    <t>B41:B44</t>
  </si>
  <si>
    <t>B49:N49</t>
  </si>
  <si>
    <t>B57:B60</t>
  </si>
  <si>
    <t>B65:N65</t>
  </si>
  <si>
    <t>B73:B76</t>
  </si>
  <si>
    <t>B81:N81</t>
  </si>
  <si>
    <t>6 Perpetuities</t>
  </si>
  <si>
    <t>B34:B36</t>
  </si>
  <si>
    <t>B43:B45</t>
  </si>
  <si>
    <t>B47</t>
  </si>
  <si>
    <t>7 Effective Interest Rates</t>
  </si>
  <si>
    <t>Value of Bond P3</t>
  </si>
  <si>
    <t>8 Unexpected Chs in Int Rates</t>
  </si>
  <si>
    <t>9 Valuing a Business</t>
  </si>
  <si>
    <t>billion</t>
  </si>
  <si>
    <t>10 Verizon Buyout of Vodafone</t>
  </si>
  <si>
    <t>MOEValue(1)</t>
  </si>
  <si>
    <t>For ExPrep:</t>
  </si>
  <si>
    <t>For ExPrep</t>
  </si>
  <si>
    <t>Remaining cash flows:</t>
  </si>
  <si>
    <t>Total Cash&amp;Value</t>
  </si>
  <si>
    <t>Most I would pay now</t>
  </si>
  <si>
    <t>Most I would pay at Time 3</t>
  </si>
  <si>
    <t>PV of Perpetuity at EOY 3</t>
  </si>
  <si>
    <t>Most I would pay at Time 2</t>
  </si>
  <si>
    <t>G17:G32</t>
  </si>
  <si>
    <t>H28:H38</t>
  </si>
  <si>
    <t>B51</t>
  </si>
  <si>
    <t>Check your formulas!</t>
  </si>
  <si>
    <t>B67</t>
  </si>
  <si>
    <t>B83</t>
  </si>
  <si>
    <t>J38</t>
  </si>
  <si>
    <t>J47</t>
  </si>
  <si>
    <t>J58</t>
  </si>
  <si>
    <t>B41:B42</t>
  </si>
  <si>
    <t>B44</t>
  </si>
  <si>
    <t>B50:B52</t>
  </si>
  <si>
    <t>B55</t>
  </si>
  <si>
    <t>B61:B62</t>
  </si>
  <si>
    <t>B64</t>
  </si>
  <si>
    <t>B69:N69</t>
  </si>
  <si>
    <t>B72:N72</t>
  </si>
  <si>
    <t>B73</t>
  </si>
  <si>
    <t>L30:L45</t>
  </si>
  <si>
    <t>M30:M45</t>
  </si>
  <si>
    <t>N30:N45</t>
  </si>
  <si>
    <t>C49:N49</t>
  </si>
  <si>
    <t>C50</t>
  </si>
  <si>
    <t>B54</t>
  </si>
  <si>
    <t>B52</t>
  </si>
  <si>
    <t>Do some thinking!</t>
  </si>
  <si>
    <t>E60:N60</t>
  </si>
  <si>
    <t>E61</t>
  </si>
  <si>
    <t>E62</t>
  </si>
  <si>
    <t>D63</t>
  </si>
  <si>
    <t>B65</t>
  </si>
  <si>
    <t>Check your formula! State your answer in billions. E.g., one billion dollars is $1.0.</t>
  </si>
  <si>
    <t>Got it!</t>
  </si>
  <si>
    <t xml:space="preserve"> </t>
  </si>
  <si>
    <t>Check your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</si>
</sst>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F800]dddd\,\ mmmm\ dd\,\ yyyy"/>
    <numFmt numFmtId="165" formatCode="ddd\,\ mmm\ dd"/>
    <numFmt numFmtId="166" formatCode="_(&quot;$&quot;* #,##0_);_(&quot;$&quot;* \(#,##0\);_(&quot;$&quot;* &quot;-&quot;??_);_(@_)"/>
    <numFmt numFmtId="167" formatCode="0.0%"/>
    <numFmt numFmtId="168" formatCode="_(* #,##0_);_(* \(#,##0\);_(* &quot;-&quot;??_);_(@_)"/>
    <numFmt numFmtId="169" formatCode="0.000000"/>
    <numFmt numFmtId="170" formatCode=";;;"/>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b/>
      <sz val="10"/>
      <name val="Arial"/>
      <family val="2"/>
    </font>
    <font>
      <sz val="8"/>
      <name val="Calibri"/>
      <family val="2"/>
      <scheme val="minor"/>
    </font>
    <font>
      <b/>
      <sz val="11"/>
      <name val="Calibri"/>
      <family val="2"/>
      <scheme val="minor"/>
    </font>
    <font>
      <sz val="11"/>
      <name val="Calibri"/>
      <family val="2"/>
      <scheme val="minor"/>
    </font>
    <font>
      <sz val="8"/>
      <color rgb="FF000000"/>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s>
  <borders count="15">
    <border>
      <left/>
      <right/>
      <top/>
      <bottom/>
      <diagonal/>
    </border>
    <border>
      <left/>
      <right/>
      <top style="thin">
        <color indexed="64"/>
      </top>
      <bottom style="double">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right/>
      <top/>
      <bottom style="thin">
        <color indexed="64"/>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15">
    <xf numFmtId="0" fontId="0" fillId="0" borderId="0" xfId="0"/>
    <xf numFmtId="164" fontId="0" fillId="0" borderId="0" xfId="0" applyNumberFormat="1"/>
    <xf numFmtId="165" fontId="0" fillId="0" borderId="0" xfId="0" applyNumberFormat="1"/>
    <xf numFmtId="6" fontId="0" fillId="0" borderId="0" xfId="0" applyNumberFormat="1"/>
    <xf numFmtId="9" fontId="0" fillId="0" borderId="0" xfId="0" applyNumberFormat="1"/>
    <xf numFmtId="0" fontId="0" fillId="0" borderId="0" xfId="0" applyAlignment="1">
      <alignment horizontal="center"/>
    </xf>
    <xf numFmtId="0" fontId="0" fillId="0" borderId="2" xfId="0" applyBorder="1" applyAlignment="1">
      <alignment horizontal="center"/>
    </xf>
    <xf numFmtId="0" fontId="2" fillId="0" borderId="0" xfId="0" applyFont="1"/>
    <xf numFmtId="6" fontId="2" fillId="0" borderId="0" xfId="0" applyNumberFormat="1" applyFont="1"/>
    <xf numFmtId="9" fontId="2" fillId="0" borderId="0" xfId="0" applyNumberFormat="1" applyFont="1"/>
    <xf numFmtId="0" fontId="0" fillId="0" borderId="2" xfId="0" applyBorder="1"/>
    <xf numFmtId="166" fontId="0" fillId="0" borderId="0" xfId="1" applyNumberFormat="1" applyFont="1"/>
    <xf numFmtId="0" fontId="0" fillId="0" borderId="3" xfId="0" applyBorder="1"/>
    <xf numFmtId="6" fontId="0" fillId="0" borderId="3" xfId="0" applyNumberFormat="1" applyBorder="1"/>
    <xf numFmtId="44" fontId="0" fillId="0" borderId="0" xfId="1" applyFont="1"/>
    <xf numFmtId="0" fontId="3" fillId="0" borderId="4" xfId="0" applyFont="1" applyBorder="1" applyAlignment="1">
      <alignment horizontal="center" vertical="center" wrapText="1"/>
    </xf>
    <xf numFmtId="9" fontId="3" fillId="0" borderId="0" xfId="0" applyNumberFormat="1" applyFont="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9" fontId="3" fillId="0" borderId="2" xfId="0" applyNumberFormat="1" applyFont="1" applyBorder="1" applyAlignment="1">
      <alignment horizontal="center" vertical="center" wrapText="1"/>
    </xf>
    <xf numFmtId="0" fontId="3"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166" fontId="3" fillId="0" borderId="0" xfId="1" applyNumberFormat="1" applyFont="1" applyBorder="1" applyAlignment="1">
      <alignment horizontal="center" vertical="center" wrapText="1"/>
    </xf>
    <xf numFmtId="0" fontId="3" fillId="0" borderId="6" xfId="0" applyFont="1" applyBorder="1" applyAlignment="1">
      <alignment vertical="center" wrapText="1"/>
    </xf>
    <xf numFmtId="166" fontId="3" fillId="0" borderId="7" xfId="1" applyNumberFormat="1" applyFont="1" applyBorder="1" applyAlignment="1">
      <alignment horizontal="center" vertical="center" wrapText="1"/>
    </xf>
    <xf numFmtId="0" fontId="3" fillId="0" borderId="8" xfId="0" applyFont="1" applyBorder="1" applyAlignment="1">
      <alignment vertical="center" wrapText="1"/>
    </xf>
    <xf numFmtId="166" fontId="3" fillId="0" borderId="2" xfId="1" applyNumberFormat="1" applyFont="1" applyBorder="1" applyAlignment="1">
      <alignment horizontal="center" vertical="center" wrapText="1"/>
    </xf>
    <xf numFmtId="166" fontId="3" fillId="0" borderId="5" xfId="1" applyNumberFormat="1" applyFont="1" applyBorder="1" applyAlignment="1">
      <alignment horizontal="center" vertical="center" wrapText="1"/>
    </xf>
    <xf numFmtId="0" fontId="0" fillId="0" borderId="0" xfId="0" applyAlignment="1">
      <alignment wrapText="1"/>
    </xf>
    <xf numFmtId="44" fontId="0" fillId="0" borderId="0" xfId="1" applyFont="1" applyFill="1"/>
    <xf numFmtId="0" fontId="3" fillId="0" borderId="0" xfId="0" applyFont="1" applyAlignment="1">
      <alignment vertical="center" wrapText="1"/>
    </xf>
    <xf numFmtId="169" fontId="0" fillId="0" borderId="0" xfId="0" applyNumberFormat="1"/>
    <xf numFmtId="0" fontId="0" fillId="0" borderId="13" xfId="0" applyBorder="1" applyAlignment="1">
      <alignment horizontal="center"/>
    </xf>
    <xf numFmtId="0" fontId="0" fillId="0" borderId="0" xfId="0" applyProtection="1">
      <protection locked="0"/>
    </xf>
    <xf numFmtId="166" fontId="0" fillId="0" borderId="0" xfId="1" applyNumberFormat="1" applyFont="1" applyProtection="1"/>
    <xf numFmtId="167" fontId="0" fillId="0" borderId="0" xfId="0" applyNumberFormat="1"/>
    <xf numFmtId="44" fontId="0" fillId="0" borderId="0" xfId="1" applyFont="1" applyProtection="1">
      <protection locked="0"/>
    </xf>
    <xf numFmtId="44" fontId="0" fillId="0" borderId="0" xfId="0" applyNumberFormat="1" applyProtection="1">
      <protection locked="0"/>
    </xf>
    <xf numFmtId="0" fontId="5" fillId="0" borderId="2" xfId="0" applyFont="1" applyBorder="1" applyAlignment="1">
      <alignment horizontal="center"/>
    </xf>
    <xf numFmtId="0" fontId="2" fillId="0" borderId="0" xfId="0" applyFont="1" applyAlignment="1">
      <alignment horizontal="center"/>
    </xf>
    <xf numFmtId="166" fontId="2" fillId="2" borderId="0" xfId="1" applyNumberFormat="1" applyFont="1" applyFill="1" applyProtection="1">
      <protection locked="0"/>
    </xf>
    <xf numFmtId="166" fontId="2" fillId="2" borderId="0" xfId="0" applyNumberFormat="1" applyFont="1" applyFill="1" applyProtection="1">
      <protection locked="0"/>
    </xf>
    <xf numFmtId="0" fontId="2" fillId="2" borderId="0" xfId="0" applyFont="1" applyFill="1" applyProtection="1">
      <protection locked="0"/>
    </xf>
    <xf numFmtId="6" fontId="7" fillId="2" borderId="0" xfId="0" applyNumberFormat="1" applyFont="1" applyFill="1" applyProtection="1">
      <protection locked="0"/>
    </xf>
    <xf numFmtId="9" fontId="7" fillId="2" borderId="0" xfId="0" applyNumberFormat="1" applyFont="1" applyFill="1" applyProtection="1">
      <protection locked="0"/>
    </xf>
    <xf numFmtId="0" fontId="7" fillId="2" borderId="0" xfId="0" applyFont="1" applyFill="1" applyProtection="1">
      <protection locked="0"/>
    </xf>
    <xf numFmtId="6" fontId="2" fillId="2" borderId="0" xfId="0" applyNumberFormat="1" applyFont="1" applyFill="1"/>
    <xf numFmtId="9" fontId="2" fillId="2" borderId="0" xfId="0" applyNumberFormat="1" applyFont="1" applyFill="1"/>
    <xf numFmtId="0" fontId="2" fillId="2" borderId="0" xfId="0" applyFont="1" applyFill="1"/>
    <xf numFmtId="6" fontId="2" fillId="2" borderId="0" xfId="0" applyNumberFormat="1" applyFont="1" applyFill="1" applyProtection="1">
      <protection locked="0"/>
    </xf>
    <xf numFmtId="9" fontId="2" fillId="2" borderId="0" xfId="0" applyNumberFormat="1" applyFont="1" applyFill="1" applyProtection="1">
      <protection locked="0"/>
    </xf>
    <xf numFmtId="166" fontId="2" fillId="3" borderId="1" xfId="0" applyNumberFormat="1" applyFont="1" applyFill="1" applyBorder="1" applyProtection="1">
      <protection locked="0"/>
    </xf>
    <xf numFmtId="166" fontId="2" fillId="2" borderId="0" xfId="1" applyNumberFormat="1" applyFont="1" applyFill="1"/>
    <xf numFmtId="166" fontId="2" fillId="2" borderId="0" xfId="0" applyNumberFormat="1" applyFont="1" applyFill="1"/>
    <xf numFmtId="166" fontId="2" fillId="3" borderId="1" xfId="0" applyNumberFormat="1" applyFont="1" applyFill="1" applyBorder="1"/>
    <xf numFmtId="0" fontId="2" fillId="2" borderId="0" xfId="0" applyFont="1" applyFill="1" applyAlignment="1" applyProtection="1">
      <alignment horizontal="center"/>
      <protection locked="0"/>
    </xf>
    <xf numFmtId="44" fontId="2" fillId="2" borderId="0" xfId="1" applyFont="1" applyFill="1"/>
    <xf numFmtId="8" fontId="2" fillId="2" borderId="0" xfId="0" applyNumberFormat="1" applyFont="1" applyFill="1" applyProtection="1">
      <protection locked="0"/>
    </xf>
    <xf numFmtId="44" fontId="0" fillId="3" borderId="0" xfId="0" applyNumberFormat="1" applyFill="1"/>
    <xf numFmtId="8" fontId="0" fillId="3" borderId="0" xfId="0" applyNumberFormat="1" applyFill="1"/>
    <xf numFmtId="166" fontId="0" fillId="2" borderId="0" xfId="1" applyNumberFormat="1" applyFont="1" applyFill="1" applyProtection="1">
      <protection locked="0"/>
    </xf>
    <xf numFmtId="166" fontId="2" fillId="3" borderId="0" xfId="1" applyNumberFormat="1" applyFont="1" applyFill="1"/>
    <xf numFmtId="166" fontId="2" fillId="3" borderId="0" xfId="1" applyNumberFormat="1" applyFont="1" applyFill="1" applyProtection="1">
      <protection locked="0"/>
    </xf>
    <xf numFmtId="166" fontId="2" fillId="3" borderId="0" xfId="0" applyNumberFormat="1" applyFont="1" applyFill="1"/>
    <xf numFmtId="9" fontId="0" fillId="2" borderId="0" xfId="0" applyNumberFormat="1" applyFill="1"/>
    <xf numFmtId="44" fontId="0" fillId="2" borderId="0" xfId="1" applyFont="1" applyFill="1" applyProtection="1">
      <protection locked="0"/>
    </xf>
    <xf numFmtId="44" fontId="2" fillId="3" borderId="0" xfId="0" applyNumberFormat="1" applyFont="1" applyFill="1" applyProtection="1">
      <protection locked="0"/>
    </xf>
    <xf numFmtId="0" fontId="0" fillId="2" borderId="0" xfId="0" applyFill="1" applyProtection="1">
      <protection locked="0"/>
    </xf>
    <xf numFmtId="6" fontId="0" fillId="2" borderId="0" xfId="0" applyNumberFormat="1" applyFill="1" applyProtection="1">
      <protection locked="0"/>
    </xf>
    <xf numFmtId="44" fontId="0" fillId="2" borderId="0" xfId="1" applyFont="1" applyFill="1"/>
    <xf numFmtId="167" fontId="2" fillId="2" borderId="0" xfId="0" applyNumberFormat="1" applyFont="1" applyFill="1"/>
    <xf numFmtId="44" fontId="2" fillId="3" borderId="0" xfId="0" applyNumberFormat="1" applyFont="1" applyFill="1"/>
    <xf numFmtId="167" fontId="2" fillId="2" borderId="0" xfId="0" applyNumberFormat="1" applyFont="1" applyFill="1" applyProtection="1">
      <protection locked="0"/>
    </xf>
    <xf numFmtId="166" fontId="0" fillId="2" borderId="0" xfId="1" applyNumberFormat="1" applyFont="1" applyFill="1"/>
    <xf numFmtId="0" fontId="0" fillId="2" borderId="0" xfId="0" applyFill="1"/>
    <xf numFmtId="10" fontId="2" fillId="2" borderId="0" xfId="0" applyNumberFormat="1" applyFont="1" applyFill="1"/>
    <xf numFmtId="10" fontId="2" fillId="2" borderId="0" xfId="0" applyNumberFormat="1" applyFont="1" applyFill="1" applyProtection="1">
      <protection locked="0"/>
    </xf>
    <xf numFmtId="44" fontId="2" fillId="2" borderId="0" xfId="1" applyFont="1" applyFill="1" applyProtection="1">
      <protection locked="0"/>
    </xf>
    <xf numFmtId="8" fontId="8" fillId="3" borderId="0" xfId="0" applyNumberFormat="1" applyFont="1" applyFill="1"/>
    <xf numFmtId="10" fontId="2" fillId="2" borderId="0" xfId="3" applyNumberFormat="1" applyFont="1" applyFill="1"/>
    <xf numFmtId="168" fontId="2" fillId="2" borderId="0" xfId="2" applyNumberFormat="1" applyFont="1" applyFill="1"/>
    <xf numFmtId="44" fontId="2" fillId="3" borderId="1" xfId="0" applyNumberFormat="1" applyFont="1" applyFill="1" applyBorder="1"/>
    <xf numFmtId="44" fontId="0" fillId="2" borderId="0" xfId="0" applyNumberFormat="1" applyFill="1"/>
    <xf numFmtId="44" fontId="2" fillId="2" borderId="0" xfId="0" applyNumberFormat="1" applyFont="1" applyFill="1"/>
    <xf numFmtId="10" fontId="2" fillId="2" borderId="0" xfId="3" applyNumberFormat="1" applyFont="1" applyFill="1" applyProtection="1">
      <protection locked="0"/>
    </xf>
    <xf numFmtId="168" fontId="2" fillId="2" borderId="0" xfId="2" applyNumberFormat="1" applyFont="1" applyFill="1" applyProtection="1">
      <protection locked="0"/>
    </xf>
    <xf numFmtId="44" fontId="0" fillId="2" borderId="0" xfId="0" applyNumberFormat="1" applyFill="1" applyProtection="1">
      <protection locked="0"/>
    </xf>
    <xf numFmtId="44" fontId="2" fillId="2" borderId="0" xfId="0" applyNumberFormat="1" applyFont="1" applyFill="1" applyProtection="1">
      <protection locked="0"/>
    </xf>
    <xf numFmtId="10" fontId="2" fillId="3" borderId="0" xfId="3" applyNumberFormat="1" applyFont="1" applyFill="1"/>
    <xf numFmtId="0" fontId="3" fillId="0" borderId="0" xfId="0" applyFont="1" applyAlignment="1">
      <alignment horizontal="center" vertical="center" wrapText="1"/>
    </xf>
    <xf numFmtId="44" fontId="4" fillId="2" borderId="11" xfId="1" applyFont="1" applyFill="1" applyBorder="1" applyAlignment="1">
      <alignment horizontal="center" vertical="center" wrapText="1"/>
    </xf>
    <xf numFmtId="44" fontId="4" fillId="2" borderId="12" xfId="1" applyFont="1" applyFill="1" applyBorder="1" applyAlignment="1">
      <alignment horizontal="center" vertical="center" wrapText="1"/>
    </xf>
    <xf numFmtId="44" fontId="4" fillId="2" borderId="11" xfId="1" applyFont="1" applyFill="1" applyBorder="1" applyAlignment="1" applyProtection="1">
      <alignment horizontal="center" vertical="center" wrapText="1"/>
      <protection locked="0"/>
    </xf>
    <xf numFmtId="44" fontId="4" fillId="2" borderId="12" xfId="1" applyFont="1" applyFill="1" applyBorder="1" applyAlignment="1" applyProtection="1">
      <alignment horizontal="center" vertical="center" wrapText="1"/>
      <protection locked="0"/>
    </xf>
    <xf numFmtId="44" fontId="2" fillId="0" borderId="0" xfId="0" applyNumberFormat="1" applyFont="1"/>
    <xf numFmtId="166" fontId="2" fillId="2" borderId="14" xfId="0" applyNumberFormat="1" applyFont="1" applyFill="1" applyBorder="1"/>
    <xf numFmtId="166" fontId="2" fillId="2" borderId="14" xfId="1" applyNumberFormat="1" applyFont="1" applyFill="1" applyBorder="1"/>
    <xf numFmtId="44" fontId="2" fillId="3" borderId="0" xfId="1" applyFont="1" applyFill="1" applyBorder="1"/>
    <xf numFmtId="166" fontId="3" fillId="0" borderId="4" xfId="1" applyNumberFormat="1" applyFont="1" applyBorder="1" applyAlignment="1">
      <alignment horizontal="center" vertical="center" wrapText="1"/>
    </xf>
    <xf numFmtId="0" fontId="0" fillId="2" borderId="14" xfId="0" applyFill="1" applyBorder="1"/>
    <xf numFmtId="166" fontId="2" fillId="0" borderId="14" xfId="0" applyNumberFormat="1" applyFont="1" applyBorder="1"/>
    <xf numFmtId="166" fontId="2" fillId="0" borderId="0" xfId="0" applyNumberFormat="1" applyFont="1"/>
    <xf numFmtId="44" fontId="2" fillId="3" borderId="0" xfId="1" applyFont="1" applyFill="1" applyProtection="1">
      <protection locked="0"/>
    </xf>
    <xf numFmtId="9" fontId="0" fillId="2" borderId="0" xfId="0" applyNumberFormat="1" applyFill="1" applyProtection="1">
      <protection locked="0"/>
    </xf>
    <xf numFmtId="44" fontId="0" fillId="0" borderId="0" xfId="0" applyNumberFormat="1"/>
    <xf numFmtId="8" fontId="0" fillId="0" borderId="0" xfId="0" applyNumberFormat="1"/>
    <xf numFmtId="170" fontId="0" fillId="0" borderId="0" xfId="0" applyNumberFormat="1" applyProtection="1">
      <protection locked="0"/>
    </xf>
    <xf numFmtId="166" fontId="2" fillId="2" borderId="14" xfId="1" applyNumberFormat="1" applyFont="1" applyFill="1" applyBorder="1" applyProtection="1">
      <protection locked="0"/>
    </xf>
    <xf numFmtId="10" fontId="2" fillId="0" borderId="0" xfId="3" applyNumberFormat="1" applyFont="1" applyFill="1"/>
    <xf numFmtId="8" fontId="8" fillId="0" borderId="0" xfId="0" applyNumberFormat="1" applyFont="1"/>
    <xf numFmtId="9" fontId="7" fillId="2" borderId="0" xfId="3" applyFont="1" applyFill="1" applyProtection="1">
      <protection locked="0"/>
    </xf>
    <xf numFmtId="6" fontId="7" fillId="2" borderId="0" xfId="0" applyNumberFormat="1" applyFont="1" applyFill="1" applyAlignment="1" applyProtection="1">
      <alignment horizontal="center"/>
      <protection locked="0"/>
    </xf>
    <xf numFmtId="170" fontId="0" fillId="0" borderId="0" xfId="0" applyNumberFormat="1" applyProtection="1">
      <protection locked="0"/>
      <extLst>
        <ext xmlns:xfpb="http://schemas.microsoft.com/office/spreadsheetml/2022/featurepropertybag" uri="{C7286773-470A-42A8-94C5-96B5CB345126}">
          <xfpb:xfComplement i="0"/>
        </ext>
      </extLst>
    </xf>
    <xf numFmtId="0" fontId="2" fillId="0" borderId="0" xfId="0" applyFont="1" applyAlignment="1">
      <alignment horizontal="center"/>
    </xf>
  </cellXfs>
  <cellStyles count="4">
    <cellStyle name="Comma" xfId="2" builtinId="3"/>
    <cellStyle name="Currency" xfId="1" builtinId="4"/>
    <cellStyle name="Normal" xfId="0" builtinId="0"/>
    <cellStyle name="Percent" xfId="3" builtinId="5"/>
  </cellStyles>
  <dxfs count="3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910806274763663"/>
          <c:y val="0.20864026605586372"/>
          <c:w val="0.57011213767094771"/>
          <c:h val="0.62036826468774275"/>
        </c:manualLayout>
      </c:layout>
      <c:lineChart>
        <c:grouping val="standard"/>
        <c:varyColors val="0"/>
        <c:ser>
          <c:idx val="0"/>
          <c:order val="0"/>
          <c:tx>
            <c:strRef>
              <c:f>'8Ans'!$F$10</c:f>
              <c:strCache>
                <c:ptCount val="1"/>
                <c:pt idx="0">
                  <c:v>Value of Bond P1</c:v>
                </c:pt>
              </c:strCache>
            </c:strRef>
          </c:tx>
          <c:spPr>
            <a:ln w="28575" cap="rnd">
              <a:solidFill>
                <a:schemeClr val="accent1"/>
              </a:solidFill>
              <a:round/>
            </a:ln>
            <a:effectLst/>
          </c:spPr>
          <c:marker>
            <c:symbol val="none"/>
          </c:marker>
          <c:cat>
            <c:numRef>
              <c:f>'8Ans'!$D$11:$D$21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'8Ans'!$F$11:$F$21</c:f>
              <c:numCache>
                <c:formatCode>_("$"* #,##0.00_);_("$"* \(#,##0.00\);_("$"* "-"??_);_(@_)</c:formatCode>
                <c:ptCount val="11"/>
                <c:pt idx="0">
                  <c:v>613.91325354075934</c:v>
                </c:pt>
                <c:pt idx="1">
                  <c:v>644.60891621779729</c:v>
                </c:pt>
                <c:pt idx="2">
                  <c:v>676.83936202868722</c:v>
                </c:pt>
                <c:pt idx="3">
                  <c:v>710.68133013012141</c:v>
                </c:pt>
                <c:pt idx="4">
                  <c:v>746.2153966366277</c:v>
                </c:pt>
                <c:pt idx="5">
                  <c:v>783.526166468459</c:v>
                </c:pt>
                <c:pt idx="6">
                  <c:v>822.70247479188197</c:v>
                </c:pt>
                <c:pt idx="7">
                  <c:v>863.83759853147603</c:v>
                </c:pt>
                <c:pt idx="8">
                  <c:v>907.02947845804988</c:v>
                </c:pt>
                <c:pt idx="9">
                  <c:v>952.38095238095229</c:v>
                </c:pt>
                <c:pt idx="10">
                  <c:v>1000</c:v>
                </c:pt>
              </c:numCache>
            </c:numRef>
          </c:val>
          <c:smooth val="0"/>
          <c:extLst>
            <c:ext xmlns:c16="http://schemas.microsoft.com/office/drawing/2014/chart" uri="{C3380CC4-5D6E-409C-BE32-E72D297353CC}">
              <c16:uniqueId val="{00000000-C48A-4BA2-839E-F5365C89319D}"/>
            </c:ext>
          </c:extLst>
        </c:ser>
        <c:ser>
          <c:idx val="1"/>
          <c:order val="1"/>
          <c:tx>
            <c:strRef>
              <c:f>'8Ans'!$H$10</c:f>
              <c:strCache>
                <c:ptCount val="1"/>
                <c:pt idx="0">
                  <c:v>Value of Bond P2</c:v>
                </c:pt>
              </c:strCache>
            </c:strRef>
          </c:tx>
          <c:spPr>
            <a:ln w="28575" cap="rnd">
              <a:solidFill>
                <a:schemeClr val="accent2"/>
              </a:solidFill>
              <a:round/>
            </a:ln>
            <a:effectLst/>
          </c:spPr>
          <c:marker>
            <c:symbol val="none"/>
          </c:marker>
          <c:cat>
            <c:numRef>
              <c:f>'8Ans'!$D$11:$D$21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'8Ans'!$H$11:$H$21</c:f>
              <c:numCache>
                <c:formatCode>_("$"* #,##0.00_);_("$"* \(#,##0.00\);_("$"* "-"??_);_(@_)</c:formatCode>
                <c:ptCount val="11"/>
                <c:pt idx="0">
                  <c:v>613.91325354075934</c:v>
                </c:pt>
                <c:pt idx="1">
                  <c:v>644.60891621779729</c:v>
                </c:pt>
                <c:pt idx="2">
                  <c:v>676.83936202868722</c:v>
                </c:pt>
                <c:pt idx="3">
                  <c:v>710.68133013012141</c:v>
                </c:pt>
                <c:pt idx="4">
                  <c:v>746.2153966366277</c:v>
                </c:pt>
                <c:pt idx="5">
                  <c:v>401.87757201646093</c:v>
                </c:pt>
                <c:pt idx="6">
                  <c:v>482.25308641975312</c:v>
                </c:pt>
                <c:pt idx="7">
                  <c:v>578.7037037037037</c:v>
                </c:pt>
                <c:pt idx="8">
                  <c:v>694.44444444444446</c:v>
                </c:pt>
                <c:pt idx="9">
                  <c:v>833.33333333333337</c:v>
                </c:pt>
                <c:pt idx="10">
                  <c:v>1000</c:v>
                </c:pt>
              </c:numCache>
            </c:numRef>
          </c:val>
          <c:smooth val="0"/>
          <c:extLst>
            <c:ext xmlns:c16="http://schemas.microsoft.com/office/drawing/2014/chart" uri="{C3380CC4-5D6E-409C-BE32-E72D297353CC}">
              <c16:uniqueId val="{00000001-C48A-4BA2-839E-F5365C89319D}"/>
            </c:ext>
          </c:extLst>
        </c:ser>
        <c:ser>
          <c:idx val="2"/>
          <c:order val="2"/>
          <c:tx>
            <c:strRef>
              <c:f>'8Ans'!$J$10</c:f>
              <c:strCache>
                <c:ptCount val="1"/>
                <c:pt idx="0">
                  <c:v>Value of Bond P3</c:v>
                </c:pt>
              </c:strCache>
            </c:strRef>
          </c:tx>
          <c:spPr>
            <a:ln w="28575" cap="rnd">
              <a:solidFill>
                <a:schemeClr val="accent3"/>
              </a:solidFill>
              <a:round/>
            </a:ln>
            <a:effectLst/>
          </c:spPr>
          <c:marker>
            <c:symbol val="none"/>
          </c:marker>
          <c:cat>
            <c:numRef>
              <c:f>'8Ans'!$D$11:$D$21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'8Ans'!$J$11:$J$21</c:f>
              <c:numCache>
                <c:formatCode>_("$"* #,##0.00_);_("$"* \(#,##0.00\);_("$"* "-"??_);_(@_)</c:formatCode>
                <c:ptCount val="11"/>
                <c:pt idx="0">
                  <c:v>613.91325354075934</c:v>
                </c:pt>
                <c:pt idx="1">
                  <c:v>424.09761837248465</c:v>
                </c:pt>
                <c:pt idx="2">
                  <c:v>466.50738020973318</c:v>
                </c:pt>
                <c:pt idx="3">
                  <c:v>759.91781320206326</c:v>
                </c:pt>
                <c:pt idx="4">
                  <c:v>790.31452573014576</c:v>
                </c:pt>
                <c:pt idx="5">
                  <c:v>821.92710675935155</c:v>
                </c:pt>
                <c:pt idx="6">
                  <c:v>888.487047915689</c:v>
                </c:pt>
                <c:pt idx="7">
                  <c:v>915.14165935315953</c:v>
                </c:pt>
                <c:pt idx="8">
                  <c:v>942.59590913375439</c:v>
                </c:pt>
                <c:pt idx="9">
                  <c:v>970.87378640776694</c:v>
                </c:pt>
                <c:pt idx="10">
                  <c:v>1000</c:v>
                </c:pt>
              </c:numCache>
            </c:numRef>
          </c:val>
          <c:smooth val="0"/>
          <c:extLst>
            <c:ext xmlns:c16="http://schemas.microsoft.com/office/drawing/2014/chart" uri="{C3380CC4-5D6E-409C-BE32-E72D297353CC}">
              <c16:uniqueId val="{00000002-C48A-4BA2-839E-F5365C89319D}"/>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'8Ans'!$F$10</c:f>
              <c:strCache>
                <c:ptCount val="1"/>
                <c:pt idx="0">
                  <c:v>Value of Bond P1</c:v>
                </c:pt>
              </c:strCache>
            </c:strRef>
          </c:tx>
          <c:spPr>
            <a:ln w="28575" cap="rnd">
              <a:solidFill>
                <a:schemeClr val="accent1"/>
              </a:solidFill>
              <a:round/>
            </a:ln>
            <a:effectLst/>
          </c:spPr>
          <c:marker>
            <c:symbol val="none"/>
          </c:marker>
          <c:val>
            <c:numRef>
              <c:f>'8Ans'!$F$11:$F$21</c:f>
              <c:numCache>
                <c:formatCode>_("$"* #,##0.00_);_("$"* \(#,##0.00\);_("$"* "-"??_);_(@_)</c:formatCode>
                <c:ptCount val="11"/>
                <c:pt idx="0">
                  <c:v>613.91325354075934</c:v>
                </c:pt>
                <c:pt idx="1">
                  <c:v>644.60891621779729</c:v>
                </c:pt>
                <c:pt idx="2">
                  <c:v>676.83936202868722</c:v>
                </c:pt>
                <c:pt idx="3">
                  <c:v>710.68133013012141</c:v>
                </c:pt>
                <c:pt idx="4">
                  <c:v>746.2153966366277</c:v>
                </c:pt>
                <c:pt idx="5">
                  <c:v>783.526166468459</c:v>
                </c:pt>
                <c:pt idx="6">
                  <c:v>822.70247479188197</c:v>
                </c:pt>
                <c:pt idx="7">
                  <c:v>863.83759853147603</c:v>
                </c:pt>
                <c:pt idx="8">
                  <c:v>907.02947845804988</c:v>
                </c:pt>
                <c:pt idx="9">
                  <c:v>952.38095238095229</c:v>
                </c:pt>
                <c:pt idx="10">
                  <c:v>1000</c:v>
                </c:pt>
              </c:numCache>
            </c:numRef>
          </c:val>
          <c:smooth val="0"/>
          <c:extLst>
            <c:ext xmlns:c16="http://schemas.microsoft.com/office/drawing/2014/chart" uri="{C3380CC4-5D6E-409C-BE32-E72D297353CC}">
              <c16:uniqueId val="{00000000-FACC-4021-9D70-81BBCB50D2D2}"/>
            </c:ext>
          </c:extLst>
        </c:ser>
        <c:ser>
          <c:idx val="1"/>
          <c:order val="1"/>
          <c:tx>
            <c:strRef>
              <c:f>'8Ans'!$H$10</c:f>
              <c:strCache>
                <c:ptCount val="1"/>
                <c:pt idx="0">
                  <c:v>Value of Bond P2</c:v>
                </c:pt>
              </c:strCache>
            </c:strRef>
          </c:tx>
          <c:spPr>
            <a:ln w="28575" cap="rnd">
              <a:solidFill>
                <a:schemeClr val="accent2"/>
              </a:solidFill>
              <a:round/>
            </a:ln>
            <a:effectLst/>
          </c:spPr>
          <c:marker>
            <c:symbol val="none"/>
          </c:marker>
          <c:val>
            <c:numRef>
              <c:f>'8Ans'!$H$11:$H$21</c:f>
              <c:numCache>
                <c:formatCode>_("$"* #,##0.00_);_("$"* \(#,##0.00\);_("$"* "-"??_);_(@_)</c:formatCode>
                <c:ptCount val="11"/>
                <c:pt idx="0">
                  <c:v>613.91325354075934</c:v>
                </c:pt>
                <c:pt idx="1">
                  <c:v>644.60891621779729</c:v>
                </c:pt>
                <c:pt idx="2">
                  <c:v>676.83936202868722</c:v>
                </c:pt>
                <c:pt idx="3">
                  <c:v>710.68133013012141</c:v>
                </c:pt>
                <c:pt idx="4">
                  <c:v>746.2153966366277</c:v>
                </c:pt>
                <c:pt idx="5">
                  <c:v>401.87757201646093</c:v>
                </c:pt>
                <c:pt idx="6">
                  <c:v>482.25308641975312</c:v>
                </c:pt>
                <c:pt idx="7">
                  <c:v>578.7037037037037</c:v>
                </c:pt>
                <c:pt idx="8">
                  <c:v>694.44444444444446</c:v>
                </c:pt>
                <c:pt idx="9">
                  <c:v>833.33333333333337</c:v>
                </c:pt>
                <c:pt idx="10">
                  <c:v>1000</c:v>
                </c:pt>
              </c:numCache>
            </c:numRef>
          </c:val>
          <c:smooth val="0"/>
          <c:extLst>
            <c:ext xmlns:c16="http://schemas.microsoft.com/office/drawing/2014/chart" uri="{C3380CC4-5D6E-409C-BE32-E72D297353CC}">
              <c16:uniqueId val="{00000001-FACC-4021-9D70-81BBCB50D2D2}"/>
            </c:ext>
          </c:extLst>
        </c:ser>
        <c:ser>
          <c:idx val="2"/>
          <c:order val="2"/>
          <c:tx>
            <c:strRef>
              <c:f>'8Ans'!$J$10</c:f>
              <c:strCache>
                <c:ptCount val="1"/>
                <c:pt idx="0">
                  <c:v>Value of Bond P3</c:v>
                </c:pt>
              </c:strCache>
            </c:strRef>
          </c:tx>
          <c:spPr>
            <a:ln w="28575" cap="rnd">
              <a:solidFill>
                <a:schemeClr val="accent3"/>
              </a:solidFill>
              <a:round/>
            </a:ln>
            <a:effectLst/>
          </c:spPr>
          <c:marker>
            <c:symbol val="none"/>
          </c:marker>
          <c:val>
            <c:numRef>
              <c:f>'8Ans'!$J$11:$J$21</c:f>
              <c:numCache>
                <c:formatCode>_("$"* #,##0.00_);_("$"* \(#,##0.00\);_("$"* "-"??_);_(@_)</c:formatCode>
                <c:ptCount val="11"/>
                <c:pt idx="0">
                  <c:v>613.91325354075934</c:v>
                </c:pt>
                <c:pt idx="1">
                  <c:v>424.09761837248465</c:v>
                </c:pt>
                <c:pt idx="2">
                  <c:v>466.50738020973318</c:v>
                </c:pt>
                <c:pt idx="3">
                  <c:v>759.91781320206326</c:v>
                </c:pt>
                <c:pt idx="4">
                  <c:v>790.31452573014576</c:v>
                </c:pt>
                <c:pt idx="5">
                  <c:v>821.92710675935155</c:v>
                </c:pt>
                <c:pt idx="6">
                  <c:v>888.487047915689</c:v>
                </c:pt>
                <c:pt idx="7">
                  <c:v>915.14165935315953</c:v>
                </c:pt>
                <c:pt idx="8">
                  <c:v>942.59590913375439</c:v>
                </c:pt>
                <c:pt idx="9">
                  <c:v>970.87378640776694</c:v>
                </c:pt>
                <c:pt idx="10">
                  <c:v>1000</c:v>
                </c:pt>
              </c:numCache>
            </c:numRef>
          </c:val>
          <c:smooth val="0"/>
          <c:extLst>
            <c:ext xmlns:c16="http://schemas.microsoft.com/office/drawing/2014/chart" uri="{C3380CC4-5D6E-409C-BE32-E72D297353CC}">
              <c16:uniqueId val="{00000002-FACC-4021-9D70-81BBCB50D2D2}"/>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'8Ans'!$F$10</c:f>
              <c:strCache>
                <c:ptCount val="1"/>
                <c:pt idx="0">
                  <c:v>Value of Bond P1</c:v>
                </c:pt>
              </c:strCache>
            </c:strRef>
          </c:tx>
          <c:spPr>
            <a:ln w="28575" cap="rnd">
              <a:solidFill>
                <a:schemeClr val="accent1"/>
              </a:solidFill>
              <a:round/>
            </a:ln>
            <a:effectLst/>
          </c:spPr>
          <c:marker>
            <c:symbol val="none"/>
          </c:marker>
          <c:val>
            <c:numRef>
              <c:f>'8Ans'!$F$11:$F$21</c:f>
              <c:numCache>
                <c:formatCode>_("$"* #,##0.00_);_("$"* \(#,##0.00\);_("$"* "-"??_);_(@_)</c:formatCode>
                <c:ptCount val="11"/>
                <c:pt idx="0">
                  <c:v>613.91325354075934</c:v>
                </c:pt>
                <c:pt idx="1">
                  <c:v>644.60891621779729</c:v>
                </c:pt>
                <c:pt idx="2">
                  <c:v>676.83936202868722</c:v>
                </c:pt>
                <c:pt idx="3">
                  <c:v>710.68133013012141</c:v>
                </c:pt>
                <c:pt idx="4">
                  <c:v>746.2153966366277</c:v>
                </c:pt>
                <c:pt idx="5">
                  <c:v>783.526166468459</c:v>
                </c:pt>
                <c:pt idx="6">
                  <c:v>822.70247479188197</c:v>
                </c:pt>
                <c:pt idx="7">
                  <c:v>863.83759853147603</c:v>
                </c:pt>
                <c:pt idx="8">
                  <c:v>907.02947845804988</c:v>
                </c:pt>
                <c:pt idx="9">
                  <c:v>952.38095238095229</c:v>
                </c:pt>
                <c:pt idx="10">
                  <c:v>1000</c:v>
                </c:pt>
              </c:numCache>
            </c:numRef>
          </c:val>
          <c:smooth val="0"/>
          <c:extLst>
            <c:ext xmlns:c16="http://schemas.microsoft.com/office/drawing/2014/chart" uri="{C3380CC4-5D6E-409C-BE32-E72D297353CC}">
              <c16:uniqueId val="{00000000-E35B-4671-80DE-6A8095524B94}"/>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'8Ans'!$H$10</c:f>
              <c:strCache>
                <c:ptCount val="1"/>
                <c:pt idx="0">
                  <c:v>Value of Bond P2</c:v>
                </c:pt>
              </c:strCache>
            </c:strRef>
          </c:tx>
          <c:spPr>
            <a:ln w="28575" cap="rnd">
              <a:solidFill>
                <a:schemeClr val="accent2"/>
              </a:solidFill>
              <a:round/>
            </a:ln>
            <a:effectLst/>
          </c:spPr>
          <c:marker>
            <c:symbol val="none"/>
          </c:marker>
          <c:val>
            <c:numRef>
              <c:f>'8Ans'!$H$11:$H$21</c:f>
              <c:numCache>
                <c:formatCode>_("$"* #,##0.00_);_("$"* \(#,##0.00\);_("$"* "-"??_);_(@_)</c:formatCode>
                <c:ptCount val="11"/>
                <c:pt idx="0">
                  <c:v>613.91325354075934</c:v>
                </c:pt>
                <c:pt idx="1">
                  <c:v>644.60891621779729</c:v>
                </c:pt>
                <c:pt idx="2">
                  <c:v>676.83936202868722</c:v>
                </c:pt>
                <c:pt idx="3">
                  <c:v>710.68133013012141</c:v>
                </c:pt>
                <c:pt idx="4">
                  <c:v>746.2153966366277</c:v>
                </c:pt>
                <c:pt idx="5">
                  <c:v>401.87757201646093</c:v>
                </c:pt>
                <c:pt idx="6">
                  <c:v>482.25308641975312</c:v>
                </c:pt>
                <c:pt idx="7">
                  <c:v>578.7037037037037</c:v>
                </c:pt>
                <c:pt idx="8">
                  <c:v>694.44444444444446</c:v>
                </c:pt>
                <c:pt idx="9">
                  <c:v>833.33333333333337</c:v>
                </c:pt>
                <c:pt idx="10">
                  <c:v>1000</c:v>
                </c:pt>
              </c:numCache>
            </c:numRef>
          </c:val>
          <c:smooth val="0"/>
          <c:extLst>
            <c:ext xmlns:c16="http://schemas.microsoft.com/office/drawing/2014/chart" uri="{C3380CC4-5D6E-409C-BE32-E72D297353CC}">
              <c16:uniqueId val="{00000000-95B8-4870-A17F-4C2A906DC256}"/>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'8Ans'!$J$10</c:f>
              <c:strCache>
                <c:ptCount val="1"/>
                <c:pt idx="0">
                  <c:v>Value of Bond P3</c:v>
                </c:pt>
              </c:strCache>
            </c:strRef>
          </c:tx>
          <c:spPr>
            <a:ln w="28575" cap="rnd">
              <a:solidFill>
                <a:schemeClr val="accent3"/>
              </a:solidFill>
              <a:round/>
            </a:ln>
            <a:effectLst/>
          </c:spPr>
          <c:marker>
            <c:symbol val="none"/>
          </c:marker>
          <c:val>
            <c:numRef>
              <c:f>'8Ans'!$J$11:$J$21</c:f>
              <c:numCache>
                <c:formatCode>_("$"* #,##0.00_);_("$"* \(#,##0.00\);_("$"* "-"??_);_(@_)</c:formatCode>
                <c:ptCount val="11"/>
                <c:pt idx="0">
                  <c:v>613.91325354075934</c:v>
                </c:pt>
                <c:pt idx="1">
                  <c:v>424.09761837248465</c:v>
                </c:pt>
                <c:pt idx="2">
                  <c:v>466.50738020973318</c:v>
                </c:pt>
                <c:pt idx="3">
                  <c:v>759.91781320206326</c:v>
                </c:pt>
                <c:pt idx="4">
                  <c:v>790.31452573014576</c:v>
                </c:pt>
                <c:pt idx="5">
                  <c:v>821.92710675935155</c:v>
                </c:pt>
                <c:pt idx="6">
                  <c:v>888.487047915689</c:v>
                </c:pt>
                <c:pt idx="7">
                  <c:v>915.14165935315953</c:v>
                </c:pt>
                <c:pt idx="8">
                  <c:v>942.59590913375439</c:v>
                </c:pt>
                <c:pt idx="9">
                  <c:v>970.87378640776694</c:v>
                </c:pt>
                <c:pt idx="10">
                  <c:v>1000</c:v>
                </c:pt>
              </c:numCache>
            </c:numRef>
          </c:val>
          <c:smooth val="0"/>
          <c:extLst>
            <c:ext xmlns:c16="http://schemas.microsoft.com/office/drawing/2014/chart" uri="{C3380CC4-5D6E-409C-BE32-E72D297353CC}">
              <c16:uniqueId val="{00000000-8BE2-4D1B-8219-9B40694392CE}"/>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910806274763663"/>
          <c:y val="0.20864026605586372"/>
          <c:w val="0.57011213767094771"/>
          <c:h val="0.62036826468774275"/>
        </c:manualLayout>
      </c:layout>
      <c:lineChart>
        <c:grouping val="standard"/>
        <c:varyColors val="0"/>
        <c:ser>
          <c:idx val="0"/>
          <c:order val="0"/>
          <c:tx>
            <c:strRef>
              <c:f>'8 Unexpected Chs in Int Rates'!$F$10</c:f>
              <c:strCache>
                <c:ptCount val="1"/>
                <c:pt idx="0">
                  <c:v>Value of Bond P1</c:v>
                </c:pt>
              </c:strCache>
            </c:strRef>
          </c:tx>
          <c:spPr>
            <a:ln w="28575" cap="rnd">
              <a:solidFill>
                <a:schemeClr val="accent1"/>
              </a:solidFill>
              <a:round/>
            </a:ln>
            <a:effectLst/>
          </c:spPr>
          <c:marker>
            <c:symbol val="none"/>
          </c:marker>
          <c:cat>
            <c:numRef>
              <c:f>'8 Unexpected Chs in Int Rates'!$D$11:$D$21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'8 Unexpected Chs in Int Rates'!$F$11:$F$21</c:f>
              <c:numCache>
                <c:formatCode>_("$"* #,##0.00_);_("$"* \(#,##0.00\);_("$"* "-"??_);_(@_)</c:formatCode>
                <c:ptCount val="11"/>
                <c:pt idx="0">
                  <c:v>613.91325354075934</c:v>
                </c:pt>
                <c:pt idx="1">
                  <c:v>644.60891621779729</c:v>
                </c:pt>
                <c:pt idx="2">
                  <c:v>676.83936202868722</c:v>
                </c:pt>
                <c:pt idx="3">
                  <c:v>710.68133013012141</c:v>
                </c:pt>
                <c:pt idx="4">
                  <c:v>746.2153966366277</c:v>
                </c:pt>
                <c:pt idx="5">
                  <c:v>783.526166468459</c:v>
                </c:pt>
                <c:pt idx="6">
                  <c:v>822.70247479188197</c:v>
                </c:pt>
                <c:pt idx="7">
                  <c:v>863.83759853147603</c:v>
                </c:pt>
                <c:pt idx="8">
                  <c:v>907.02947845804988</c:v>
                </c:pt>
                <c:pt idx="9">
                  <c:v>952.38095238095229</c:v>
                </c:pt>
                <c:pt idx="10">
                  <c:v>1000</c:v>
                </c:pt>
              </c:numCache>
            </c:numRef>
          </c:val>
          <c:smooth val="0"/>
          <c:extLst>
            <c:ext xmlns:c16="http://schemas.microsoft.com/office/drawing/2014/chart" uri="{C3380CC4-5D6E-409C-BE32-E72D297353CC}">
              <c16:uniqueId val="{00000000-CEA5-41D6-8968-3040AEAF2B32}"/>
            </c:ext>
          </c:extLst>
        </c:ser>
        <c:ser>
          <c:idx val="1"/>
          <c:order val="1"/>
          <c:tx>
            <c:strRef>
              <c:f>'8 Unexpected Chs in Int Rates'!$H$10</c:f>
              <c:strCache>
                <c:ptCount val="1"/>
                <c:pt idx="0">
                  <c:v>Value of Bond P2</c:v>
                </c:pt>
              </c:strCache>
            </c:strRef>
          </c:tx>
          <c:spPr>
            <a:ln w="28575" cap="rnd">
              <a:solidFill>
                <a:schemeClr val="accent2"/>
              </a:solidFill>
              <a:round/>
            </a:ln>
            <a:effectLst/>
          </c:spPr>
          <c:marker>
            <c:symbol val="none"/>
          </c:marker>
          <c:cat>
            <c:numRef>
              <c:f>'8 Unexpected Chs in Int Rates'!$D$11:$D$21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'8 Unexpected Chs in Int Rates'!$H$11:$H$21</c:f>
              <c:numCache>
                <c:formatCode>_("$"* #,##0.00_);_("$"* \(#,##0.00\);_("$"* "-"??_);_(@_)</c:formatCode>
                <c:ptCount val="11"/>
                <c:pt idx="0">
                  <c:v>613.91325354075934</c:v>
                </c:pt>
                <c:pt idx="1">
                  <c:v>644.60891621779729</c:v>
                </c:pt>
                <c:pt idx="2">
                  <c:v>676.83936202868722</c:v>
                </c:pt>
                <c:pt idx="3">
                  <c:v>710.68133013012141</c:v>
                </c:pt>
                <c:pt idx="4">
                  <c:v>746.2153966366277</c:v>
                </c:pt>
                <c:pt idx="5">
                  <c:v>401.87757201646093</c:v>
                </c:pt>
                <c:pt idx="6">
                  <c:v>482.25308641975312</c:v>
                </c:pt>
                <c:pt idx="7">
                  <c:v>578.7037037037037</c:v>
                </c:pt>
                <c:pt idx="8">
                  <c:v>694.44444444444446</c:v>
                </c:pt>
                <c:pt idx="9">
                  <c:v>833.33333333333337</c:v>
                </c:pt>
                <c:pt idx="10">
                  <c:v>1000</c:v>
                </c:pt>
              </c:numCache>
            </c:numRef>
          </c:val>
          <c:smooth val="0"/>
          <c:extLst>
            <c:ext xmlns:c16="http://schemas.microsoft.com/office/drawing/2014/chart" uri="{C3380CC4-5D6E-409C-BE32-E72D297353CC}">
              <c16:uniqueId val="{00000001-CEA5-41D6-8968-3040AEAF2B32}"/>
            </c:ext>
          </c:extLst>
        </c:ser>
        <c:ser>
          <c:idx val="2"/>
          <c:order val="2"/>
          <c:tx>
            <c:strRef>
              <c:f>'8 Unexpected Chs in Int Rates'!$J$10</c:f>
              <c:strCache>
                <c:ptCount val="1"/>
                <c:pt idx="0">
                  <c:v>Value of Bond P3</c:v>
                </c:pt>
              </c:strCache>
            </c:strRef>
          </c:tx>
          <c:spPr>
            <a:ln w="28575" cap="rnd">
              <a:solidFill>
                <a:schemeClr val="accent3"/>
              </a:solidFill>
              <a:round/>
            </a:ln>
            <a:effectLst/>
          </c:spPr>
          <c:marker>
            <c:symbol val="none"/>
          </c:marker>
          <c:cat>
            <c:numRef>
              <c:f>'8 Unexpected Chs in Int Rates'!$D$11:$D$21</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'8 Unexpected Chs in Int Rates'!$J$11:$J$21</c:f>
              <c:numCache>
                <c:formatCode>_("$"* #,##0.00_);_("$"* \(#,##0.00\);_("$"* "-"??_);_(@_)</c:formatCode>
                <c:ptCount val="11"/>
                <c:pt idx="0">
                  <c:v>613.91325354075934</c:v>
                </c:pt>
                <c:pt idx="1">
                  <c:v>424.09761837248465</c:v>
                </c:pt>
                <c:pt idx="2">
                  <c:v>466.50738020973318</c:v>
                </c:pt>
                <c:pt idx="3">
                  <c:v>759.91781320206326</c:v>
                </c:pt>
                <c:pt idx="4">
                  <c:v>790.31452573014576</c:v>
                </c:pt>
                <c:pt idx="5">
                  <c:v>821.92710675935155</c:v>
                </c:pt>
                <c:pt idx="6">
                  <c:v>888.487047915689</c:v>
                </c:pt>
                <c:pt idx="7">
                  <c:v>915.14165935315953</c:v>
                </c:pt>
                <c:pt idx="8">
                  <c:v>942.59590913375439</c:v>
                </c:pt>
                <c:pt idx="9">
                  <c:v>970.87378640776694</c:v>
                </c:pt>
                <c:pt idx="10">
                  <c:v>1000</c:v>
                </c:pt>
              </c:numCache>
            </c:numRef>
          </c:val>
          <c:smooth val="0"/>
          <c:extLst>
            <c:ext xmlns:c16="http://schemas.microsoft.com/office/drawing/2014/chart" uri="{C3380CC4-5D6E-409C-BE32-E72D297353CC}">
              <c16:uniqueId val="{00000002-CEA5-41D6-8968-3040AEAF2B32}"/>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'8 Unexpected Chs in Int Rates'!$F$10</c:f>
              <c:strCache>
                <c:ptCount val="1"/>
                <c:pt idx="0">
                  <c:v>Value of Bond P1</c:v>
                </c:pt>
              </c:strCache>
            </c:strRef>
          </c:tx>
          <c:spPr>
            <a:ln w="28575" cap="rnd">
              <a:solidFill>
                <a:schemeClr val="accent1"/>
              </a:solidFill>
              <a:round/>
            </a:ln>
            <a:effectLst/>
          </c:spPr>
          <c:marker>
            <c:symbol val="none"/>
          </c:marker>
          <c:val>
            <c:numRef>
              <c:f>'8 Unexpected Chs in Int Rates'!$F$11:$F$21</c:f>
              <c:numCache>
                <c:formatCode>_("$"* #,##0.00_);_("$"* \(#,##0.00\);_("$"* "-"??_);_(@_)</c:formatCode>
                <c:ptCount val="11"/>
                <c:pt idx="0">
                  <c:v>613.91325354075934</c:v>
                </c:pt>
                <c:pt idx="1">
                  <c:v>644.60891621779729</c:v>
                </c:pt>
                <c:pt idx="2">
                  <c:v>676.83936202868722</c:v>
                </c:pt>
                <c:pt idx="3">
                  <c:v>710.68133013012141</c:v>
                </c:pt>
                <c:pt idx="4">
                  <c:v>746.2153966366277</c:v>
                </c:pt>
                <c:pt idx="5">
                  <c:v>783.526166468459</c:v>
                </c:pt>
                <c:pt idx="6">
                  <c:v>822.70247479188197</c:v>
                </c:pt>
                <c:pt idx="7">
                  <c:v>863.83759853147603</c:v>
                </c:pt>
                <c:pt idx="8">
                  <c:v>907.02947845804988</c:v>
                </c:pt>
                <c:pt idx="9">
                  <c:v>952.38095238095229</c:v>
                </c:pt>
                <c:pt idx="10">
                  <c:v>1000</c:v>
                </c:pt>
              </c:numCache>
            </c:numRef>
          </c:val>
          <c:smooth val="0"/>
          <c:extLst>
            <c:ext xmlns:c16="http://schemas.microsoft.com/office/drawing/2014/chart" uri="{C3380CC4-5D6E-409C-BE32-E72D297353CC}">
              <c16:uniqueId val="{00000000-0EC6-476B-BD04-C46315B0F64C}"/>
            </c:ext>
          </c:extLst>
        </c:ser>
        <c:ser>
          <c:idx val="1"/>
          <c:order val="1"/>
          <c:tx>
            <c:strRef>
              <c:f>'8 Unexpected Chs in Int Rates'!$H$10</c:f>
              <c:strCache>
                <c:ptCount val="1"/>
                <c:pt idx="0">
                  <c:v>Value of Bond P2</c:v>
                </c:pt>
              </c:strCache>
            </c:strRef>
          </c:tx>
          <c:spPr>
            <a:ln w="28575" cap="rnd">
              <a:solidFill>
                <a:schemeClr val="accent2"/>
              </a:solidFill>
              <a:round/>
            </a:ln>
            <a:effectLst/>
          </c:spPr>
          <c:marker>
            <c:symbol val="none"/>
          </c:marker>
          <c:val>
            <c:numRef>
              <c:f>'8 Unexpected Chs in Int Rates'!$H$11:$H$21</c:f>
              <c:numCache>
                <c:formatCode>_("$"* #,##0.00_);_("$"* \(#,##0.00\);_("$"* "-"??_);_(@_)</c:formatCode>
                <c:ptCount val="11"/>
                <c:pt idx="0">
                  <c:v>613.91325354075934</c:v>
                </c:pt>
                <c:pt idx="1">
                  <c:v>644.60891621779729</c:v>
                </c:pt>
                <c:pt idx="2">
                  <c:v>676.83936202868722</c:v>
                </c:pt>
                <c:pt idx="3">
                  <c:v>710.68133013012141</c:v>
                </c:pt>
                <c:pt idx="4">
                  <c:v>746.2153966366277</c:v>
                </c:pt>
                <c:pt idx="5">
                  <c:v>401.87757201646093</c:v>
                </c:pt>
                <c:pt idx="6">
                  <c:v>482.25308641975312</c:v>
                </c:pt>
                <c:pt idx="7">
                  <c:v>578.7037037037037</c:v>
                </c:pt>
                <c:pt idx="8">
                  <c:v>694.44444444444446</c:v>
                </c:pt>
                <c:pt idx="9">
                  <c:v>833.33333333333337</c:v>
                </c:pt>
                <c:pt idx="10">
                  <c:v>1000</c:v>
                </c:pt>
              </c:numCache>
            </c:numRef>
          </c:val>
          <c:smooth val="0"/>
          <c:extLst>
            <c:ext xmlns:c16="http://schemas.microsoft.com/office/drawing/2014/chart" uri="{C3380CC4-5D6E-409C-BE32-E72D297353CC}">
              <c16:uniqueId val="{00000001-0EC6-476B-BD04-C46315B0F64C}"/>
            </c:ext>
          </c:extLst>
        </c:ser>
        <c:ser>
          <c:idx val="2"/>
          <c:order val="2"/>
          <c:tx>
            <c:strRef>
              <c:f>'8 Unexpected Chs in Int Rates'!$J$10</c:f>
              <c:strCache>
                <c:ptCount val="1"/>
                <c:pt idx="0">
                  <c:v>Value of Bond P3</c:v>
                </c:pt>
              </c:strCache>
            </c:strRef>
          </c:tx>
          <c:spPr>
            <a:ln w="28575" cap="rnd">
              <a:solidFill>
                <a:schemeClr val="accent3"/>
              </a:solidFill>
              <a:round/>
            </a:ln>
            <a:effectLst/>
          </c:spPr>
          <c:marker>
            <c:symbol val="none"/>
          </c:marker>
          <c:val>
            <c:numRef>
              <c:f>'8 Unexpected Chs in Int Rates'!$J$11:$J$21</c:f>
              <c:numCache>
                <c:formatCode>_("$"* #,##0.00_);_("$"* \(#,##0.00\);_("$"* "-"??_);_(@_)</c:formatCode>
                <c:ptCount val="11"/>
                <c:pt idx="0">
                  <c:v>613.91325354075934</c:v>
                </c:pt>
                <c:pt idx="1">
                  <c:v>424.09761837248465</c:v>
                </c:pt>
                <c:pt idx="2">
                  <c:v>466.50738020973318</c:v>
                </c:pt>
                <c:pt idx="3">
                  <c:v>759.91781320206326</c:v>
                </c:pt>
                <c:pt idx="4">
                  <c:v>790.31452573014576</c:v>
                </c:pt>
                <c:pt idx="5">
                  <c:v>821.92710675935155</c:v>
                </c:pt>
                <c:pt idx="6">
                  <c:v>888.487047915689</c:v>
                </c:pt>
                <c:pt idx="7">
                  <c:v>915.14165935315953</c:v>
                </c:pt>
                <c:pt idx="8">
                  <c:v>942.59590913375439</c:v>
                </c:pt>
                <c:pt idx="9">
                  <c:v>970.87378640776694</c:v>
                </c:pt>
                <c:pt idx="10">
                  <c:v>1000</c:v>
                </c:pt>
              </c:numCache>
            </c:numRef>
          </c:val>
          <c:smooth val="0"/>
          <c:extLst>
            <c:ext xmlns:c16="http://schemas.microsoft.com/office/drawing/2014/chart" uri="{C3380CC4-5D6E-409C-BE32-E72D297353CC}">
              <c16:uniqueId val="{00000002-0EC6-476B-BD04-C46315B0F64C}"/>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'8 Unexpected Chs in Int Rates'!$F$10</c:f>
              <c:strCache>
                <c:ptCount val="1"/>
                <c:pt idx="0">
                  <c:v>Value of Bond P1</c:v>
                </c:pt>
              </c:strCache>
            </c:strRef>
          </c:tx>
          <c:spPr>
            <a:ln w="28575" cap="rnd">
              <a:solidFill>
                <a:schemeClr val="accent1"/>
              </a:solidFill>
              <a:round/>
            </a:ln>
            <a:effectLst/>
          </c:spPr>
          <c:marker>
            <c:symbol val="none"/>
          </c:marker>
          <c:val>
            <c:numRef>
              <c:f>'8 Unexpected Chs in Int Rates'!$F$11:$F$21</c:f>
              <c:numCache>
                <c:formatCode>_("$"* #,##0.00_);_("$"* \(#,##0.00\);_("$"* "-"??_);_(@_)</c:formatCode>
                <c:ptCount val="11"/>
                <c:pt idx="0">
                  <c:v>613.91325354075934</c:v>
                </c:pt>
                <c:pt idx="1">
                  <c:v>644.60891621779729</c:v>
                </c:pt>
                <c:pt idx="2">
                  <c:v>676.83936202868722</c:v>
                </c:pt>
                <c:pt idx="3">
                  <c:v>710.68133013012141</c:v>
                </c:pt>
                <c:pt idx="4">
                  <c:v>746.2153966366277</c:v>
                </c:pt>
                <c:pt idx="5">
                  <c:v>783.526166468459</c:v>
                </c:pt>
                <c:pt idx="6">
                  <c:v>822.70247479188197</c:v>
                </c:pt>
                <c:pt idx="7">
                  <c:v>863.83759853147603</c:v>
                </c:pt>
                <c:pt idx="8">
                  <c:v>907.02947845804988</c:v>
                </c:pt>
                <c:pt idx="9">
                  <c:v>952.38095238095229</c:v>
                </c:pt>
                <c:pt idx="10">
                  <c:v>1000</c:v>
                </c:pt>
              </c:numCache>
            </c:numRef>
          </c:val>
          <c:smooth val="0"/>
          <c:extLst>
            <c:ext xmlns:c16="http://schemas.microsoft.com/office/drawing/2014/chart" uri="{C3380CC4-5D6E-409C-BE32-E72D297353CC}">
              <c16:uniqueId val="{00000000-78BE-4879-B5C7-BC3D42F4699A}"/>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'8 Unexpected Chs in Int Rates'!$H$10</c:f>
              <c:strCache>
                <c:ptCount val="1"/>
                <c:pt idx="0">
                  <c:v>Value of Bond P2</c:v>
                </c:pt>
              </c:strCache>
            </c:strRef>
          </c:tx>
          <c:spPr>
            <a:ln w="28575" cap="rnd">
              <a:solidFill>
                <a:schemeClr val="accent2"/>
              </a:solidFill>
              <a:round/>
            </a:ln>
            <a:effectLst/>
          </c:spPr>
          <c:marker>
            <c:symbol val="none"/>
          </c:marker>
          <c:val>
            <c:numRef>
              <c:f>'8 Unexpected Chs in Int Rates'!$H$11:$H$21</c:f>
              <c:numCache>
                <c:formatCode>_("$"* #,##0.00_);_("$"* \(#,##0.00\);_("$"* "-"??_);_(@_)</c:formatCode>
                <c:ptCount val="11"/>
                <c:pt idx="0">
                  <c:v>613.91325354075934</c:v>
                </c:pt>
                <c:pt idx="1">
                  <c:v>644.60891621779729</c:v>
                </c:pt>
                <c:pt idx="2">
                  <c:v>676.83936202868722</c:v>
                </c:pt>
                <c:pt idx="3">
                  <c:v>710.68133013012141</c:v>
                </c:pt>
                <c:pt idx="4">
                  <c:v>746.2153966366277</c:v>
                </c:pt>
                <c:pt idx="5">
                  <c:v>401.87757201646093</c:v>
                </c:pt>
                <c:pt idx="6">
                  <c:v>482.25308641975312</c:v>
                </c:pt>
                <c:pt idx="7">
                  <c:v>578.7037037037037</c:v>
                </c:pt>
                <c:pt idx="8">
                  <c:v>694.44444444444446</c:v>
                </c:pt>
                <c:pt idx="9">
                  <c:v>833.33333333333337</c:v>
                </c:pt>
                <c:pt idx="10">
                  <c:v>1000</c:v>
                </c:pt>
              </c:numCache>
            </c:numRef>
          </c:val>
          <c:smooth val="0"/>
          <c:extLst>
            <c:ext xmlns:c16="http://schemas.microsoft.com/office/drawing/2014/chart" uri="{C3380CC4-5D6E-409C-BE32-E72D297353CC}">
              <c16:uniqueId val="{00000001-FF0F-4505-A265-1385B4C63EA4}"/>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of Zero Coupon Bonds Over Time with Unanticipated Changes in Interest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'8 Unexpected Chs in Int Rates'!$J$10</c:f>
              <c:strCache>
                <c:ptCount val="1"/>
                <c:pt idx="0">
                  <c:v>Value of Bond P3</c:v>
                </c:pt>
              </c:strCache>
            </c:strRef>
          </c:tx>
          <c:spPr>
            <a:ln w="28575" cap="rnd">
              <a:solidFill>
                <a:schemeClr val="accent3"/>
              </a:solidFill>
              <a:round/>
            </a:ln>
            <a:effectLst/>
          </c:spPr>
          <c:marker>
            <c:symbol val="none"/>
          </c:marker>
          <c:val>
            <c:numRef>
              <c:f>'8 Unexpected Chs in Int Rates'!$J$11:$J$21</c:f>
              <c:numCache>
                <c:formatCode>_("$"* #,##0.00_);_("$"* \(#,##0.00\);_("$"* "-"??_);_(@_)</c:formatCode>
                <c:ptCount val="11"/>
                <c:pt idx="0">
                  <c:v>613.91325354075934</c:v>
                </c:pt>
                <c:pt idx="1">
                  <c:v>424.09761837248465</c:v>
                </c:pt>
                <c:pt idx="2">
                  <c:v>466.50738020973318</c:v>
                </c:pt>
                <c:pt idx="3">
                  <c:v>759.91781320206326</c:v>
                </c:pt>
                <c:pt idx="4">
                  <c:v>790.31452573014576</c:v>
                </c:pt>
                <c:pt idx="5">
                  <c:v>821.92710675935155</c:v>
                </c:pt>
                <c:pt idx="6">
                  <c:v>888.487047915689</c:v>
                </c:pt>
                <c:pt idx="7">
                  <c:v>915.14165935315953</c:v>
                </c:pt>
                <c:pt idx="8">
                  <c:v>942.59590913375439</c:v>
                </c:pt>
                <c:pt idx="9">
                  <c:v>970.87378640776694</c:v>
                </c:pt>
                <c:pt idx="10">
                  <c:v>1000</c:v>
                </c:pt>
              </c:numCache>
            </c:numRef>
          </c:val>
          <c:smooth val="0"/>
          <c:extLst>
            <c:ext xmlns:c16="http://schemas.microsoft.com/office/drawing/2014/chart" uri="{C3380CC4-5D6E-409C-BE32-E72D297353CC}">
              <c16:uniqueId val="{00000002-56ED-4A14-BDCB-2AFBCE027778}"/>
            </c:ext>
          </c:extLst>
        </c:ser>
        <c:dLbls>
          <c:showLegendKey val="0"/>
          <c:showVal val="0"/>
          <c:showCatName val="0"/>
          <c:showSerName val="0"/>
          <c:showPercent val="0"/>
          <c:showBubbleSize val="0"/>
        </c:dLbls>
        <c:smooth val="0"/>
        <c:axId val="595737216"/>
        <c:axId val="595737608"/>
      </c:lineChart>
      <c:catAx>
        <c:axId val="595737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608"/>
        <c:crosses val="autoZero"/>
        <c:auto val="1"/>
        <c:lblAlgn val="ctr"/>
        <c:lblOffset val="100"/>
        <c:noMultiLvlLbl val="0"/>
      </c:catAx>
      <c:valAx>
        <c:axId val="595737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7372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E$47" lockText="1" noThreeD="1"/>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0</xdr:col>
      <xdr:colOff>153329</xdr:colOff>
      <xdr:row>0</xdr:row>
      <xdr:rowOff>139389</xdr:rowOff>
    </xdr:from>
    <xdr:ext cx="6930263" cy="3684899"/>
    <xdr:sp macro="" textlink="">
      <xdr:nvSpPr>
        <xdr:cNvPr id="3" name="TextBox 1">
          <a:extLst>
            <a:ext uri="{FF2B5EF4-FFF2-40B4-BE49-F238E27FC236}">
              <a16:creationId xmlns:a16="http://schemas.microsoft.com/office/drawing/2014/main" id="{00000000-0008-0000-0000-000003000000}"/>
            </a:ext>
          </a:extLst>
        </xdr:cNvPr>
        <xdr:cNvSpPr txBox="1"/>
      </xdr:nvSpPr>
      <xdr:spPr>
        <a:xfrm>
          <a:off x="153329" y="139389"/>
          <a:ext cx="6930263" cy="368489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tx1"/>
              </a:solidFill>
              <a:effectLst/>
              <a:latin typeface="+mn-lt"/>
              <a:ea typeface="+mn-ea"/>
              <a:cs typeface="+mn-cs"/>
            </a:rPr>
            <a:t>Yale College</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ACCT 2700, Foundations of Accounting &amp; Valuation</a:t>
          </a:r>
        </a:p>
        <a:p>
          <a:r>
            <a:rPr lang="en-US" sz="1100">
              <a:solidFill>
                <a:schemeClr val="tx1"/>
              </a:solidFill>
              <a:effectLst/>
              <a:latin typeface="+mn-lt"/>
              <a:ea typeface="+mn-ea"/>
              <a:cs typeface="+mn-cs"/>
            </a:rPr>
            <a:t>Problem Set #1</a:t>
          </a:r>
        </a:p>
        <a:p>
          <a:r>
            <a:rPr lang="en-US" sz="1100">
              <a:solidFill>
                <a:schemeClr val="tx1"/>
              </a:solidFill>
              <a:effectLst/>
              <a:latin typeface="+mn-lt"/>
              <a:ea typeface="+mn-ea"/>
              <a:cs typeface="+mn-cs"/>
            </a:rPr>
            <a:t> </a:t>
          </a:r>
        </a:p>
        <a:p>
          <a:r>
            <a:rPr lang="en-US" sz="1100" b="1">
              <a:solidFill>
                <a:schemeClr val="tx1"/>
              </a:solidFill>
              <a:effectLst/>
              <a:latin typeface="+mn-lt"/>
              <a:ea typeface="+mn-ea"/>
              <a:cs typeface="+mn-cs"/>
            </a:rPr>
            <a:t>Instructions:</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pPr marL="228600" lvl="0" indent="-228600">
            <a:buFont typeface="+mj-lt"/>
            <a:buAutoNum type="arabicPeriod"/>
          </a:pPr>
          <a:r>
            <a:rPr lang="en-US" sz="1100">
              <a:solidFill>
                <a:schemeClr val="tx1"/>
              </a:solidFill>
              <a:effectLst/>
              <a:latin typeface="+mn-lt"/>
              <a:ea typeface="+mn-ea"/>
              <a:cs typeface="+mn-cs"/>
            </a:rPr>
            <a:t>You may discuss this problem set with anyone you like, however, the answers you submit </a:t>
          </a:r>
          <a:r>
            <a:rPr lang="en-US" sz="1100" b="1" i="1">
              <a:solidFill>
                <a:schemeClr val="tx1"/>
              </a:solidFill>
              <a:effectLst/>
              <a:latin typeface="+mn-lt"/>
              <a:ea typeface="+mn-ea"/>
              <a:cs typeface="+mn-cs"/>
            </a:rPr>
            <a:t>must be your own work</a:t>
          </a:r>
          <a:r>
            <a:rPr lang="en-US" sz="1100">
              <a:solidFill>
                <a:schemeClr val="tx1"/>
              </a:solidFill>
              <a:effectLst/>
              <a:latin typeface="+mn-lt"/>
              <a:ea typeface="+mn-ea"/>
              <a:cs typeface="+mn-cs"/>
            </a:rPr>
            <a:t>.</a:t>
          </a:r>
        </a:p>
        <a:p>
          <a:pPr marL="228600" lvl="0" indent="-228600">
            <a:buFont typeface="+mj-lt"/>
            <a:buAutoNum type="arabicPeriod"/>
          </a:pPr>
          <a:r>
            <a:rPr lang="en-US" sz="1100">
              <a:solidFill>
                <a:schemeClr val="tx1"/>
              </a:solidFill>
              <a:effectLst/>
              <a:latin typeface="+mn-lt"/>
              <a:ea typeface="+mn-ea"/>
              <a:cs typeface="+mn-cs"/>
            </a:rPr>
            <a:t>There is a separate tab for</a:t>
          </a:r>
          <a:r>
            <a:rPr lang="en-US" sz="1100" baseline="0">
              <a:solidFill>
                <a:schemeClr val="tx1"/>
              </a:solidFill>
              <a:effectLst/>
              <a:latin typeface="+mn-lt"/>
              <a:ea typeface="+mn-ea"/>
              <a:cs typeface="+mn-cs"/>
            </a:rPr>
            <a:t> each exercise. </a:t>
          </a:r>
          <a:r>
            <a:rPr lang="en-US" sz="1100">
              <a:solidFill>
                <a:schemeClr val="tx1"/>
              </a:solidFill>
              <a:effectLst/>
              <a:latin typeface="+mn-lt"/>
              <a:ea typeface="+mn-ea"/>
              <a:cs typeface="+mn-cs"/>
            </a:rPr>
            <a:t>Do all exercises using</a:t>
          </a:r>
          <a:r>
            <a:rPr lang="en-US" sz="1100" baseline="0">
              <a:solidFill>
                <a:schemeClr val="tx1"/>
              </a:solidFill>
              <a:effectLst/>
              <a:latin typeface="+mn-lt"/>
              <a:ea typeface="+mn-ea"/>
              <a:cs typeface="+mn-cs"/>
            </a:rPr>
            <a:t> the space in the tab for that exercise.</a:t>
          </a:r>
          <a:endParaRPr lang="en-US" sz="1100">
            <a:solidFill>
              <a:schemeClr val="tx1"/>
            </a:solidFill>
            <a:effectLst/>
            <a:latin typeface="+mn-lt"/>
            <a:ea typeface="+mn-ea"/>
            <a:cs typeface="+mn-cs"/>
          </a:endParaRPr>
        </a:p>
        <a:p>
          <a:pPr marL="228600" lvl="0" indent="-228600">
            <a:buFont typeface="+mj-lt"/>
            <a:buAutoNum type="arabicPeriod"/>
          </a:pPr>
          <a:r>
            <a:rPr lang="en-US" sz="1100">
              <a:solidFill>
                <a:schemeClr val="tx1"/>
              </a:solidFill>
              <a:effectLst/>
              <a:latin typeface="+mn-lt"/>
              <a:ea typeface="+mn-ea"/>
              <a:cs typeface="+mn-cs"/>
            </a:rPr>
            <a:t>Do not use any built-in financial functions.</a:t>
          </a:r>
        </a:p>
        <a:p>
          <a:pPr marL="228600" lvl="0" indent="-228600">
            <a:buFont typeface="+mj-lt"/>
            <a:buAutoNum type="arabicPeriod"/>
          </a:pPr>
          <a:r>
            <a:rPr lang="en-US" sz="1100">
              <a:solidFill>
                <a:schemeClr val="tx1"/>
              </a:solidFill>
              <a:effectLst/>
              <a:latin typeface="+mn-lt"/>
              <a:ea typeface="+mn-ea"/>
              <a:cs typeface="+mn-cs"/>
            </a:rPr>
            <a:t>Not</a:t>
          </a:r>
          <a:r>
            <a:rPr lang="en-US" sz="1100" baseline="0">
              <a:solidFill>
                <a:schemeClr val="tx1"/>
              </a:solidFill>
              <a:effectLst/>
              <a:latin typeface="+mn-lt"/>
              <a:ea typeface="+mn-ea"/>
              <a:cs typeface="+mn-cs"/>
            </a:rPr>
            <a:t> every blue cell needs an input, but all inputs must be in blue cells.</a:t>
          </a:r>
          <a:endParaRPr lang="en-US" sz="1100">
            <a:solidFill>
              <a:schemeClr val="tx1"/>
            </a:solidFill>
            <a:effectLst/>
            <a:latin typeface="+mn-lt"/>
            <a:ea typeface="+mn-ea"/>
            <a:cs typeface="+mn-cs"/>
          </a:endParaRPr>
        </a:p>
        <a:p>
          <a:pPr marL="228600" lvl="0" indent="-228600">
            <a:buFont typeface="+mj-lt"/>
            <a:buAutoNum type="arabicPeriod"/>
          </a:pPr>
          <a:r>
            <a:rPr lang="en-US" sz="1100">
              <a:solidFill>
                <a:schemeClr val="tx1"/>
              </a:solidFill>
              <a:effectLst/>
              <a:latin typeface="+mn-lt"/>
              <a:ea typeface="+mn-ea"/>
              <a:cs typeface="+mn-cs"/>
            </a:rPr>
            <a:t>Save this file with the name: [YourNameHere]_ACCT2700_Problem_Set_1_[SemesterYear]..</a:t>
          </a:r>
        </a:p>
        <a:p>
          <a:pPr marL="228600" lvl="0" indent="-228600">
            <a:buFont typeface="+mj-lt"/>
            <a:buAutoNum type="arabicPeriod"/>
          </a:pPr>
          <a:r>
            <a:rPr lang="en-US" sz="1100" baseline="0">
              <a:solidFill>
                <a:schemeClr val="tx1"/>
              </a:solidFill>
              <a:effectLst/>
              <a:latin typeface="+mn-lt"/>
              <a:ea typeface="+mn-ea"/>
              <a:cs typeface="+mn-cs"/>
            </a:rPr>
            <a:t>Submit your final spreadsheet to Canvas.</a:t>
          </a:r>
        </a:p>
        <a:p>
          <a:pPr marL="228600" lvl="0" indent="-228600">
            <a:buFont typeface="+mj-lt"/>
            <a:buAutoNum type="arabicPeriod"/>
          </a:pPr>
          <a:r>
            <a:rPr lang="en-US" sz="1100" baseline="0">
              <a:solidFill>
                <a:schemeClr val="tx1"/>
              </a:solidFill>
              <a:effectLst/>
              <a:latin typeface="+mn-lt"/>
              <a:ea typeface="+mn-ea"/>
              <a:cs typeface="+mn-cs"/>
            </a:rPr>
            <a:t>NOTE: </a:t>
          </a:r>
          <a:r>
            <a:rPr lang="en-US" sz="1100" b="1" i="1" baseline="0">
              <a:solidFill>
                <a:schemeClr val="tx1"/>
              </a:solidFill>
              <a:effectLst/>
              <a:latin typeface="+mn-lt"/>
              <a:ea typeface="+mn-ea"/>
              <a:cs typeface="+mn-cs"/>
            </a:rPr>
            <a:t>Much of the content is locked, but you should be able to input to cells required for your answer.</a:t>
          </a:r>
        </a:p>
        <a:p>
          <a:pPr marL="228600" lvl="0" indent="-228600" defTabSz="228600">
            <a:buFont typeface="+mj-lt"/>
            <a:buAutoNum type="arabicPeriod"/>
          </a:pPr>
          <a:r>
            <a:rPr lang="en-US" sz="1100" baseline="0">
              <a:solidFill>
                <a:schemeClr val="tx1"/>
              </a:solidFill>
              <a:effectLst/>
              <a:latin typeface="+mn-lt"/>
              <a:ea typeface="+mn-ea"/>
              <a:cs typeface="+mn-cs"/>
            </a:rPr>
            <a:t>Locking a Worksheet may disablessome capabilities. Use ChatGPT 5 or other AI to find out how to do what you</a:t>
          </a:r>
          <a:br>
            <a:rPr lang="en-US" sz="1100" baseline="0">
              <a:solidFill>
                <a:schemeClr val="tx1"/>
              </a:solidFill>
              <a:effectLst/>
              <a:latin typeface="+mn-lt"/>
              <a:ea typeface="+mn-ea"/>
              <a:cs typeface="+mn-cs"/>
            </a:rPr>
          </a:br>
          <a:r>
            <a:rPr lang="en-US" sz="1100" baseline="0">
              <a:solidFill>
                <a:schemeClr val="tx1"/>
              </a:solidFill>
              <a:effectLst/>
              <a:latin typeface="+mn-lt"/>
              <a:ea typeface="+mn-ea"/>
              <a:cs typeface="+mn-cs"/>
            </a:rPr>
            <a:t>want quickly.</a:t>
          </a:r>
          <a:endParaRPr lang="en-US" sz="1100">
            <a:solidFill>
              <a:schemeClr val="tx1"/>
            </a:solidFill>
            <a:effectLst/>
            <a:latin typeface="+mn-lt"/>
            <a:ea typeface="+mn-ea"/>
            <a:cs typeface="+mn-cs"/>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490384" cy="1203919"/>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7490384" cy="1203919"/>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effectLst/>
              <a:latin typeface="+mn-lt"/>
              <a:ea typeface="+mn-ea"/>
              <a:cs typeface="+mn-cs"/>
            </a:rPr>
            <a:t>Problem 1: Cash Flow Diagrams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 1:</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Consider a bond with a face value of $1,000, a maturity date 3 years hence, and an annual coupon rate of 5% payable annually. </a:t>
          </a:r>
        </a:p>
        <a:p>
          <a:r>
            <a:rPr lang="en-US" sz="1100">
              <a:solidFill>
                <a:schemeClr val="tx1"/>
              </a:solidFill>
              <a:effectLst/>
              <a:latin typeface="+mn-lt"/>
              <a:ea typeface="+mn-ea"/>
              <a:cs typeface="+mn-cs"/>
            </a:rPr>
            <a:t>A cash flow diagram for the bond is:</a:t>
          </a:r>
          <a:endParaRPr lang="en-US" sz="1100"/>
        </a:p>
      </xdr:txBody>
    </xdr:sp>
    <xdr:clientData/>
  </xdr:oneCellAnchor>
  <xdr:oneCellAnchor>
    <xdr:from>
      <xdr:col>0</xdr:col>
      <xdr:colOff>0</xdr:colOff>
      <xdr:row>33</xdr:row>
      <xdr:rowOff>38102</xdr:rowOff>
    </xdr:from>
    <xdr:ext cx="6933886" cy="530658"/>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6134102"/>
          <a:ext cx="6933886" cy="5306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effectLst/>
              <a:latin typeface="+mn-lt"/>
              <a:ea typeface="+mn-ea"/>
              <a:cs typeface="+mn-cs"/>
            </a:rPr>
            <a:t>Construct</a:t>
          </a:r>
          <a:r>
            <a:rPr lang="en-US" sz="1600" b="1" baseline="0">
              <a:solidFill>
                <a:schemeClr val="tx1"/>
              </a:solidFill>
              <a:effectLst/>
              <a:latin typeface="+mn-lt"/>
              <a:ea typeface="+mn-ea"/>
              <a:cs typeface="+mn-cs"/>
            </a:rPr>
            <a:t> a Cash Flow Diagram for Each of the Following in the Space Provided:</a:t>
          </a:r>
        </a:p>
        <a:p>
          <a:pPr algn="ctr"/>
          <a:r>
            <a:rPr lang="en-US" sz="1200" b="1" baseline="0">
              <a:solidFill>
                <a:schemeClr val="tx1"/>
              </a:solidFill>
              <a:effectLst/>
              <a:latin typeface="+mn-lt"/>
              <a:ea typeface="+mn-ea"/>
              <a:cs typeface="+mn-cs"/>
            </a:rPr>
            <a:t>(Use the names in Column A.)</a:t>
          </a:r>
          <a:endParaRPr lang="en-US" sz="1200"/>
        </a:p>
      </xdr:txBody>
    </xdr:sp>
    <xdr:clientData/>
  </xdr:oneCellAnchor>
  <xdr:oneCellAnchor>
    <xdr:from>
      <xdr:col>0</xdr:col>
      <xdr:colOff>0</xdr:colOff>
      <xdr:row>17</xdr:row>
      <xdr:rowOff>179614</xdr:rowOff>
    </xdr:from>
    <xdr:ext cx="7356245" cy="609013"/>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3311434"/>
          <a:ext cx="7356245"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Example 2:</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 bond with a face value of $20,000, a maturity date 4 years hence, and an annual coupon rate of 8%, payable semi-annually.</a:t>
          </a:r>
          <a:endParaRPr lang="en-US" sz="1100"/>
        </a:p>
      </xdr:txBody>
    </xdr:sp>
    <xdr:clientData/>
  </xdr:oneCellAnchor>
  <xdr:oneCellAnchor>
    <xdr:from>
      <xdr:col>0</xdr:col>
      <xdr:colOff>39756</xdr:colOff>
      <xdr:row>35</xdr:row>
      <xdr:rowOff>165652</xdr:rowOff>
    </xdr:from>
    <xdr:ext cx="7705764"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39756" y="6712226"/>
          <a:ext cx="7705764"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a. A bond with a face value of $30,000, a maturity date 9 years hence, and an annual coupon rate of 9%, payable semi-annually.</a:t>
          </a:r>
          <a:endParaRPr lang="en-US" sz="1100" b="0"/>
        </a:p>
      </xdr:txBody>
    </xdr:sp>
    <xdr:clientData/>
  </xdr:oneCellAnchor>
  <xdr:oneCellAnchor>
    <xdr:from>
      <xdr:col>0</xdr:col>
      <xdr:colOff>7620</xdr:colOff>
      <xdr:row>49</xdr:row>
      <xdr:rowOff>30480</xdr:rowOff>
    </xdr:from>
    <xdr:ext cx="7244997"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7620" y="9083040"/>
          <a:ext cx="7244997"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b. A zero-coupon bond with a face value of $500,000, a maturity date 15 years hence. Assume you will compound annually.</a:t>
          </a:r>
        </a:p>
      </xdr:txBody>
    </xdr:sp>
    <xdr:clientData/>
  </xdr:oneCellAnchor>
  <xdr:oneCellAnchor>
    <xdr:from>
      <xdr:col>0</xdr:col>
      <xdr:colOff>0</xdr:colOff>
      <xdr:row>62</xdr:row>
      <xdr:rowOff>60960</xdr:rowOff>
    </xdr:from>
    <xdr:ext cx="7472623"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0" y="11521440"/>
          <a:ext cx="747262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c. A zero-coupon bond with a face value of $500,000, a maturity date 8 years hence. Assume you will compound semi-annually.</a:t>
          </a:r>
        </a:p>
      </xdr:txBody>
    </xdr:sp>
    <xdr:clientData/>
  </xdr:oneCellAnchor>
  <xdr:oneCellAnchor>
    <xdr:from>
      <xdr:col>0</xdr:col>
      <xdr:colOff>0</xdr:colOff>
      <xdr:row>75</xdr:row>
      <xdr:rowOff>0</xdr:rowOff>
    </xdr:from>
    <xdr:ext cx="7244997"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0" y="13868400"/>
          <a:ext cx="7244997"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d. A zero-coupon bond with a face value of $100,000, a maturity date 14 years hence. Assume you will compound annually.</a:t>
          </a:r>
        </a:p>
      </xdr:txBody>
    </xdr:sp>
    <xdr:clientData/>
  </xdr:oneCellAnchor>
  <xdr:oneCellAnchor>
    <xdr:from>
      <xdr:col>0</xdr:col>
      <xdr:colOff>0</xdr:colOff>
      <xdr:row>89</xdr:row>
      <xdr:rowOff>0</xdr:rowOff>
    </xdr:from>
    <xdr:ext cx="7420045"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0" y="16459200"/>
          <a:ext cx="7420045"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lvl="0" indent="0"/>
          <a:r>
            <a:rPr lang="en-US" sz="1100" b="0">
              <a:solidFill>
                <a:schemeClr val="tx1"/>
              </a:solidFill>
              <a:effectLst/>
              <a:latin typeface="+mn-lt"/>
              <a:ea typeface="+mn-ea"/>
              <a:cs typeface="+mn-cs"/>
            </a:rPr>
            <a:t>e. A bond with a face value of $30,000, a maturity date 6 years hence, and an annual coupon rate 5%, payable semi-annually.</a:t>
          </a:r>
        </a:p>
      </xdr:txBody>
    </xdr:sp>
    <xdr:clientData/>
  </xdr:oneCellAnchor>
  <xdr:oneCellAnchor>
    <xdr:from>
      <xdr:col>0</xdr:col>
      <xdr:colOff>0</xdr:colOff>
      <xdr:row>101</xdr:row>
      <xdr:rowOff>0</xdr:rowOff>
    </xdr:from>
    <xdr:ext cx="13702662"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0" y="18676620"/>
          <a:ext cx="13702662"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f. An annuity of $306 per year, received in arrears, that expires 7 years hence. Note that the first payment under the annuity is one year from now, and the last one is at the end of year 7. Assume you are going to apply annual discounting.</a:t>
          </a:r>
        </a:p>
      </xdr:txBody>
    </xdr:sp>
    <xdr:clientData/>
  </xdr:oneCellAnchor>
  <xdr:oneCellAnchor>
    <xdr:from>
      <xdr:col>0</xdr:col>
      <xdr:colOff>0</xdr:colOff>
      <xdr:row>115</xdr:row>
      <xdr:rowOff>0</xdr:rowOff>
    </xdr:from>
    <xdr:ext cx="13357824"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0" y="21259800"/>
          <a:ext cx="13357824"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g. An annuity of $306 per year, received in advance, that expires 7 years hence. Note that the first payment under the annuity is now, and the last one is at the beginning of year 7. Assume you are going to apply annual discounting.</a:t>
          </a:r>
        </a:p>
      </xdr:txBody>
    </xdr:sp>
    <xdr:clientData/>
  </xdr:oneCellAnchor>
  <xdr:oneCellAnchor>
    <xdr:from>
      <xdr:col>0</xdr:col>
      <xdr:colOff>0</xdr:colOff>
      <xdr:row>128</xdr:row>
      <xdr:rowOff>0</xdr:rowOff>
    </xdr:from>
    <xdr:ext cx="12466170"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0" y="23660100"/>
          <a:ext cx="12466170"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h. A perpetuity of $5000 received at the end of each year. (Note: show only the first twenty cash flows explicitly and answer the yes/no question at the end of the diagram. Assume you are using annual discounting.)</a:t>
          </a:r>
        </a:p>
      </xdr:txBody>
    </xdr:sp>
    <xdr:clientData/>
  </xdr:oneCellAnchor>
  <xdr:oneCellAnchor>
    <xdr:from>
      <xdr:col>0</xdr:col>
      <xdr:colOff>0</xdr:colOff>
      <xdr:row>141</xdr:row>
      <xdr:rowOff>0</xdr:rowOff>
    </xdr:from>
    <xdr:ext cx="1415849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0" y="26060400"/>
          <a:ext cx="14158491"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i. The monthly payments of $3,500 on an apartment lease that expires one year hence. Lease payments are due at the beginning of the month. Assume today is the first day of the first month of the lease. Use positive</a:t>
          </a:r>
          <a:r>
            <a:rPr lang="en-US" sz="1100" b="0" baseline="0">
              <a:solidFill>
                <a:schemeClr val="tx1"/>
              </a:solidFill>
              <a:effectLst/>
              <a:latin typeface="+mn-lt"/>
              <a:ea typeface="+mn-ea"/>
              <a:cs typeface="+mn-cs"/>
            </a:rPr>
            <a:t> numbers for the payments.</a:t>
          </a:r>
          <a:endParaRPr lang="en-US" sz="1100" b="0">
            <a:solidFill>
              <a:schemeClr val="tx1"/>
            </a:solidFill>
            <a:effectLst/>
            <a:latin typeface="+mn-lt"/>
            <a:ea typeface="+mn-ea"/>
            <a:cs typeface="+mn-cs"/>
          </a:endParaRPr>
        </a:p>
      </xdr:txBody>
    </xdr:sp>
    <xdr:clientData/>
  </xdr:oneCellAnchor>
  <xdr:oneCellAnchor>
    <xdr:from>
      <xdr:col>0</xdr:col>
      <xdr:colOff>0</xdr:colOff>
      <xdr:row>153</xdr:row>
      <xdr:rowOff>0</xdr:rowOff>
    </xdr:from>
    <xdr:ext cx="11834843" cy="436786"/>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0" y="28277820"/>
          <a:ext cx="11834843"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j. The monthly payments of $3,500 on an apartment lease that expires one year hence. Lease payments are due at the beginning of the month. Assume today is the first day of the first month of the lease.</a:t>
          </a:r>
        </a:p>
        <a:p>
          <a:r>
            <a:rPr lang="en-US" sz="1100" b="0">
              <a:solidFill>
                <a:schemeClr val="tx1"/>
              </a:solidFill>
              <a:effectLst/>
              <a:latin typeface="+mn-lt"/>
              <a:ea typeface="+mn-ea"/>
              <a:cs typeface="+mn-cs"/>
            </a:rPr>
            <a:t>Also, the first and last month's rent are due immediately. Use positive numbers for the payments.</a:t>
          </a:r>
          <a:endParaRPr lang="en-US">
            <a:effectLst/>
          </a:endParaRPr>
        </a:p>
      </xdr:txBody>
    </xdr:sp>
    <xdr:clientData/>
  </xdr:oneCellAnchor>
  <xdr:oneCellAnchor>
    <xdr:from>
      <xdr:col>0</xdr:col>
      <xdr:colOff>0</xdr:colOff>
      <xdr:row>166</xdr:row>
      <xdr:rowOff>0</xdr:rowOff>
    </xdr:from>
    <xdr:ext cx="12340814" cy="609013"/>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0" y="30678120"/>
          <a:ext cx="12340814" cy="609013"/>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k. The monthly payments of $3,500 on an apartment lease that expires one year hence. Lease payments are due at the beginning of the month. Assume today is the first day of the first month of the lease.</a:t>
          </a:r>
        </a:p>
        <a:p>
          <a:r>
            <a:rPr lang="en-US" sz="1100" b="0">
              <a:solidFill>
                <a:schemeClr val="tx1"/>
              </a:solidFill>
              <a:effectLst/>
              <a:latin typeface="+mn-lt"/>
              <a:ea typeface="+mn-ea"/>
              <a:cs typeface="+mn-cs"/>
            </a:rPr>
            <a:t>Also, a security deposit of 2</a:t>
          </a:r>
          <a:r>
            <a:rPr lang="en-US" sz="1100" b="0" baseline="0">
              <a:solidFill>
                <a:schemeClr val="tx1"/>
              </a:solidFill>
              <a:effectLst/>
              <a:latin typeface="+mn-lt"/>
              <a:ea typeface="+mn-ea"/>
              <a:cs typeface="+mn-cs"/>
            </a:rPr>
            <a:t> times the monthly rent must be posted immediately. The deposit is refundable at the end of the lease (assuming you haven't trashed the place). Use positive numbers for the payments</a:t>
          </a:r>
        </a:p>
        <a:p>
          <a:r>
            <a:rPr lang="en-US" sz="1100" b="0" baseline="0">
              <a:solidFill>
                <a:schemeClr val="tx1"/>
              </a:solidFill>
              <a:effectLst/>
              <a:latin typeface="+mn-lt"/>
              <a:ea typeface="+mn-ea"/>
              <a:cs typeface="+mn-cs"/>
            </a:rPr>
            <a:t>and a negative number for the refund.</a:t>
          </a:r>
          <a:endParaRPr lang="en-US">
            <a:effectLst/>
          </a:endParaRPr>
        </a:p>
      </xdr:txBody>
    </xdr:sp>
    <xdr:clientData/>
  </xdr:oneCellAnchor>
  <xdr:oneCellAnchor>
    <xdr:from>
      <xdr:col>0</xdr:col>
      <xdr:colOff>0</xdr:colOff>
      <xdr:row>180</xdr:row>
      <xdr:rowOff>0</xdr:rowOff>
    </xdr:from>
    <xdr:ext cx="6981014"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0" y="33261300"/>
          <a:ext cx="6981014"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l. </a:t>
          </a:r>
          <a:r>
            <a:rPr lang="en-US" sz="1100">
              <a:solidFill>
                <a:schemeClr val="tx1"/>
              </a:solidFill>
              <a:effectLst/>
              <a:latin typeface="+mn-lt"/>
              <a:ea typeface="+mn-ea"/>
              <a:cs typeface="+mn-cs"/>
            </a:rPr>
            <a:t>A perpetuity of $500 per year, the first payment from which will be received at the end of the third year from now.</a:t>
          </a:r>
          <a:endParaRPr lang="en-US" sz="1100" b="0">
            <a:solidFill>
              <a:schemeClr val="tx1"/>
            </a:solidFill>
            <a:effectLst/>
            <a:latin typeface="+mn-lt"/>
            <a:ea typeface="+mn-ea"/>
            <a:cs typeface="+mn-cs"/>
          </a:endParaRPr>
        </a:p>
      </xdr:txBody>
    </xdr:sp>
    <xdr:clientData/>
  </xdr:oneCellAnchor>
  <xdr:oneCellAnchor>
    <xdr:from>
      <xdr:col>0</xdr:col>
      <xdr:colOff>0</xdr:colOff>
      <xdr:row>193</xdr:row>
      <xdr:rowOff>0</xdr:rowOff>
    </xdr:from>
    <xdr:ext cx="1339841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0" y="35661600"/>
          <a:ext cx="13398411"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m. </a:t>
          </a:r>
          <a:r>
            <a:rPr lang="en-US" sz="1100">
              <a:solidFill>
                <a:schemeClr val="tx1"/>
              </a:solidFill>
              <a:effectLst/>
              <a:latin typeface="+mn-lt"/>
              <a:ea typeface="+mn-ea"/>
              <a:cs typeface="+mn-cs"/>
            </a:rPr>
            <a:t>A perpetuity of $500 per year, the first payment from which will be received at the end of the fourth year from now. The</a:t>
          </a:r>
          <a:r>
            <a:rPr lang="en-US" sz="1100" baseline="0">
              <a:solidFill>
                <a:schemeClr val="tx1"/>
              </a:solidFill>
              <a:effectLst/>
              <a:latin typeface="+mn-lt"/>
              <a:ea typeface="+mn-ea"/>
              <a:cs typeface="+mn-cs"/>
            </a:rPr>
            <a:t> payments grow by 2% per year. That is, the first payment is $500, the second is $510, the third is $520.2...</a:t>
          </a:r>
          <a:endParaRPr lang="en-US">
            <a:effectLst/>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821383" cy="1031693"/>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0"/>
          <a:ext cx="13821383" cy="103169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2: Future</a:t>
          </a:r>
          <a:r>
            <a:rPr lang="en-US" sz="1600" b="1" baseline="0">
              <a:solidFill>
                <a:schemeClr val="tx1"/>
              </a:solidFill>
              <a:effectLst/>
              <a:latin typeface="+mn-lt"/>
              <a:ea typeface="+mn-ea"/>
              <a:cs typeface="+mn-cs"/>
            </a:rPr>
            <a:t> Values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 1:</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Suppose you have $1,000 to invest. You make the investment at the start of the year and leave any interest earned in the investment to continuing earning.</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How much will you have at the end of eight years if your investment earns 6% per year compounded weekly?</a:t>
          </a:r>
          <a:endParaRPr lang="en-US">
            <a:effectLst/>
          </a:endParaRPr>
        </a:p>
      </xdr:txBody>
    </xdr:sp>
    <xdr:clientData/>
  </xdr:oneCellAnchor>
  <xdr:oneCellAnchor>
    <xdr:from>
      <xdr:col>0</xdr:col>
      <xdr:colOff>0</xdr:colOff>
      <xdr:row>12</xdr:row>
      <xdr:rowOff>0</xdr:rowOff>
    </xdr:from>
    <xdr:ext cx="4361963" cy="264560"/>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2194560"/>
          <a:ext cx="436196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Complete the following table by putting</a:t>
          </a:r>
          <a:r>
            <a:rPr lang="en-US" sz="1100" b="0" baseline="0"/>
            <a:t> the right formula in Column E.</a:t>
          </a:r>
          <a:endParaRPr lang="en-US" sz="1100" b="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821383" cy="1203919"/>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0"/>
          <a:ext cx="13821383" cy="1203919"/>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3: Values at the End</a:t>
          </a:r>
          <a:r>
            <a:rPr lang="en-US" sz="1600" b="1" baseline="0">
              <a:solidFill>
                <a:schemeClr val="tx1"/>
              </a:solidFill>
              <a:effectLst/>
              <a:latin typeface="+mn-lt"/>
              <a:ea typeface="+mn-ea"/>
              <a:cs typeface="+mn-cs"/>
            </a:rPr>
            <a:t> of Each Period</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Suppose you have $10,000 to invest. You make the investment at the start of the year and any interest earned is paid at the end of a year and immediately reinvested in the same investment. How much will you have at the end of </a:t>
          </a:r>
          <a:r>
            <a:rPr lang="en-US" sz="1100" i="1">
              <a:solidFill>
                <a:schemeClr val="tx1"/>
              </a:solidFill>
              <a:effectLst/>
              <a:latin typeface="+mn-lt"/>
              <a:ea typeface="+mn-ea"/>
              <a:cs typeface="+mn-cs"/>
            </a:rPr>
            <a:t>each</a:t>
          </a:r>
          <a:r>
            <a:rPr lang="en-US" sz="1100">
              <a:solidFill>
                <a:schemeClr val="tx1"/>
              </a:solidFill>
              <a:effectLst/>
              <a:latin typeface="+mn-lt"/>
              <a:ea typeface="+mn-ea"/>
              <a:cs typeface="+mn-cs"/>
            </a:rPr>
            <a:t> of years 1 through 4 if your investment earns 5%? That is, complete the table</a:t>
          </a:r>
          <a:r>
            <a:rPr lang="en-US" sz="1100" baseline="0">
              <a:solidFill>
                <a:schemeClr val="tx1"/>
              </a:solidFill>
              <a:effectLst/>
              <a:latin typeface="+mn-lt"/>
              <a:ea typeface="+mn-ea"/>
              <a:cs typeface="+mn-cs"/>
            </a:rPr>
            <a:t> below:</a:t>
          </a:r>
        </a:p>
        <a:p>
          <a:r>
            <a:rPr lang="en-US" sz="1100" baseline="0">
              <a:solidFill>
                <a:schemeClr val="tx1"/>
              </a:solidFill>
              <a:effectLst/>
              <a:latin typeface="+mn-lt"/>
              <a:ea typeface="+mn-ea"/>
              <a:cs typeface="+mn-cs"/>
            </a:rPr>
            <a:t>(I'll do it two ways - you only need to do it one way.)</a:t>
          </a:r>
          <a:endParaRPr lang="en-US" sz="1100">
            <a:solidFill>
              <a:schemeClr val="tx1"/>
            </a:solidFill>
            <a:effectLst/>
            <a:latin typeface="+mn-lt"/>
            <a:ea typeface="+mn-ea"/>
            <a:cs typeface="+mn-cs"/>
          </a:endParaRPr>
        </a:p>
      </xdr:txBody>
    </xdr:sp>
    <xdr:clientData/>
  </xdr:oneCellAnchor>
  <xdr:oneCellAnchor>
    <xdr:from>
      <xdr:col>0</xdr:col>
      <xdr:colOff>0</xdr:colOff>
      <xdr:row>18</xdr:row>
      <xdr:rowOff>190500</xdr:rowOff>
    </xdr:from>
    <xdr:ext cx="11207427" cy="436786"/>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3482340"/>
          <a:ext cx="11207427"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Suppose you have $100,000 to invest. You make the investment at the start of the year and any interest earned is paid at the end of a year and immediately reinvested in the same investment.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How much will you have at the end of </a:t>
          </a:r>
          <a:r>
            <a:rPr lang="en-US" sz="1100" i="1">
              <a:solidFill>
                <a:schemeClr val="tx1"/>
              </a:solidFill>
              <a:effectLst/>
              <a:latin typeface="+mn-lt"/>
              <a:ea typeface="+mn-ea"/>
              <a:cs typeface="+mn-cs"/>
            </a:rPr>
            <a:t>each</a:t>
          </a:r>
          <a:r>
            <a:rPr lang="en-US" sz="1100">
              <a:solidFill>
                <a:schemeClr val="tx1"/>
              </a:solidFill>
              <a:effectLst/>
              <a:latin typeface="+mn-lt"/>
              <a:ea typeface="+mn-ea"/>
              <a:cs typeface="+mn-cs"/>
            </a:rPr>
            <a:t> of years 1 through 10 if your investment earns 8%? That is, complete the table</a:t>
          </a:r>
          <a:r>
            <a:rPr lang="en-US" sz="1100" baseline="0">
              <a:solidFill>
                <a:schemeClr val="tx1"/>
              </a:solidFill>
              <a:effectLst/>
              <a:latin typeface="+mn-lt"/>
              <a:ea typeface="+mn-ea"/>
              <a:cs typeface="+mn-cs"/>
            </a:rPr>
            <a:t> below by putting the r:</a:t>
          </a:r>
          <a:endParaRPr lang="en-US">
            <a:effectLst/>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970851" cy="1031693"/>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0"/>
          <a:ext cx="9970851" cy="103169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4: Present</a:t>
          </a:r>
          <a:r>
            <a:rPr lang="en-US" sz="1600" b="1" baseline="0">
              <a:solidFill>
                <a:schemeClr val="tx1"/>
              </a:solidFill>
              <a:effectLst/>
              <a:latin typeface="+mn-lt"/>
              <a:ea typeface="+mn-ea"/>
              <a:cs typeface="+mn-cs"/>
            </a:rPr>
            <a:t> Values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Consider the stream</a:t>
          </a:r>
          <a:r>
            <a:rPr lang="en-US" sz="1100" baseline="0">
              <a:solidFill>
                <a:schemeClr val="tx1"/>
              </a:solidFill>
              <a:effectLst/>
              <a:latin typeface="+mn-lt"/>
              <a:ea typeface="+mn-ea"/>
              <a:cs typeface="+mn-cs"/>
            </a:rPr>
            <a:t> of cash flows below to be received at the end of the indicated year. What is the </a:t>
          </a:r>
          <a:r>
            <a:rPr lang="en-US" sz="1100" i="1" baseline="0">
              <a:solidFill>
                <a:schemeClr val="tx1"/>
              </a:solidFill>
              <a:effectLst/>
              <a:latin typeface="+mn-lt"/>
              <a:ea typeface="+mn-ea"/>
              <a:cs typeface="+mn-cs"/>
            </a:rPr>
            <a:t>present value</a:t>
          </a:r>
          <a:r>
            <a:rPr lang="en-US" sz="1100" i="0" baseline="0">
              <a:solidFill>
                <a:schemeClr val="tx1"/>
              </a:solidFill>
              <a:effectLst/>
              <a:latin typeface="+mn-lt"/>
              <a:ea typeface="+mn-ea"/>
              <a:cs typeface="+mn-cs"/>
            </a:rPr>
            <a:t> of the </a:t>
          </a:r>
          <a:r>
            <a:rPr lang="en-US" sz="1100" i="1" baseline="0">
              <a:solidFill>
                <a:schemeClr val="tx1"/>
              </a:solidFill>
              <a:effectLst/>
              <a:latin typeface="+mn-lt"/>
              <a:ea typeface="+mn-ea"/>
              <a:cs typeface="+mn-cs"/>
            </a:rPr>
            <a:t>remaing cash flows</a:t>
          </a:r>
          <a:r>
            <a:rPr lang="en-US" sz="1100" i="0" baseline="0">
              <a:solidFill>
                <a:schemeClr val="tx1"/>
              </a:solidFill>
              <a:effectLst/>
              <a:latin typeface="+mn-lt"/>
              <a:ea typeface="+mn-ea"/>
              <a:cs typeface="+mn-cs"/>
            </a:rPr>
            <a:t> at the end of every year</a:t>
          </a:r>
        </a:p>
        <a:p>
          <a:r>
            <a:rPr lang="en-US" sz="1100" i="0" baseline="0">
              <a:solidFill>
                <a:schemeClr val="tx1"/>
              </a:solidFill>
              <a:effectLst/>
              <a:latin typeface="+mn-lt"/>
              <a:ea typeface="+mn-ea"/>
              <a:cs typeface="+mn-cs"/>
            </a:rPr>
            <a:t>using annual compounding and an annual interest rate of 12%? Put your answers in the green cells below.</a:t>
          </a:r>
          <a:endParaRPr lang="en-US" sz="1100">
            <a:solidFill>
              <a:schemeClr val="tx1"/>
            </a:solidFill>
            <a:effectLst/>
            <a:latin typeface="+mn-lt"/>
            <a:ea typeface="+mn-ea"/>
            <a:cs typeface="+mn-cs"/>
          </a:endParaRPr>
        </a:p>
      </xdr:txBody>
    </xdr:sp>
    <xdr:clientData/>
  </xdr:oneCellAnchor>
  <xdr:oneCellAnchor>
    <xdr:from>
      <xdr:col>0</xdr:col>
      <xdr:colOff>0</xdr:colOff>
      <xdr:row>17</xdr:row>
      <xdr:rowOff>0</xdr:rowOff>
    </xdr:from>
    <xdr:ext cx="9632509" cy="436786"/>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3124200"/>
          <a:ext cx="9632509"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Consider the stream</a:t>
          </a:r>
          <a:r>
            <a:rPr lang="en-US" sz="1100" baseline="0">
              <a:solidFill>
                <a:schemeClr val="tx1"/>
              </a:solidFill>
              <a:effectLst/>
              <a:latin typeface="+mn-lt"/>
              <a:ea typeface="+mn-ea"/>
              <a:cs typeface="+mn-cs"/>
            </a:rPr>
            <a:t> of cash flows below to be received at the end of the indicated year. What is the </a:t>
          </a:r>
          <a:r>
            <a:rPr lang="en-US" sz="1100" i="1" baseline="0">
              <a:solidFill>
                <a:schemeClr val="tx1"/>
              </a:solidFill>
              <a:effectLst/>
              <a:latin typeface="+mn-lt"/>
              <a:ea typeface="+mn-ea"/>
              <a:cs typeface="+mn-cs"/>
            </a:rPr>
            <a:t>present value</a:t>
          </a:r>
          <a:r>
            <a:rPr lang="en-US" sz="1100" i="0" baseline="0">
              <a:solidFill>
                <a:schemeClr val="tx1"/>
              </a:solidFill>
              <a:effectLst/>
              <a:latin typeface="+mn-lt"/>
              <a:ea typeface="+mn-ea"/>
              <a:cs typeface="+mn-cs"/>
            </a:rPr>
            <a:t> of the </a:t>
          </a:r>
          <a:r>
            <a:rPr lang="en-US" sz="1100" i="1" baseline="0">
              <a:solidFill>
                <a:schemeClr val="tx1"/>
              </a:solidFill>
              <a:effectLst/>
              <a:latin typeface="+mn-lt"/>
              <a:ea typeface="+mn-ea"/>
              <a:cs typeface="+mn-cs"/>
            </a:rPr>
            <a:t>remaing cash flows</a:t>
          </a:r>
          <a:r>
            <a:rPr lang="en-US" sz="1100" i="0" baseline="0">
              <a:solidFill>
                <a:schemeClr val="tx1"/>
              </a:solidFill>
              <a:effectLst/>
              <a:latin typeface="+mn-lt"/>
              <a:ea typeface="+mn-ea"/>
              <a:cs typeface="+mn-cs"/>
            </a:rPr>
            <a:t> at the end of every year</a:t>
          </a:r>
          <a:endParaRPr lang="en-US">
            <a:effectLst/>
          </a:endParaRPr>
        </a:p>
        <a:p>
          <a:r>
            <a:rPr lang="en-US" sz="1100" i="0" baseline="0">
              <a:solidFill>
                <a:schemeClr val="tx1"/>
              </a:solidFill>
              <a:effectLst/>
              <a:latin typeface="+mn-lt"/>
              <a:ea typeface="+mn-ea"/>
              <a:cs typeface="+mn-cs"/>
            </a:rPr>
            <a:t>using annual compounding and an annual interest rate of 8%? Put your answers in the green cells below.</a:t>
          </a:r>
          <a:endParaRPr lang="en-US">
            <a:effectLst/>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970851" cy="1031693"/>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0"/>
          <a:ext cx="9970851" cy="103169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5: Bond</a:t>
          </a:r>
          <a:r>
            <a:rPr lang="en-US" sz="1600" b="1" baseline="0">
              <a:solidFill>
                <a:schemeClr val="tx1"/>
              </a:solidFill>
              <a:effectLst/>
              <a:latin typeface="+mn-lt"/>
              <a:ea typeface="+mn-ea"/>
              <a:cs typeface="+mn-cs"/>
            </a:rPr>
            <a:t> Values with Different Interest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1</a:t>
          </a:r>
          <a:r>
            <a:rPr lang="en-US" sz="1100" b="1">
              <a:solidFill>
                <a:schemeClr val="tx1"/>
              </a:solidFill>
              <a:effectLst/>
              <a:latin typeface="+mn-lt"/>
              <a:ea typeface="+mn-ea"/>
              <a:cs typeface="+mn-cs"/>
            </a:rPr>
            <a:t>:</a:t>
          </a:r>
        </a:p>
        <a:p>
          <a:r>
            <a:rPr lang="en-US" sz="1100">
              <a:solidFill>
                <a:schemeClr val="tx1"/>
              </a:solidFill>
              <a:effectLst/>
              <a:latin typeface="+mn-lt"/>
              <a:ea typeface="+mn-ea"/>
              <a:cs typeface="+mn-cs"/>
            </a:rPr>
            <a:t>Suppose</a:t>
          </a:r>
          <a:r>
            <a:rPr lang="en-US" sz="1100" baseline="0">
              <a:solidFill>
                <a:schemeClr val="tx1"/>
              </a:solidFill>
              <a:effectLst/>
              <a:latin typeface="+mn-lt"/>
              <a:ea typeface="+mn-ea"/>
              <a:cs typeface="+mn-cs"/>
            </a:rPr>
            <a:t> the market rate of interest is 6.5%, compounded semi-annually. What is the present value of a bond with a 6 year term, a face value of $1,000 and a coupon rate of 5%?</a:t>
          </a:r>
        </a:p>
      </xdr:txBody>
    </xdr:sp>
    <xdr:clientData/>
  </xdr:oneCellAnchor>
  <xdr:oneCellAnchor>
    <xdr:from>
      <xdr:col>0</xdr:col>
      <xdr:colOff>0</xdr:colOff>
      <xdr:row>18</xdr:row>
      <xdr:rowOff>73413</xdr:rowOff>
    </xdr:from>
    <xdr:ext cx="997085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3388113"/>
          <a:ext cx="9970851" cy="26456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2</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Suppose</a:t>
          </a:r>
          <a:r>
            <a:rPr lang="en-US" sz="1100" baseline="0">
              <a:solidFill>
                <a:schemeClr val="tx1"/>
              </a:solidFill>
              <a:effectLst/>
              <a:latin typeface="+mn-lt"/>
              <a:ea typeface="+mn-ea"/>
              <a:cs typeface="+mn-cs"/>
            </a:rPr>
            <a:t> the coupon rate is 6.5%, payable semi-annually. What is the present value of a bond with a 6 year term, a face value of $1,000 if the interest rate is 5%?</a:t>
          </a:r>
          <a:endParaRPr lang="en-US">
            <a:effectLst/>
          </a:endParaRPr>
        </a:p>
      </xdr:txBody>
    </xdr:sp>
    <xdr:clientData/>
  </xdr:oneCellAnchor>
  <xdr:oneCellAnchor>
    <xdr:from>
      <xdr:col>0</xdr:col>
      <xdr:colOff>0</xdr:colOff>
      <xdr:row>34</xdr:row>
      <xdr:rowOff>0</xdr:rowOff>
    </xdr:from>
    <xdr:ext cx="8059194" cy="436786"/>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6263640"/>
          <a:ext cx="8059194"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For the different coupon rates in a through c below, </a:t>
          </a:r>
          <a:r>
            <a:rPr lang="en-US" sz="1100">
              <a:solidFill>
                <a:schemeClr val="tx1"/>
              </a:solidFill>
              <a:effectLst/>
              <a:latin typeface="+mn-lt"/>
              <a:ea typeface="+mn-ea"/>
              <a:cs typeface="+mn-cs"/>
            </a:rPr>
            <a:t>suppose the interest rate is 8.5%,</a:t>
          </a:r>
          <a:r>
            <a:rPr lang="en-US" sz="1100" baseline="0">
              <a:solidFill>
                <a:schemeClr val="tx1"/>
              </a:solidFill>
              <a:effectLst/>
              <a:latin typeface="+mn-lt"/>
              <a:ea typeface="+mn-ea"/>
              <a:cs typeface="+mn-cs"/>
            </a:rPr>
            <a:t> the bond has a 5 year term and a $1,000 face value.</a:t>
          </a:r>
          <a:endParaRPr lang="en-US" sz="1100" b="0" i="0" u="none" strike="noStrike">
            <a:solidFill>
              <a:schemeClr val="tx1"/>
            </a:solidFill>
            <a:effectLst/>
            <a:latin typeface="+mn-lt"/>
            <a:ea typeface="+mn-ea"/>
            <a:cs typeface="+mn-cs"/>
          </a:endParaRPr>
        </a:p>
        <a:p>
          <a:r>
            <a:rPr lang="en-US" sz="1100">
              <a:solidFill>
                <a:schemeClr val="tx1"/>
              </a:solidFill>
              <a:effectLst/>
              <a:latin typeface="+mn-lt"/>
              <a:ea typeface="+mn-ea"/>
              <a:cs typeface="+mn-cs"/>
            </a:rPr>
            <a:t>Give the present value</a:t>
          </a:r>
          <a:r>
            <a:rPr lang="en-US" sz="1100" baseline="0">
              <a:solidFill>
                <a:schemeClr val="tx1"/>
              </a:solidFill>
              <a:effectLst/>
              <a:latin typeface="+mn-lt"/>
              <a:ea typeface="+mn-ea"/>
              <a:cs typeface="+mn-cs"/>
            </a:rPr>
            <a:t> of the bond when coupon rate is:</a:t>
          </a:r>
          <a:endParaRPr lang="en-US">
            <a:effectLst/>
          </a:endParaRPr>
        </a:p>
      </xdr:txBody>
    </xdr:sp>
    <xdr:clientData/>
  </xdr:oneCellAnchor>
  <xdr:oneCellAnchor>
    <xdr:from>
      <xdr:col>0</xdr:col>
      <xdr:colOff>3717</xdr:colOff>
      <xdr:row>36</xdr:row>
      <xdr:rowOff>184924</xdr:rowOff>
    </xdr:from>
    <xdr:ext cx="2380588" cy="264560"/>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3717" y="6814324"/>
          <a:ext cx="238058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a.  5% per year, payable semi-annually</a:t>
          </a:r>
          <a:endParaRPr lang="en-US">
            <a:effectLst/>
          </a:endParaRPr>
        </a:p>
      </xdr:txBody>
    </xdr:sp>
    <xdr:clientData/>
  </xdr:oneCellAnchor>
  <xdr:oneCellAnchor>
    <xdr:from>
      <xdr:col>0</xdr:col>
      <xdr:colOff>3717</xdr:colOff>
      <xdr:row>52</xdr:row>
      <xdr:rowOff>184924</xdr:rowOff>
    </xdr:from>
    <xdr:ext cx="2494209" cy="264560"/>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3717" y="9763264"/>
          <a:ext cx="249420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 b. 8.5% per year, payable semi-annually</a:t>
          </a:r>
          <a:endParaRPr lang="en-US">
            <a:effectLst/>
          </a:endParaRPr>
        </a:p>
      </xdr:txBody>
    </xdr:sp>
    <xdr:clientData/>
  </xdr:oneCellAnchor>
  <xdr:oneCellAnchor>
    <xdr:from>
      <xdr:col>0</xdr:col>
      <xdr:colOff>3717</xdr:colOff>
      <xdr:row>68</xdr:row>
      <xdr:rowOff>184924</xdr:rowOff>
    </xdr:from>
    <xdr:ext cx="2880212" cy="264560"/>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3717" y="12712204"/>
          <a:ext cx="2880212"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 c. 0% per year, use semi-annual compounding</a:t>
          </a:r>
          <a:r>
            <a:rPr lang="en-US" sz="1100" i="0" baseline="0">
              <a:solidFill>
                <a:schemeClr val="tx1"/>
              </a:solidFill>
              <a:effectLst/>
              <a:latin typeface="+mn-lt"/>
              <a:ea typeface="+mn-ea"/>
              <a:cs typeface="+mn-cs"/>
            </a:rPr>
            <a:t> </a:t>
          </a:r>
          <a:endParaRPr lang="en-US">
            <a:effectLst/>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970851" cy="859466"/>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0"/>
          <a:ext cx="9970851" cy="85946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6: Perpetuitie</a:t>
          </a:r>
          <a:r>
            <a:rPr lang="en-US" sz="1600" b="1" baseline="0">
              <a:solidFill>
                <a:schemeClr val="tx1"/>
              </a:solidFill>
              <a:effectLst/>
              <a:latin typeface="+mn-lt"/>
              <a:ea typeface="+mn-ea"/>
              <a:cs typeface="+mn-cs"/>
            </a:rPr>
            <a:t>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1</a:t>
          </a:r>
          <a:r>
            <a:rPr lang="en-US" sz="1100" b="1">
              <a:solidFill>
                <a:schemeClr val="tx1"/>
              </a:solidFill>
              <a:effectLst/>
              <a:latin typeface="+mn-lt"/>
              <a:ea typeface="+mn-ea"/>
              <a:cs typeface="+mn-cs"/>
            </a:rPr>
            <a:t>:</a:t>
          </a:r>
        </a:p>
        <a:p>
          <a:r>
            <a:rPr lang="en-US" sz="1100">
              <a:solidFill>
                <a:schemeClr val="tx1"/>
              </a:solidFill>
              <a:effectLst/>
              <a:latin typeface="+mn-lt"/>
              <a:ea typeface="+mn-ea"/>
              <a:cs typeface="+mn-cs"/>
            </a:rPr>
            <a:t>What is the present</a:t>
          </a:r>
          <a:r>
            <a:rPr lang="en-US" sz="1100" baseline="0">
              <a:solidFill>
                <a:schemeClr val="tx1"/>
              </a:solidFill>
              <a:effectLst/>
              <a:latin typeface="+mn-lt"/>
              <a:ea typeface="+mn-ea"/>
              <a:cs typeface="+mn-cs"/>
            </a:rPr>
            <a:t> value of a perpetuity of $400 per period if the interest rate is 2.5% per period? Assume the perpetuity grows at a rate of 0% per period.</a:t>
          </a:r>
        </a:p>
      </xdr:txBody>
    </xdr:sp>
    <xdr:clientData/>
  </xdr:oneCellAnchor>
  <xdr:oneCellAnchor>
    <xdr:from>
      <xdr:col>0</xdr:col>
      <xdr:colOff>0</xdr:colOff>
      <xdr:row>11</xdr:row>
      <xdr:rowOff>0</xdr:rowOff>
    </xdr:from>
    <xdr:ext cx="9970851" cy="436786"/>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2011680"/>
          <a:ext cx="9970851" cy="43678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2</a:t>
          </a:r>
          <a:r>
            <a:rPr lang="en-US" sz="1100" b="1">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What is the present</a:t>
          </a:r>
          <a:r>
            <a:rPr lang="en-US" sz="1100" baseline="0">
              <a:solidFill>
                <a:schemeClr val="tx1"/>
              </a:solidFill>
              <a:effectLst/>
              <a:latin typeface="+mn-lt"/>
              <a:ea typeface="+mn-ea"/>
              <a:cs typeface="+mn-cs"/>
            </a:rPr>
            <a:t> value of a perpetuity of $400 per period if the interest rate is 2.5% per period? Assume the perpetuity grows at a rate of 1% per period.</a:t>
          </a:r>
          <a:endParaRPr lang="en-US">
            <a:effectLst/>
          </a:endParaRPr>
        </a:p>
      </xdr:txBody>
    </xdr:sp>
    <xdr:clientData/>
  </xdr:oneCellAnchor>
  <xdr:oneCellAnchor>
    <xdr:from>
      <xdr:col>0</xdr:col>
      <xdr:colOff>0</xdr:colOff>
      <xdr:row>20</xdr:row>
      <xdr:rowOff>0</xdr:rowOff>
    </xdr:from>
    <xdr:ext cx="9970851" cy="609013"/>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3657600"/>
          <a:ext cx="9970851"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3</a:t>
          </a:r>
          <a:r>
            <a:rPr lang="en-US" sz="1100" b="1">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What is the present</a:t>
          </a:r>
          <a:r>
            <a:rPr lang="en-US" sz="1100" baseline="0">
              <a:solidFill>
                <a:schemeClr val="tx1"/>
              </a:solidFill>
              <a:effectLst/>
              <a:latin typeface="+mn-lt"/>
              <a:ea typeface="+mn-ea"/>
              <a:cs typeface="+mn-cs"/>
            </a:rPr>
            <a:t> value of a perpetuity of $400 per period whose first payout is at the end of the third period from now if the interest rate is 2.5% per period?</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Assume the perpetuity grows at a rate of 1% per period.</a:t>
          </a:r>
          <a:endParaRPr lang="en-US">
            <a:effectLst/>
          </a:endParaRPr>
        </a:p>
      </xdr:txBody>
    </xdr:sp>
    <xdr:clientData/>
  </xdr:oneCellAnchor>
  <xdr:oneCellAnchor>
    <xdr:from>
      <xdr:col>0</xdr:col>
      <xdr:colOff>0</xdr:colOff>
      <xdr:row>30</xdr:row>
      <xdr:rowOff>190500</xdr:rowOff>
    </xdr:from>
    <xdr:ext cx="9194953" cy="264560"/>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0" y="5676900"/>
          <a:ext cx="919495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a. What is the present</a:t>
          </a:r>
          <a:r>
            <a:rPr lang="en-US" sz="1100" baseline="0">
              <a:solidFill>
                <a:schemeClr val="tx1"/>
              </a:solidFill>
              <a:effectLst/>
              <a:latin typeface="+mn-lt"/>
              <a:ea typeface="+mn-ea"/>
              <a:cs typeface="+mn-cs"/>
            </a:rPr>
            <a:t> value of a perpetuity of $700 per period if the interest rate is 3.5% per period? Assume the perpetuity grows at a rate of 0% per period.</a:t>
          </a:r>
          <a:endParaRPr lang="en-US">
            <a:effectLst/>
          </a:endParaRPr>
        </a:p>
      </xdr:txBody>
    </xdr:sp>
    <xdr:clientData/>
  </xdr:oneCellAnchor>
  <xdr:oneCellAnchor>
    <xdr:from>
      <xdr:col>0</xdr:col>
      <xdr:colOff>0</xdr:colOff>
      <xdr:row>40</xdr:row>
      <xdr:rowOff>0</xdr:rowOff>
    </xdr:from>
    <xdr:ext cx="9304663" cy="264560"/>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0" y="7322820"/>
          <a:ext cx="930466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b. What is the present</a:t>
          </a:r>
          <a:r>
            <a:rPr lang="en-US" sz="1100" baseline="0">
              <a:solidFill>
                <a:schemeClr val="tx1"/>
              </a:solidFill>
              <a:effectLst/>
              <a:latin typeface="+mn-lt"/>
              <a:ea typeface="+mn-ea"/>
              <a:cs typeface="+mn-cs"/>
            </a:rPr>
            <a:t> value of a perpetuity of $700 per period if the interest rate is 3.5% per period? Assume the perpetuity grows at a rate of 1.5% per period.</a:t>
          </a:r>
          <a:endParaRPr lang="en-US">
            <a:effectLst/>
          </a:endParaRPr>
        </a:p>
      </xdr:txBody>
    </xdr:sp>
    <xdr:clientData/>
  </xdr:oneCellAnchor>
  <xdr:oneCellAnchor>
    <xdr:from>
      <xdr:col>0</xdr:col>
      <xdr:colOff>0</xdr:colOff>
      <xdr:row>48</xdr:row>
      <xdr:rowOff>190500</xdr:rowOff>
    </xdr:from>
    <xdr:ext cx="7173567" cy="436786"/>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0" y="8968740"/>
          <a:ext cx="7173567"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c. What is the present</a:t>
          </a:r>
          <a:r>
            <a:rPr lang="en-US" sz="1100" baseline="0">
              <a:solidFill>
                <a:schemeClr val="tx1"/>
              </a:solidFill>
              <a:effectLst/>
              <a:latin typeface="+mn-lt"/>
              <a:ea typeface="+mn-ea"/>
              <a:cs typeface="+mn-cs"/>
            </a:rPr>
            <a:t> value of a perpetuity of $700 per period whose first payment starts at the end of </a:t>
          </a:r>
        </a:p>
        <a:p>
          <a:r>
            <a:rPr lang="en-US" sz="1100" baseline="0">
              <a:solidFill>
                <a:schemeClr val="tx1"/>
              </a:solidFill>
              <a:effectLst/>
              <a:latin typeface="+mn-lt"/>
              <a:ea typeface="+mn-ea"/>
              <a:cs typeface="+mn-cs"/>
            </a:rPr>
            <a:t>the fifth period from now if the interest rate is 3.5% per period? Assume the perpetuity grows at a rate of 1.5% per period.</a:t>
          </a:r>
          <a:endParaRPr lang="en-US">
            <a:effectLst/>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970851" cy="868828"/>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0"/>
          <a:ext cx="9970851" cy="868828"/>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7: Effective Interest</a:t>
          </a:r>
          <a:r>
            <a:rPr lang="en-US" sz="1600" b="1" baseline="0">
              <a:solidFill>
                <a:schemeClr val="tx1"/>
              </a:solidFill>
              <a:effectLst/>
              <a:latin typeface="+mn-lt"/>
              <a:ea typeface="+mn-ea"/>
              <a:cs typeface="+mn-cs"/>
            </a:rPr>
            <a: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1</a:t>
          </a:r>
          <a:r>
            <a:rPr lang="en-US" sz="1100" b="1">
              <a:solidFill>
                <a:schemeClr val="tx1"/>
              </a:solidFill>
              <a:effectLst/>
              <a:latin typeface="+mn-lt"/>
              <a:ea typeface="+mn-ea"/>
              <a:cs typeface="+mn-cs"/>
            </a:rPr>
            <a:t>:</a:t>
          </a:r>
        </a:p>
        <a:p>
          <a:r>
            <a:rPr lang="en-US" sz="1100">
              <a:solidFill>
                <a:schemeClr val="tx1"/>
              </a:solidFill>
              <a:effectLst/>
              <a:latin typeface="+mn-lt"/>
              <a:ea typeface="+mn-ea"/>
              <a:cs typeface="+mn-cs"/>
            </a:rPr>
            <a:t>A perpetuity of $1,000 per period sells for $15,384.62. What is the implicit interest rate per</a:t>
          </a:r>
          <a:r>
            <a:rPr lang="en-US" sz="1100" baseline="0">
              <a:solidFill>
                <a:schemeClr val="tx1"/>
              </a:solidFill>
              <a:effectLst/>
              <a:latin typeface="+mn-lt"/>
              <a:ea typeface="+mn-ea"/>
              <a:cs typeface="+mn-cs"/>
            </a:rPr>
            <a:t> period</a:t>
          </a:r>
          <a:r>
            <a:rPr lang="en-US" sz="1100">
              <a:solidFill>
                <a:schemeClr val="tx1"/>
              </a:solidFill>
              <a:effectLst/>
              <a:latin typeface="+mn-lt"/>
              <a:ea typeface="+mn-ea"/>
              <a:cs typeface="+mn-cs"/>
            </a:rPr>
            <a:t> in this transaction to the nearest one-tenth of one percent?</a:t>
          </a:r>
          <a:endParaRPr lang="en-US" sz="1100" baseline="0">
            <a:solidFill>
              <a:schemeClr val="tx1"/>
            </a:solidFill>
            <a:effectLst/>
            <a:latin typeface="+mn-lt"/>
            <a:ea typeface="+mn-ea"/>
            <a:cs typeface="+mn-cs"/>
          </a:endParaRPr>
        </a:p>
      </xdr:txBody>
    </xdr:sp>
    <xdr:clientData/>
  </xdr:oneCellAnchor>
  <xdr:oneCellAnchor>
    <xdr:from>
      <xdr:col>0</xdr:col>
      <xdr:colOff>0</xdr:colOff>
      <xdr:row>10</xdr:row>
      <xdr:rowOff>60158</xdr:rowOff>
    </xdr:from>
    <xdr:ext cx="9970851" cy="609013"/>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0" y="1888958"/>
          <a:ext cx="9970851"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2</a:t>
          </a:r>
          <a:r>
            <a:rPr lang="en-US" sz="1100" b="1">
              <a:solidFill>
                <a:schemeClr val="tx1"/>
              </a:solidFill>
              <a:effectLst/>
              <a:latin typeface="+mn-lt"/>
              <a:ea typeface="+mn-ea"/>
              <a:cs typeface="+mn-cs"/>
            </a:rPr>
            <a:t>: </a:t>
          </a:r>
        </a:p>
        <a:p>
          <a:pPr lvl="0"/>
          <a:r>
            <a:rPr lang="en-US" sz="1100">
              <a:solidFill>
                <a:schemeClr val="tx1"/>
              </a:solidFill>
              <a:effectLst/>
              <a:latin typeface="+mn-lt"/>
              <a:ea typeface="+mn-ea"/>
              <a:cs typeface="+mn-cs"/>
            </a:rPr>
            <a:t>A zero coupon bond with a maturity of 10 years and a face value of $1,000 sells for $385.54. What is the implicit interest rate in this transaction to the nearest one-tenth of one percent? Assume</a:t>
          </a:r>
          <a:r>
            <a:rPr lang="en-US" sz="1100" baseline="0">
              <a:solidFill>
                <a:schemeClr val="tx1"/>
              </a:solidFill>
              <a:effectLst/>
              <a:latin typeface="+mn-lt"/>
              <a:ea typeface="+mn-ea"/>
              <a:cs typeface="+mn-cs"/>
            </a:rPr>
            <a:t> annual compounding.</a:t>
          </a:r>
          <a:endParaRPr lang="en-US" sz="1100">
            <a:solidFill>
              <a:schemeClr val="tx1"/>
            </a:solidFill>
            <a:effectLst/>
            <a:latin typeface="+mn-lt"/>
            <a:ea typeface="+mn-ea"/>
            <a:cs typeface="+mn-cs"/>
          </a:endParaRPr>
        </a:p>
      </xdr:txBody>
    </xdr:sp>
    <xdr:clientData/>
  </xdr:oneCellAnchor>
  <xdr:oneCellAnchor>
    <xdr:from>
      <xdr:col>0</xdr:col>
      <xdr:colOff>0</xdr:colOff>
      <xdr:row>21</xdr:row>
      <xdr:rowOff>73413</xdr:rowOff>
    </xdr:from>
    <xdr:ext cx="9970851" cy="609013"/>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0" y="3913893"/>
          <a:ext cx="9970851"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3</a:t>
          </a:r>
          <a:r>
            <a:rPr lang="en-US" sz="1100" b="1">
              <a:solidFill>
                <a:schemeClr val="tx1"/>
              </a:solidFill>
              <a:effectLst/>
              <a:latin typeface="+mn-lt"/>
              <a:ea typeface="+mn-ea"/>
              <a:cs typeface="+mn-cs"/>
            </a:rPr>
            <a:t>: </a:t>
          </a:r>
        </a:p>
        <a:p>
          <a:pPr lvl="0"/>
          <a:r>
            <a:rPr lang="en-US" sz="1100">
              <a:solidFill>
                <a:schemeClr val="tx1"/>
              </a:solidFill>
              <a:effectLst/>
              <a:latin typeface="+mn-lt"/>
              <a:ea typeface="+mn-ea"/>
              <a:cs typeface="+mn-cs"/>
            </a:rPr>
            <a:t>A bond with a $1,000 face value, a maturity of 6 years, and a coupon rate of 6.5% paid semi-annually sells for $893.62. What is the implicit interest rate in this transaction to the nearest one-one hundredth of one percent? Give your answer as an annual rate, compounded semi-annually.</a:t>
          </a:r>
        </a:p>
      </xdr:txBody>
    </xdr:sp>
    <xdr:clientData/>
  </xdr:oneCellAnchor>
  <xdr:oneCellAnchor>
    <xdr:from>
      <xdr:col>0</xdr:col>
      <xdr:colOff>0</xdr:colOff>
      <xdr:row>45</xdr:row>
      <xdr:rowOff>60158</xdr:rowOff>
    </xdr:from>
    <xdr:ext cx="9970851" cy="436786"/>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0" y="8312618"/>
          <a:ext cx="9970851"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effectLst/>
              <a:latin typeface="+mn-lt"/>
              <a:ea typeface="+mn-ea"/>
              <a:cs typeface="+mn-cs"/>
            </a:rPr>
            <a:t>b. A zero coupon bond with a maturity of 20 years and a face value of $10,000 sells for $2,073.94. What is the implicit interest rate in this transaction to the nearest one-tenthf of one percent? Assume</a:t>
          </a:r>
          <a:r>
            <a:rPr lang="en-US" sz="1100" baseline="0">
              <a:solidFill>
                <a:schemeClr val="tx1"/>
              </a:solidFill>
              <a:effectLst/>
              <a:latin typeface="+mn-lt"/>
              <a:ea typeface="+mn-ea"/>
              <a:cs typeface="+mn-cs"/>
            </a:rPr>
            <a:t> annual compounding.</a:t>
          </a:r>
          <a:endParaRPr lang="en-US">
            <a:effectLst/>
          </a:endParaRPr>
        </a:p>
      </xdr:txBody>
    </xdr:sp>
    <xdr:clientData/>
  </xdr:oneCellAnchor>
  <xdr:oneCellAnchor>
    <xdr:from>
      <xdr:col>0</xdr:col>
      <xdr:colOff>0</xdr:colOff>
      <xdr:row>56</xdr:row>
      <xdr:rowOff>73413</xdr:rowOff>
    </xdr:from>
    <xdr:ext cx="9970851" cy="436786"/>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0" y="10337553"/>
          <a:ext cx="9970851"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US" sz="1100">
              <a:solidFill>
                <a:schemeClr val="tx1"/>
              </a:solidFill>
              <a:effectLst/>
              <a:latin typeface="+mn-lt"/>
              <a:ea typeface="+mn-ea"/>
              <a:cs typeface="+mn-cs"/>
            </a:rPr>
            <a:t>c. A bond with a $1,000 face value, a maturity of 5 years, and a coupon rate of 5% paid semi-annually sells for $930.00. What is the implicit interest rate in this transaction to the nearest one-one hundredth of one percent? Give your answer as an annual rate, compounded semi-annually.</a:t>
          </a:r>
        </a:p>
      </xdr:txBody>
    </xdr:sp>
    <xdr:clientData/>
  </xdr:oneCellAnchor>
  <xdr:oneCellAnchor>
    <xdr:from>
      <xdr:col>0</xdr:col>
      <xdr:colOff>0</xdr:colOff>
      <xdr:row>38</xdr:row>
      <xdr:rowOff>0</xdr:rowOff>
    </xdr:from>
    <xdr:ext cx="9970851" cy="264560"/>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0" y="6972300"/>
          <a:ext cx="9970851"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US" sz="1100">
              <a:solidFill>
                <a:schemeClr val="tx1"/>
              </a:solidFill>
              <a:effectLst/>
              <a:latin typeface="+mn-lt"/>
              <a:ea typeface="+mn-ea"/>
              <a:cs typeface="+mn-cs"/>
            </a:rPr>
            <a:t>a. A perpetuity of $4,000 per period sells for $35,714.29. What is the implicit interest rate per</a:t>
          </a:r>
          <a:r>
            <a:rPr lang="en-US" sz="1100" baseline="0">
              <a:solidFill>
                <a:schemeClr val="tx1"/>
              </a:solidFill>
              <a:effectLst/>
              <a:latin typeface="+mn-lt"/>
              <a:ea typeface="+mn-ea"/>
              <a:cs typeface="+mn-cs"/>
            </a:rPr>
            <a:t> period</a:t>
          </a:r>
          <a:r>
            <a:rPr lang="en-US" sz="1100">
              <a:solidFill>
                <a:schemeClr val="tx1"/>
              </a:solidFill>
              <a:effectLst/>
              <a:latin typeface="+mn-lt"/>
              <a:ea typeface="+mn-ea"/>
              <a:cs typeface="+mn-cs"/>
            </a:rPr>
            <a:t> in this transaction to the nearest one-tenth of one percent?</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970851" cy="1376146"/>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0"/>
          <a:ext cx="9970851" cy="137614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8: Unanticipated</a:t>
          </a:r>
          <a:r>
            <a:rPr lang="en-US" sz="1600" b="1" baseline="0">
              <a:solidFill>
                <a:schemeClr val="tx1"/>
              </a:solidFill>
              <a:effectLst/>
              <a:latin typeface="+mn-lt"/>
              <a:ea typeface="+mn-ea"/>
              <a:cs typeface="+mn-cs"/>
            </a:rPr>
            <a:t> Changes in</a:t>
          </a:r>
          <a:r>
            <a:rPr lang="en-US" sz="1600" b="1">
              <a:solidFill>
                <a:schemeClr val="tx1"/>
              </a:solidFill>
              <a:effectLst/>
              <a:latin typeface="+mn-lt"/>
              <a:ea typeface="+mn-ea"/>
              <a:cs typeface="+mn-cs"/>
            </a:rPr>
            <a:t> Interest</a:t>
          </a:r>
          <a:r>
            <a:rPr lang="en-US" sz="1600" b="1" baseline="0">
              <a:solidFill>
                <a:schemeClr val="tx1"/>
              </a:solidFill>
              <a:effectLst/>
              <a:latin typeface="+mn-lt"/>
              <a:ea typeface="+mn-ea"/>
              <a:cs typeface="+mn-cs"/>
            </a:rPr>
            <a: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Suppose a zero coupon bond has a face value of $1,000 and a term of 10 years. Assume annual compounding, and assume that, in the Table below, the interest rate as of the end of Year N is expected to persist through the end of Year 10. I.e., for Interest Rate Path 3, the interest rate for the life of the bond is expected to be 10% until the end of year 2, when the interest rate for the remaining life of the bond is expected to be 4% until the end of year 6 when it changes to 3%. It remains at 3% until the end of year 8, when it changes to 6%. Plot the values</a:t>
          </a:r>
          <a:r>
            <a:rPr lang="en-US" sz="1100" baseline="0">
              <a:solidFill>
                <a:schemeClr val="tx1"/>
              </a:solidFill>
              <a:effectLst/>
              <a:latin typeface="+mn-lt"/>
              <a:ea typeface="+mn-ea"/>
              <a:cs typeface="+mn-cs"/>
            </a:rPr>
            <a:t> over time.</a:t>
          </a:r>
        </a:p>
      </xdr:txBody>
    </xdr:sp>
    <xdr:clientData/>
  </xdr:oneCellAnchor>
  <xdr:oneCellAnchor>
    <xdr:from>
      <xdr:col>0</xdr:col>
      <xdr:colOff>0</xdr:colOff>
      <xdr:row>23</xdr:row>
      <xdr:rowOff>0</xdr:rowOff>
    </xdr:from>
    <xdr:ext cx="9970851" cy="781240"/>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0" y="4808220"/>
          <a:ext cx="9970851" cy="78124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effectLst/>
              <a:latin typeface="+mn-lt"/>
              <a:ea typeface="+mn-ea"/>
              <a:cs typeface="+mn-cs"/>
            </a:rPr>
            <a:t>Suppose a zero coupon bond has a face value of $25,000 and a term of 15 years. Assume annual compounding, and assume that, in the Table below, the interest rate as of the end of Year N is expected to persist through the end of Year 15. I.e., for Interest Rate Path 3, the interest rate for the life of the bond is expected to be 10% until the end of year 3, when the interest rate for the remaining life of the bond is expected to be 15% until the end of year 6 when it changes to 3%. It remains at 3% until the end of year 10, when it changes to 10%.</a:t>
          </a:r>
          <a:endParaRPr lang="en-US" sz="1100" baseline="0">
            <a:solidFill>
              <a:schemeClr val="tx1"/>
            </a:solidFill>
            <a:effectLst/>
            <a:latin typeface="+mn-lt"/>
            <a:ea typeface="+mn-ea"/>
            <a:cs typeface="+mn-cs"/>
          </a:endParaRPr>
        </a:p>
      </xdr:txBody>
    </xdr:sp>
    <xdr:clientData/>
  </xdr:oneCellAnchor>
  <xdr:twoCellAnchor>
    <xdr:from>
      <xdr:col>11</xdr:col>
      <xdr:colOff>362416</xdr:colOff>
      <xdr:row>8</xdr:row>
      <xdr:rowOff>6040</xdr:rowOff>
    </xdr:from>
    <xdr:to>
      <xdr:col>19</xdr:col>
      <xdr:colOff>269488</xdr:colOff>
      <xdr:row>22</xdr:row>
      <xdr:rowOff>130098</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0</xdr:col>
      <xdr:colOff>289035</xdr:colOff>
      <xdr:row>1</xdr:row>
      <xdr:rowOff>0</xdr:rowOff>
    </xdr:from>
    <xdr:ext cx="9970851" cy="1376146"/>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289035" y="182880"/>
          <a:ext cx="9970851" cy="137614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8a: Graph the Value Paths</a:t>
          </a:r>
          <a:r>
            <a:rPr lang="en-US" sz="1600" b="1" baseline="0">
              <a:solidFill>
                <a:schemeClr val="tx1"/>
              </a:solidFill>
              <a:effectLst/>
              <a:latin typeface="+mn-lt"/>
              <a:ea typeface="+mn-ea"/>
              <a:cs typeface="+mn-cs"/>
            </a:rPr>
            <a:t> from Tab 8 </a:t>
          </a:r>
          <a:r>
            <a:rPr lang="en-US" sz="1600" b="1">
              <a:solidFill>
                <a:schemeClr val="tx1"/>
              </a:solidFill>
              <a:effectLst/>
              <a:latin typeface="+mn-lt"/>
              <a:ea typeface="+mn-ea"/>
              <a:cs typeface="+mn-cs"/>
            </a:rPr>
            <a:t>Unanticipated</a:t>
          </a:r>
          <a:r>
            <a:rPr lang="en-US" sz="1600" b="1" baseline="0">
              <a:solidFill>
                <a:schemeClr val="tx1"/>
              </a:solidFill>
              <a:effectLst/>
              <a:latin typeface="+mn-lt"/>
              <a:ea typeface="+mn-ea"/>
              <a:cs typeface="+mn-cs"/>
            </a:rPr>
            <a:t> Changes in</a:t>
          </a:r>
          <a:r>
            <a:rPr lang="en-US" sz="1600" b="1">
              <a:solidFill>
                <a:schemeClr val="tx1"/>
              </a:solidFill>
              <a:effectLst/>
              <a:latin typeface="+mn-lt"/>
              <a:ea typeface="+mn-ea"/>
              <a:cs typeface="+mn-cs"/>
            </a:rPr>
            <a:t> Interest</a:t>
          </a:r>
          <a:r>
            <a:rPr lang="en-US" sz="1600" b="1" baseline="0">
              <a:solidFill>
                <a:schemeClr val="tx1"/>
              </a:solidFill>
              <a:effectLst/>
              <a:latin typeface="+mn-lt"/>
              <a:ea typeface="+mn-ea"/>
              <a:cs typeface="+mn-cs"/>
            </a:rPr>
            <a: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The first</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graph</a:t>
          </a:r>
          <a:r>
            <a:rPr lang="en-US" sz="1100" baseline="0">
              <a:solidFill>
                <a:schemeClr val="tx1"/>
              </a:solidFill>
              <a:effectLst/>
              <a:latin typeface="+mn-lt"/>
              <a:ea typeface="+mn-ea"/>
              <a:cs typeface="+mn-cs"/>
            </a:rPr>
            <a:t> below is the same as the one on tab 8. The others show each path separately.</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Construct analogous graphs for each of the Value Paths you calculated. Then construct a Graph with all three combined.</a:t>
          </a:r>
        </a:p>
        <a:p>
          <a:r>
            <a:rPr lang="en-US" sz="1100" baseline="0">
              <a:solidFill>
                <a:schemeClr val="tx1"/>
              </a:solidFill>
              <a:effectLst/>
              <a:latin typeface="+mn-lt"/>
              <a:ea typeface="+mn-ea"/>
              <a:cs typeface="+mn-cs"/>
            </a:rPr>
            <a:t>Note where each path starts and where it finishes.</a:t>
          </a:r>
        </a:p>
      </xdr:txBody>
    </xdr:sp>
    <xdr:clientData/>
  </xdr:oneCellAnchor>
  <xdr:twoCellAnchor>
    <xdr:from>
      <xdr:col>1</xdr:col>
      <xdr:colOff>0</xdr:colOff>
      <xdr:row>10</xdr:row>
      <xdr:rowOff>0</xdr:rowOff>
    </xdr:from>
    <xdr:to>
      <xdr:col>8</xdr:col>
      <xdr:colOff>335198</xdr:colOff>
      <xdr:row>27</xdr:row>
      <xdr:rowOff>82645</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10</xdr:row>
      <xdr:rowOff>0</xdr:rowOff>
    </xdr:from>
    <xdr:to>
      <xdr:col>17</xdr:col>
      <xdr:colOff>335198</xdr:colOff>
      <xdr:row>27</xdr:row>
      <xdr:rowOff>82645</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10</xdr:row>
      <xdr:rowOff>0</xdr:rowOff>
    </xdr:from>
    <xdr:to>
      <xdr:col>25</xdr:col>
      <xdr:colOff>335197</xdr:colOff>
      <xdr:row>27</xdr:row>
      <xdr:rowOff>82645</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10</xdr:row>
      <xdr:rowOff>0</xdr:rowOff>
    </xdr:from>
    <xdr:to>
      <xdr:col>33</xdr:col>
      <xdr:colOff>335198</xdr:colOff>
      <xdr:row>27</xdr:row>
      <xdr:rowOff>82645</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9970851" cy="859466"/>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0"/>
          <a:ext cx="9970851" cy="85946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9: Valuing</a:t>
          </a:r>
          <a:r>
            <a:rPr lang="en-US" sz="1600" b="1" baseline="0">
              <a:solidFill>
                <a:schemeClr val="tx1"/>
              </a:solidFill>
              <a:effectLst/>
              <a:latin typeface="+mn-lt"/>
              <a:ea typeface="+mn-ea"/>
              <a:cs typeface="+mn-cs"/>
            </a:rPr>
            <a:t> a Business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You have been given the opportunity to buy a business, UrCo. The interest rate is 8% compounded annually,</a:t>
          </a:r>
          <a:r>
            <a:rPr lang="en-US" sz="1100" baseline="0">
              <a:solidFill>
                <a:schemeClr val="tx1"/>
              </a:solidFill>
              <a:effectLst/>
              <a:latin typeface="+mn-lt"/>
              <a:ea typeface="+mn-ea"/>
              <a:cs typeface="+mn-cs"/>
            </a:rPr>
            <a:t> and</a:t>
          </a:r>
          <a:r>
            <a:rPr lang="en-US" sz="1100">
              <a:solidFill>
                <a:schemeClr val="tx1"/>
              </a:solidFill>
              <a:effectLst/>
              <a:latin typeface="+mn-lt"/>
              <a:ea typeface="+mn-ea"/>
              <a:cs typeface="+mn-cs"/>
            </a:rPr>
            <a:t> the projected cash flows of the business are (each received at the end of the year) are:</a:t>
          </a:r>
        </a:p>
      </xdr:txBody>
    </xdr:sp>
    <xdr:clientData/>
  </xdr:oneCellAnchor>
  <xdr:oneCellAnchor>
    <xdr:from>
      <xdr:col>0</xdr:col>
      <xdr:colOff>0</xdr:colOff>
      <xdr:row>35</xdr:row>
      <xdr:rowOff>0</xdr:rowOff>
    </xdr:from>
    <xdr:ext cx="8542421" cy="516356"/>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8077200"/>
          <a:ext cx="8542421" cy="51635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You have been given the opportunity to buy a business, MyCo. The applicable interest rate is 5%, compounded annually. The projected cash flows of the business are (each received at the end of the year):</a:t>
          </a:r>
          <a:endParaRPr lang="en-US">
            <a:effectLst/>
          </a:endParaRPr>
        </a:p>
      </xdr:txBody>
    </xdr:sp>
    <xdr:clientData/>
  </xdr:oneCellAnchor>
  <xdr:oneCellAnchor>
    <xdr:from>
      <xdr:col>0</xdr:col>
      <xdr:colOff>0</xdr:colOff>
      <xdr:row>43</xdr:row>
      <xdr:rowOff>151086</xdr:rowOff>
    </xdr:from>
    <xdr:ext cx="8542421" cy="320842"/>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0" y="10590486"/>
          <a:ext cx="8542421" cy="320842"/>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a. What is the most you should pay for MyCo at the beginning of Year 1 (i.e., now)?</a:t>
          </a:r>
          <a:endParaRPr lang="en-US">
            <a:effectLst/>
          </a:endParaRPr>
        </a:p>
      </xdr:txBody>
    </xdr:sp>
    <xdr:clientData/>
  </xdr:oneCellAnchor>
  <xdr:oneCellAnchor>
    <xdr:from>
      <xdr:col>0</xdr:col>
      <xdr:colOff>0</xdr:colOff>
      <xdr:row>55</xdr:row>
      <xdr:rowOff>57150</xdr:rowOff>
    </xdr:from>
    <xdr:ext cx="8542421" cy="320842"/>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0" y="13110210"/>
          <a:ext cx="8542421" cy="320842"/>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b. What is the most you should pay for MyCo at the beginning of Year</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3 (i.e.,</a:t>
          </a:r>
          <a:r>
            <a:rPr lang="en-US" sz="1100" baseline="0">
              <a:solidFill>
                <a:schemeClr val="tx1"/>
              </a:solidFill>
              <a:effectLst/>
              <a:latin typeface="+mn-lt"/>
              <a:ea typeface="+mn-ea"/>
              <a:cs typeface="+mn-cs"/>
            </a:rPr>
            <a:t> end of Year 2)</a:t>
          </a:r>
          <a:r>
            <a:rPr lang="en-US" sz="1100">
              <a:solidFill>
                <a:schemeClr val="tx1"/>
              </a:solidFill>
              <a:effectLst/>
              <a:latin typeface="+mn-lt"/>
              <a:ea typeface="+mn-ea"/>
              <a:cs typeface="+mn-cs"/>
            </a:rPr>
            <a:t>?</a:t>
          </a:r>
          <a:endParaRPr lang="en-US">
            <a:effectLst/>
          </a:endParaRPr>
        </a:p>
      </xdr:txBody>
    </xdr:sp>
    <xdr:clientData/>
  </xdr:oneCellAnchor>
  <xdr:oneCellAnchor>
    <xdr:from>
      <xdr:col>0</xdr:col>
      <xdr:colOff>0</xdr:colOff>
      <xdr:row>24</xdr:row>
      <xdr:rowOff>0</xdr:rowOff>
    </xdr:from>
    <xdr:ext cx="9970851" cy="436786"/>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5692140"/>
          <a:ext cx="9970851" cy="43678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Example 2:</a:t>
          </a:r>
        </a:p>
        <a:p>
          <a:r>
            <a:rPr lang="en-US" sz="1100" b="0">
              <a:solidFill>
                <a:schemeClr val="tx1"/>
              </a:solidFill>
              <a:effectLst/>
              <a:latin typeface="+mn-lt"/>
              <a:ea typeface="+mn-ea"/>
              <a:cs typeface="+mn-cs"/>
            </a:rPr>
            <a:t>What</a:t>
          </a:r>
          <a:r>
            <a:rPr lang="en-US" sz="1100" b="0" baseline="0">
              <a:solidFill>
                <a:schemeClr val="tx1"/>
              </a:solidFill>
              <a:effectLst/>
              <a:latin typeface="+mn-lt"/>
              <a:ea typeface="+mn-ea"/>
              <a:cs typeface="+mn-cs"/>
            </a:rPr>
            <a:t> is the most </a:t>
          </a:r>
          <a:r>
            <a:rPr lang="en-US" sz="1100" b="0">
              <a:solidFill>
                <a:schemeClr val="tx1"/>
              </a:solidFill>
              <a:effectLst/>
              <a:latin typeface="+mn-lt"/>
              <a:ea typeface="+mn-ea"/>
              <a:cs typeface="+mn-cs"/>
            </a:rPr>
            <a:t>you would</a:t>
          </a:r>
          <a:r>
            <a:rPr lang="en-US" sz="1100" baseline="0">
              <a:solidFill>
                <a:schemeClr val="tx1"/>
              </a:solidFill>
              <a:effectLst/>
              <a:latin typeface="+mn-lt"/>
              <a:ea typeface="+mn-ea"/>
              <a:cs typeface="+mn-cs"/>
            </a:rPr>
            <a:t> pay for UrCo at the end of Year 3 (i.e, beginning of Year 4)?</a:t>
          </a:r>
          <a:endParaRPr lang="en-US" sz="1100">
            <a:solidFill>
              <a:schemeClr val="tx1"/>
            </a:solidFill>
            <a:effectLst/>
            <a:latin typeface="+mn-lt"/>
            <a:ea typeface="+mn-ea"/>
            <a:cs typeface="+mn-cs"/>
          </a:endParaRPr>
        </a:p>
      </xdr:txBody>
    </xdr:sp>
    <xdr:clientData/>
  </xdr:oneCellAnchor>
  <xdr:oneCellAnchor>
    <xdr:from>
      <xdr:col>0</xdr:col>
      <xdr:colOff>0</xdr:colOff>
      <xdr:row>10</xdr:row>
      <xdr:rowOff>197069</xdr:rowOff>
    </xdr:from>
    <xdr:ext cx="9970851" cy="436786"/>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0" y="2909789"/>
          <a:ext cx="9970851" cy="43678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Example 1:</a:t>
          </a:r>
        </a:p>
        <a:p>
          <a:r>
            <a:rPr lang="en-US" sz="1100" b="0">
              <a:solidFill>
                <a:schemeClr val="tx1"/>
              </a:solidFill>
              <a:effectLst/>
              <a:latin typeface="+mn-lt"/>
              <a:ea typeface="+mn-ea"/>
              <a:cs typeface="+mn-cs"/>
            </a:rPr>
            <a:t>What</a:t>
          </a:r>
          <a:r>
            <a:rPr lang="en-US" sz="1100" b="0" baseline="0">
              <a:solidFill>
                <a:schemeClr val="tx1"/>
              </a:solidFill>
              <a:effectLst/>
              <a:latin typeface="+mn-lt"/>
              <a:ea typeface="+mn-ea"/>
              <a:cs typeface="+mn-cs"/>
            </a:rPr>
            <a:t> is the most </a:t>
          </a:r>
          <a:r>
            <a:rPr lang="en-US" sz="1100" b="0">
              <a:solidFill>
                <a:schemeClr val="tx1"/>
              </a:solidFill>
              <a:effectLst/>
              <a:latin typeface="+mn-lt"/>
              <a:ea typeface="+mn-ea"/>
              <a:cs typeface="+mn-cs"/>
            </a:rPr>
            <a:t>you would</a:t>
          </a:r>
          <a:r>
            <a:rPr lang="en-US" sz="1100" baseline="0">
              <a:solidFill>
                <a:schemeClr val="tx1"/>
              </a:solidFill>
              <a:effectLst/>
              <a:latin typeface="+mn-lt"/>
              <a:ea typeface="+mn-ea"/>
              <a:cs typeface="+mn-cs"/>
            </a:rPr>
            <a:t> pay for UrCo at the beginning of Year 1 (i.e, now)?</a:t>
          </a:r>
          <a:endParaRPr lang="en-US" sz="1100">
            <a:solidFill>
              <a:schemeClr val="tx1"/>
            </a:solidFill>
            <a:effectLst/>
            <a:latin typeface="+mn-lt"/>
            <a:ea typeface="+mn-ea"/>
            <a:cs typeface="+mn-cs"/>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9970851" cy="8092985"/>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0" y="0"/>
          <a:ext cx="9970851" cy="809298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10: Verizon Buyout of Vodafone Partnership</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In a Form 8-K filed with the United States Securities &amp; Exchange Commission (SEC) on September 3, 2013, Verizon announced an agreement with Vodafone that led to a record bond offering. Here are some excerpts from page 1 of the 8-K:</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On September 2, 2013, Verizon Communications Inc. (“Verizon”) entered into a stock purchase agreement (the “Stock Purchase Agreement”) with Vodafone Group Plc (“Vodafone”) and Vodafone 4 Limited (“Seller”), pursuant to which Verizon agreed to acquire Vodafone’s indirect 45% interest in Cellco Partnership d/b/a Verizon Wireless (the “Partnership,” and such interest, the “Vodafone Interest”). The Partnership is a joint venture between Verizon and Vodafone formed in April 2000 by the combination of the U.S. wireless operations and interests of Verizon and Vodafone.</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…Verizon has agreed to, upon completion of the Wireless Transaction, (i) pay approximately $58.89 billion in cash (the “Cash Consideration”), (ii) issue approximately $60.15 billion of Verizon’s common stock, par value $0.10 per share (the “Stock Consideration”), (iii) issue senior unsecured Verizon notes in an aggregate principal amount of $5.0 billion (the “Verizon Notes”), (iv) transfer Verizon’s indirectly owned 23.1% interest in Vodafone Omnitel N.V. (“Omnitel,” and such interest, the “Omnitel Interest”), valued at $3.5 billion and (v) provide other consideration of approximately $2.5 billion.</a:t>
          </a:r>
        </a:p>
        <a:p>
          <a:r>
            <a:rPr lang="en-US" sz="1100">
              <a:solidFill>
                <a:schemeClr val="tx1"/>
              </a:solidFill>
              <a:effectLst/>
              <a:latin typeface="+mn-lt"/>
              <a:ea typeface="+mn-ea"/>
              <a:cs typeface="+mn-cs"/>
            </a:rPr>
            <a:t> </a:t>
          </a:r>
        </a:p>
        <a:p>
          <a:r>
            <a:rPr lang="en-US" sz="1100" u="sng">
              <a:solidFill>
                <a:schemeClr val="tx1"/>
              </a:solidFill>
              <a:effectLst/>
              <a:latin typeface="+mn-lt"/>
              <a:ea typeface="+mn-ea"/>
              <a:cs typeface="+mn-cs"/>
              <a:hlinkClick xmlns:r="http://schemas.openxmlformats.org/officeDocument/2006/relationships" r:id=""/>
            </a:rPr>
            <a:t>http://eol.edgarexplorer.com/EFX_dll/EDGARpro.dll?FetchFilingHTML1?SessionID=Z8xs62JUpSkwYa-&amp;ID=9490448</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According to the Wall Street Journal (WJS) in an article written September 10, 2013 which can be found at the url given below, Verizon may raise as much as $49 billion by selling bonds. (Apple has the current record for the largest corporate bond offering when it raised $17 billion in an April offering.)</a:t>
          </a:r>
        </a:p>
        <a:p>
          <a:r>
            <a:rPr lang="en-US" sz="1100">
              <a:solidFill>
                <a:schemeClr val="tx1"/>
              </a:solidFill>
              <a:effectLst/>
              <a:latin typeface="+mn-lt"/>
              <a:ea typeface="+mn-ea"/>
              <a:cs typeface="+mn-cs"/>
            </a:rPr>
            <a:t> </a:t>
          </a:r>
        </a:p>
        <a:p>
          <a:r>
            <a:rPr lang="en-US" sz="1100" u="sng">
              <a:solidFill>
                <a:schemeClr val="tx1"/>
              </a:solidFill>
              <a:effectLst/>
              <a:latin typeface="+mn-lt"/>
              <a:ea typeface="+mn-ea"/>
              <a:cs typeface="+mn-cs"/>
              <a:hlinkClick xmlns:r="http://schemas.openxmlformats.org/officeDocument/2006/relationships" r:id=""/>
            </a:rPr>
            <a:t>http://online.wsj.com/article/SB10001424127887323595004579066803178304462.html</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Also from the WSJ at that url:</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debt sale is expected to take place Wednesday and will offer securities to investors that mature in 10 years to 30 years and at rates of between 2.25 and 2.65 percentage points above comparable Treasury-bond yields, one of the people familiar with the offering said. The person cautioned that the final terms could deviate somewhat from those targets.</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USA Today reports:</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t>
          </a:r>
        </a:p>
        <a:p>
          <a:r>
            <a:rPr lang="en-US" sz="1100">
              <a:solidFill>
                <a:schemeClr val="tx1"/>
              </a:solidFill>
              <a:effectLst/>
              <a:latin typeface="+mn-lt"/>
              <a:ea typeface="+mn-ea"/>
              <a:cs typeface="+mn-cs"/>
            </a:rPr>
            <a:t>Fueling demand is the spread -- or premium -- over the yield on comparable benchmark government bonds the telecom giant is willing to pay. For example, 10-year fixed-rated notes Verizon plans to sell will yield about 5.22%, or 2.25 percentage points above the bellwether 10-year Treasury note, which was trading at a 2.97% yield Tuesday, the Journal report said.</a:t>
          </a:r>
        </a:p>
        <a:p>
          <a:r>
            <a:rPr lang="en-US" sz="1100">
              <a:solidFill>
                <a:schemeClr val="tx1"/>
              </a:solidFill>
              <a:effectLst/>
              <a:latin typeface="+mn-lt"/>
              <a:ea typeface="+mn-ea"/>
              <a:cs typeface="+mn-cs"/>
            </a:rPr>
            <a:t>…</a:t>
          </a:r>
        </a:p>
        <a:p>
          <a:r>
            <a:rPr lang="en-US" sz="1100">
              <a:solidFill>
                <a:schemeClr val="tx1"/>
              </a:solidFill>
              <a:effectLst/>
              <a:latin typeface="+mn-lt"/>
              <a:ea typeface="+mn-ea"/>
              <a:cs typeface="+mn-cs"/>
            </a:rPr>
            <a:t>There will be a variety of bonds in the Verizon offering issued in several tranches, or types, including about $18 billion to $20 billion of fixed-rate 20-year and 30-year bonds, $15 billion of fixed- and floating-rate notes maturing in 7 and 10 years, and about $13 billion to $15 billion in floating-rate notes with three- to five-year maturities.</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yield Verizon will offer buyers is dictated by the size of the offering, market demand and the company's credit rating. Moody's Investors Service rating agency rates the company Baa1 -- about eight credit steps away from the highest rating available on government debt. The company's credit outlook is stable, in part because the yields on its existing debt are lower than what the company plans to offer in this sale.</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new bonds will be rated BBB+, according to Standard &amp; Poor's rating agency. That means investors would be getting an above-average yield on a credit-stable company.</a:t>
          </a:r>
        </a:p>
        <a:p>
          <a:r>
            <a:rPr lang="en-US" sz="1100">
              <a:solidFill>
                <a:schemeClr val="tx1"/>
              </a:solidFill>
              <a:effectLst/>
              <a:latin typeface="+mn-lt"/>
              <a:ea typeface="+mn-ea"/>
              <a:cs typeface="+mn-cs"/>
            </a:rPr>
            <a:t> </a:t>
          </a:r>
        </a:p>
        <a:p>
          <a:r>
            <a:rPr lang="en-US" sz="1100" u="sng">
              <a:solidFill>
                <a:schemeClr val="tx1"/>
              </a:solidFill>
              <a:effectLst/>
              <a:latin typeface="+mn-lt"/>
              <a:ea typeface="+mn-ea"/>
              <a:cs typeface="+mn-cs"/>
              <a:hlinkClick xmlns:r="http://schemas.openxmlformats.org/officeDocument/2006/relationships" r:id=""/>
            </a:rPr>
            <a:t>http://www.usatoday.com/story/money/business/2013/09/10/verizon-bonds/2795887/</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xdr:txBody>
    </xdr:sp>
    <xdr:clientData/>
  </xdr:oneCellAnchor>
  <xdr:oneCellAnchor>
    <xdr:from>
      <xdr:col>0</xdr:col>
      <xdr:colOff>0</xdr:colOff>
      <xdr:row>43</xdr:row>
      <xdr:rowOff>1171</xdr:rowOff>
    </xdr:from>
    <xdr:ext cx="10029092" cy="486277"/>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7865011"/>
          <a:ext cx="10029092" cy="486277"/>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Suppose Verizon wants to raise $10 billion by issuing zero coupon bonds with a 20-year maturity and that the market interest rate for those bonds is 5.22% annually, compounded semi-annually. What is the total face amount of zero</a:t>
          </a:r>
          <a:r>
            <a:rPr lang="en-US" sz="1100" baseline="0">
              <a:solidFill>
                <a:schemeClr val="tx1"/>
              </a:solidFill>
              <a:effectLst/>
              <a:latin typeface="+mn-lt"/>
              <a:ea typeface="+mn-ea"/>
              <a:cs typeface="+mn-cs"/>
            </a:rPr>
            <a:t> coupon bonds that </a:t>
          </a:r>
          <a:r>
            <a:rPr lang="en-US" sz="1100">
              <a:solidFill>
                <a:schemeClr val="tx1"/>
              </a:solidFill>
              <a:effectLst/>
              <a:latin typeface="+mn-lt"/>
              <a:ea typeface="+mn-ea"/>
              <a:cs typeface="+mn-cs"/>
            </a:rPr>
            <a:t>Verizon</a:t>
          </a:r>
          <a:r>
            <a:rPr lang="en-US" sz="1100" baseline="0">
              <a:solidFill>
                <a:schemeClr val="tx1"/>
              </a:solidFill>
              <a:effectLst/>
              <a:latin typeface="+mn-lt"/>
              <a:ea typeface="+mn-ea"/>
              <a:cs typeface="+mn-cs"/>
            </a:rPr>
            <a:t> should issue? (Answer in billions to two decimal places.)</a:t>
          </a:r>
          <a:endParaRPr lang="en-US">
            <a:effectLst/>
          </a:endParaRPr>
        </a:p>
      </xdr:txBody>
    </xdr:sp>
    <xdr:clientData/>
  </xdr:oneCellAnchor>
  <mc:AlternateContent xmlns:mc="http://schemas.openxmlformats.org/markup-compatibility/2006">
    <mc:Choice xmlns:a14="http://schemas.microsoft.com/office/drawing/2010/main" Requires="a14">
      <xdr:twoCellAnchor editAs="oneCell">
        <xdr:from>
          <xdr:col>4</xdr:col>
          <xdr:colOff>104775</xdr:colOff>
          <xdr:row>45</xdr:row>
          <xdr:rowOff>171450</xdr:rowOff>
        </xdr:from>
        <xdr:to>
          <xdr:col>5</xdr:col>
          <xdr:colOff>409575</xdr:colOff>
          <xdr:row>47</xdr:row>
          <xdr:rowOff>28575</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00000000-0008-0000-0B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Check your answer</a:t>
              </a:r>
            </a:p>
          </xdr:txBody>
        </xdr:sp>
        <xdr:clientData/>
      </xdr:twoCellAnchor>
    </mc:Choice>
    <mc:Fallback/>
  </mc:AlternateContent>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7490384" cy="1203919"/>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0" y="0"/>
          <a:ext cx="7490384" cy="1203919"/>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effectLst/>
              <a:latin typeface="+mn-lt"/>
              <a:ea typeface="+mn-ea"/>
              <a:cs typeface="+mn-cs"/>
            </a:rPr>
            <a:t>Problem 1: Cash Flow Diagrams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 1:</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Consider a bond with a face value of $1,000, a maturity date 3 years hence, and an annual coupon rate of 5% payable annually. </a:t>
          </a:r>
        </a:p>
        <a:p>
          <a:r>
            <a:rPr lang="en-US" sz="1100">
              <a:solidFill>
                <a:schemeClr val="tx1"/>
              </a:solidFill>
              <a:effectLst/>
              <a:latin typeface="+mn-lt"/>
              <a:ea typeface="+mn-ea"/>
              <a:cs typeface="+mn-cs"/>
            </a:rPr>
            <a:t>A cash flow diagram for the bond is:</a:t>
          </a:r>
          <a:endParaRPr lang="en-US" sz="1100"/>
        </a:p>
      </xdr:txBody>
    </xdr:sp>
    <xdr:clientData/>
  </xdr:oneCellAnchor>
  <xdr:oneCellAnchor>
    <xdr:from>
      <xdr:col>0</xdr:col>
      <xdr:colOff>0</xdr:colOff>
      <xdr:row>33</xdr:row>
      <xdr:rowOff>38102</xdr:rowOff>
    </xdr:from>
    <xdr:ext cx="6933886" cy="530658"/>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0" y="6008916"/>
          <a:ext cx="6933886" cy="5306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effectLst/>
              <a:latin typeface="+mn-lt"/>
              <a:ea typeface="+mn-ea"/>
              <a:cs typeface="+mn-cs"/>
            </a:rPr>
            <a:t>Construct</a:t>
          </a:r>
          <a:r>
            <a:rPr lang="en-US" sz="1600" b="1" baseline="0">
              <a:solidFill>
                <a:schemeClr val="tx1"/>
              </a:solidFill>
              <a:effectLst/>
              <a:latin typeface="+mn-lt"/>
              <a:ea typeface="+mn-ea"/>
              <a:cs typeface="+mn-cs"/>
            </a:rPr>
            <a:t> a Cash Flow Diagram for Each of the Following in the Space Provided:</a:t>
          </a:r>
        </a:p>
        <a:p>
          <a:pPr algn="ctr"/>
          <a:r>
            <a:rPr lang="en-US" sz="1200" b="1" baseline="0">
              <a:solidFill>
                <a:schemeClr val="tx1"/>
              </a:solidFill>
              <a:effectLst/>
              <a:latin typeface="+mn-lt"/>
              <a:ea typeface="+mn-ea"/>
              <a:cs typeface="+mn-cs"/>
            </a:rPr>
            <a:t>(Use the names in Column A.)</a:t>
          </a:r>
          <a:endParaRPr lang="en-US" sz="1200"/>
        </a:p>
      </xdr:txBody>
    </xdr:sp>
    <xdr:clientData/>
  </xdr:oneCellAnchor>
  <xdr:oneCellAnchor>
    <xdr:from>
      <xdr:col>0</xdr:col>
      <xdr:colOff>0</xdr:colOff>
      <xdr:row>17</xdr:row>
      <xdr:rowOff>179614</xdr:rowOff>
    </xdr:from>
    <xdr:ext cx="7356245" cy="609013"/>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0" y="2868385"/>
          <a:ext cx="7356245"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Example 2:</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 bond with a face value of $20,000, a maturity date 4 years hence, and an annual coupon rate of 8%, payable semi-annually.</a:t>
          </a:r>
          <a:endParaRPr lang="en-US" sz="1100"/>
        </a:p>
      </xdr:txBody>
    </xdr:sp>
    <xdr:clientData/>
  </xdr:oneCellAnchor>
  <xdr:oneCellAnchor>
    <xdr:from>
      <xdr:col>0</xdr:col>
      <xdr:colOff>0</xdr:colOff>
      <xdr:row>36</xdr:row>
      <xdr:rowOff>0</xdr:rowOff>
    </xdr:from>
    <xdr:ext cx="7705764" cy="26456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0" y="6644640"/>
          <a:ext cx="7705764"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a. A bond with a face value of $30,000, a maturity date 9 years hence, and an annual coupon rate of 9%, payable semi-annually.</a:t>
          </a:r>
          <a:endParaRPr lang="en-US" sz="1100" b="0"/>
        </a:p>
      </xdr:txBody>
    </xdr:sp>
    <xdr:clientData/>
  </xdr:oneCellAnchor>
  <xdr:oneCellAnchor>
    <xdr:from>
      <xdr:col>0</xdr:col>
      <xdr:colOff>0</xdr:colOff>
      <xdr:row>49</xdr:row>
      <xdr:rowOff>108858</xdr:rowOff>
    </xdr:from>
    <xdr:ext cx="7244997" cy="264560"/>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0" y="9542749"/>
          <a:ext cx="7244997"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b. A zero-coupon bond with a face value of $500,000, a maturity date 15 years hence. Assume you will compound annually.</a:t>
          </a:r>
        </a:p>
      </xdr:txBody>
    </xdr:sp>
    <xdr:clientData/>
  </xdr:oneCellAnchor>
  <xdr:oneCellAnchor>
    <xdr:from>
      <xdr:col>0</xdr:col>
      <xdr:colOff>0</xdr:colOff>
      <xdr:row>62</xdr:row>
      <xdr:rowOff>114300</xdr:rowOff>
    </xdr:from>
    <xdr:ext cx="7459980" cy="26456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0" y="11574780"/>
          <a:ext cx="7459980"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0">
              <a:solidFill>
                <a:schemeClr val="tx1"/>
              </a:solidFill>
              <a:effectLst/>
              <a:latin typeface="+mn-lt"/>
              <a:ea typeface="+mn-ea"/>
              <a:cs typeface="+mn-cs"/>
            </a:rPr>
            <a:t>c. A zero-coupon bond with a face value of $500,000, a maturity date 8 years hence. Assume you will compound semi-annually.</a:t>
          </a:r>
        </a:p>
      </xdr:txBody>
    </xdr:sp>
    <xdr:clientData/>
  </xdr:oneCellAnchor>
  <xdr:oneCellAnchor>
    <xdr:from>
      <xdr:col>0</xdr:col>
      <xdr:colOff>0</xdr:colOff>
      <xdr:row>75</xdr:row>
      <xdr:rowOff>108858</xdr:rowOff>
    </xdr:from>
    <xdr:ext cx="7244997" cy="264560"/>
    <xdr:sp macro="" textlink="">
      <xdr:nvSpPr>
        <xdr:cNvPr id="9" name="TextBox 8">
          <a:extLst>
            <a:ext uri="{FF2B5EF4-FFF2-40B4-BE49-F238E27FC236}">
              <a16:creationId xmlns:a16="http://schemas.microsoft.com/office/drawing/2014/main" id="{00000000-0008-0000-0C00-000009000000}"/>
            </a:ext>
          </a:extLst>
        </xdr:cNvPr>
        <xdr:cNvSpPr txBox="1"/>
      </xdr:nvSpPr>
      <xdr:spPr>
        <a:xfrm>
          <a:off x="0" y="14614072"/>
          <a:ext cx="7244997"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d. A zero-coupon bond with a face value of $100,000, a maturity date 14 years hence. Assume you will compound annually.</a:t>
          </a:r>
        </a:p>
      </xdr:txBody>
    </xdr:sp>
    <xdr:clientData/>
  </xdr:oneCellAnchor>
  <xdr:oneCellAnchor>
    <xdr:from>
      <xdr:col>0</xdr:col>
      <xdr:colOff>0</xdr:colOff>
      <xdr:row>88</xdr:row>
      <xdr:rowOff>119744</xdr:rowOff>
    </xdr:from>
    <xdr:ext cx="7420045" cy="26456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0" y="17145001"/>
          <a:ext cx="7420045"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lvl="0" indent="0"/>
          <a:r>
            <a:rPr lang="en-US" sz="1100" b="0">
              <a:solidFill>
                <a:schemeClr val="tx1"/>
              </a:solidFill>
              <a:effectLst/>
              <a:latin typeface="+mn-lt"/>
              <a:ea typeface="+mn-ea"/>
              <a:cs typeface="+mn-cs"/>
            </a:rPr>
            <a:t>e. A bond with a face value of $30,000, a maturity date 6 years hence, and an annual coupon rate 5%, payable semi-annually.</a:t>
          </a:r>
        </a:p>
      </xdr:txBody>
    </xdr:sp>
    <xdr:clientData/>
  </xdr:oneCellAnchor>
  <xdr:oneCellAnchor>
    <xdr:from>
      <xdr:col>0</xdr:col>
      <xdr:colOff>0</xdr:colOff>
      <xdr:row>101</xdr:row>
      <xdr:rowOff>97972</xdr:rowOff>
    </xdr:from>
    <xdr:ext cx="13702662" cy="264560"/>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0" y="19632386"/>
          <a:ext cx="13702662"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f. An annuity of $306 per year, received in arrears, that expires 7 years hence. Note that the first payment under the annuity is one year from now, and the last one is at the end of year 7. Assume you are going to apply annual discounting.</a:t>
          </a:r>
        </a:p>
      </xdr:txBody>
    </xdr:sp>
    <xdr:clientData/>
  </xdr:oneCellAnchor>
  <xdr:oneCellAnchor>
    <xdr:from>
      <xdr:col>0</xdr:col>
      <xdr:colOff>0</xdr:colOff>
      <xdr:row>114</xdr:row>
      <xdr:rowOff>125186</xdr:rowOff>
    </xdr:from>
    <xdr:ext cx="13357824" cy="264560"/>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0" y="22168757"/>
          <a:ext cx="13357824"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g. An annuity of $306 per year, received in advance, that expires 7 years hence. Note that the first payment under the annuity is now, and the last one is at the beginning of year 7. Assume you are going to apply annual discounting.</a:t>
          </a:r>
        </a:p>
      </xdr:txBody>
    </xdr:sp>
    <xdr:clientData/>
  </xdr:oneCellAnchor>
  <xdr:oneCellAnchor>
    <xdr:from>
      <xdr:col>0</xdr:col>
      <xdr:colOff>0</xdr:colOff>
      <xdr:row>127</xdr:row>
      <xdr:rowOff>114301</xdr:rowOff>
    </xdr:from>
    <xdr:ext cx="12466170" cy="264560"/>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0" y="24667030"/>
          <a:ext cx="12466170"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h. A perpetuity of $5000 received at the end of each year. (Note: show only the first twenty cash flows explicitly and answer the yes/no question at the end of the diagram. Assume you are using annual discounting.)</a:t>
          </a:r>
        </a:p>
      </xdr:txBody>
    </xdr:sp>
    <xdr:clientData/>
  </xdr:oneCellAnchor>
  <xdr:oneCellAnchor>
    <xdr:from>
      <xdr:col>0</xdr:col>
      <xdr:colOff>0</xdr:colOff>
      <xdr:row>140</xdr:row>
      <xdr:rowOff>92529</xdr:rowOff>
    </xdr:from>
    <xdr:ext cx="14158491" cy="264560"/>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0" y="27060703"/>
          <a:ext cx="14158491"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i. The monthly payments of $3,500 on an apartment lease that expires one year hence. Lease payments are due at the beginning of the month. Assume today is the first day of the first month of the lease. Use positive</a:t>
          </a:r>
          <a:r>
            <a:rPr lang="en-US" sz="1100" b="0" baseline="0">
              <a:solidFill>
                <a:schemeClr val="tx1"/>
              </a:solidFill>
              <a:effectLst/>
              <a:latin typeface="+mn-lt"/>
              <a:ea typeface="+mn-ea"/>
              <a:cs typeface="+mn-cs"/>
            </a:rPr>
            <a:t> numbers for the payments.</a:t>
          </a:r>
          <a:endParaRPr lang="en-US" sz="1100" b="0">
            <a:solidFill>
              <a:schemeClr val="tx1"/>
            </a:solidFill>
            <a:effectLst/>
            <a:latin typeface="+mn-lt"/>
            <a:ea typeface="+mn-ea"/>
            <a:cs typeface="+mn-cs"/>
          </a:endParaRPr>
        </a:p>
      </xdr:txBody>
    </xdr:sp>
    <xdr:clientData/>
  </xdr:oneCellAnchor>
  <xdr:oneCellAnchor>
    <xdr:from>
      <xdr:col>0</xdr:col>
      <xdr:colOff>0</xdr:colOff>
      <xdr:row>153</xdr:row>
      <xdr:rowOff>27215</xdr:rowOff>
    </xdr:from>
    <xdr:ext cx="11834843" cy="436786"/>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0" y="29598258"/>
          <a:ext cx="11834843"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j. The monthly payments of $3,500 on an apartment lease that expires one year hence. Lease payments are due at the beginning of the month. Assume today is the first day of the first month of the lease.</a:t>
          </a:r>
        </a:p>
        <a:p>
          <a:r>
            <a:rPr lang="en-US" sz="1100" b="0">
              <a:solidFill>
                <a:schemeClr val="tx1"/>
              </a:solidFill>
              <a:effectLst/>
              <a:latin typeface="+mn-lt"/>
              <a:ea typeface="+mn-ea"/>
              <a:cs typeface="+mn-cs"/>
            </a:rPr>
            <a:t>Also, the first and last month's rent are due immediately. Use positive numbers for the payments.</a:t>
          </a:r>
          <a:endParaRPr lang="en-US">
            <a:effectLst/>
          </a:endParaRPr>
        </a:p>
      </xdr:txBody>
    </xdr:sp>
    <xdr:clientData/>
  </xdr:oneCellAnchor>
  <xdr:oneCellAnchor>
    <xdr:from>
      <xdr:col>0</xdr:col>
      <xdr:colOff>0</xdr:colOff>
      <xdr:row>166</xdr:row>
      <xdr:rowOff>97972</xdr:rowOff>
    </xdr:from>
    <xdr:ext cx="12340814" cy="609013"/>
    <xdr:sp macro="" textlink="">
      <xdr:nvSpPr>
        <xdr:cNvPr id="17" name="TextBox 16">
          <a:extLst>
            <a:ext uri="{FF2B5EF4-FFF2-40B4-BE49-F238E27FC236}">
              <a16:creationId xmlns:a16="http://schemas.microsoft.com/office/drawing/2014/main" id="{00000000-0008-0000-0C00-000011000000}"/>
            </a:ext>
          </a:extLst>
        </xdr:cNvPr>
        <xdr:cNvSpPr txBox="1"/>
      </xdr:nvSpPr>
      <xdr:spPr>
        <a:xfrm>
          <a:off x="0" y="32068842"/>
          <a:ext cx="12340814" cy="609013"/>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k. The monthly payments of $3,500 on an apartment lease that expires one year hence. Lease payments are due at the beginning of the month. Assume today is the first day of the first month of the lease.</a:t>
          </a:r>
        </a:p>
        <a:p>
          <a:r>
            <a:rPr lang="en-US" sz="1100" b="0">
              <a:solidFill>
                <a:schemeClr val="tx1"/>
              </a:solidFill>
              <a:effectLst/>
              <a:latin typeface="+mn-lt"/>
              <a:ea typeface="+mn-ea"/>
              <a:cs typeface="+mn-cs"/>
            </a:rPr>
            <a:t>Also, a security deposit of 2</a:t>
          </a:r>
          <a:r>
            <a:rPr lang="en-US" sz="1100" b="0" baseline="0">
              <a:solidFill>
                <a:schemeClr val="tx1"/>
              </a:solidFill>
              <a:effectLst/>
              <a:latin typeface="+mn-lt"/>
              <a:ea typeface="+mn-ea"/>
              <a:cs typeface="+mn-cs"/>
            </a:rPr>
            <a:t> times the monthly rent must be posted immediately. The deposit is refundable at the end of the lease (assuming you haven't trashed the place). Use positive numbers for the payments</a:t>
          </a:r>
        </a:p>
        <a:p>
          <a:r>
            <a:rPr lang="en-US" sz="1100" b="0" baseline="0">
              <a:solidFill>
                <a:schemeClr val="tx1"/>
              </a:solidFill>
              <a:effectLst/>
              <a:latin typeface="+mn-lt"/>
              <a:ea typeface="+mn-ea"/>
              <a:cs typeface="+mn-cs"/>
            </a:rPr>
            <a:t>and a negative number for the refund.</a:t>
          </a:r>
          <a:endParaRPr lang="en-US">
            <a:effectLst/>
          </a:endParaRPr>
        </a:p>
      </xdr:txBody>
    </xdr:sp>
    <xdr:clientData/>
  </xdr:oneCellAnchor>
  <xdr:oneCellAnchor>
    <xdr:from>
      <xdr:col>0</xdr:col>
      <xdr:colOff>0</xdr:colOff>
      <xdr:row>180</xdr:row>
      <xdr:rowOff>92529</xdr:rowOff>
    </xdr:from>
    <xdr:ext cx="6981014" cy="264560"/>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0" y="33353829"/>
          <a:ext cx="6981014"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a:solidFill>
                <a:schemeClr val="tx1"/>
              </a:solidFill>
              <a:effectLst/>
              <a:latin typeface="+mn-lt"/>
              <a:ea typeface="+mn-ea"/>
              <a:cs typeface="+mn-cs"/>
            </a:rPr>
            <a:t>l. </a:t>
          </a:r>
          <a:r>
            <a:rPr lang="en-US" sz="1100">
              <a:solidFill>
                <a:schemeClr val="tx1"/>
              </a:solidFill>
              <a:effectLst/>
              <a:latin typeface="+mn-lt"/>
              <a:ea typeface="+mn-ea"/>
              <a:cs typeface="+mn-cs"/>
            </a:rPr>
            <a:t>A perpetuity of $500 per year, the first payment from which will be received at the end of the third year from now.</a:t>
          </a:r>
          <a:endParaRPr lang="en-US" sz="1100" b="0">
            <a:solidFill>
              <a:schemeClr val="tx1"/>
            </a:solidFill>
            <a:effectLst/>
            <a:latin typeface="+mn-lt"/>
            <a:ea typeface="+mn-ea"/>
            <a:cs typeface="+mn-cs"/>
          </a:endParaRPr>
        </a:p>
      </xdr:txBody>
    </xdr:sp>
    <xdr:clientData/>
  </xdr:oneCellAnchor>
  <xdr:oneCellAnchor>
    <xdr:from>
      <xdr:col>0</xdr:col>
      <xdr:colOff>0</xdr:colOff>
      <xdr:row>193</xdr:row>
      <xdr:rowOff>97972</xdr:rowOff>
    </xdr:from>
    <xdr:ext cx="13398411" cy="264560"/>
    <xdr:sp macro="" textlink="">
      <xdr:nvSpPr>
        <xdr:cNvPr id="19" name="TextBox 18">
          <a:extLst>
            <a:ext uri="{FF2B5EF4-FFF2-40B4-BE49-F238E27FC236}">
              <a16:creationId xmlns:a16="http://schemas.microsoft.com/office/drawing/2014/main" id="{00000000-0008-0000-0C00-000013000000}"/>
            </a:ext>
          </a:extLst>
        </xdr:cNvPr>
        <xdr:cNvSpPr txBox="1"/>
      </xdr:nvSpPr>
      <xdr:spPr>
        <a:xfrm>
          <a:off x="0" y="37196486"/>
          <a:ext cx="13398411"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chemeClr val="tx1"/>
              </a:solidFill>
              <a:effectLst/>
              <a:latin typeface="+mn-lt"/>
              <a:ea typeface="+mn-ea"/>
              <a:cs typeface="+mn-cs"/>
            </a:rPr>
            <a:t>m. </a:t>
          </a:r>
          <a:r>
            <a:rPr lang="en-US" sz="1100">
              <a:solidFill>
                <a:schemeClr val="tx1"/>
              </a:solidFill>
              <a:effectLst/>
              <a:latin typeface="+mn-lt"/>
              <a:ea typeface="+mn-ea"/>
              <a:cs typeface="+mn-cs"/>
            </a:rPr>
            <a:t>A perpetuity of $500 per year, the first payment from which will be received at the end of the fourth year from now. The</a:t>
          </a:r>
          <a:r>
            <a:rPr lang="en-US" sz="1100" baseline="0">
              <a:solidFill>
                <a:schemeClr val="tx1"/>
              </a:solidFill>
              <a:effectLst/>
              <a:latin typeface="+mn-lt"/>
              <a:ea typeface="+mn-ea"/>
              <a:cs typeface="+mn-cs"/>
            </a:rPr>
            <a:t> payments grow by 2% per year. That is, the first payment is $500, the second is $510, the third is $520.2...</a:t>
          </a:r>
          <a:endParaRPr lang="en-US">
            <a:effectLst/>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3821383" cy="1031693"/>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0"/>
          <a:ext cx="13821383" cy="103169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2: Future</a:t>
          </a:r>
          <a:r>
            <a:rPr lang="en-US" sz="1600" b="1" baseline="0">
              <a:solidFill>
                <a:schemeClr val="tx1"/>
              </a:solidFill>
              <a:effectLst/>
              <a:latin typeface="+mn-lt"/>
              <a:ea typeface="+mn-ea"/>
              <a:cs typeface="+mn-cs"/>
            </a:rPr>
            <a:t> Values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 1:</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Suppose you have $1,000 to invest. You make the investment at the start of the year and leave any interest earned in the investment to continuing earning.</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How much will you have at the end of eight years if your investment earns 6% per year compounded weekly?</a:t>
          </a:r>
          <a:endParaRPr lang="en-US">
            <a:effectLst/>
          </a:endParaRPr>
        </a:p>
      </xdr:txBody>
    </xdr:sp>
    <xdr:clientData/>
  </xdr:oneCellAnchor>
  <xdr:oneCellAnchor>
    <xdr:from>
      <xdr:col>0</xdr:col>
      <xdr:colOff>0</xdr:colOff>
      <xdr:row>12</xdr:row>
      <xdr:rowOff>0</xdr:rowOff>
    </xdr:from>
    <xdr:ext cx="4361963" cy="264560"/>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2286000"/>
          <a:ext cx="436196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Complete the following table by putting</a:t>
          </a:r>
          <a:r>
            <a:rPr lang="en-US" sz="1100" b="0" baseline="0"/>
            <a:t> the right formula in Column E.</a:t>
          </a:r>
          <a:endParaRPr lang="en-US" sz="1100" b="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13821383" cy="1203919"/>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0"/>
          <a:ext cx="13821383" cy="1203919"/>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3: Values at the End</a:t>
          </a:r>
          <a:r>
            <a:rPr lang="en-US" sz="1600" b="1" baseline="0">
              <a:solidFill>
                <a:schemeClr val="tx1"/>
              </a:solidFill>
              <a:effectLst/>
              <a:latin typeface="+mn-lt"/>
              <a:ea typeface="+mn-ea"/>
              <a:cs typeface="+mn-cs"/>
            </a:rPr>
            <a:t> of Each Period</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Suppose you have $10,000 to invest. You make the investment at the start of the year and any interest earned is paid at the end of a year and immediately reinvested in the same investment. How much will you have at the end of </a:t>
          </a:r>
          <a:r>
            <a:rPr lang="en-US" sz="1100" i="1">
              <a:solidFill>
                <a:schemeClr val="tx1"/>
              </a:solidFill>
              <a:effectLst/>
              <a:latin typeface="+mn-lt"/>
              <a:ea typeface="+mn-ea"/>
              <a:cs typeface="+mn-cs"/>
            </a:rPr>
            <a:t>each</a:t>
          </a:r>
          <a:r>
            <a:rPr lang="en-US" sz="1100">
              <a:solidFill>
                <a:schemeClr val="tx1"/>
              </a:solidFill>
              <a:effectLst/>
              <a:latin typeface="+mn-lt"/>
              <a:ea typeface="+mn-ea"/>
              <a:cs typeface="+mn-cs"/>
            </a:rPr>
            <a:t> of years 1 through 4 if your investment earns 5%? That is, complete the table</a:t>
          </a:r>
          <a:r>
            <a:rPr lang="en-US" sz="1100" baseline="0">
              <a:solidFill>
                <a:schemeClr val="tx1"/>
              </a:solidFill>
              <a:effectLst/>
              <a:latin typeface="+mn-lt"/>
              <a:ea typeface="+mn-ea"/>
              <a:cs typeface="+mn-cs"/>
            </a:rPr>
            <a:t> below:</a:t>
          </a:r>
        </a:p>
        <a:p>
          <a:r>
            <a:rPr lang="en-US" sz="1100" baseline="0">
              <a:solidFill>
                <a:schemeClr val="tx1"/>
              </a:solidFill>
              <a:effectLst/>
              <a:latin typeface="+mn-lt"/>
              <a:ea typeface="+mn-ea"/>
              <a:cs typeface="+mn-cs"/>
            </a:rPr>
            <a:t>(I'll do it two ways - you only need to do it one way.)</a:t>
          </a:r>
          <a:endParaRPr lang="en-US" sz="1100">
            <a:solidFill>
              <a:schemeClr val="tx1"/>
            </a:solidFill>
            <a:effectLst/>
            <a:latin typeface="+mn-lt"/>
            <a:ea typeface="+mn-ea"/>
            <a:cs typeface="+mn-cs"/>
          </a:endParaRPr>
        </a:p>
      </xdr:txBody>
    </xdr:sp>
    <xdr:clientData/>
  </xdr:oneCellAnchor>
  <xdr:oneCellAnchor>
    <xdr:from>
      <xdr:col>0</xdr:col>
      <xdr:colOff>0</xdr:colOff>
      <xdr:row>18</xdr:row>
      <xdr:rowOff>76200</xdr:rowOff>
    </xdr:from>
    <xdr:ext cx="12386532" cy="609013"/>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3514725"/>
          <a:ext cx="12386532" cy="609013"/>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Suppose you have $100,000 to invest. You make the investment at the start of the year and any interest earned is paid at the end of a year and immediately reinvested in the same investment.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How much will you have at the end of </a:t>
          </a:r>
          <a:r>
            <a:rPr lang="en-US" sz="1100" i="1">
              <a:solidFill>
                <a:schemeClr val="tx1"/>
              </a:solidFill>
              <a:effectLst/>
              <a:latin typeface="+mn-lt"/>
              <a:ea typeface="+mn-ea"/>
              <a:cs typeface="+mn-cs"/>
            </a:rPr>
            <a:t>each</a:t>
          </a:r>
          <a:r>
            <a:rPr lang="en-US" sz="1100">
              <a:solidFill>
                <a:schemeClr val="tx1"/>
              </a:solidFill>
              <a:effectLst/>
              <a:latin typeface="+mn-lt"/>
              <a:ea typeface="+mn-ea"/>
              <a:cs typeface="+mn-cs"/>
            </a:rPr>
            <a:t> of years 1 through 10 if your investment earns 8%? That is, complete the table</a:t>
          </a:r>
          <a:r>
            <a:rPr lang="en-US" sz="1100" baseline="0">
              <a:solidFill>
                <a:schemeClr val="tx1"/>
              </a:solidFill>
              <a:effectLst/>
              <a:latin typeface="+mn-lt"/>
              <a:ea typeface="+mn-ea"/>
              <a:cs typeface="+mn-cs"/>
            </a:rPr>
            <a:t> below by putting the in the Amount, Interest Rate and Compounding Period (assume annual</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compounding) in cells C23, C24 and C25  and formulas in C28:C38.</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9970851" cy="1031693"/>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0"/>
          <a:ext cx="9970851" cy="103169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4: Present</a:t>
          </a:r>
          <a:r>
            <a:rPr lang="en-US" sz="1600" b="1" baseline="0">
              <a:solidFill>
                <a:schemeClr val="tx1"/>
              </a:solidFill>
              <a:effectLst/>
              <a:latin typeface="+mn-lt"/>
              <a:ea typeface="+mn-ea"/>
              <a:cs typeface="+mn-cs"/>
            </a:rPr>
            <a:t> Values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Consider the stream</a:t>
          </a:r>
          <a:r>
            <a:rPr lang="en-US" sz="1100" baseline="0">
              <a:solidFill>
                <a:schemeClr val="tx1"/>
              </a:solidFill>
              <a:effectLst/>
              <a:latin typeface="+mn-lt"/>
              <a:ea typeface="+mn-ea"/>
              <a:cs typeface="+mn-cs"/>
            </a:rPr>
            <a:t> of cash flows below to be received at the end of the indicated year. What is the </a:t>
          </a:r>
          <a:r>
            <a:rPr lang="en-US" sz="1100" i="1" baseline="0">
              <a:solidFill>
                <a:schemeClr val="tx1"/>
              </a:solidFill>
              <a:effectLst/>
              <a:latin typeface="+mn-lt"/>
              <a:ea typeface="+mn-ea"/>
              <a:cs typeface="+mn-cs"/>
            </a:rPr>
            <a:t>present value</a:t>
          </a:r>
          <a:r>
            <a:rPr lang="en-US" sz="1100" i="0" baseline="0">
              <a:solidFill>
                <a:schemeClr val="tx1"/>
              </a:solidFill>
              <a:effectLst/>
              <a:latin typeface="+mn-lt"/>
              <a:ea typeface="+mn-ea"/>
              <a:cs typeface="+mn-cs"/>
            </a:rPr>
            <a:t> of the </a:t>
          </a:r>
          <a:r>
            <a:rPr lang="en-US" sz="1100" i="1" baseline="0">
              <a:solidFill>
                <a:schemeClr val="tx1"/>
              </a:solidFill>
              <a:effectLst/>
              <a:latin typeface="+mn-lt"/>
              <a:ea typeface="+mn-ea"/>
              <a:cs typeface="+mn-cs"/>
            </a:rPr>
            <a:t>remaing cash flows</a:t>
          </a:r>
          <a:r>
            <a:rPr lang="en-US" sz="1100" i="0" baseline="0">
              <a:solidFill>
                <a:schemeClr val="tx1"/>
              </a:solidFill>
              <a:effectLst/>
              <a:latin typeface="+mn-lt"/>
              <a:ea typeface="+mn-ea"/>
              <a:cs typeface="+mn-cs"/>
            </a:rPr>
            <a:t> at the end of every year</a:t>
          </a:r>
        </a:p>
        <a:p>
          <a:r>
            <a:rPr lang="en-US" sz="1100" i="0" baseline="0">
              <a:solidFill>
                <a:schemeClr val="tx1"/>
              </a:solidFill>
              <a:effectLst/>
              <a:latin typeface="+mn-lt"/>
              <a:ea typeface="+mn-ea"/>
              <a:cs typeface="+mn-cs"/>
            </a:rPr>
            <a:t>using annual compounding and an annual interest rate of 12%? Put your answers in the green cells below.</a:t>
          </a:r>
          <a:endParaRPr lang="en-US" sz="1100">
            <a:solidFill>
              <a:schemeClr val="tx1"/>
            </a:solidFill>
            <a:effectLst/>
            <a:latin typeface="+mn-lt"/>
            <a:ea typeface="+mn-ea"/>
            <a:cs typeface="+mn-cs"/>
          </a:endParaRPr>
        </a:p>
      </xdr:txBody>
    </xdr:sp>
    <xdr:clientData/>
  </xdr:oneCellAnchor>
  <xdr:oneCellAnchor>
    <xdr:from>
      <xdr:col>0</xdr:col>
      <xdr:colOff>0</xdr:colOff>
      <xdr:row>17</xdr:row>
      <xdr:rowOff>0</xdr:rowOff>
    </xdr:from>
    <xdr:ext cx="9632509" cy="436786"/>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3254713"/>
          <a:ext cx="9632509"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Consider the stream</a:t>
          </a:r>
          <a:r>
            <a:rPr lang="en-US" sz="1100" baseline="0">
              <a:solidFill>
                <a:schemeClr val="tx1"/>
              </a:solidFill>
              <a:effectLst/>
              <a:latin typeface="+mn-lt"/>
              <a:ea typeface="+mn-ea"/>
              <a:cs typeface="+mn-cs"/>
            </a:rPr>
            <a:t> of cash flows below to be received at the end of the indicated year. What is the </a:t>
          </a:r>
          <a:r>
            <a:rPr lang="en-US" sz="1100" i="1" baseline="0">
              <a:solidFill>
                <a:schemeClr val="tx1"/>
              </a:solidFill>
              <a:effectLst/>
              <a:latin typeface="+mn-lt"/>
              <a:ea typeface="+mn-ea"/>
              <a:cs typeface="+mn-cs"/>
            </a:rPr>
            <a:t>present value</a:t>
          </a:r>
          <a:r>
            <a:rPr lang="en-US" sz="1100" i="0" baseline="0">
              <a:solidFill>
                <a:schemeClr val="tx1"/>
              </a:solidFill>
              <a:effectLst/>
              <a:latin typeface="+mn-lt"/>
              <a:ea typeface="+mn-ea"/>
              <a:cs typeface="+mn-cs"/>
            </a:rPr>
            <a:t> of the </a:t>
          </a:r>
          <a:r>
            <a:rPr lang="en-US" sz="1100" i="1" baseline="0">
              <a:solidFill>
                <a:schemeClr val="tx1"/>
              </a:solidFill>
              <a:effectLst/>
              <a:latin typeface="+mn-lt"/>
              <a:ea typeface="+mn-ea"/>
              <a:cs typeface="+mn-cs"/>
            </a:rPr>
            <a:t>remaing cash flows</a:t>
          </a:r>
          <a:r>
            <a:rPr lang="en-US" sz="1100" i="0" baseline="0">
              <a:solidFill>
                <a:schemeClr val="tx1"/>
              </a:solidFill>
              <a:effectLst/>
              <a:latin typeface="+mn-lt"/>
              <a:ea typeface="+mn-ea"/>
              <a:cs typeface="+mn-cs"/>
            </a:rPr>
            <a:t> at the end of every year</a:t>
          </a:r>
          <a:endParaRPr lang="en-US">
            <a:effectLst/>
          </a:endParaRPr>
        </a:p>
        <a:p>
          <a:r>
            <a:rPr lang="en-US" sz="1100" i="0" baseline="0">
              <a:solidFill>
                <a:schemeClr val="tx1"/>
              </a:solidFill>
              <a:effectLst/>
              <a:latin typeface="+mn-lt"/>
              <a:ea typeface="+mn-ea"/>
              <a:cs typeface="+mn-cs"/>
            </a:rPr>
            <a:t>using annual compounding and an annual interest rate of 8%? Put your answers in the green cells below.</a:t>
          </a:r>
          <a:endParaRPr lang="en-US">
            <a:effectLst/>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9970851" cy="1031693"/>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0" y="0"/>
          <a:ext cx="9970851" cy="103169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5: Bond</a:t>
          </a:r>
          <a:r>
            <a:rPr lang="en-US" sz="1600" b="1" baseline="0">
              <a:solidFill>
                <a:schemeClr val="tx1"/>
              </a:solidFill>
              <a:effectLst/>
              <a:latin typeface="+mn-lt"/>
              <a:ea typeface="+mn-ea"/>
              <a:cs typeface="+mn-cs"/>
            </a:rPr>
            <a:t> Values with Different Interest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1</a:t>
          </a:r>
          <a:r>
            <a:rPr lang="en-US" sz="1100" b="1">
              <a:solidFill>
                <a:schemeClr val="tx1"/>
              </a:solidFill>
              <a:effectLst/>
              <a:latin typeface="+mn-lt"/>
              <a:ea typeface="+mn-ea"/>
              <a:cs typeface="+mn-cs"/>
            </a:rPr>
            <a:t>:</a:t>
          </a:r>
        </a:p>
        <a:p>
          <a:r>
            <a:rPr lang="en-US" sz="1100">
              <a:solidFill>
                <a:schemeClr val="tx1"/>
              </a:solidFill>
              <a:effectLst/>
              <a:latin typeface="+mn-lt"/>
              <a:ea typeface="+mn-ea"/>
              <a:cs typeface="+mn-cs"/>
            </a:rPr>
            <a:t>Suppose</a:t>
          </a:r>
          <a:r>
            <a:rPr lang="en-US" sz="1100" baseline="0">
              <a:solidFill>
                <a:schemeClr val="tx1"/>
              </a:solidFill>
              <a:effectLst/>
              <a:latin typeface="+mn-lt"/>
              <a:ea typeface="+mn-ea"/>
              <a:cs typeface="+mn-cs"/>
            </a:rPr>
            <a:t> the market rate of interest is 6.5%, compounded semi-annually. What is the present value of a bond with a 6 year term, a face value of $1,000 and a coupon rate of 5%?</a:t>
          </a:r>
        </a:p>
      </xdr:txBody>
    </xdr:sp>
    <xdr:clientData/>
  </xdr:oneCellAnchor>
  <xdr:oneCellAnchor>
    <xdr:from>
      <xdr:col>0</xdr:col>
      <xdr:colOff>0</xdr:colOff>
      <xdr:row>18</xdr:row>
      <xdr:rowOff>73413</xdr:rowOff>
    </xdr:from>
    <xdr:ext cx="9970851" cy="264560"/>
    <xdr:sp macro="" textlink="">
      <xdr:nvSpPr>
        <xdr:cNvPr id="3" name="TextBox 2">
          <a:extLst>
            <a:ext uri="{FF2B5EF4-FFF2-40B4-BE49-F238E27FC236}">
              <a16:creationId xmlns:a16="http://schemas.microsoft.com/office/drawing/2014/main" id="{00000000-0008-0000-1000-000003000000}"/>
            </a:ext>
          </a:extLst>
        </xdr:cNvPr>
        <xdr:cNvSpPr txBox="1"/>
      </xdr:nvSpPr>
      <xdr:spPr>
        <a:xfrm>
          <a:off x="0" y="3530291"/>
          <a:ext cx="9970851" cy="26456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2</a:t>
          </a:r>
          <a:r>
            <a:rPr lang="en-US" sz="1100" b="1">
              <a:solidFill>
                <a:schemeClr val="tx1"/>
              </a:solidFill>
              <a:effectLst/>
              <a:latin typeface="+mn-lt"/>
              <a:ea typeface="+mn-ea"/>
              <a:cs typeface="+mn-cs"/>
            </a:rPr>
            <a:t>: </a:t>
          </a:r>
          <a:r>
            <a:rPr lang="en-US" sz="1100">
              <a:solidFill>
                <a:schemeClr val="tx1"/>
              </a:solidFill>
              <a:effectLst/>
              <a:latin typeface="+mn-lt"/>
              <a:ea typeface="+mn-ea"/>
              <a:cs typeface="+mn-cs"/>
            </a:rPr>
            <a:t>Suppose</a:t>
          </a:r>
          <a:r>
            <a:rPr lang="en-US" sz="1100" baseline="0">
              <a:solidFill>
                <a:schemeClr val="tx1"/>
              </a:solidFill>
              <a:effectLst/>
              <a:latin typeface="+mn-lt"/>
              <a:ea typeface="+mn-ea"/>
              <a:cs typeface="+mn-cs"/>
            </a:rPr>
            <a:t> the coupon rate is 6.5%, payable semi-annually. What is the present value of a bond with a 6 year term, a face value of $1,000 if the interest rate is 5%?</a:t>
          </a:r>
          <a:endParaRPr lang="en-US">
            <a:effectLst/>
          </a:endParaRPr>
        </a:p>
      </xdr:txBody>
    </xdr:sp>
    <xdr:clientData/>
  </xdr:oneCellAnchor>
  <xdr:oneCellAnchor>
    <xdr:from>
      <xdr:col>0</xdr:col>
      <xdr:colOff>0</xdr:colOff>
      <xdr:row>34</xdr:row>
      <xdr:rowOff>0</xdr:rowOff>
    </xdr:from>
    <xdr:ext cx="8059194" cy="436786"/>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0" y="6534150"/>
          <a:ext cx="8059194"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For the different coupon rates in a through c below, </a:t>
          </a:r>
          <a:r>
            <a:rPr lang="en-US" sz="1100">
              <a:solidFill>
                <a:schemeClr val="tx1"/>
              </a:solidFill>
              <a:effectLst/>
              <a:latin typeface="+mn-lt"/>
              <a:ea typeface="+mn-ea"/>
              <a:cs typeface="+mn-cs"/>
            </a:rPr>
            <a:t>suppose the interest rate is 8.5%,</a:t>
          </a:r>
          <a:r>
            <a:rPr lang="en-US" sz="1100" baseline="0">
              <a:solidFill>
                <a:schemeClr val="tx1"/>
              </a:solidFill>
              <a:effectLst/>
              <a:latin typeface="+mn-lt"/>
              <a:ea typeface="+mn-ea"/>
              <a:cs typeface="+mn-cs"/>
            </a:rPr>
            <a:t> the bond has a 5 year term and a $1,000 face value.</a:t>
          </a:r>
          <a:endParaRPr lang="en-US" sz="1100" b="0" i="0" u="none" strike="noStrike">
            <a:solidFill>
              <a:schemeClr val="tx1"/>
            </a:solidFill>
            <a:effectLst/>
            <a:latin typeface="+mn-lt"/>
            <a:ea typeface="+mn-ea"/>
            <a:cs typeface="+mn-cs"/>
          </a:endParaRPr>
        </a:p>
        <a:p>
          <a:r>
            <a:rPr lang="en-US" sz="1100">
              <a:solidFill>
                <a:schemeClr val="tx1"/>
              </a:solidFill>
              <a:effectLst/>
              <a:latin typeface="+mn-lt"/>
              <a:ea typeface="+mn-ea"/>
              <a:cs typeface="+mn-cs"/>
            </a:rPr>
            <a:t>Give the present value</a:t>
          </a:r>
          <a:r>
            <a:rPr lang="en-US" sz="1100" baseline="0">
              <a:solidFill>
                <a:schemeClr val="tx1"/>
              </a:solidFill>
              <a:effectLst/>
              <a:latin typeface="+mn-lt"/>
              <a:ea typeface="+mn-ea"/>
              <a:cs typeface="+mn-cs"/>
            </a:rPr>
            <a:t> of the bond when coupon rate is:</a:t>
          </a:r>
          <a:endParaRPr lang="en-US">
            <a:effectLst/>
          </a:endParaRPr>
        </a:p>
      </xdr:txBody>
    </xdr:sp>
    <xdr:clientData/>
  </xdr:oneCellAnchor>
  <xdr:oneCellAnchor>
    <xdr:from>
      <xdr:col>0</xdr:col>
      <xdr:colOff>3717</xdr:colOff>
      <xdr:row>36</xdr:row>
      <xdr:rowOff>184924</xdr:rowOff>
    </xdr:from>
    <xdr:ext cx="2380588" cy="264560"/>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3717" y="7100074"/>
          <a:ext cx="238058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a.  5% per year, payable semi-annually</a:t>
          </a:r>
          <a:endParaRPr lang="en-US">
            <a:effectLst/>
          </a:endParaRPr>
        </a:p>
      </xdr:txBody>
    </xdr:sp>
    <xdr:clientData/>
  </xdr:oneCellAnchor>
  <xdr:oneCellAnchor>
    <xdr:from>
      <xdr:col>0</xdr:col>
      <xdr:colOff>3717</xdr:colOff>
      <xdr:row>52</xdr:row>
      <xdr:rowOff>184924</xdr:rowOff>
    </xdr:from>
    <xdr:ext cx="2494209" cy="264560"/>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3717" y="10176649"/>
          <a:ext cx="249420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 b. 8.5% per year, payable semi-annually</a:t>
          </a:r>
          <a:endParaRPr lang="en-US">
            <a:effectLst/>
          </a:endParaRPr>
        </a:p>
      </xdr:txBody>
    </xdr:sp>
    <xdr:clientData/>
  </xdr:oneCellAnchor>
  <xdr:oneCellAnchor>
    <xdr:from>
      <xdr:col>0</xdr:col>
      <xdr:colOff>3717</xdr:colOff>
      <xdr:row>68</xdr:row>
      <xdr:rowOff>184924</xdr:rowOff>
    </xdr:from>
    <xdr:ext cx="2880212" cy="264560"/>
    <xdr:sp macro="" textlink="">
      <xdr:nvSpPr>
        <xdr:cNvPr id="7" name="TextBox 6">
          <a:extLst>
            <a:ext uri="{FF2B5EF4-FFF2-40B4-BE49-F238E27FC236}">
              <a16:creationId xmlns:a16="http://schemas.microsoft.com/office/drawing/2014/main" id="{00000000-0008-0000-1000-000007000000}"/>
            </a:ext>
          </a:extLst>
        </xdr:cNvPr>
        <xdr:cNvSpPr txBox="1"/>
      </xdr:nvSpPr>
      <xdr:spPr>
        <a:xfrm>
          <a:off x="3717" y="13253224"/>
          <a:ext cx="2880212"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aseline="0">
              <a:solidFill>
                <a:schemeClr val="tx1"/>
              </a:solidFill>
              <a:effectLst/>
              <a:latin typeface="+mn-lt"/>
              <a:ea typeface="+mn-ea"/>
              <a:cs typeface="+mn-cs"/>
            </a:rPr>
            <a:t> c. 0% per year, use semi-annual compounding</a:t>
          </a:r>
          <a:r>
            <a:rPr lang="en-US" sz="1100" i="0" baseline="0">
              <a:solidFill>
                <a:schemeClr val="tx1"/>
              </a:solidFill>
              <a:effectLst/>
              <a:latin typeface="+mn-lt"/>
              <a:ea typeface="+mn-ea"/>
              <a:cs typeface="+mn-cs"/>
            </a:rPr>
            <a:t> </a:t>
          </a:r>
          <a:endParaRPr lang="en-US">
            <a:effectLst/>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9970851" cy="859466"/>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0" y="0"/>
          <a:ext cx="9970851" cy="85946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6: Perpetuitie</a:t>
          </a:r>
          <a:r>
            <a:rPr lang="en-US" sz="1600" b="1" baseline="0">
              <a:solidFill>
                <a:schemeClr val="tx1"/>
              </a:solidFill>
              <a:effectLst/>
              <a:latin typeface="+mn-lt"/>
              <a:ea typeface="+mn-ea"/>
              <a:cs typeface="+mn-cs"/>
            </a:rPr>
            <a:t>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1</a:t>
          </a:r>
          <a:r>
            <a:rPr lang="en-US" sz="1100" b="1">
              <a:solidFill>
                <a:schemeClr val="tx1"/>
              </a:solidFill>
              <a:effectLst/>
              <a:latin typeface="+mn-lt"/>
              <a:ea typeface="+mn-ea"/>
              <a:cs typeface="+mn-cs"/>
            </a:rPr>
            <a:t>:</a:t>
          </a:r>
        </a:p>
        <a:p>
          <a:r>
            <a:rPr lang="en-US" sz="1100">
              <a:solidFill>
                <a:schemeClr val="tx1"/>
              </a:solidFill>
              <a:effectLst/>
              <a:latin typeface="+mn-lt"/>
              <a:ea typeface="+mn-ea"/>
              <a:cs typeface="+mn-cs"/>
            </a:rPr>
            <a:t>What is the present</a:t>
          </a:r>
          <a:r>
            <a:rPr lang="en-US" sz="1100" baseline="0">
              <a:solidFill>
                <a:schemeClr val="tx1"/>
              </a:solidFill>
              <a:effectLst/>
              <a:latin typeface="+mn-lt"/>
              <a:ea typeface="+mn-ea"/>
              <a:cs typeface="+mn-cs"/>
            </a:rPr>
            <a:t> value of a perpetuity of $400 per period if the interest rate is 2.5% per period? Assume the perpetuity grows at a rate of 0% per period.</a:t>
          </a:r>
        </a:p>
      </xdr:txBody>
    </xdr:sp>
    <xdr:clientData/>
  </xdr:oneCellAnchor>
  <xdr:oneCellAnchor>
    <xdr:from>
      <xdr:col>0</xdr:col>
      <xdr:colOff>0</xdr:colOff>
      <xdr:row>11</xdr:row>
      <xdr:rowOff>0</xdr:rowOff>
    </xdr:from>
    <xdr:ext cx="9970851" cy="436786"/>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0" y="2095500"/>
          <a:ext cx="9970851" cy="43678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2</a:t>
          </a:r>
          <a:r>
            <a:rPr lang="en-US" sz="1100" b="1">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What is the present</a:t>
          </a:r>
          <a:r>
            <a:rPr lang="en-US" sz="1100" baseline="0">
              <a:solidFill>
                <a:schemeClr val="tx1"/>
              </a:solidFill>
              <a:effectLst/>
              <a:latin typeface="+mn-lt"/>
              <a:ea typeface="+mn-ea"/>
              <a:cs typeface="+mn-cs"/>
            </a:rPr>
            <a:t> value of a perpetuity of $400 per period if the interest rate is 2.5% per period? Assume the perpetuity grows at a rate of 1% per period.</a:t>
          </a:r>
          <a:endParaRPr lang="en-US">
            <a:effectLst/>
          </a:endParaRPr>
        </a:p>
      </xdr:txBody>
    </xdr:sp>
    <xdr:clientData/>
  </xdr:oneCellAnchor>
  <xdr:oneCellAnchor>
    <xdr:from>
      <xdr:col>0</xdr:col>
      <xdr:colOff>0</xdr:colOff>
      <xdr:row>20</xdr:row>
      <xdr:rowOff>0</xdr:rowOff>
    </xdr:from>
    <xdr:ext cx="9970851" cy="609013"/>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0" y="3810000"/>
          <a:ext cx="9970851"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3</a:t>
          </a:r>
          <a:r>
            <a:rPr lang="en-US" sz="1100" b="1">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What is the present</a:t>
          </a:r>
          <a:r>
            <a:rPr lang="en-US" sz="1100" baseline="0">
              <a:solidFill>
                <a:schemeClr val="tx1"/>
              </a:solidFill>
              <a:effectLst/>
              <a:latin typeface="+mn-lt"/>
              <a:ea typeface="+mn-ea"/>
              <a:cs typeface="+mn-cs"/>
            </a:rPr>
            <a:t> value of a perpetuity of $400 per period whose first payout is at the end of the third period from now if the interest rate is 2.5% per period?</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Assume the perpetuity grows at a rate of 1% per period.</a:t>
          </a:r>
          <a:endParaRPr lang="en-US">
            <a:effectLst/>
          </a:endParaRPr>
        </a:p>
      </xdr:txBody>
    </xdr:sp>
    <xdr:clientData/>
  </xdr:oneCellAnchor>
  <xdr:oneCellAnchor>
    <xdr:from>
      <xdr:col>0</xdr:col>
      <xdr:colOff>0</xdr:colOff>
      <xdr:row>30</xdr:row>
      <xdr:rowOff>190500</xdr:rowOff>
    </xdr:from>
    <xdr:ext cx="9194953" cy="264560"/>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0" y="5913606"/>
          <a:ext cx="919495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a. What is the present</a:t>
          </a:r>
          <a:r>
            <a:rPr lang="en-US" sz="1100" baseline="0">
              <a:solidFill>
                <a:schemeClr val="tx1"/>
              </a:solidFill>
              <a:effectLst/>
              <a:latin typeface="+mn-lt"/>
              <a:ea typeface="+mn-ea"/>
              <a:cs typeface="+mn-cs"/>
            </a:rPr>
            <a:t> value of a perpetuity of $700 per period if the interest rate is 3.5% per period? Assume the perpetuity grows at a rate of 0% per period.</a:t>
          </a:r>
          <a:endParaRPr lang="en-US">
            <a:effectLst/>
          </a:endParaRPr>
        </a:p>
      </xdr:txBody>
    </xdr:sp>
    <xdr:clientData/>
  </xdr:oneCellAnchor>
  <xdr:oneCellAnchor>
    <xdr:from>
      <xdr:col>0</xdr:col>
      <xdr:colOff>0</xdr:colOff>
      <xdr:row>40</xdr:row>
      <xdr:rowOff>0</xdr:rowOff>
    </xdr:from>
    <xdr:ext cx="9304663" cy="264560"/>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0" y="7627327"/>
          <a:ext cx="9304663"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b. What is the present</a:t>
          </a:r>
          <a:r>
            <a:rPr lang="en-US" sz="1100" baseline="0">
              <a:solidFill>
                <a:schemeClr val="tx1"/>
              </a:solidFill>
              <a:effectLst/>
              <a:latin typeface="+mn-lt"/>
              <a:ea typeface="+mn-ea"/>
              <a:cs typeface="+mn-cs"/>
            </a:rPr>
            <a:t> value of a perpetuity of $700 per period if the interest rate is 3.5% per period? Assume the perpetuity grows at a rate of 1.5% per period.</a:t>
          </a:r>
          <a:endParaRPr lang="en-US">
            <a:effectLst/>
          </a:endParaRPr>
        </a:p>
      </xdr:txBody>
    </xdr:sp>
    <xdr:clientData/>
  </xdr:oneCellAnchor>
  <xdr:oneCellAnchor>
    <xdr:from>
      <xdr:col>0</xdr:col>
      <xdr:colOff>0</xdr:colOff>
      <xdr:row>48</xdr:row>
      <xdr:rowOff>190500</xdr:rowOff>
    </xdr:from>
    <xdr:ext cx="7173567" cy="436786"/>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0" y="9342606"/>
          <a:ext cx="7173567"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c. What is the present</a:t>
          </a:r>
          <a:r>
            <a:rPr lang="en-US" sz="1100" baseline="0">
              <a:solidFill>
                <a:schemeClr val="tx1"/>
              </a:solidFill>
              <a:effectLst/>
              <a:latin typeface="+mn-lt"/>
              <a:ea typeface="+mn-ea"/>
              <a:cs typeface="+mn-cs"/>
            </a:rPr>
            <a:t> value of a perpetuity of $700 per period whose first payment starts at the end of </a:t>
          </a:r>
        </a:p>
        <a:p>
          <a:r>
            <a:rPr lang="en-US" sz="1100" baseline="0">
              <a:solidFill>
                <a:schemeClr val="tx1"/>
              </a:solidFill>
              <a:effectLst/>
              <a:latin typeface="+mn-lt"/>
              <a:ea typeface="+mn-ea"/>
              <a:cs typeface="+mn-cs"/>
            </a:rPr>
            <a:t>the fifth period from now if the interest rate is 3.5% per period? Assume the perpetuity grows at a rate of 1.5% per period.</a:t>
          </a:r>
          <a:endParaRPr lang="en-US">
            <a:effectLst/>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9970851" cy="868828"/>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0" y="0"/>
          <a:ext cx="9970851" cy="868828"/>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7: Effective Interest</a:t>
          </a:r>
          <a:r>
            <a:rPr lang="en-US" sz="1600" b="1" baseline="0">
              <a:solidFill>
                <a:schemeClr val="tx1"/>
              </a:solidFill>
              <a:effectLst/>
              <a:latin typeface="+mn-lt"/>
              <a:ea typeface="+mn-ea"/>
              <a:cs typeface="+mn-cs"/>
            </a:rPr>
            <a: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1</a:t>
          </a:r>
          <a:r>
            <a:rPr lang="en-US" sz="1100" b="1">
              <a:solidFill>
                <a:schemeClr val="tx1"/>
              </a:solidFill>
              <a:effectLst/>
              <a:latin typeface="+mn-lt"/>
              <a:ea typeface="+mn-ea"/>
              <a:cs typeface="+mn-cs"/>
            </a:rPr>
            <a:t>:</a:t>
          </a:r>
        </a:p>
        <a:p>
          <a:r>
            <a:rPr lang="en-US" sz="1100">
              <a:solidFill>
                <a:schemeClr val="tx1"/>
              </a:solidFill>
              <a:effectLst/>
              <a:latin typeface="+mn-lt"/>
              <a:ea typeface="+mn-ea"/>
              <a:cs typeface="+mn-cs"/>
            </a:rPr>
            <a:t>A perpetuity of $1,000 per period sells for $15,384.62. What is the implicit interest rate per</a:t>
          </a:r>
          <a:r>
            <a:rPr lang="en-US" sz="1100" baseline="0">
              <a:solidFill>
                <a:schemeClr val="tx1"/>
              </a:solidFill>
              <a:effectLst/>
              <a:latin typeface="+mn-lt"/>
              <a:ea typeface="+mn-ea"/>
              <a:cs typeface="+mn-cs"/>
            </a:rPr>
            <a:t> period</a:t>
          </a:r>
          <a:r>
            <a:rPr lang="en-US" sz="1100">
              <a:solidFill>
                <a:schemeClr val="tx1"/>
              </a:solidFill>
              <a:effectLst/>
              <a:latin typeface="+mn-lt"/>
              <a:ea typeface="+mn-ea"/>
              <a:cs typeface="+mn-cs"/>
            </a:rPr>
            <a:t> in this transaction to the nearest one-tenth of one percent?</a:t>
          </a:r>
          <a:endParaRPr lang="en-US" sz="1100" baseline="0">
            <a:solidFill>
              <a:schemeClr val="tx1"/>
            </a:solidFill>
            <a:effectLst/>
            <a:latin typeface="+mn-lt"/>
            <a:ea typeface="+mn-ea"/>
            <a:cs typeface="+mn-cs"/>
          </a:endParaRPr>
        </a:p>
      </xdr:txBody>
    </xdr:sp>
    <xdr:clientData/>
  </xdr:oneCellAnchor>
  <xdr:oneCellAnchor>
    <xdr:from>
      <xdr:col>0</xdr:col>
      <xdr:colOff>0</xdr:colOff>
      <xdr:row>10</xdr:row>
      <xdr:rowOff>60158</xdr:rowOff>
    </xdr:from>
    <xdr:ext cx="9970851" cy="609013"/>
    <xdr:sp macro="" textlink="">
      <xdr:nvSpPr>
        <xdr:cNvPr id="3" name="TextBox 2">
          <a:extLst>
            <a:ext uri="{FF2B5EF4-FFF2-40B4-BE49-F238E27FC236}">
              <a16:creationId xmlns:a16="http://schemas.microsoft.com/office/drawing/2014/main" id="{00000000-0008-0000-1200-000003000000}"/>
            </a:ext>
          </a:extLst>
        </xdr:cNvPr>
        <xdr:cNvSpPr txBox="1"/>
      </xdr:nvSpPr>
      <xdr:spPr>
        <a:xfrm>
          <a:off x="0" y="1965158"/>
          <a:ext cx="9970851"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2</a:t>
          </a:r>
          <a:r>
            <a:rPr lang="en-US" sz="1100" b="1">
              <a:solidFill>
                <a:schemeClr val="tx1"/>
              </a:solidFill>
              <a:effectLst/>
              <a:latin typeface="+mn-lt"/>
              <a:ea typeface="+mn-ea"/>
              <a:cs typeface="+mn-cs"/>
            </a:rPr>
            <a:t>: </a:t>
          </a:r>
        </a:p>
        <a:p>
          <a:pPr lvl="0"/>
          <a:r>
            <a:rPr lang="en-US" sz="1100">
              <a:solidFill>
                <a:schemeClr val="tx1"/>
              </a:solidFill>
              <a:effectLst/>
              <a:latin typeface="+mn-lt"/>
              <a:ea typeface="+mn-ea"/>
              <a:cs typeface="+mn-cs"/>
            </a:rPr>
            <a:t>A zero coupon bond with a maturity of 10 years and a face value of $1,000 sells for $385.54. What is the implicit interest rate in this transaction to the nearest one-tenth of one percent? Assume</a:t>
          </a:r>
          <a:r>
            <a:rPr lang="en-US" sz="1100" baseline="0">
              <a:solidFill>
                <a:schemeClr val="tx1"/>
              </a:solidFill>
              <a:effectLst/>
              <a:latin typeface="+mn-lt"/>
              <a:ea typeface="+mn-ea"/>
              <a:cs typeface="+mn-cs"/>
            </a:rPr>
            <a:t> annual compounding.</a:t>
          </a:r>
          <a:endParaRPr lang="en-US" sz="1100">
            <a:solidFill>
              <a:schemeClr val="tx1"/>
            </a:solidFill>
            <a:effectLst/>
            <a:latin typeface="+mn-lt"/>
            <a:ea typeface="+mn-ea"/>
            <a:cs typeface="+mn-cs"/>
          </a:endParaRPr>
        </a:p>
      </xdr:txBody>
    </xdr:sp>
    <xdr:clientData/>
  </xdr:oneCellAnchor>
  <xdr:oneCellAnchor>
    <xdr:from>
      <xdr:col>0</xdr:col>
      <xdr:colOff>0</xdr:colOff>
      <xdr:row>21</xdr:row>
      <xdr:rowOff>73413</xdr:rowOff>
    </xdr:from>
    <xdr:ext cx="9970851" cy="609013"/>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0" y="4073913"/>
          <a:ext cx="9970851" cy="609013"/>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Example</a:t>
          </a:r>
          <a:r>
            <a:rPr lang="en-US" sz="1100" b="1" baseline="0">
              <a:solidFill>
                <a:schemeClr val="tx1"/>
              </a:solidFill>
              <a:effectLst/>
              <a:latin typeface="+mn-lt"/>
              <a:ea typeface="+mn-ea"/>
              <a:cs typeface="+mn-cs"/>
            </a:rPr>
            <a:t> 3</a:t>
          </a:r>
          <a:r>
            <a:rPr lang="en-US" sz="1100" b="1">
              <a:solidFill>
                <a:schemeClr val="tx1"/>
              </a:solidFill>
              <a:effectLst/>
              <a:latin typeface="+mn-lt"/>
              <a:ea typeface="+mn-ea"/>
              <a:cs typeface="+mn-cs"/>
            </a:rPr>
            <a:t>: </a:t>
          </a:r>
        </a:p>
        <a:p>
          <a:pPr lvl="0"/>
          <a:r>
            <a:rPr lang="en-US" sz="1100">
              <a:solidFill>
                <a:schemeClr val="tx1"/>
              </a:solidFill>
              <a:effectLst/>
              <a:latin typeface="+mn-lt"/>
              <a:ea typeface="+mn-ea"/>
              <a:cs typeface="+mn-cs"/>
            </a:rPr>
            <a:t>A bond with a $1,000 face value, a maturity of 6 years, and a coupon rate of 6.5% paid semi-annually sells for $893.62. What is the implicit interest rate in this transaction to the nearest one-one hundredth of one percent? Give your answer as an annual rate, compounded semi-annually.</a:t>
          </a:r>
        </a:p>
      </xdr:txBody>
    </xdr:sp>
    <xdr:clientData/>
  </xdr:oneCellAnchor>
  <xdr:oneCellAnchor>
    <xdr:from>
      <xdr:col>0</xdr:col>
      <xdr:colOff>0</xdr:colOff>
      <xdr:row>45</xdr:row>
      <xdr:rowOff>60158</xdr:rowOff>
    </xdr:from>
    <xdr:ext cx="9970851" cy="436786"/>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0" y="8472237"/>
          <a:ext cx="9970851"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effectLst/>
              <a:latin typeface="+mn-lt"/>
              <a:ea typeface="+mn-ea"/>
              <a:cs typeface="+mn-cs"/>
            </a:rPr>
            <a:t>b. A zero coupon bond with a maturity of 20 years and a face value of $10,000 sells for $2,073.94. What is the implicit interest rate in this transaction to the nearest one-tenthf of one percent? Assume</a:t>
          </a:r>
          <a:r>
            <a:rPr lang="en-US" sz="1100" baseline="0">
              <a:solidFill>
                <a:schemeClr val="tx1"/>
              </a:solidFill>
              <a:effectLst/>
              <a:latin typeface="+mn-lt"/>
              <a:ea typeface="+mn-ea"/>
              <a:cs typeface="+mn-cs"/>
            </a:rPr>
            <a:t> annual compounding.</a:t>
          </a:r>
          <a:endParaRPr lang="en-US">
            <a:effectLst/>
          </a:endParaRPr>
        </a:p>
      </xdr:txBody>
    </xdr:sp>
    <xdr:clientData/>
  </xdr:oneCellAnchor>
  <xdr:oneCellAnchor>
    <xdr:from>
      <xdr:col>0</xdr:col>
      <xdr:colOff>0</xdr:colOff>
      <xdr:row>56</xdr:row>
      <xdr:rowOff>73413</xdr:rowOff>
    </xdr:from>
    <xdr:ext cx="9970851" cy="436786"/>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0" y="10580992"/>
          <a:ext cx="9970851" cy="43678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US" sz="1100">
              <a:solidFill>
                <a:schemeClr val="tx1"/>
              </a:solidFill>
              <a:effectLst/>
              <a:latin typeface="+mn-lt"/>
              <a:ea typeface="+mn-ea"/>
              <a:cs typeface="+mn-cs"/>
            </a:rPr>
            <a:t>c. A bond with a $1,000 face value, a maturity of 5 years, and a coupon rate of 5% paid semi-annually sells for $930.00. What is the implicit interest rate in this transaction to the nearest one-one hundredth of one percent? Give your answer as an annual rate, compounded semi-annually.</a:t>
          </a:r>
        </a:p>
      </xdr:txBody>
    </xdr:sp>
    <xdr:clientData/>
  </xdr:oneCellAnchor>
  <xdr:oneCellAnchor>
    <xdr:from>
      <xdr:col>0</xdr:col>
      <xdr:colOff>0</xdr:colOff>
      <xdr:row>38</xdr:row>
      <xdr:rowOff>0</xdr:rowOff>
    </xdr:from>
    <xdr:ext cx="9970851" cy="264560"/>
    <xdr:sp macro="" textlink="">
      <xdr:nvSpPr>
        <xdr:cNvPr id="7" name="TextBox 6">
          <a:extLst>
            <a:ext uri="{FF2B5EF4-FFF2-40B4-BE49-F238E27FC236}">
              <a16:creationId xmlns:a16="http://schemas.microsoft.com/office/drawing/2014/main" id="{00000000-0008-0000-1200-000007000000}"/>
            </a:ext>
          </a:extLst>
        </xdr:cNvPr>
        <xdr:cNvSpPr txBox="1"/>
      </xdr:nvSpPr>
      <xdr:spPr>
        <a:xfrm>
          <a:off x="0" y="7078579"/>
          <a:ext cx="9970851"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r>
            <a:rPr lang="en-US" sz="1100">
              <a:solidFill>
                <a:schemeClr val="tx1"/>
              </a:solidFill>
              <a:effectLst/>
              <a:latin typeface="+mn-lt"/>
              <a:ea typeface="+mn-ea"/>
              <a:cs typeface="+mn-cs"/>
            </a:rPr>
            <a:t>a. A perpetuity of $4,000 per period sells for $35,714.29. What is the implicit interest rate per</a:t>
          </a:r>
          <a:r>
            <a:rPr lang="en-US" sz="1100" baseline="0">
              <a:solidFill>
                <a:schemeClr val="tx1"/>
              </a:solidFill>
              <a:effectLst/>
              <a:latin typeface="+mn-lt"/>
              <a:ea typeface="+mn-ea"/>
              <a:cs typeface="+mn-cs"/>
            </a:rPr>
            <a:t> period</a:t>
          </a:r>
          <a:r>
            <a:rPr lang="en-US" sz="1100">
              <a:solidFill>
                <a:schemeClr val="tx1"/>
              </a:solidFill>
              <a:effectLst/>
              <a:latin typeface="+mn-lt"/>
              <a:ea typeface="+mn-ea"/>
              <a:cs typeface="+mn-cs"/>
            </a:rPr>
            <a:t> in this transaction to the nearest one-tenth of one percent?</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9970851" cy="1376146"/>
    <xdr:sp macro="" textlink="">
      <xdr:nvSpPr>
        <xdr:cNvPr id="2" name="TextBox 1">
          <a:extLst>
            <a:ext uri="{FF2B5EF4-FFF2-40B4-BE49-F238E27FC236}">
              <a16:creationId xmlns:a16="http://schemas.microsoft.com/office/drawing/2014/main" id="{00000000-0008-0000-1300-000002000000}"/>
            </a:ext>
          </a:extLst>
        </xdr:cNvPr>
        <xdr:cNvSpPr txBox="1"/>
      </xdr:nvSpPr>
      <xdr:spPr>
        <a:xfrm>
          <a:off x="0" y="0"/>
          <a:ext cx="9970851" cy="137614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8: Unanticipated</a:t>
          </a:r>
          <a:r>
            <a:rPr lang="en-US" sz="1600" b="1" baseline="0">
              <a:solidFill>
                <a:schemeClr val="tx1"/>
              </a:solidFill>
              <a:effectLst/>
              <a:latin typeface="+mn-lt"/>
              <a:ea typeface="+mn-ea"/>
              <a:cs typeface="+mn-cs"/>
            </a:rPr>
            <a:t> Changes in</a:t>
          </a:r>
          <a:r>
            <a:rPr lang="en-US" sz="1600" b="1">
              <a:solidFill>
                <a:schemeClr val="tx1"/>
              </a:solidFill>
              <a:effectLst/>
              <a:latin typeface="+mn-lt"/>
              <a:ea typeface="+mn-ea"/>
              <a:cs typeface="+mn-cs"/>
            </a:rPr>
            <a:t> Interest</a:t>
          </a:r>
          <a:r>
            <a:rPr lang="en-US" sz="1600" b="1" baseline="0">
              <a:solidFill>
                <a:schemeClr val="tx1"/>
              </a:solidFill>
              <a:effectLst/>
              <a:latin typeface="+mn-lt"/>
              <a:ea typeface="+mn-ea"/>
              <a:cs typeface="+mn-cs"/>
            </a:rPr>
            <a: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Suppose a zero coupon bond has a face value of $1,000 and a term of 10 years. Assume annual compounding, and assume that, in the Table below, the interest rate as of the end of Year N is expected to persist through the end of Year 10. I.e., for Interest Rate Path 3, the interest rate for the life of the bond is expected to be 10% until the end of year 2, when the interest rate for the remaining life of the bond is expected to be 4% until the end of year 6 when it changes to 3%. It remains at 3% until the end of year 8, when it changes to 6%. Plot the values</a:t>
          </a:r>
          <a:r>
            <a:rPr lang="en-US" sz="1100" baseline="0">
              <a:solidFill>
                <a:schemeClr val="tx1"/>
              </a:solidFill>
              <a:effectLst/>
              <a:latin typeface="+mn-lt"/>
              <a:ea typeface="+mn-ea"/>
              <a:cs typeface="+mn-cs"/>
            </a:rPr>
            <a:t> over time.</a:t>
          </a:r>
        </a:p>
      </xdr:txBody>
    </xdr:sp>
    <xdr:clientData/>
  </xdr:oneCellAnchor>
  <xdr:oneCellAnchor>
    <xdr:from>
      <xdr:col>0</xdr:col>
      <xdr:colOff>0</xdr:colOff>
      <xdr:row>23</xdr:row>
      <xdr:rowOff>0</xdr:rowOff>
    </xdr:from>
    <xdr:ext cx="9970851" cy="781240"/>
    <xdr:sp macro="" textlink="">
      <xdr:nvSpPr>
        <xdr:cNvPr id="3" name="TextBox 2">
          <a:extLst>
            <a:ext uri="{FF2B5EF4-FFF2-40B4-BE49-F238E27FC236}">
              <a16:creationId xmlns:a16="http://schemas.microsoft.com/office/drawing/2014/main" id="{00000000-0008-0000-1300-000003000000}"/>
            </a:ext>
          </a:extLst>
        </xdr:cNvPr>
        <xdr:cNvSpPr txBox="1"/>
      </xdr:nvSpPr>
      <xdr:spPr>
        <a:xfrm>
          <a:off x="0" y="4920476"/>
          <a:ext cx="9970851" cy="78124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effectLst/>
              <a:latin typeface="+mn-lt"/>
              <a:ea typeface="+mn-ea"/>
              <a:cs typeface="+mn-cs"/>
            </a:rPr>
            <a:t>Suppose a zero coupon bond has a face value of $25,000 and a term of 15 years. Assume annual compounding, and assume that, in the Table below, the interest rate as of the end of Year N is expected to persist through the end of Year 15. I.e., for Interest Rate Path 3, the interest rate for the life of the bond is expected to be 10% until the end of year 3, when the interest rate for the remaining life of the bond is expected to be 15% until the end of year 6 when it changes to 3%. It remains at 3% until the end of year 10, when it changes to 10%.</a:t>
          </a:r>
          <a:endParaRPr lang="en-US" sz="1100" baseline="0">
            <a:solidFill>
              <a:schemeClr val="tx1"/>
            </a:solidFill>
            <a:effectLst/>
            <a:latin typeface="+mn-lt"/>
            <a:ea typeface="+mn-ea"/>
            <a:cs typeface="+mn-cs"/>
          </a:endParaRPr>
        </a:p>
      </xdr:txBody>
    </xdr:sp>
    <xdr:clientData/>
  </xdr:oneCellAnchor>
  <xdr:twoCellAnchor>
    <xdr:from>
      <xdr:col>11</xdr:col>
      <xdr:colOff>362416</xdr:colOff>
      <xdr:row>8</xdr:row>
      <xdr:rowOff>6040</xdr:rowOff>
    </xdr:from>
    <xdr:to>
      <xdr:col>19</xdr:col>
      <xdr:colOff>269488</xdr:colOff>
      <xdr:row>22</xdr:row>
      <xdr:rowOff>130098</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oneCellAnchor>
    <xdr:from>
      <xdr:col>0</xdr:col>
      <xdr:colOff>289035</xdr:colOff>
      <xdr:row>1</xdr:row>
      <xdr:rowOff>0</xdr:rowOff>
    </xdr:from>
    <xdr:ext cx="9970851" cy="1376146"/>
    <xdr:sp macro="" textlink="">
      <xdr:nvSpPr>
        <xdr:cNvPr id="3" name="TextBox 2">
          <a:extLst>
            <a:ext uri="{FF2B5EF4-FFF2-40B4-BE49-F238E27FC236}">
              <a16:creationId xmlns:a16="http://schemas.microsoft.com/office/drawing/2014/main" id="{00000000-0008-0000-1400-000003000000}"/>
            </a:ext>
          </a:extLst>
        </xdr:cNvPr>
        <xdr:cNvSpPr txBox="1"/>
      </xdr:nvSpPr>
      <xdr:spPr>
        <a:xfrm>
          <a:off x="289035" y="190500"/>
          <a:ext cx="9970851" cy="137614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8a: Graph the Value Paths</a:t>
          </a:r>
          <a:r>
            <a:rPr lang="en-US" sz="1600" b="1" baseline="0">
              <a:solidFill>
                <a:schemeClr val="tx1"/>
              </a:solidFill>
              <a:effectLst/>
              <a:latin typeface="+mn-lt"/>
              <a:ea typeface="+mn-ea"/>
              <a:cs typeface="+mn-cs"/>
            </a:rPr>
            <a:t> from Tab 8 </a:t>
          </a:r>
          <a:r>
            <a:rPr lang="en-US" sz="1600" b="1">
              <a:solidFill>
                <a:schemeClr val="tx1"/>
              </a:solidFill>
              <a:effectLst/>
              <a:latin typeface="+mn-lt"/>
              <a:ea typeface="+mn-ea"/>
              <a:cs typeface="+mn-cs"/>
            </a:rPr>
            <a:t>Unanticipated</a:t>
          </a:r>
          <a:r>
            <a:rPr lang="en-US" sz="1600" b="1" baseline="0">
              <a:solidFill>
                <a:schemeClr val="tx1"/>
              </a:solidFill>
              <a:effectLst/>
              <a:latin typeface="+mn-lt"/>
              <a:ea typeface="+mn-ea"/>
              <a:cs typeface="+mn-cs"/>
            </a:rPr>
            <a:t> Changes in</a:t>
          </a:r>
          <a:r>
            <a:rPr lang="en-US" sz="1600" b="1">
              <a:solidFill>
                <a:schemeClr val="tx1"/>
              </a:solidFill>
              <a:effectLst/>
              <a:latin typeface="+mn-lt"/>
              <a:ea typeface="+mn-ea"/>
              <a:cs typeface="+mn-cs"/>
            </a:rPr>
            <a:t> Interest</a:t>
          </a:r>
          <a:r>
            <a:rPr lang="en-US" sz="1600" b="1" baseline="0">
              <a:solidFill>
                <a:schemeClr val="tx1"/>
              </a:solidFill>
              <a:effectLst/>
              <a:latin typeface="+mn-lt"/>
              <a:ea typeface="+mn-ea"/>
              <a:cs typeface="+mn-cs"/>
            </a:rPr>
            <a:t> Rates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b="1">
              <a:solidFill>
                <a:schemeClr val="tx1"/>
              </a:solidFill>
              <a:effectLst/>
              <a:latin typeface="+mn-lt"/>
              <a:ea typeface="+mn-ea"/>
              <a:cs typeface="+mn-cs"/>
            </a:rPr>
            <a:t>Example:</a:t>
          </a:r>
        </a:p>
        <a:p>
          <a:r>
            <a:rPr lang="en-US" sz="1100">
              <a:solidFill>
                <a:schemeClr val="tx1"/>
              </a:solidFill>
              <a:effectLst/>
              <a:latin typeface="+mn-lt"/>
              <a:ea typeface="+mn-ea"/>
              <a:cs typeface="+mn-cs"/>
            </a:rPr>
            <a:t>The first</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graph</a:t>
          </a:r>
          <a:r>
            <a:rPr lang="en-US" sz="1100" baseline="0">
              <a:solidFill>
                <a:schemeClr val="tx1"/>
              </a:solidFill>
              <a:effectLst/>
              <a:latin typeface="+mn-lt"/>
              <a:ea typeface="+mn-ea"/>
              <a:cs typeface="+mn-cs"/>
            </a:rPr>
            <a:t> below is the same as the one on tab 8. The others show each path separately.</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Construct analogous graphs for each of the Value Paths you calculated. Then construct a Graph with all three combined.</a:t>
          </a:r>
        </a:p>
        <a:p>
          <a:r>
            <a:rPr lang="en-US" sz="1100" baseline="0">
              <a:solidFill>
                <a:schemeClr val="tx1"/>
              </a:solidFill>
              <a:effectLst/>
              <a:latin typeface="+mn-lt"/>
              <a:ea typeface="+mn-ea"/>
              <a:cs typeface="+mn-cs"/>
            </a:rPr>
            <a:t>Note where each path starts and where it finishes.</a:t>
          </a:r>
        </a:p>
      </xdr:txBody>
    </xdr:sp>
    <xdr:clientData/>
  </xdr:oneCellAnchor>
  <xdr:twoCellAnchor>
    <xdr:from>
      <xdr:col>1</xdr:col>
      <xdr:colOff>0</xdr:colOff>
      <xdr:row>10</xdr:row>
      <xdr:rowOff>0</xdr:rowOff>
    </xdr:from>
    <xdr:to>
      <xdr:col>8</xdr:col>
      <xdr:colOff>335198</xdr:colOff>
      <xdr:row>27</xdr:row>
      <xdr:rowOff>82645</xdr:rowOff>
    </xdr:to>
    <xdr:graphicFrame macro="">
      <xdr:nvGraphicFramePr>
        <xdr:cNvPr id="4" name="Chart 3">
          <a:extLst>
            <a:ext uri="{FF2B5EF4-FFF2-40B4-BE49-F238E27FC236}">
              <a16:creationId xmlns:a16="http://schemas.microsoft.com/office/drawing/2014/main" id="{00000000-0008-0000-1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10</xdr:row>
      <xdr:rowOff>0</xdr:rowOff>
    </xdr:from>
    <xdr:to>
      <xdr:col>17</xdr:col>
      <xdr:colOff>335198</xdr:colOff>
      <xdr:row>27</xdr:row>
      <xdr:rowOff>82645</xdr:rowOff>
    </xdr:to>
    <xdr:graphicFrame macro="">
      <xdr:nvGraphicFramePr>
        <xdr:cNvPr id="5" name="Chart 4">
          <a:extLst>
            <a:ext uri="{FF2B5EF4-FFF2-40B4-BE49-F238E27FC236}">
              <a16:creationId xmlns:a16="http://schemas.microsoft.com/office/drawing/2014/main" id="{00000000-0008-0000-1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10</xdr:row>
      <xdr:rowOff>0</xdr:rowOff>
    </xdr:from>
    <xdr:to>
      <xdr:col>25</xdr:col>
      <xdr:colOff>335197</xdr:colOff>
      <xdr:row>27</xdr:row>
      <xdr:rowOff>82645</xdr:rowOff>
    </xdr:to>
    <xdr:graphicFrame macro="">
      <xdr:nvGraphicFramePr>
        <xdr:cNvPr id="6" name="Chart 5">
          <a:extLst>
            <a:ext uri="{FF2B5EF4-FFF2-40B4-BE49-F238E27FC236}">
              <a16:creationId xmlns:a16="http://schemas.microsoft.com/office/drawing/2014/main" id="{00000000-0008-0000-1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10</xdr:row>
      <xdr:rowOff>0</xdr:rowOff>
    </xdr:from>
    <xdr:to>
      <xdr:col>33</xdr:col>
      <xdr:colOff>335198</xdr:colOff>
      <xdr:row>27</xdr:row>
      <xdr:rowOff>82645</xdr:rowOff>
    </xdr:to>
    <xdr:graphicFrame macro="">
      <xdr:nvGraphicFramePr>
        <xdr:cNvPr id="7" name="Chart 6">
          <a:extLst>
            <a:ext uri="{FF2B5EF4-FFF2-40B4-BE49-F238E27FC236}">
              <a16:creationId xmlns:a16="http://schemas.microsoft.com/office/drawing/2014/main" id="{00000000-0008-0000-1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9970851" cy="859466"/>
    <xdr:sp macro="" textlink="">
      <xdr:nvSpPr>
        <xdr:cNvPr id="2" name="TextBox 1">
          <a:extLst>
            <a:ext uri="{FF2B5EF4-FFF2-40B4-BE49-F238E27FC236}">
              <a16:creationId xmlns:a16="http://schemas.microsoft.com/office/drawing/2014/main" id="{00000000-0008-0000-1500-000002000000}"/>
            </a:ext>
          </a:extLst>
        </xdr:cNvPr>
        <xdr:cNvSpPr txBox="1"/>
      </xdr:nvSpPr>
      <xdr:spPr>
        <a:xfrm>
          <a:off x="0" y="0"/>
          <a:ext cx="9970851" cy="85946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9: Valuing</a:t>
          </a:r>
          <a:r>
            <a:rPr lang="en-US" sz="1600" b="1" baseline="0">
              <a:solidFill>
                <a:schemeClr val="tx1"/>
              </a:solidFill>
              <a:effectLst/>
              <a:latin typeface="+mn-lt"/>
              <a:ea typeface="+mn-ea"/>
              <a:cs typeface="+mn-cs"/>
            </a:rPr>
            <a:t> a Business</a:t>
          </a:r>
          <a:endParaRPr lang="en-US" sz="1600">
            <a:solidFill>
              <a:schemeClr val="tx1"/>
            </a:solidFill>
            <a:effectLst/>
            <a:latin typeface="+mn-lt"/>
            <a:ea typeface="+mn-ea"/>
            <a:cs typeface="+mn-cs"/>
          </a:endParaRP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You have been given the opportunity to buy a business, UrCo. The interest rate is 8% compounded annually,</a:t>
          </a:r>
          <a:r>
            <a:rPr lang="en-US" sz="1100" baseline="0">
              <a:solidFill>
                <a:schemeClr val="tx1"/>
              </a:solidFill>
              <a:effectLst/>
              <a:latin typeface="+mn-lt"/>
              <a:ea typeface="+mn-ea"/>
              <a:cs typeface="+mn-cs"/>
            </a:rPr>
            <a:t> and</a:t>
          </a:r>
          <a:r>
            <a:rPr lang="en-US" sz="1100">
              <a:solidFill>
                <a:schemeClr val="tx1"/>
              </a:solidFill>
              <a:effectLst/>
              <a:latin typeface="+mn-lt"/>
              <a:ea typeface="+mn-ea"/>
              <a:cs typeface="+mn-cs"/>
            </a:rPr>
            <a:t> the projected cash flows of the business are (each received at the end of the year) are:</a:t>
          </a:r>
        </a:p>
      </xdr:txBody>
    </xdr:sp>
    <xdr:clientData/>
  </xdr:oneCellAnchor>
  <xdr:oneCellAnchor>
    <xdr:from>
      <xdr:col>0</xdr:col>
      <xdr:colOff>0</xdr:colOff>
      <xdr:row>35</xdr:row>
      <xdr:rowOff>0</xdr:rowOff>
    </xdr:from>
    <xdr:ext cx="8542421" cy="516356"/>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0" y="5123447"/>
          <a:ext cx="8542421" cy="516356"/>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You have been given the opportunity to buy a business, MyCo. The applicable interest rate is 5%, compounded annually. The projected cash flows of the business are (each received at the end of the year):</a:t>
          </a:r>
          <a:endParaRPr lang="en-US">
            <a:effectLst/>
          </a:endParaRPr>
        </a:p>
      </xdr:txBody>
    </xdr:sp>
    <xdr:clientData/>
  </xdr:oneCellAnchor>
  <xdr:oneCellAnchor>
    <xdr:from>
      <xdr:col>0</xdr:col>
      <xdr:colOff>0</xdr:colOff>
      <xdr:row>43</xdr:row>
      <xdr:rowOff>151086</xdr:rowOff>
    </xdr:from>
    <xdr:ext cx="8542421" cy="320842"/>
    <xdr:sp macro="" textlink="">
      <xdr:nvSpPr>
        <xdr:cNvPr id="4" name="TextBox 3">
          <a:extLst>
            <a:ext uri="{FF2B5EF4-FFF2-40B4-BE49-F238E27FC236}">
              <a16:creationId xmlns:a16="http://schemas.microsoft.com/office/drawing/2014/main" id="{00000000-0008-0000-1500-000004000000}"/>
            </a:ext>
          </a:extLst>
        </xdr:cNvPr>
        <xdr:cNvSpPr txBox="1"/>
      </xdr:nvSpPr>
      <xdr:spPr>
        <a:xfrm>
          <a:off x="0" y="10878207"/>
          <a:ext cx="8542421" cy="320842"/>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a. What is the most you should pay for MyCo at the beginning of Year 1 (i.e., now)?</a:t>
          </a:r>
          <a:endParaRPr lang="en-US">
            <a:effectLst/>
          </a:endParaRPr>
        </a:p>
      </xdr:txBody>
    </xdr:sp>
    <xdr:clientData/>
  </xdr:oneCellAnchor>
  <xdr:oneCellAnchor>
    <xdr:from>
      <xdr:col>0</xdr:col>
      <xdr:colOff>0</xdr:colOff>
      <xdr:row>55</xdr:row>
      <xdr:rowOff>57150</xdr:rowOff>
    </xdr:from>
    <xdr:ext cx="8542421" cy="320842"/>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0" y="8930439"/>
          <a:ext cx="8542421" cy="320842"/>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b. What is the most you should pay for MyCo at the beginning of Year</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3 (i.e.,</a:t>
          </a:r>
          <a:r>
            <a:rPr lang="en-US" sz="1100" baseline="0">
              <a:solidFill>
                <a:schemeClr val="tx1"/>
              </a:solidFill>
              <a:effectLst/>
              <a:latin typeface="+mn-lt"/>
              <a:ea typeface="+mn-ea"/>
              <a:cs typeface="+mn-cs"/>
            </a:rPr>
            <a:t> end of Year 2)</a:t>
          </a:r>
          <a:r>
            <a:rPr lang="en-US" sz="1100">
              <a:solidFill>
                <a:schemeClr val="tx1"/>
              </a:solidFill>
              <a:effectLst/>
              <a:latin typeface="+mn-lt"/>
              <a:ea typeface="+mn-ea"/>
              <a:cs typeface="+mn-cs"/>
            </a:rPr>
            <a:t>?</a:t>
          </a:r>
          <a:endParaRPr lang="en-US">
            <a:effectLst/>
          </a:endParaRPr>
        </a:p>
      </xdr:txBody>
    </xdr:sp>
    <xdr:clientData/>
  </xdr:oneCellAnchor>
  <xdr:oneCellAnchor>
    <xdr:from>
      <xdr:col>0</xdr:col>
      <xdr:colOff>0</xdr:colOff>
      <xdr:row>24</xdr:row>
      <xdr:rowOff>0</xdr:rowOff>
    </xdr:from>
    <xdr:ext cx="9970851" cy="436786"/>
    <xdr:sp macro="" textlink="">
      <xdr:nvSpPr>
        <xdr:cNvPr id="7" name="TextBox 6">
          <a:extLst>
            <a:ext uri="{FF2B5EF4-FFF2-40B4-BE49-F238E27FC236}">
              <a16:creationId xmlns:a16="http://schemas.microsoft.com/office/drawing/2014/main" id="{00000000-0008-0000-1500-000007000000}"/>
            </a:ext>
          </a:extLst>
        </xdr:cNvPr>
        <xdr:cNvSpPr txBox="1"/>
      </xdr:nvSpPr>
      <xdr:spPr>
        <a:xfrm>
          <a:off x="0" y="5288017"/>
          <a:ext cx="9970851" cy="43678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Example 2:</a:t>
          </a:r>
        </a:p>
        <a:p>
          <a:r>
            <a:rPr lang="en-US" sz="1100" b="0">
              <a:solidFill>
                <a:schemeClr val="tx1"/>
              </a:solidFill>
              <a:effectLst/>
              <a:latin typeface="+mn-lt"/>
              <a:ea typeface="+mn-ea"/>
              <a:cs typeface="+mn-cs"/>
            </a:rPr>
            <a:t>What</a:t>
          </a:r>
          <a:r>
            <a:rPr lang="en-US" sz="1100" b="0" baseline="0">
              <a:solidFill>
                <a:schemeClr val="tx1"/>
              </a:solidFill>
              <a:effectLst/>
              <a:latin typeface="+mn-lt"/>
              <a:ea typeface="+mn-ea"/>
              <a:cs typeface="+mn-cs"/>
            </a:rPr>
            <a:t> is the most </a:t>
          </a:r>
          <a:r>
            <a:rPr lang="en-US" sz="1100" b="0">
              <a:solidFill>
                <a:schemeClr val="tx1"/>
              </a:solidFill>
              <a:effectLst/>
              <a:latin typeface="+mn-lt"/>
              <a:ea typeface="+mn-ea"/>
              <a:cs typeface="+mn-cs"/>
            </a:rPr>
            <a:t>you would</a:t>
          </a:r>
          <a:r>
            <a:rPr lang="en-US" sz="1100" baseline="0">
              <a:solidFill>
                <a:schemeClr val="tx1"/>
              </a:solidFill>
              <a:effectLst/>
              <a:latin typeface="+mn-lt"/>
              <a:ea typeface="+mn-ea"/>
              <a:cs typeface="+mn-cs"/>
            </a:rPr>
            <a:t> pay for UrCo at the end of Year 3 (i.e, beginning of Year 4)?</a:t>
          </a:r>
          <a:endParaRPr lang="en-US" sz="1100">
            <a:solidFill>
              <a:schemeClr val="tx1"/>
            </a:solidFill>
            <a:effectLst/>
            <a:latin typeface="+mn-lt"/>
            <a:ea typeface="+mn-ea"/>
            <a:cs typeface="+mn-cs"/>
          </a:endParaRPr>
        </a:p>
      </xdr:txBody>
    </xdr:sp>
    <xdr:clientData/>
  </xdr:oneCellAnchor>
  <xdr:oneCellAnchor>
    <xdr:from>
      <xdr:col>0</xdr:col>
      <xdr:colOff>0</xdr:colOff>
      <xdr:row>10</xdr:row>
      <xdr:rowOff>197069</xdr:rowOff>
    </xdr:from>
    <xdr:ext cx="9970851" cy="436786"/>
    <xdr:sp macro="" textlink="">
      <xdr:nvSpPr>
        <xdr:cNvPr id="8" name="TextBox 7">
          <a:extLst>
            <a:ext uri="{FF2B5EF4-FFF2-40B4-BE49-F238E27FC236}">
              <a16:creationId xmlns:a16="http://schemas.microsoft.com/office/drawing/2014/main" id="{00000000-0008-0000-1500-000008000000}"/>
            </a:ext>
          </a:extLst>
        </xdr:cNvPr>
        <xdr:cNvSpPr txBox="1"/>
      </xdr:nvSpPr>
      <xdr:spPr>
        <a:xfrm>
          <a:off x="0" y="2969172"/>
          <a:ext cx="9970851" cy="43678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Example 1:</a:t>
          </a:r>
        </a:p>
        <a:p>
          <a:r>
            <a:rPr lang="en-US" sz="1100" b="0">
              <a:solidFill>
                <a:schemeClr val="tx1"/>
              </a:solidFill>
              <a:effectLst/>
              <a:latin typeface="+mn-lt"/>
              <a:ea typeface="+mn-ea"/>
              <a:cs typeface="+mn-cs"/>
            </a:rPr>
            <a:t>What</a:t>
          </a:r>
          <a:r>
            <a:rPr lang="en-US" sz="1100" b="0" baseline="0">
              <a:solidFill>
                <a:schemeClr val="tx1"/>
              </a:solidFill>
              <a:effectLst/>
              <a:latin typeface="+mn-lt"/>
              <a:ea typeface="+mn-ea"/>
              <a:cs typeface="+mn-cs"/>
            </a:rPr>
            <a:t> is the most </a:t>
          </a:r>
          <a:r>
            <a:rPr lang="en-US" sz="1100" b="0">
              <a:solidFill>
                <a:schemeClr val="tx1"/>
              </a:solidFill>
              <a:effectLst/>
              <a:latin typeface="+mn-lt"/>
              <a:ea typeface="+mn-ea"/>
              <a:cs typeface="+mn-cs"/>
            </a:rPr>
            <a:t>you would</a:t>
          </a:r>
          <a:r>
            <a:rPr lang="en-US" sz="1100" baseline="0">
              <a:solidFill>
                <a:schemeClr val="tx1"/>
              </a:solidFill>
              <a:effectLst/>
              <a:latin typeface="+mn-lt"/>
              <a:ea typeface="+mn-ea"/>
              <a:cs typeface="+mn-cs"/>
            </a:rPr>
            <a:t> pay for UrCo at the beginning of Year 1 (i.e, now)?</a:t>
          </a:r>
          <a:endParaRPr lang="en-US" sz="1100">
            <a:solidFill>
              <a:schemeClr val="tx1"/>
            </a:solidFill>
            <a:effectLst/>
            <a:latin typeface="+mn-lt"/>
            <a:ea typeface="+mn-ea"/>
            <a:cs typeface="+mn-cs"/>
          </a:endParaRP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9970851" cy="8092985"/>
    <xdr:sp macro="" textlink="">
      <xdr:nvSpPr>
        <xdr:cNvPr id="2" name="TextBox 1">
          <a:extLst>
            <a:ext uri="{FF2B5EF4-FFF2-40B4-BE49-F238E27FC236}">
              <a16:creationId xmlns:a16="http://schemas.microsoft.com/office/drawing/2014/main" id="{00000000-0008-0000-1600-000002000000}"/>
            </a:ext>
          </a:extLst>
        </xdr:cNvPr>
        <xdr:cNvSpPr txBox="1"/>
      </xdr:nvSpPr>
      <xdr:spPr>
        <a:xfrm>
          <a:off x="0" y="0"/>
          <a:ext cx="9970851" cy="809298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tx1"/>
              </a:solidFill>
              <a:effectLst/>
              <a:latin typeface="+mn-lt"/>
              <a:ea typeface="+mn-ea"/>
              <a:cs typeface="+mn-cs"/>
            </a:rPr>
            <a:t>Problem 10: Verizon Buyout of Vodafone Partnership</a:t>
          </a:r>
        </a:p>
        <a:p>
          <a:r>
            <a:rPr lang="en-US" sz="1100" b="1">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In a Form 8-K filed with the United States Securities &amp; Exchange Commission (SEC) on September 3, 2013, Verizon announced an agreement with Vodafone that led to a record bond offering. Here are some excerpts from page 1 of the 8-K:</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On September 2, 2013, Verizon Communications Inc. (“Verizon”) entered into a stock purchase agreement (the “Stock Purchase Agreement”) with Vodafone Group Plc (“Vodafone”) and Vodafone 4 Limited (“Seller”), pursuant to which Verizon agreed to acquire Vodafone’s indirect 45% interest in Cellco Partnership d/b/a Verizon Wireless (the “Partnership,” and such interest, the “Vodafone Interest”). The Partnership is a joint venture between Verizon and Vodafone formed in April 2000 by the combination of the U.S. wireless operations and interests of Verizon and Vodafone.</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…Verizon has agreed to, upon completion of the Wireless Transaction, (i) pay approximately $58.89 billion in cash (the “Cash Consideration”), (ii) issue approximately $60.15 billion of Verizon’s common stock, par value $0.10 per share (the “Stock Consideration”), (iii) issue senior unsecured Verizon notes in an aggregate principal amount of $5.0 billion (the “Verizon Notes”), (iv) transfer Verizon’s indirectly owned 23.1% interest in Vodafone Omnitel N.V. (“Omnitel,” and such interest, the “Omnitel Interest”), valued at $3.5 billion and (v) provide other consideration of approximately $2.5 billion.</a:t>
          </a:r>
        </a:p>
        <a:p>
          <a:r>
            <a:rPr lang="en-US" sz="1100">
              <a:solidFill>
                <a:schemeClr val="tx1"/>
              </a:solidFill>
              <a:effectLst/>
              <a:latin typeface="+mn-lt"/>
              <a:ea typeface="+mn-ea"/>
              <a:cs typeface="+mn-cs"/>
            </a:rPr>
            <a:t> </a:t>
          </a:r>
        </a:p>
        <a:p>
          <a:r>
            <a:rPr lang="en-US" sz="1100" u="sng">
              <a:solidFill>
                <a:schemeClr val="tx1"/>
              </a:solidFill>
              <a:effectLst/>
              <a:latin typeface="+mn-lt"/>
              <a:ea typeface="+mn-ea"/>
              <a:cs typeface="+mn-cs"/>
              <a:hlinkClick xmlns:r="http://schemas.openxmlformats.org/officeDocument/2006/relationships" r:id=""/>
            </a:rPr>
            <a:t>http://eol.edgarexplorer.com/EFX_dll/EDGARpro.dll?FetchFilingHTML1?SessionID=Z8xs62JUpSkwYa-&amp;ID=9490448</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According to the Wall Street Journal (WJS) in an article written September 10, 2013 which can be found at the url given below, Verizon may raise as much as $49 billion by selling bonds. (Apple has the current record for the largest corporate bond offering when it raised $17 billion in an April offering.)</a:t>
          </a:r>
        </a:p>
        <a:p>
          <a:r>
            <a:rPr lang="en-US" sz="1100">
              <a:solidFill>
                <a:schemeClr val="tx1"/>
              </a:solidFill>
              <a:effectLst/>
              <a:latin typeface="+mn-lt"/>
              <a:ea typeface="+mn-ea"/>
              <a:cs typeface="+mn-cs"/>
            </a:rPr>
            <a:t> </a:t>
          </a:r>
        </a:p>
        <a:p>
          <a:r>
            <a:rPr lang="en-US" sz="1100" u="sng">
              <a:solidFill>
                <a:schemeClr val="tx1"/>
              </a:solidFill>
              <a:effectLst/>
              <a:latin typeface="+mn-lt"/>
              <a:ea typeface="+mn-ea"/>
              <a:cs typeface="+mn-cs"/>
              <a:hlinkClick xmlns:r="http://schemas.openxmlformats.org/officeDocument/2006/relationships" r:id=""/>
            </a:rPr>
            <a:t>http://online.wsj.com/article/SB10001424127887323595004579066803178304462.html</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Also from the WSJ at that url:</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debt sale is expected to take place Wednesday and will offer securities to investors that mature in 10 years to 30 years and at rates of between 2.25 and 2.65 percentage points above comparable Treasury-bond yields, one of the people familiar with the offering said. The person cautioned that the final terms could deviate somewhat from those targets.</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USA Today reports:</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a:t>
          </a:r>
        </a:p>
        <a:p>
          <a:r>
            <a:rPr lang="en-US" sz="1100">
              <a:solidFill>
                <a:schemeClr val="tx1"/>
              </a:solidFill>
              <a:effectLst/>
              <a:latin typeface="+mn-lt"/>
              <a:ea typeface="+mn-ea"/>
              <a:cs typeface="+mn-cs"/>
            </a:rPr>
            <a:t>Fueling demand is the spread -- or premium -- over the yield on comparable benchmark government bonds the telecom giant is willing to pay. For example, 10-year fixed-rated notes Verizon plans to sell will yield about 5.22%, or 2.25 percentage points above the bellwether 10-year Treasury note, which was trading at a 2.97% yield Tuesday, the Journal report said.</a:t>
          </a:r>
        </a:p>
        <a:p>
          <a:r>
            <a:rPr lang="en-US" sz="1100">
              <a:solidFill>
                <a:schemeClr val="tx1"/>
              </a:solidFill>
              <a:effectLst/>
              <a:latin typeface="+mn-lt"/>
              <a:ea typeface="+mn-ea"/>
              <a:cs typeface="+mn-cs"/>
            </a:rPr>
            <a:t>…</a:t>
          </a:r>
        </a:p>
        <a:p>
          <a:r>
            <a:rPr lang="en-US" sz="1100">
              <a:solidFill>
                <a:schemeClr val="tx1"/>
              </a:solidFill>
              <a:effectLst/>
              <a:latin typeface="+mn-lt"/>
              <a:ea typeface="+mn-ea"/>
              <a:cs typeface="+mn-cs"/>
            </a:rPr>
            <a:t>There will be a variety of bonds in the Verizon offering issued in several tranches, or types, including about $18 billion to $20 billion of fixed-rate 20-year and 30-year bonds, $15 billion of fixed- and floating-rate notes maturing in 7 and 10 years, and about $13 billion to $15 billion in floating-rate notes with three- to five-year maturities.</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yield Verizon will offer buyers is dictated by the size of the offering, market demand and the company's credit rating. Moody's Investors Service rating agency rates the company Baa1 -- about eight credit steps away from the highest rating available on government debt. The company's credit outlook is stable, in part because the yields on its existing debt are lower than what the company plans to offer in this sale.</a:t>
          </a:r>
        </a:p>
        <a:p>
          <a:r>
            <a:rPr lang="en-US" sz="1100">
              <a:solidFill>
                <a:schemeClr val="tx1"/>
              </a:solidFill>
              <a:effectLst/>
              <a:latin typeface="+mn-lt"/>
              <a:ea typeface="+mn-ea"/>
              <a:cs typeface="+mn-cs"/>
            </a:rPr>
            <a:t> </a:t>
          </a:r>
        </a:p>
        <a:p>
          <a:r>
            <a:rPr lang="en-US" sz="1100">
              <a:solidFill>
                <a:schemeClr val="tx1"/>
              </a:solidFill>
              <a:effectLst/>
              <a:latin typeface="+mn-lt"/>
              <a:ea typeface="+mn-ea"/>
              <a:cs typeface="+mn-cs"/>
            </a:rPr>
            <a:t>The new bonds will be rated BBB+, according to Standard &amp; Poor's rating agency. That means investors would be getting an above-average yield on a credit-stable company.</a:t>
          </a:r>
        </a:p>
        <a:p>
          <a:r>
            <a:rPr lang="en-US" sz="1100">
              <a:solidFill>
                <a:schemeClr val="tx1"/>
              </a:solidFill>
              <a:effectLst/>
              <a:latin typeface="+mn-lt"/>
              <a:ea typeface="+mn-ea"/>
              <a:cs typeface="+mn-cs"/>
            </a:rPr>
            <a:t> </a:t>
          </a:r>
        </a:p>
        <a:p>
          <a:r>
            <a:rPr lang="en-US" sz="1100" u="sng">
              <a:solidFill>
                <a:schemeClr val="tx1"/>
              </a:solidFill>
              <a:effectLst/>
              <a:latin typeface="+mn-lt"/>
              <a:ea typeface="+mn-ea"/>
              <a:cs typeface="+mn-cs"/>
              <a:hlinkClick xmlns:r="http://schemas.openxmlformats.org/officeDocument/2006/relationships" r:id=""/>
            </a:rPr>
            <a:t>http://www.usatoday.com/story/money/business/2013/09/10/verizon-bonds/2795887/</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 </a:t>
          </a:r>
        </a:p>
      </xdr:txBody>
    </xdr:sp>
    <xdr:clientData/>
  </xdr:oneCellAnchor>
  <xdr:oneCellAnchor>
    <xdr:from>
      <xdr:col>0</xdr:col>
      <xdr:colOff>0</xdr:colOff>
      <xdr:row>43</xdr:row>
      <xdr:rowOff>1171</xdr:rowOff>
    </xdr:from>
    <xdr:ext cx="10029092" cy="486277"/>
    <xdr:sp macro="" textlink="">
      <xdr:nvSpPr>
        <xdr:cNvPr id="4" name="TextBox 3">
          <a:extLst>
            <a:ext uri="{FF2B5EF4-FFF2-40B4-BE49-F238E27FC236}">
              <a16:creationId xmlns:a16="http://schemas.microsoft.com/office/drawing/2014/main" id="{00000000-0008-0000-1600-000004000000}"/>
            </a:ext>
          </a:extLst>
        </xdr:cNvPr>
        <xdr:cNvSpPr txBox="1"/>
      </xdr:nvSpPr>
      <xdr:spPr>
        <a:xfrm>
          <a:off x="0" y="7814602"/>
          <a:ext cx="10029092" cy="486277"/>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Suppose Verizon wants to raise $10 billion by issuing zero coupon bonds with a 20-year maturity and that the market interest rate for those bonds is 5.22% annually, compounded semi-annually. What is the total face amount of zero</a:t>
          </a:r>
          <a:r>
            <a:rPr lang="en-US" sz="1100" baseline="0">
              <a:solidFill>
                <a:schemeClr val="tx1"/>
              </a:solidFill>
              <a:effectLst/>
              <a:latin typeface="+mn-lt"/>
              <a:ea typeface="+mn-ea"/>
              <a:cs typeface="+mn-cs"/>
            </a:rPr>
            <a:t> coupon bonds that </a:t>
          </a:r>
          <a:r>
            <a:rPr lang="en-US" sz="1100">
              <a:solidFill>
                <a:schemeClr val="tx1"/>
              </a:solidFill>
              <a:effectLst/>
              <a:latin typeface="+mn-lt"/>
              <a:ea typeface="+mn-ea"/>
              <a:cs typeface="+mn-cs"/>
            </a:rPr>
            <a:t>Verizon</a:t>
          </a:r>
          <a:r>
            <a:rPr lang="en-US" sz="1100" baseline="0">
              <a:solidFill>
                <a:schemeClr val="tx1"/>
              </a:solidFill>
              <a:effectLst/>
              <a:latin typeface="+mn-lt"/>
              <a:ea typeface="+mn-ea"/>
              <a:cs typeface="+mn-cs"/>
            </a:rPr>
            <a:t> should issue? (Answer in billions to two decimal places.)</a:t>
          </a:r>
          <a:endParaRPr lang="en-US">
            <a:effectLst/>
          </a:endParaRP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D34"/>
  <sheetViews>
    <sheetView zoomScale="130" zoomScaleNormal="130" workbookViewId="0"/>
  </sheetViews>
  <sheetFormatPr defaultColWidth="8.85546875" defaultRowHeight="15" x14ac:dyDescent="0.25"/>
  <cols>
    <col min="3" max="3" width="28.28515625" bestFit="1" customWidth="1"/>
  </cols>
  <sheetData>
    <row r="3" spans="3:3" x14ac:dyDescent="0.25">
      <c r="C3" s="2"/>
    </row>
    <row r="4" spans="3:3" x14ac:dyDescent="0.25">
      <c r="C4" s="2"/>
    </row>
    <row r="5" spans="3:3" x14ac:dyDescent="0.25">
      <c r="C5" s="2"/>
    </row>
    <row r="6" spans="3:3" x14ac:dyDescent="0.25">
      <c r="C6" s="2"/>
    </row>
    <row r="7" spans="3:3" x14ac:dyDescent="0.25">
      <c r="C7" s="2"/>
    </row>
    <row r="8" spans="3:3" x14ac:dyDescent="0.25">
      <c r="C8" s="2"/>
    </row>
    <row r="9" spans="3:3" x14ac:dyDescent="0.25">
      <c r="C9" s="2"/>
    </row>
    <row r="10" spans="3:3" x14ac:dyDescent="0.25">
      <c r="C10" s="2"/>
    </row>
    <row r="11" spans="3:3" x14ac:dyDescent="0.25">
      <c r="C11" s="2"/>
    </row>
    <row r="12" spans="3:3" x14ac:dyDescent="0.25">
      <c r="C12" s="2"/>
    </row>
    <row r="13" spans="3:3" x14ac:dyDescent="0.25">
      <c r="C13" s="2"/>
    </row>
    <row r="14" spans="3:3" x14ac:dyDescent="0.25">
      <c r="C14" s="2"/>
    </row>
    <row r="15" spans="3:3" x14ac:dyDescent="0.25">
      <c r="C15" s="2"/>
    </row>
    <row r="16" spans="3:3" x14ac:dyDescent="0.25">
      <c r="C16" s="2"/>
    </row>
    <row r="17" spans="3:4" x14ac:dyDescent="0.25">
      <c r="C17" s="2"/>
    </row>
    <row r="18" spans="3:4" x14ac:dyDescent="0.25">
      <c r="C18" s="2"/>
    </row>
    <row r="19" spans="3:4" x14ac:dyDescent="0.25">
      <c r="C19" s="2"/>
    </row>
    <row r="20" spans="3:4" x14ac:dyDescent="0.25">
      <c r="C20" s="2"/>
    </row>
    <row r="21" spans="3:4" x14ac:dyDescent="0.25">
      <c r="C21" s="2"/>
    </row>
    <row r="22" spans="3:4" x14ac:dyDescent="0.25">
      <c r="C22" s="2"/>
    </row>
    <row r="23" spans="3:4" x14ac:dyDescent="0.25">
      <c r="C23" s="2"/>
    </row>
    <row r="24" spans="3:4" x14ac:dyDescent="0.25">
      <c r="C24" s="2"/>
      <c r="D24" t="s">
        <v>299</v>
      </c>
    </row>
    <row r="25" spans="3:4" x14ac:dyDescent="0.25">
      <c r="C25" s="2"/>
    </row>
    <row r="26" spans="3:4" x14ac:dyDescent="0.25">
      <c r="C26" s="2"/>
    </row>
    <row r="27" spans="3:4" x14ac:dyDescent="0.25">
      <c r="C27" s="2"/>
    </row>
    <row r="28" spans="3:4" x14ac:dyDescent="0.25">
      <c r="C28" s="2"/>
    </row>
    <row r="29" spans="3:4" x14ac:dyDescent="0.25">
      <c r="C29" s="1"/>
    </row>
    <row r="30" spans="3:4" x14ac:dyDescent="0.25">
      <c r="C30" s="1"/>
    </row>
    <row r="31" spans="3:4" x14ac:dyDescent="0.25">
      <c r="C31" s="1"/>
    </row>
    <row r="32" spans="3:4" x14ac:dyDescent="0.25">
      <c r="C32" s="1"/>
    </row>
    <row r="33" spans="3:3" x14ac:dyDescent="0.25">
      <c r="C33" s="1"/>
    </row>
    <row r="34" spans="3:3" x14ac:dyDescent="0.25">
      <c r="C34" s="1"/>
    </row>
  </sheetData>
  <sheetProtection algorithmName="SHA-512" hashValue="ftQuiduJ4bA8TxaShAo7/A3/DF+CHlaOFs0Dcx4j9IaHpR/+auFX3vb1buTzchRNakrb+mHY142NodzXRBchzQ==" saltValue="6EfFbGzxSpslFISaVqzTF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6636-949F-4A8B-AA60-97E90CCAFDF5}">
  <dimension ref="A8:W206"/>
  <sheetViews>
    <sheetView topLeftCell="A101" zoomScaleNormal="100" workbookViewId="0">
      <selection activeCell="C93" sqref="C93"/>
    </sheetView>
  </sheetViews>
  <sheetFormatPr defaultColWidth="8.85546875" defaultRowHeight="15" x14ac:dyDescent="0.25"/>
  <cols>
    <col min="1" max="1" width="17.28515625" customWidth="1"/>
    <col min="2" max="2" width="11" bestFit="1" customWidth="1"/>
    <col min="3" max="3" width="9.28515625" bestFit="1" customWidth="1"/>
    <col min="4" max="4" width="11.85546875" bestFit="1" customWidth="1"/>
    <col min="9" max="9" width="11.85546875" bestFit="1" customWidth="1"/>
    <col min="10" max="10" width="9.42578125" bestFit="1" customWidth="1"/>
    <col min="12" max="12" width="9.42578125" bestFit="1" customWidth="1"/>
    <col min="14" max="14" width="10.7109375" bestFit="1" customWidth="1"/>
    <col min="16" max="16" width="10.7109375" bestFit="1" customWidth="1"/>
    <col min="17" max="18" width="10.5703125" bestFit="1" customWidth="1"/>
    <col min="21" max="21" width="10.7109375" bestFit="1" customWidth="1"/>
    <col min="22" max="22" width="8.85546875" customWidth="1"/>
    <col min="23" max="23" width="18.28515625" bestFit="1" customWidth="1"/>
  </cols>
  <sheetData>
    <row r="8" spans="1:22" ht="15.75" thickBot="1" x14ac:dyDescent="0.3">
      <c r="A8" s="6" t="s">
        <v>7</v>
      </c>
      <c r="B8" s="6" t="s">
        <v>6</v>
      </c>
    </row>
    <row r="9" spans="1:22" x14ac:dyDescent="0.25">
      <c r="A9" t="s">
        <v>8</v>
      </c>
      <c r="B9" s="47">
        <v>1000</v>
      </c>
    </row>
    <row r="10" spans="1:22" x14ac:dyDescent="0.25">
      <c r="A10" t="s">
        <v>9</v>
      </c>
      <c r="B10" s="48">
        <v>0.05</v>
      </c>
      <c r="C10" s="49" t="s">
        <v>61</v>
      </c>
    </row>
    <row r="11" spans="1:22" x14ac:dyDescent="0.25">
      <c r="A11" t="s">
        <v>10</v>
      </c>
      <c r="B11" s="49">
        <v>1</v>
      </c>
      <c r="C11" t="s">
        <v>5</v>
      </c>
    </row>
    <row r="12" spans="1:22" x14ac:dyDescent="0.25">
      <c r="B12" s="7"/>
    </row>
    <row r="13" spans="1:22" x14ac:dyDescent="0.25">
      <c r="B13" s="114" t="str">
        <f>"End of "&amp; One_Period_Ex1 &amp;" Year"</f>
        <v>End of 1 Year</v>
      </c>
      <c r="C13" s="114"/>
      <c r="D13" s="114"/>
      <c r="E13" s="114"/>
      <c r="F13" s="114"/>
      <c r="G13" s="114"/>
      <c r="H13" s="114"/>
      <c r="I13" s="114"/>
      <c r="J13" s="114"/>
      <c r="K13" s="114"/>
      <c r="L13" s="114"/>
      <c r="M13" s="114"/>
      <c r="N13" s="114"/>
      <c r="O13" s="114"/>
      <c r="P13" s="114"/>
      <c r="Q13" s="114"/>
      <c r="R13" s="114"/>
      <c r="S13" s="114"/>
      <c r="T13" s="114"/>
      <c r="U13" s="114"/>
      <c r="V13" s="114"/>
    </row>
    <row r="14" spans="1:22" ht="15.75" thickBot="1" x14ac:dyDescent="0.3">
      <c r="B14" s="6">
        <v>0</v>
      </c>
      <c r="C14" s="6">
        <v>1</v>
      </c>
      <c r="D14" s="6">
        <v>2</v>
      </c>
      <c r="E14" s="6">
        <v>3</v>
      </c>
      <c r="F14" s="6">
        <v>4</v>
      </c>
      <c r="G14" s="6">
        <v>5</v>
      </c>
      <c r="H14" s="6">
        <v>6</v>
      </c>
      <c r="I14" s="6">
        <v>7</v>
      </c>
      <c r="J14" s="6">
        <v>8</v>
      </c>
      <c r="K14" s="6">
        <v>9</v>
      </c>
      <c r="L14" s="6">
        <v>10</v>
      </c>
      <c r="M14" s="6">
        <v>11</v>
      </c>
      <c r="N14" s="6">
        <v>12</v>
      </c>
      <c r="O14" s="6">
        <v>13</v>
      </c>
      <c r="P14" s="6">
        <v>14</v>
      </c>
      <c r="Q14" s="6">
        <v>15</v>
      </c>
      <c r="R14" s="6">
        <v>16</v>
      </c>
      <c r="S14" s="6">
        <v>17</v>
      </c>
      <c r="T14" s="6">
        <v>18</v>
      </c>
      <c r="U14" s="6">
        <v>19</v>
      </c>
      <c r="V14" s="6">
        <v>20</v>
      </c>
    </row>
    <row r="15" spans="1:22" x14ac:dyDescent="0.25">
      <c r="A15" s="7" t="s">
        <v>3</v>
      </c>
      <c r="B15" s="53"/>
      <c r="C15" s="53">
        <f>Face_Ex1*Coupon_rate_Ex1</f>
        <v>50</v>
      </c>
      <c r="D15" s="53">
        <f>Face_Ex1*Coupon_rate_Ex1</f>
        <v>50</v>
      </c>
      <c r="E15" s="53">
        <f>Face_Ex1*Coupon_rate_Ex1</f>
        <v>50</v>
      </c>
      <c r="F15" s="53"/>
      <c r="G15" s="53"/>
      <c r="H15" s="53"/>
      <c r="I15" s="53"/>
      <c r="J15" s="53"/>
      <c r="K15" s="53"/>
      <c r="L15" s="53"/>
      <c r="M15" s="53"/>
      <c r="N15" s="53"/>
      <c r="O15" s="53"/>
      <c r="P15" s="53"/>
      <c r="Q15" s="53"/>
      <c r="R15" s="53"/>
      <c r="S15" s="53"/>
      <c r="T15" s="53"/>
      <c r="U15" s="53"/>
      <c r="V15" s="53"/>
    </row>
    <row r="16" spans="1:22" x14ac:dyDescent="0.25">
      <c r="A16" s="7" t="s">
        <v>2</v>
      </c>
      <c r="B16" s="54"/>
      <c r="C16" s="54"/>
      <c r="D16" s="54"/>
      <c r="E16" s="53">
        <f>Face_Ex1</f>
        <v>1000</v>
      </c>
      <c r="F16" s="54"/>
      <c r="G16" s="54"/>
      <c r="H16" s="53"/>
      <c r="I16" s="54"/>
      <c r="J16" s="54"/>
      <c r="K16" s="53"/>
      <c r="L16" s="53"/>
      <c r="M16" s="53"/>
      <c r="N16" s="53"/>
      <c r="O16" s="53"/>
      <c r="P16" s="53"/>
      <c r="Q16" s="53"/>
      <c r="R16" s="53"/>
      <c r="S16" s="53"/>
      <c r="T16" s="53"/>
      <c r="U16" s="53"/>
      <c r="V16" s="53"/>
    </row>
    <row r="17" spans="1:22" ht="15.75" thickBot="1" x14ac:dyDescent="0.3">
      <c r="A17" s="7" t="s">
        <v>4</v>
      </c>
      <c r="B17" s="55">
        <f>ROUND(SUM(B15:B16),0)</f>
        <v>0</v>
      </c>
      <c r="C17" s="55">
        <f t="shared" ref="C17:V17" si="0">ROUND(SUM(C15:C16),0)</f>
        <v>50</v>
      </c>
      <c r="D17" s="55">
        <f t="shared" si="0"/>
        <v>50</v>
      </c>
      <c r="E17" s="55">
        <f t="shared" si="0"/>
        <v>1050</v>
      </c>
      <c r="F17" s="55">
        <f t="shared" si="0"/>
        <v>0</v>
      </c>
      <c r="G17" s="55">
        <f t="shared" si="0"/>
        <v>0</v>
      </c>
      <c r="H17" s="55">
        <f t="shared" si="0"/>
        <v>0</v>
      </c>
      <c r="I17" s="55">
        <f t="shared" si="0"/>
        <v>0</v>
      </c>
      <c r="J17" s="55">
        <f t="shared" si="0"/>
        <v>0</v>
      </c>
      <c r="K17" s="55">
        <f t="shared" si="0"/>
        <v>0</v>
      </c>
      <c r="L17" s="55">
        <f t="shared" si="0"/>
        <v>0</v>
      </c>
      <c r="M17" s="55">
        <f t="shared" si="0"/>
        <v>0</v>
      </c>
      <c r="N17" s="55">
        <f t="shared" si="0"/>
        <v>0</v>
      </c>
      <c r="O17" s="55">
        <f t="shared" si="0"/>
        <v>0</v>
      </c>
      <c r="P17" s="55">
        <f t="shared" si="0"/>
        <v>0</v>
      </c>
      <c r="Q17" s="55">
        <f t="shared" si="0"/>
        <v>0</v>
      </c>
      <c r="R17" s="55">
        <f t="shared" si="0"/>
        <v>0</v>
      </c>
      <c r="S17" s="55">
        <f t="shared" si="0"/>
        <v>0</v>
      </c>
      <c r="T17" s="55">
        <f t="shared" si="0"/>
        <v>0</v>
      </c>
      <c r="U17" s="55">
        <f t="shared" si="0"/>
        <v>0</v>
      </c>
      <c r="V17" s="55">
        <f t="shared" si="0"/>
        <v>0</v>
      </c>
    </row>
    <row r="18" spans="1:22" ht="15.75" thickTop="1" x14ac:dyDescent="0.25"/>
    <row r="23" spans="1:22" ht="15.75" thickBot="1" x14ac:dyDescent="0.3">
      <c r="A23" s="6" t="s">
        <v>7</v>
      </c>
      <c r="B23" s="6" t="s">
        <v>6</v>
      </c>
    </row>
    <row r="24" spans="1:22" x14ac:dyDescent="0.25">
      <c r="A24" t="s">
        <v>11</v>
      </c>
      <c r="B24" s="47">
        <v>20000</v>
      </c>
    </row>
    <row r="25" spans="1:22" x14ac:dyDescent="0.25">
      <c r="A25" t="s">
        <v>12</v>
      </c>
      <c r="B25" s="48">
        <v>0.08</v>
      </c>
      <c r="C25" s="49" t="s">
        <v>62</v>
      </c>
    </row>
    <row r="26" spans="1:22" x14ac:dyDescent="0.25">
      <c r="A26" t="s">
        <v>13</v>
      </c>
      <c r="B26" s="49">
        <v>0.5</v>
      </c>
      <c r="C26" t="s">
        <v>5</v>
      </c>
    </row>
    <row r="28" spans="1:22" x14ac:dyDescent="0.25">
      <c r="B28" s="114" t="str">
        <f>"End of "&amp; One_Period_Ex2 &amp;" Year"</f>
        <v>End of 0.5 Year</v>
      </c>
      <c r="C28" s="114"/>
      <c r="D28" s="114"/>
      <c r="E28" s="114"/>
      <c r="F28" s="114"/>
      <c r="G28" s="114"/>
      <c r="H28" s="114"/>
      <c r="I28" s="114"/>
      <c r="J28" s="114"/>
      <c r="K28" s="114"/>
      <c r="L28" s="114"/>
      <c r="M28" s="114"/>
      <c r="N28" s="114"/>
      <c r="O28" s="114"/>
      <c r="P28" s="114"/>
      <c r="Q28" s="114"/>
      <c r="R28" s="114"/>
      <c r="S28" s="114"/>
      <c r="T28" s="114"/>
      <c r="U28" s="114"/>
      <c r="V28" s="114"/>
    </row>
    <row r="29" spans="1:22" ht="15.75" thickBot="1" x14ac:dyDescent="0.3">
      <c r="B29" s="6">
        <v>0</v>
      </c>
      <c r="C29" s="6">
        <v>1</v>
      </c>
      <c r="D29" s="6">
        <v>2</v>
      </c>
      <c r="E29" s="6">
        <v>3</v>
      </c>
      <c r="F29" s="6">
        <v>4</v>
      </c>
      <c r="G29" s="6">
        <v>5</v>
      </c>
      <c r="H29" s="6">
        <v>6</v>
      </c>
      <c r="I29" s="6">
        <v>7</v>
      </c>
      <c r="J29" s="6">
        <v>8</v>
      </c>
      <c r="K29" s="6">
        <v>9</v>
      </c>
      <c r="L29" s="6">
        <v>10</v>
      </c>
      <c r="M29" s="6">
        <v>11</v>
      </c>
      <c r="N29" s="6">
        <v>12</v>
      </c>
      <c r="O29" s="6">
        <v>13</v>
      </c>
      <c r="P29" s="6">
        <v>14</v>
      </c>
      <c r="Q29" s="6">
        <v>15</v>
      </c>
      <c r="R29" s="6">
        <v>16</v>
      </c>
      <c r="S29" s="6">
        <v>17</v>
      </c>
      <c r="T29" s="6">
        <v>18</v>
      </c>
      <c r="U29" s="6">
        <v>19</v>
      </c>
      <c r="V29" s="6">
        <v>20</v>
      </c>
    </row>
    <row r="30" spans="1:22" x14ac:dyDescent="0.25">
      <c r="A30" s="7" t="s">
        <v>3</v>
      </c>
      <c r="B30" s="53"/>
      <c r="C30" s="53">
        <f t="shared" ref="C30:J30" si="1">Face_Ex2*(Coupon_rate_Ex2/(1/One_Period_Ex2))</f>
        <v>800</v>
      </c>
      <c r="D30" s="53">
        <f t="shared" si="1"/>
        <v>800</v>
      </c>
      <c r="E30" s="53">
        <f t="shared" si="1"/>
        <v>800</v>
      </c>
      <c r="F30" s="53">
        <f t="shared" si="1"/>
        <v>800</v>
      </c>
      <c r="G30" s="53">
        <f t="shared" si="1"/>
        <v>800</v>
      </c>
      <c r="H30" s="53">
        <f t="shared" si="1"/>
        <v>800</v>
      </c>
      <c r="I30" s="53">
        <f t="shared" si="1"/>
        <v>800</v>
      </c>
      <c r="J30" s="53">
        <f t="shared" si="1"/>
        <v>800</v>
      </c>
      <c r="K30" s="53"/>
      <c r="L30" s="53"/>
      <c r="M30" s="53"/>
      <c r="N30" s="53"/>
      <c r="O30" s="53"/>
      <c r="P30" s="53"/>
      <c r="Q30" s="53"/>
      <c r="R30" s="53"/>
      <c r="S30" s="53"/>
      <c r="T30" s="53"/>
      <c r="U30" s="53"/>
      <c r="V30" s="53"/>
    </row>
    <row r="31" spans="1:22" x14ac:dyDescent="0.25">
      <c r="A31" s="7" t="s">
        <v>2</v>
      </c>
      <c r="B31" s="54"/>
      <c r="C31" s="53"/>
      <c r="D31" s="53"/>
      <c r="E31" s="53"/>
      <c r="F31" s="53"/>
      <c r="G31" s="53"/>
      <c r="H31" s="53"/>
      <c r="I31" s="53"/>
      <c r="J31" s="53">
        <f>Face_Ex2</f>
        <v>20000</v>
      </c>
      <c r="K31" s="53"/>
      <c r="L31" s="53"/>
      <c r="M31" s="53"/>
      <c r="N31" s="53"/>
      <c r="O31" s="53"/>
      <c r="P31" s="53"/>
      <c r="Q31" s="53"/>
      <c r="R31" s="53"/>
      <c r="S31" s="53"/>
      <c r="T31" s="53"/>
      <c r="U31" s="53"/>
      <c r="V31" s="53"/>
    </row>
    <row r="32" spans="1:22" ht="15.75" thickBot="1" x14ac:dyDescent="0.3">
      <c r="A32" s="7" t="s">
        <v>4</v>
      </c>
      <c r="B32" s="55">
        <f>ROUND(SUM(B30:B31),0)</f>
        <v>0</v>
      </c>
      <c r="C32" s="55">
        <f t="shared" ref="C32:V32" si="2">ROUND(SUM(C30:C31),0)</f>
        <v>800</v>
      </c>
      <c r="D32" s="55">
        <f t="shared" si="2"/>
        <v>800</v>
      </c>
      <c r="E32" s="55">
        <f t="shared" si="2"/>
        <v>800</v>
      </c>
      <c r="F32" s="55">
        <f t="shared" si="2"/>
        <v>800</v>
      </c>
      <c r="G32" s="55">
        <f t="shared" si="2"/>
        <v>800</v>
      </c>
      <c r="H32" s="55">
        <f t="shared" si="2"/>
        <v>800</v>
      </c>
      <c r="I32" s="55">
        <f t="shared" si="2"/>
        <v>800</v>
      </c>
      <c r="J32" s="55">
        <f t="shared" si="2"/>
        <v>20800</v>
      </c>
      <c r="K32" s="55">
        <f t="shared" si="2"/>
        <v>0</v>
      </c>
      <c r="L32" s="55">
        <f t="shared" si="2"/>
        <v>0</v>
      </c>
      <c r="M32" s="55">
        <f t="shared" si="2"/>
        <v>0</v>
      </c>
      <c r="N32" s="55">
        <f t="shared" si="2"/>
        <v>0</v>
      </c>
      <c r="O32" s="55">
        <f t="shared" si="2"/>
        <v>0</v>
      </c>
      <c r="P32" s="55">
        <f t="shared" si="2"/>
        <v>0</v>
      </c>
      <c r="Q32" s="55">
        <f t="shared" si="2"/>
        <v>0</v>
      </c>
      <c r="R32" s="55">
        <f t="shared" si="2"/>
        <v>0</v>
      </c>
      <c r="S32" s="55">
        <f t="shared" si="2"/>
        <v>0</v>
      </c>
      <c r="T32" s="55">
        <f t="shared" si="2"/>
        <v>0</v>
      </c>
      <c r="U32" s="55">
        <f t="shared" si="2"/>
        <v>0</v>
      </c>
      <c r="V32" s="55">
        <f t="shared" si="2"/>
        <v>0</v>
      </c>
    </row>
    <row r="33" spans="1:22" ht="15.75" thickTop="1" x14ac:dyDescent="0.25"/>
    <row r="39" spans="1:22" ht="15.75" thickBot="1" x14ac:dyDescent="0.3">
      <c r="A39" s="6" t="s">
        <v>7</v>
      </c>
      <c r="B39" s="6" t="s">
        <v>6</v>
      </c>
    </row>
    <row r="40" spans="1:22" x14ac:dyDescent="0.25">
      <c r="A40" t="s">
        <v>14</v>
      </c>
      <c r="B40" s="44">
        <v>30000</v>
      </c>
    </row>
    <row r="41" spans="1:22" x14ac:dyDescent="0.25">
      <c r="A41" t="s">
        <v>15</v>
      </c>
      <c r="B41" s="45">
        <v>0.09</v>
      </c>
      <c r="C41" s="43" t="s">
        <v>62</v>
      </c>
    </row>
    <row r="42" spans="1:22" x14ac:dyDescent="0.25">
      <c r="A42" t="s">
        <v>16</v>
      </c>
      <c r="B42" s="46">
        <v>0.5</v>
      </c>
      <c r="C42" t="s">
        <v>5</v>
      </c>
    </row>
    <row r="44" spans="1:22" x14ac:dyDescent="0.25">
      <c r="B44" s="114" t="str">
        <f>"End of "&amp; One_Period_a &amp;" Year"</f>
        <v>End of 0.5 Year</v>
      </c>
      <c r="C44" s="114"/>
      <c r="D44" s="114"/>
      <c r="E44" s="114"/>
      <c r="F44" s="114"/>
      <c r="G44" s="114"/>
      <c r="H44" s="114"/>
      <c r="I44" s="114"/>
      <c r="J44" s="114"/>
      <c r="K44" s="114"/>
      <c r="L44" s="114"/>
      <c r="M44" s="114"/>
      <c r="N44" s="114"/>
      <c r="O44" s="114"/>
      <c r="P44" s="114"/>
      <c r="Q44" s="114"/>
      <c r="R44" s="114"/>
      <c r="S44" s="114"/>
      <c r="T44" s="114"/>
      <c r="U44" s="114"/>
      <c r="V44" s="114"/>
    </row>
    <row r="45" spans="1:22" ht="15.75" thickBot="1" x14ac:dyDescent="0.3">
      <c r="B45" s="6">
        <v>0</v>
      </c>
      <c r="C45" s="6">
        <v>1</v>
      </c>
      <c r="D45" s="6">
        <v>2</v>
      </c>
      <c r="E45" s="6">
        <v>3</v>
      </c>
      <c r="F45" s="6">
        <v>4</v>
      </c>
      <c r="G45" s="6">
        <v>5</v>
      </c>
      <c r="H45" s="6">
        <v>6</v>
      </c>
      <c r="I45" s="6">
        <v>7</v>
      </c>
      <c r="J45" s="6">
        <v>8</v>
      </c>
      <c r="K45" s="6">
        <v>9</v>
      </c>
      <c r="L45" s="6">
        <v>10</v>
      </c>
      <c r="M45" s="6">
        <v>11</v>
      </c>
      <c r="N45" s="6">
        <v>12</v>
      </c>
      <c r="O45" s="6">
        <v>13</v>
      </c>
      <c r="P45" s="6">
        <v>14</v>
      </c>
      <c r="Q45" s="6">
        <v>15</v>
      </c>
      <c r="R45" s="6">
        <v>16</v>
      </c>
      <c r="S45" s="6">
        <v>17</v>
      </c>
      <c r="T45" s="6">
        <v>18</v>
      </c>
      <c r="U45" s="6">
        <v>19</v>
      </c>
      <c r="V45" s="6">
        <v>20</v>
      </c>
    </row>
    <row r="46" spans="1:22" x14ac:dyDescent="0.25">
      <c r="A46" s="7"/>
      <c r="B46" s="41"/>
      <c r="C46" s="41">
        <f t="shared" ref="C46:T46" si="3">$B$40*($B$41*One_Period_a)</f>
        <v>1350</v>
      </c>
      <c r="D46" s="41">
        <f t="shared" si="3"/>
        <v>1350</v>
      </c>
      <c r="E46" s="41">
        <f t="shared" si="3"/>
        <v>1350</v>
      </c>
      <c r="F46" s="41">
        <f t="shared" si="3"/>
        <v>1350</v>
      </c>
      <c r="G46" s="41">
        <f t="shared" si="3"/>
        <v>1350</v>
      </c>
      <c r="H46" s="41">
        <f t="shared" si="3"/>
        <v>1350</v>
      </c>
      <c r="I46" s="41">
        <f t="shared" si="3"/>
        <v>1350</v>
      </c>
      <c r="J46" s="41">
        <f t="shared" si="3"/>
        <v>1350</v>
      </c>
      <c r="K46" s="41">
        <f t="shared" si="3"/>
        <v>1350</v>
      </c>
      <c r="L46" s="41">
        <f t="shared" si="3"/>
        <v>1350</v>
      </c>
      <c r="M46" s="41">
        <f t="shared" si="3"/>
        <v>1350</v>
      </c>
      <c r="N46" s="41">
        <f t="shared" si="3"/>
        <v>1350</v>
      </c>
      <c r="O46" s="41">
        <f t="shared" si="3"/>
        <v>1350</v>
      </c>
      <c r="P46" s="41">
        <f t="shared" si="3"/>
        <v>1350</v>
      </c>
      <c r="Q46" s="41">
        <f t="shared" si="3"/>
        <v>1350</v>
      </c>
      <c r="R46" s="41">
        <f t="shared" si="3"/>
        <v>1350</v>
      </c>
      <c r="S46" s="41">
        <f t="shared" si="3"/>
        <v>1350</v>
      </c>
      <c r="T46" s="41">
        <f t="shared" si="3"/>
        <v>1350</v>
      </c>
      <c r="U46" s="41"/>
      <c r="V46" s="41"/>
    </row>
    <row r="47" spans="1:22" x14ac:dyDescent="0.25">
      <c r="A47" s="7"/>
      <c r="B47" s="42"/>
      <c r="C47" s="41"/>
      <c r="D47" s="41"/>
      <c r="E47" s="41"/>
      <c r="F47" s="41"/>
      <c r="G47" s="41"/>
      <c r="H47" s="41"/>
      <c r="I47" s="41"/>
      <c r="J47" s="41"/>
      <c r="K47" s="41"/>
      <c r="L47" s="41"/>
      <c r="M47" s="41"/>
      <c r="N47" s="41"/>
      <c r="O47" s="41"/>
      <c r="P47" s="41"/>
      <c r="Q47" s="41"/>
      <c r="R47" s="41"/>
      <c r="S47" s="41"/>
      <c r="T47" s="41">
        <f>'1Ans'!Face_a</f>
        <v>30000</v>
      </c>
      <c r="U47" s="41"/>
      <c r="V47" s="41"/>
    </row>
    <row r="48" spans="1:22" ht="15.75" thickBot="1" x14ac:dyDescent="0.3">
      <c r="A48" s="7" t="s">
        <v>4</v>
      </c>
      <c r="B48" s="55">
        <f>ROUND(SUM(B46:B47),0)</f>
        <v>0</v>
      </c>
      <c r="C48" s="55">
        <f t="shared" ref="C48:V48" si="4">ROUND(SUM(C46:C47),0)</f>
        <v>1350</v>
      </c>
      <c r="D48" s="55">
        <f t="shared" si="4"/>
        <v>1350</v>
      </c>
      <c r="E48" s="55">
        <f t="shared" si="4"/>
        <v>1350</v>
      </c>
      <c r="F48" s="55">
        <f t="shared" si="4"/>
        <v>1350</v>
      </c>
      <c r="G48" s="55">
        <f t="shared" si="4"/>
        <v>1350</v>
      </c>
      <c r="H48" s="55">
        <f t="shared" si="4"/>
        <v>1350</v>
      </c>
      <c r="I48" s="55">
        <f t="shared" si="4"/>
        <v>1350</v>
      </c>
      <c r="J48" s="55">
        <f t="shared" si="4"/>
        <v>1350</v>
      </c>
      <c r="K48" s="55">
        <f t="shared" si="4"/>
        <v>1350</v>
      </c>
      <c r="L48" s="55">
        <f t="shared" si="4"/>
        <v>1350</v>
      </c>
      <c r="M48" s="55">
        <f t="shared" si="4"/>
        <v>1350</v>
      </c>
      <c r="N48" s="55">
        <f t="shared" si="4"/>
        <v>1350</v>
      </c>
      <c r="O48" s="55">
        <f t="shared" si="4"/>
        <v>1350</v>
      </c>
      <c r="P48" s="55">
        <f t="shared" si="4"/>
        <v>1350</v>
      </c>
      <c r="Q48" s="55">
        <f t="shared" si="4"/>
        <v>1350</v>
      </c>
      <c r="R48" s="55">
        <f t="shared" si="4"/>
        <v>1350</v>
      </c>
      <c r="S48" s="55">
        <f t="shared" si="4"/>
        <v>1350</v>
      </c>
      <c r="T48" s="55">
        <f t="shared" si="4"/>
        <v>31350</v>
      </c>
      <c r="U48" s="55">
        <f t="shared" si="4"/>
        <v>0</v>
      </c>
      <c r="V48" s="55">
        <f t="shared" si="4"/>
        <v>0</v>
      </c>
    </row>
    <row r="49" spans="1:22" ht="15.75" thickTop="1" x14ac:dyDescent="0.25"/>
    <row r="52" spans="1:22" ht="15.75" thickBot="1" x14ac:dyDescent="0.3">
      <c r="A52" s="6" t="s">
        <v>7</v>
      </c>
      <c r="B52" s="6" t="s">
        <v>6</v>
      </c>
    </row>
    <row r="53" spans="1:22" x14ac:dyDescent="0.25">
      <c r="A53" t="s">
        <v>17</v>
      </c>
      <c r="B53" s="50">
        <v>500000</v>
      </c>
    </row>
    <row r="54" spans="1:22" x14ac:dyDescent="0.25">
      <c r="A54" t="s">
        <v>18</v>
      </c>
      <c r="B54" s="51">
        <v>0</v>
      </c>
      <c r="C54" s="43" t="s">
        <v>61</v>
      </c>
    </row>
    <row r="55" spans="1:22" x14ac:dyDescent="0.25">
      <c r="A55" t="s">
        <v>19</v>
      </c>
      <c r="B55" s="43">
        <v>1</v>
      </c>
      <c r="C55" t="s">
        <v>5</v>
      </c>
    </row>
    <row r="57" spans="1:22" x14ac:dyDescent="0.25">
      <c r="B57" s="114" t="str">
        <f>"End of "&amp; One_Period_b &amp;" Year"</f>
        <v>End of 1 Year</v>
      </c>
      <c r="C57" s="114"/>
      <c r="D57" s="114"/>
      <c r="E57" s="114"/>
      <c r="F57" s="114"/>
      <c r="G57" s="114"/>
      <c r="H57" s="114"/>
      <c r="I57" s="114"/>
      <c r="J57" s="114"/>
      <c r="K57" s="114"/>
      <c r="L57" s="114"/>
      <c r="M57" s="114"/>
      <c r="N57" s="114"/>
      <c r="O57" s="114"/>
      <c r="P57" s="114"/>
      <c r="Q57" s="114"/>
      <c r="R57" s="114"/>
      <c r="S57" s="114"/>
      <c r="T57" s="114"/>
      <c r="U57" s="114"/>
      <c r="V57" s="114"/>
    </row>
    <row r="58" spans="1:22" ht="15.75" thickBot="1" x14ac:dyDescent="0.3">
      <c r="B58" s="6">
        <v>0</v>
      </c>
      <c r="C58" s="6">
        <v>1</v>
      </c>
      <c r="D58" s="6">
        <v>2</v>
      </c>
      <c r="E58" s="6">
        <v>3</v>
      </c>
      <c r="F58" s="6">
        <v>4</v>
      </c>
      <c r="G58" s="6">
        <v>5</v>
      </c>
      <c r="H58" s="6">
        <v>6</v>
      </c>
      <c r="I58" s="6">
        <v>7</v>
      </c>
      <c r="J58" s="6">
        <v>8</v>
      </c>
      <c r="K58" s="6">
        <v>9</v>
      </c>
      <c r="L58" s="6">
        <v>10</v>
      </c>
      <c r="M58" s="6">
        <v>11</v>
      </c>
      <c r="N58" s="6">
        <v>12</v>
      </c>
      <c r="O58" s="6">
        <v>13</v>
      </c>
      <c r="P58" s="6">
        <v>14</v>
      </c>
      <c r="Q58" s="6">
        <v>15</v>
      </c>
      <c r="R58" s="6">
        <v>16</v>
      </c>
      <c r="S58" s="6">
        <v>17</v>
      </c>
      <c r="T58" s="6">
        <v>18</v>
      </c>
      <c r="U58" s="6">
        <v>19</v>
      </c>
      <c r="V58" s="6">
        <v>20</v>
      </c>
    </row>
    <row r="59" spans="1:22" x14ac:dyDescent="0.25">
      <c r="A59" s="7"/>
      <c r="B59" s="41"/>
      <c r="C59" s="41"/>
      <c r="D59" s="41"/>
      <c r="E59" s="41"/>
      <c r="F59" s="41"/>
      <c r="G59" s="41"/>
      <c r="H59" s="41"/>
      <c r="I59" s="41"/>
      <c r="J59" s="41"/>
      <c r="K59" s="41"/>
      <c r="L59" s="41"/>
      <c r="M59" s="41"/>
      <c r="N59" s="41"/>
      <c r="O59" s="41"/>
      <c r="P59" s="41"/>
      <c r="Q59" s="41"/>
      <c r="R59" s="41"/>
      <c r="S59" s="41"/>
      <c r="T59" s="41"/>
      <c r="U59" s="41"/>
      <c r="V59" s="41"/>
    </row>
    <row r="60" spans="1:22" x14ac:dyDescent="0.25">
      <c r="A60" s="7"/>
      <c r="B60" s="42"/>
      <c r="C60" s="41"/>
      <c r="D60" s="41"/>
      <c r="E60" s="41"/>
      <c r="F60" s="41"/>
      <c r="G60" s="41"/>
      <c r="H60" s="41"/>
      <c r="I60" s="41"/>
      <c r="J60" s="41"/>
      <c r="K60" s="41"/>
      <c r="L60" s="41"/>
      <c r="M60" s="41"/>
      <c r="N60" s="41"/>
      <c r="O60" s="41"/>
      <c r="P60" s="41"/>
      <c r="Q60" s="41">
        <f>Face_b</f>
        <v>500000</v>
      </c>
      <c r="R60" s="41"/>
      <c r="S60" s="41"/>
      <c r="T60" s="41"/>
      <c r="U60" s="41"/>
      <c r="V60" s="41"/>
    </row>
    <row r="61" spans="1:22" ht="15.75" thickBot="1" x14ac:dyDescent="0.3">
      <c r="A61" s="7" t="s">
        <v>4</v>
      </c>
      <c r="B61" s="55">
        <f>ROUND(SUM(B59:B60),0)</f>
        <v>0</v>
      </c>
      <c r="C61" s="55">
        <f t="shared" ref="C61:V61" si="5">ROUND(SUM(C59:C60),0)</f>
        <v>0</v>
      </c>
      <c r="D61" s="55">
        <f t="shared" si="5"/>
        <v>0</v>
      </c>
      <c r="E61" s="55">
        <f t="shared" si="5"/>
        <v>0</v>
      </c>
      <c r="F61" s="55">
        <f t="shared" si="5"/>
        <v>0</v>
      </c>
      <c r="G61" s="55">
        <f t="shared" si="5"/>
        <v>0</v>
      </c>
      <c r="H61" s="55">
        <f t="shared" si="5"/>
        <v>0</v>
      </c>
      <c r="I61" s="55">
        <f t="shared" si="5"/>
        <v>0</v>
      </c>
      <c r="J61" s="55">
        <f t="shared" si="5"/>
        <v>0</v>
      </c>
      <c r="K61" s="55">
        <f t="shared" si="5"/>
        <v>0</v>
      </c>
      <c r="L61" s="55">
        <f t="shared" si="5"/>
        <v>0</v>
      </c>
      <c r="M61" s="55">
        <f t="shared" si="5"/>
        <v>0</v>
      </c>
      <c r="N61" s="55">
        <f t="shared" si="5"/>
        <v>0</v>
      </c>
      <c r="O61" s="55">
        <f t="shared" si="5"/>
        <v>0</v>
      </c>
      <c r="P61" s="55">
        <f t="shared" si="5"/>
        <v>0</v>
      </c>
      <c r="Q61" s="55">
        <f t="shared" si="5"/>
        <v>500000</v>
      </c>
      <c r="R61" s="55">
        <f t="shared" si="5"/>
        <v>0</v>
      </c>
      <c r="S61" s="55">
        <f t="shared" si="5"/>
        <v>0</v>
      </c>
      <c r="T61" s="55">
        <f t="shared" si="5"/>
        <v>0</v>
      </c>
      <c r="U61" s="55">
        <f t="shared" si="5"/>
        <v>0</v>
      </c>
      <c r="V61" s="55">
        <f t="shared" si="5"/>
        <v>0</v>
      </c>
    </row>
    <row r="62" spans="1:22" ht="15.75" thickTop="1" x14ac:dyDescent="0.25"/>
    <row r="65" spans="1:22" ht="15.75" thickBot="1" x14ac:dyDescent="0.3">
      <c r="A65" s="6" t="s">
        <v>7</v>
      </c>
      <c r="B65" s="6" t="s">
        <v>6</v>
      </c>
    </row>
    <row r="66" spans="1:22" x14ac:dyDescent="0.25">
      <c r="A66" t="s">
        <v>20</v>
      </c>
      <c r="B66" s="50">
        <v>500000</v>
      </c>
    </row>
    <row r="67" spans="1:22" x14ac:dyDescent="0.25">
      <c r="A67" t="s">
        <v>21</v>
      </c>
      <c r="B67" s="51">
        <v>0</v>
      </c>
      <c r="C67" s="43" t="s">
        <v>62</v>
      </c>
    </row>
    <row r="68" spans="1:22" x14ac:dyDescent="0.25">
      <c r="A68" t="s">
        <v>22</v>
      </c>
      <c r="B68" s="43">
        <v>0.5</v>
      </c>
      <c r="C68" t="s">
        <v>5</v>
      </c>
    </row>
    <row r="70" spans="1:22" x14ac:dyDescent="0.25">
      <c r="B70" s="114" t="str">
        <f>"End of "&amp; One_Period_c &amp;" Year"</f>
        <v>End of 0.5 Year</v>
      </c>
      <c r="C70" s="114"/>
      <c r="D70" s="114"/>
      <c r="E70" s="114"/>
      <c r="F70" s="114"/>
      <c r="G70" s="114"/>
      <c r="H70" s="114"/>
      <c r="I70" s="114"/>
      <c r="J70" s="114"/>
      <c r="K70" s="114"/>
      <c r="L70" s="114"/>
      <c r="M70" s="114"/>
      <c r="N70" s="114"/>
      <c r="O70" s="114"/>
      <c r="P70" s="114"/>
      <c r="Q70" s="114"/>
      <c r="R70" s="114"/>
      <c r="S70" s="114"/>
      <c r="T70" s="114"/>
      <c r="U70" s="114"/>
      <c r="V70" s="114"/>
    </row>
    <row r="71" spans="1:22" ht="15.75" thickBot="1" x14ac:dyDescent="0.3">
      <c r="B71" s="6">
        <v>0</v>
      </c>
      <c r="C71" s="6">
        <v>1</v>
      </c>
      <c r="D71" s="6">
        <v>2</v>
      </c>
      <c r="E71" s="6">
        <v>3</v>
      </c>
      <c r="F71" s="6">
        <v>4</v>
      </c>
      <c r="G71" s="6">
        <v>5</v>
      </c>
      <c r="H71" s="6">
        <v>6</v>
      </c>
      <c r="I71" s="6">
        <v>7</v>
      </c>
      <c r="J71" s="6">
        <v>8</v>
      </c>
      <c r="K71" s="6">
        <v>9</v>
      </c>
      <c r="L71" s="6">
        <v>10</v>
      </c>
      <c r="M71" s="6">
        <v>11</v>
      </c>
      <c r="N71" s="6">
        <v>12</v>
      </c>
      <c r="O71" s="6">
        <v>13</v>
      </c>
      <c r="P71" s="6">
        <v>14</v>
      </c>
      <c r="Q71" s="6">
        <v>15</v>
      </c>
      <c r="R71" s="6">
        <v>16</v>
      </c>
      <c r="S71" s="6">
        <v>17</v>
      </c>
      <c r="T71" s="6">
        <v>18</v>
      </c>
      <c r="U71" s="6">
        <v>19</v>
      </c>
      <c r="V71" s="6">
        <v>20</v>
      </c>
    </row>
    <row r="72" spans="1:22" x14ac:dyDescent="0.25">
      <c r="A72" s="7"/>
      <c r="B72" s="41"/>
      <c r="C72" s="41"/>
      <c r="D72" s="41"/>
      <c r="E72" s="41"/>
      <c r="F72" s="41"/>
      <c r="G72" s="41"/>
      <c r="H72" s="41"/>
      <c r="I72" s="41"/>
      <c r="J72" s="41"/>
      <c r="K72" s="41"/>
      <c r="L72" s="41"/>
      <c r="M72" s="41"/>
      <c r="N72" s="41"/>
      <c r="O72" s="41"/>
      <c r="P72" s="41"/>
      <c r="Q72" s="41"/>
      <c r="R72" s="41"/>
      <c r="S72" s="41"/>
      <c r="T72" s="41"/>
      <c r="U72" s="41"/>
      <c r="V72" s="41"/>
    </row>
    <row r="73" spans="1:22" x14ac:dyDescent="0.25">
      <c r="A73" s="7"/>
      <c r="B73" s="42"/>
      <c r="C73" s="41"/>
      <c r="D73" s="41"/>
      <c r="E73" s="41"/>
      <c r="F73" s="41"/>
      <c r="G73" s="41"/>
      <c r="H73" s="41"/>
      <c r="I73" s="41"/>
      <c r="J73" s="41"/>
      <c r="K73" s="41"/>
      <c r="L73" s="41"/>
      <c r="M73" s="41"/>
      <c r="N73" s="41"/>
      <c r="O73" s="41"/>
      <c r="P73" s="41"/>
      <c r="Q73" s="41"/>
      <c r="R73" s="41">
        <f>'1Ans'!Face_c</f>
        <v>500000</v>
      </c>
      <c r="S73" s="41"/>
      <c r="T73" s="41"/>
      <c r="U73" s="41"/>
      <c r="V73" s="41"/>
    </row>
    <row r="74" spans="1:22" ht="15.75" thickBot="1" x14ac:dyDescent="0.3">
      <c r="A74" s="7" t="s">
        <v>4</v>
      </c>
      <c r="B74" s="55">
        <f>ROUND(SUM(B72:B73),0)</f>
        <v>0</v>
      </c>
      <c r="C74" s="55">
        <f t="shared" ref="C74:V74" si="6">ROUND(SUM(C72:C73),0)</f>
        <v>0</v>
      </c>
      <c r="D74" s="55">
        <f t="shared" si="6"/>
        <v>0</v>
      </c>
      <c r="E74" s="55">
        <f t="shared" si="6"/>
        <v>0</v>
      </c>
      <c r="F74" s="55">
        <f t="shared" si="6"/>
        <v>0</v>
      </c>
      <c r="G74" s="55">
        <f t="shared" si="6"/>
        <v>0</v>
      </c>
      <c r="H74" s="55">
        <f t="shared" si="6"/>
        <v>0</v>
      </c>
      <c r="I74" s="55">
        <f t="shared" si="6"/>
        <v>0</v>
      </c>
      <c r="J74" s="55">
        <f t="shared" si="6"/>
        <v>0</v>
      </c>
      <c r="K74" s="55">
        <f t="shared" si="6"/>
        <v>0</v>
      </c>
      <c r="L74" s="55">
        <f t="shared" si="6"/>
        <v>0</v>
      </c>
      <c r="M74" s="55">
        <f t="shared" si="6"/>
        <v>0</v>
      </c>
      <c r="N74" s="55">
        <f t="shared" si="6"/>
        <v>0</v>
      </c>
      <c r="O74" s="55">
        <f t="shared" si="6"/>
        <v>0</v>
      </c>
      <c r="P74" s="55">
        <f t="shared" si="6"/>
        <v>0</v>
      </c>
      <c r="Q74" s="55">
        <f t="shared" si="6"/>
        <v>0</v>
      </c>
      <c r="R74" s="55">
        <f t="shared" si="6"/>
        <v>500000</v>
      </c>
      <c r="S74" s="55">
        <f t="shared" si="6"/>
        <v>0</v>
      </c>
      <c r="T74" s="55">
        <f t="shared" si="6"/>
        <v>0</v>
      </c>
      <c r="U74" s="55">
        <f t="shared" si="6"/>
        <v>0</v>
      </c>
      <c r="V74" s="55">
        <f t="shared" si="6"/>
        <v>0</v>
      </c>
    </row>
    <row r="75" spans="1:22" ht="15.75" thickTop="1" x14ac:dyDescent="0.25"/>
    <row r="78" spans="1:22" ht="15.75" thickBot="1" x14ac:dyDescent="0.3">
      <c r="A78" s="6" t="s">
        <v>7</v>
      </c>
      <c r="B78" s="6" t="s">
        <v>6</v>
      </c>
    </row>
    <row r="79" spans="1:22" x14ac:dyDescent="0.25">
      <c r="A79" t="s">
        <v>23</v>
      </c>
      <c r="B79" s="50">
        <v>100000</v>
      </c>
    </row>
    <row r="80" spans="1:22" x14ac:dyDescent="0.25">
      <c r="A80" t="s">
        <v>24</v>
      </c>
      <c r="B80" s="51">
        <v>0</v>
      </c>
      <c r="C80" s="43" t="s">
        <v>61</v>
      </c>
    </row>
    <row r="81" spans="1:22" x14ac:dyDescent="0.25">
      <c r="A81" t="s">
        <v>25</v>
      </c>
      <c r="B81" s="43">
        <v>1</v>
      </c>
      <c r="C81" t="s">
        <v>5</v>
      </c>
    </row>
    <row r="83" spans="1:22" x14ac:dyDescent="0.25">
      <c r="B83" s="114" t="str">
        <f>"End of "&amp; One_Period_d &amp;" Year"</f>
        <v>End of 1 Year</v>
      </c>
      <c r="C83" s="114"/>
      <c r="D83" s="114"/>
      <c r="E83" s="114"/>
      <c r="F83" s="114"/>
      <c r="G83" s="114"/>
      <c r="H83" s="114"/>
      <c r="I83" s="114"/>
      <c r="J83" s="114"/>
      <c r="K83" s="114"/>
      <c r="L83" s="114"/>
      <c r="M83" s="114"/>
      <c r="N83" s="114"/>
      <c r="O83" s="114"/>
      <c r="P83" s="114"/>
      <c r="Q83" s="114"/>
      <c r="R83" s="114"/>
      <c r="S83" s="114"/>
      <c r="T83" s="114"/>
      <c r="U83" s="114"/>
      <c r="V83" s="114"/>
    </row>
    <row r="84" spans="1:22" ht="15.75" thickBot="1" x14ac:dyDescent="0.3">
      <c r="B84" s="6">
        <v>0</v>
      </c>
      <c r="C84" s="6">
        <v>1</v>
      </c>
      <c r="D84" s="6">
        <v>2</v>
      </c>
      <c r="E84" s="6">
        <v>3</v>
      </c>
      <c r="F84" s="6">
        <v>4</v>
      </c>
      <c r="G84" s="6">
        <v>5</v>
      </c>
      <c r="H84" s="6">
        <v>6</v>
      </c>
      <c r="I84" s="6">
        <v>7</v>
      </c>
      <c r="J84" s="6">
        <v>8</v>
      </c>
      <c r="K84" s="6">
        <v>9</v>
      </c>
      <c r="L84" s="6">
        <v>10</v>
      </c>
      <c r="M84" s="6">
        <v>11</v>
      </c>
      <c r="N84" s="6">
        <v>12</v>
      </c>
      <c r="O84" s="6">
        <v>13</v>
      </c>
      <c r="P84" s="6">
        <v>14</v>
      </c>
      <c r="Q84" s="6">
        <v>15</v>
      </c>
      <c r="R84" s="6">
        <v>16</v>
      </c>
      <c r="S84" s="6">
        <v>17</v>
      </c>
      <c r="T84" s="6">
        <v>18</v>
      </c>
      <c r="U84" s="6">
        <v>19</v>
      </c>
      <c r="V84" s="6">
        <v>20</v>
      </c>
    </row>
    <row r="85" spans="1:22" x14ac:dyDescent="0.25">
      <c r="A85" s="7"/>
      <c r="B85" s="41"/>
      <c r="C85" s="41"/>
      <c r="D85" s="41"/>
      <c r="E85" s="41"/>
      <c r="F85" s="41"/>
      <c r="G85" s="41"/>
      <c r="H85" s="41"/>
      <c r="I85" s="41"/>
      <c r="J85" s="41"/>
      <c r="K85" s="41"/>
      <c r="L85" s="41"/>
      <c r="M85" s="41"/>
      <c r="N85" s="41"/>
      <c r="O85" s="41"/>
      <c r="P85" s="41"/>
      <c r="Q85" s="41"/>
      <c r="R85" s="41"/>
      <c r="S85" s="41"/>
      <c r="T85" s="41"/>
      <c r="U85" s="41"/>
      <c r="V85" s="41"/>
    </row>
    <row r="86" spans="1:22" x14ac:dyDescent="0.25">
      <c r="A86" s="7"/>
      <c r="B86" s="42"/>
      <c r="C86" s="41"/>
      <c r="D86" s="41"/>
      <c r="E86" s="41"/>
      <c r="F86" s="41"/>
      <c r="G86" s="41"/>
      <c r="H86" s="41"/>
      <c r="I86" s="41"/>
      <c r="J86" s="41"/>
      <c r="K86" s="41"/>
      <c r="L86" s="41"/>
      <c r="M86" s="41"/>
      <c r="N86" s="41"/>
      <c r="O86" s="41"/>
      <c r="P86" s="41">
        <f>Face_d</f>
        <v>100000</v>
      </c>
      <c r="Q86" s="41"/>
      <c r="R86" s="41"/>
      <c r="S86" s="41"/>
      <c r="T86" s="41"/>
      <c r="U86" s="41"/>
      <c r="V86" s="41"/>
    </row>
    <row r="87" spans="1:22" ht="15.75" thickBot="1" x14ac:dyDescent="0.3">
      <c r="A87" s="7" t="s">
        <v>4</v>
      </c>
      <c r="B87" s="55">
        <f>ROUND(SUM(B85:B86),0)</f>
        <v>0</v>
      </c>
      <c r="C87" s="55">
        <f t="shared" ref="C87:V87" si="7">ROUND(SUM(C85:C86),0)</f>
        <v>0</v>
      </c>
      <c r="D87" s="55">
        <f t="shared" si="7"/>
        <v>0</v>
      </c>
      <c r="E87" s="55">
        <f t="shared" si="7"/>
        <v>0</v>
      </c>
      <c r="F87" s="55">
        <f t="shared" si="7"/>
        <v>0</v>
      </c>
      <c r="G87" s="55">
        <f t="shared" si="7"/>
        <v>0</v>
      </c>
      <c r="H87" s="55">
        <f t="shared" si="7"/>
        <v>0</v>
      </c>
      <c r="I87" s="55">
        <f t="shared" si="7"/>
        <v>0</v>
      </c>
      <c r="J87" s="55">
        <f t="shared" si="7"/>
        <v>0</v>
      </c>
      <c r="K87" s="55">
        <f t="shared" si="7"/>
        <v>0</v>
      </c>
      <c r="L87" s="55">
        <f t="shared" si="7"/>
        <v>0</v>
      </c>
      <c r="M87" s="55">
        <f t="shared" si="7"/>
        <v>0</v>
      </c>
      <c r="N87" s="55">
        <f t="shared" si="7"/>
        <v>0</v>
      </c>
      <c r="O87" s="55">
        <f t="shared" si="7"/>
        <v>0</v>
      </c>
      <c r="P87" s="55">
        <f t="shared" si="7"/>
        <v>100000</v>
      </c>
      <c r="Q87" s="55">
        <f t="shared" si="7"/>
        <v>0</v>
      </c>
      <c r="R87" s="55">
        <f t="shared" si="7"/>
        <v>0</v>
      </c>
      <c r="S87" s="55">
        <f t="shared" si="7"/>
        <v>0</v>
      </c>
      <c r="T87" s="55">
        <f t="shared" si="7"/>
        <v>0</v>
      </c>
      <c r="U87" s="55">
        <f t="shared" si="7"/>
        <v>0</v>
      </c>
      <c r="V87" s="55">
        <f t="shared" si="7"/>
        <v>0</v>
      </c>
    </row>
    <row r="88" spans="1:22" ht="15.75" thickTop="1" x14ac:dyDescent="0.25"/>
    <row r="92" spans="1:22" x14ac:dyDescent="0.25">
      <c r="A92" t="s">
        <v>26</v>
      </c>
      <c r="B92" s="50">
        <v>30000</v>
      </c>
    </row>
    <row r="93" spans="1:22" x14ac:dyDescent="0.25">
      <c r="A93" t="s">
        <v>27</v>
      </c>
      <c r="B93" s="51">
        <v>0.05</v>
      </c>
      <c r="C93" s="43" t="s">
        <v>62</v>
      </c>
    </row>
    <row r="94" spans="1:22" x14ac:dyDescent="0.25">
      <c r="A94" t="s">
        <v>28</v>
      </c>
      <c r="B94" s="43">
        <v>0.5</v>
      </c>
      <c r="C94" t="s">
        <v>5</v>
      </c>
    </row>
    <row r="96" spans="1:22" x14ac:dyDescent="0.25">
      <c r="B96" s="114" t="str">
        <f>"End of "&amp; One_Period_e &amp;" Year"</f>
        <v>End of 0.5 Year</v>
      </c>
      <c r="C96" s="114"/>
      <c r="D96" s="114"/>
      <c r="E96" s="114"/>
      <c r="F96" s="114"/>
      <c r="G96" s="114"/>
      <c r="H96" s="114"/>
      <c r="I96" s="114"/>
      <c r="J96" s="114"/>
      <c r="K96" s="114"/>
      <c r="L96" s="114"/>
      <c r="M96" s="114"/>
      <c r="N96" s="114"/>
      <c r="O96" s="114"/>
      <c r="P96" s="114"/>
      <c r="Q96" s="114"/>
      <c r="R96" s="114"/>
      <c r="S96" s="114"/>
      <c r="T96" s="114"/>
      <c r="U96" s="114"/>
      <c r="V96" s="114"/>
    </row>
    <row r="97" spans="1:22" ht="15.75" thickBot="1" x14ac:dyDescent="0.3">
      <c r="B97" s="6">
        <v>0</v>
      </c>
      <c r="C97" s="6">
        <v>1</v>
      </c>
      <c r="D97" s="6">
        <v>2</v>
      </c>
      <c r="E97" s="6">
        <v>3</v>
      </c>
      <c r="F97" s="6">
        <v>4</v>
      </c>
      <c r="G97" s="6">
        <v>5</v>
      </c>
      <c r="H97" s="6">
        <v>6</v>
      </c>
      <c r="I97" s="6">
        <v>7</v>
      </c>
      <c r="J97" s="6">
        <v>8</v>
      </c>
      <c r="K97" s="6">
        <v>9</v>
      </c>
      <c r="L97" s="6">
        <v>10</v>
      </c>
      <c r="M97" s="6">
        <v>11</v>
      </c>
      <c r="N97" s="6">
        <v>12</v>
      </c>
      <c r="O97" s="6">
        <v>13</v>
      </c>
      <c r="P97" s="6">
        <v>14</v>
      </c>
      <c r="Q97" s="6">
        <v>15</v>
      </c>
      <c r="R97" s="6">
        <v>16</v>
      </c>
      <c r="S97" s="6">
        <v>17</v>
      </c>
      <c r="T97" s="6">
        <v>18</v>
      </c>
      <c r="U97" s="6">
        <v>19</v>
      </c>
      <c r="V97" s="6">
        <v>20</v>
      </c>
    </row>
    <row r="98" spans="1:22" x14ac:dyDescent="0.25">
      <c r="A98" s="7"/>
      <c r="B98" s="41"/>
      <c r="C98" s="41">
        <f t="shared" ref="C98:N98" si="8">$B$92*($B$93*One_Period_e)</f>
        <v>750</v>
      </c>
      <c r="D98" s="41">
        <f t="shared" si="8"/>
        <v>750</v>
      </c>
      <c r="E98" s="41">
        <f t="shared" si="8"/>
        <v>750</v>
      </c>
      <c r="F98" s="41">
        <f t="shared" si="8"/>
        <v>750</v>
      </c>
      <c r="G98" s="41">
        <f t="shared" si="8"/>
        <v>750</v>
      </c>
      <c r="H98" s="41">
        <f t="shared" si="8"/>
        <v>750</v>
      </c>
      <c r="I98" s="41">
        <f t="shared" si="8"/>
        <v>750</v>
      </c>
      <c r="J98" s="41">
        <f t="shared" si="8"/>
        <v>750</v>
      </c>
      <c r="K98" s="41">
        <f t="shared" si="8"/>
        <v>750</v>
      </c>
      <c r="L98" s="41">
        <f t="shared" si="8"/>
        <v>750</v>
      </c>
      <c r="M98" s="41">
        <f t="shared" si="8"/>
        <v>750</v>
      </c>
      <c r="N98" s="41">
        <f t="shared" si="8"/>
        <v>750</v>
      </c>
      <c r="O98" s="41"/>
      <c r="P98" s="41"/>
      <c r="Q98" s="41"/>
      <c r="R98" s="41"/>
      <c r="S98" s="41"/>
      <c r="T98" s="41"/>
      <c r="U98" s="41"/>
      <c r="V98" s="41"/>
    </row>
    <row r="99" spans="1:22" x14ac:dyDescent="0.25">
      <c r="A99" s="7"/>
      <c r="B99" s="42"/>
      <c r="C99" s="41"/>
      <c r="D99" s="41"/>
      <c r="E99" s="41"/>
      <c r="F99" s="41"/>
      <c r="G99" s="41"/>
      <c r="H99" s="41"/>
      <c r="I99" s="41"/>
      <c r="J99" s="41"/>
      <c r="K99" s="41"/>
      <c r="L99" s="41"/>
      <c r="M99" s="41"/>
      <c r="N99" s="41">
        <f>Face_e</f>
        <v>30000</v>
      </c>
      <c r="O99" s="41"/>
      <c r="P99" s="41"/>
      <c r="Q99" s="41"/>
      <c r="R99" s="41"/>
      <c r="S99" s="41"/>
      <c r="T99" s="41"/>
      <c r="U99" s="41"/>
      <c r="V99" s="41"/>
    </row>
    <row r="100" spans="1:22" ht="15.75" thickBot="1" x14ac:dyDescent="0.3">
      <c r="A100" s="7" t="s">
        <v>4</v>
      </c>
      <c r="B100" s="55">
        <f>ROUND(SUM(B98:B99),0)</f>
        <v>0</v>
      </c>
      <c r="C100" s="55">
        <f t="shared" ref="C100:V100" si="9">ROUND(SUM(C98:C99),0)</f>
        <v>750</v>
      </c>
      <c r="D100" s="55">
        <f t="shared" si="9"/>
        <v>750</v>
      </c>
      <c r="E100" s="55">
        <f t="shared" si="9"/>
        <v>750</v>
      </c>
      <c r="F100" s="55">
        <f t="shared" si="9"/>
        <v>750</v>
      </c>
      <c r="G100" s="55">
        <f t="shared" si="9"/>
        <v>750</v>
      </c>
      <c r="H100" s="55">
        <f t="shared" si="9"/>
        <v>750</v>
      </c>
      <c r="I100" s="55">
        <f t="shared" si="9"/>
        <v>750</v>
      </c>
      <c r="J100" s="55">
        <f t="shared" si="9"/>
        <v>750</v>
      </c>
      <c r="K100" s="55">
        <f t="shared" si="9"/>
        <v>750</v>
      </c>
      <c r="L100" s="55">
        <f t="shared" si="9"/>
        <v>750</v>
      </c>
      <c r="M100" s="55">
        <f t="shared" si="9"/>
        <v>750</v>
      </c>
      <c r="N100" s="55">
        <f t="shared" si="9"/>
        <v>30750</v>
      </c>
      <c r="O100" s="55">
        <f t="shared" si="9"/>
        <v>0</v>
      </c>
      <c r="P100" s="55">
        <f t="shared" si="9"/>
        <v>0</v>
      </c>
      <c r="Q100" s="55">
        <f t="shared" si="9"/>
        <v>0</v>
      </c>
      <c r="R100" s="55">
        <f t="shared" si="9"/>
        <v>0</v>
      </c>
      <c r="S100" s="55">
        <f t="shared" si="9"/>
        <v>0</v>
      </c>
      <c r="T100" s="55">
        <f t="shared" si="9"/>
        <v>0</v>
      </c>
      <c r="U100" s="55">
        <f t="shared" si="9"/>
        <v>0</v>
      </c>
      <c r="V100" s="55">
        <f t="shared" si="9"/>
        <v>0</v>
      </c>
    </row>
    <row r="101" spans="1:22" ht="15.75" thickTop="1" x14ac:dyDescent="0.25"/>
    <row r="105" spans="1:22" x14ac:dyDescent="0.25">
      <c r="A105" t="s">
        <v>167</v>
      </c>
      <c r="B105" s="50">
        <v>306</v>
      </c>
    </row>
    <row r="106" spans="1:22" x14ac:dyDescent="0.25">
      <c r="A106" t="s">
        <v>33</v>
      </c>
      <c r="C106" s="43" t="s">
        <v>61</v>
      </c>
    </row>
    <row r="107" spans="1:22" x14ac:dyDescent="0.25">
      <c r="A107" t="s">
        <v>29</v>
      </c>
      <c r="B107" s="43">
        <v>1</v>
      </c>
      <c r="C107" t="s">
        <v>5</v>
      </c>
    </row>
    <row r="109" spans="1:22" x14ac:dyDescent="0.25">
      <c r="B109" s="114" t="str">
        <f>"End of "&amp; One_Period_f &amp;" Year"</f>
        <v>End of 1 Year</v>
      </c>
      <c r="C109" s="114"/>
      <c r="D109" s="114"/>
      <c r="E109" s="114"/>
      <c r="F109" s="114"/>
      <c r="G109" s="114"/>
      <c r="H109" s="114"/>
      <c r="I109" s="114"/>
      <c r="J109" s="114"/>
      <c r="K109" s="114"/>
      <c r="L109" s="114"/>
      <c r="M109" s="114"/>
      <c r="N109" s="114"/>
      <c r="O109" s="114"/>
      <c r="P109" s="114"/>
      <c r="Q109" s="114"/>
      <c r="R109" s="114"/>
      <c r="S109" s="114"/>
      <c r="T109" s="114"/>
      <c r="U109" s="114"/>
      <c r="V109" s="114"/>
    </row>
    <row r="110" spans="1:22" ht="15.75" thickBot="1" x14ac:dyDescent="0.3">
      <c r="B110" s="6">
        <v>0</v>
      </c>
      <c r="C110" s="6">
        <v>1</v>
      </c>
      <c r="D110" s="6">
        <v>2</v>
      </c>
      <c r="E110" s="6">
        <v>3</v>
      </c>
      <c r="F110" s="6">
        <v>4</v>
      </c>
      <c r="G110" s="6">
        <v>5</v>
      </c>
      <c r="H110" s="6">
        <v>6</v>
      </c>
      <c r="I110" s="6">
        <v>7</v>
      </c>
      <c r="J110" s="6">
        <v>8</v>
      </c>
      <c r="K110" s="6">
        <v>9</v>
      </c>
      <c r="L110" s="6">
        <v>10</v>
      </c>
      <c r="M110" s="6">
        <v>11</v>
      </c>
      <c r="N110" s="6">
        <v>12</v>
      </c>
      <c r="O110" s="6">
        <v>13</v>
      </c>
      <c r="P110" s="6">
        <v>14</v>
      </c>
      <c r="Q110" s="6">
        <v>15</v>
      </c>
      <c r="R110" s="6">
        <v>16</v>
      </c>
      <c r="S110" s="6">
        <v>17</v>
      </c>
      <c r="T110" s="6">
        <v>18</v>
      </c>
      <c r="U110" s="6">
        <v>19</v>
      </c>
      <c r="V110" s="6">
        <v>20</v>
      </c>
    </row>
    <row r="111" spans="1:22" x14ac:dyDescent="0.25">
      <c r="A111" s="7"/>
      <c r="B111" s="41"/>
      <c r="C111" s="41">
        <f t="shared" ref="C111:I111" si="10">Amount_f</f>
        <v>306</v>
      </c>
      <c r="D111" s="41">
        <f t="shared" si="10"/>
        <v>306</v>
      </c>
      <c r="E111" s="41">
        <f t="shared" si="10"/>
        <v>306</v>
      </c>
      <c r="F111" s="41">
        <f t="shared" si="10"/>
        <v>306</v>
      </c>
      <c r="G111" s="41">
        <f t="shared" si="10"/>
        <v>306</v>
      </c>
      <c r="H111" s="41">
        <f t="shared" si="10"/>
        <v>306</v>
      </c>
      <c r="I111" s="41">
        <f t="shared" si="10"/>
        <v>306</v>
      </c>
      <c r="J111" s="41"/>
      <c r="K111" s="41"/>
      <c r="L111" s="41"/>
      <c r="M111" s="41"/>
      <c r="N111" s="41"/>
      <c r="O111" s="41"/>
      <c r="P111" s="41"/>
      <c r="Q111" s="41"/>
      <c r="R111" s="41"/>
      <c r="S111" s="41"/>
      <c r="T111" s="41"/>
      <c r="U111" s="41"/>
      <c r="V111" s="41"/>
    </row>
    <row r="112" spans="1:22" x14ac:dyDescent="0.25">
      <c r="A112" s="7"/>
      <c r="B112" s="42"/>
      <c r="C112" s="41"/>
      <c r="D112" s="41"/>
      <c r="E112" s="41"/>
      <c r="F112" s="41"/>
      <c r="G112" s="41"/>
      <c r="H112" s="41"/>
      <c r="I112" s="41"/>
      <c r="J112" s="41"/>
      <c r="K112" s="41"/>
      <c r="L112" s="41"/>
      <c r="M112" s="41"/>
      <c r="N112" s="41"/>
      <c r="O112" s="41"/>
      <c r="P112" s="41"/>
      <c r="Q112" s="41"/>
      <c r="R112" s="41"/>
      <c r="S112" s="41"/>
      <c r="T112" s="41"/>
      <c r="U112" s="41"/>
      <c r="V112" s="41"/>
    </row>
    <row r="113" spans="1:22" ht="15.75" thickBot="1" x14ac:dyDescent="0.3">
      <c r="A113" s="7" t="s">
        <v>4</v>
      </c>
      <c r="B113" s="55">
        <f>ROUND(SUM(B111:B112),0)</f>
        <v>0</v>
      </c>
      <c r="C113" s="55">
        <f t="shared" ref="C113:V113" si="11">ROUND(SUM(C111:C112),0)</f>
        <v>306</v>
      </c>
      <c r="D113" s="55">
        <f t="shared" si="11"/>
        <v>306</v>
      </c>
      <c r="E113" s="55">
        <f t="shared" si="11"/>
        <v>306</v>
      </c>
      <c r="F113" s="55">
        <f t="shared" si="11"/>
        <v>306</v>
      </c>
      <c r="G113" s="55">
        <f t="shared" si="11"/>
        <v>306</v>
      </c>
      <c r="H113" s="55">
        <f t="shared" si="11"/>
        <v>306</v>
      </c>
      <c r="I113" s="55">
        <f t="shared" si="11"/>
        <v>306</v>
      </c>
      <c r="J113" s="55">
        <f t="shared" si="11"/>
        <v>0</v>
      </c>
      <c r="K113" s="55">
        <f t="shared" si="11"/>
        <v>0</v>
      </c>
      <c r="L113" s="55">
        <f t="shared" si="11"/>
        <v>0</v>
      </c>
      <c r="M113" s="55">
        <f t="shared" si="11"/>
        <v>0</v>
      </c>
      <c r="N113" s="55">
        <f t="shared" si="11"/>
        <v>0</v>
      </c>
      <c r="O113" s="55">
        <f t="shared" si="11"/>
        <v>0</v>
      </c>
      <c r="P113" s="55">
        <f t="shared" si="11"/>
        <v>0</v>
      </c>
      <c r="Q113" s="55">
        <f t="shared" si="11"/>
        <v>0</v>
      </c>
      <c r="R113" s="55">
        <f t="shared" si="11"/>
        <v>0</v>
      </c>
      <c r="S113" s="55">
        <f t="shared" si="11"/>
        <v>0</v>
      </c>
      <c r="T113" s="55">
        <f t="shared" si="11"/>
        <v>0</v>
      </c>
      <c r="U113" s="55">
        <f t="shared" si="11"/>
        <v>0</v>
      </c>
      <c r="V113" s="55">
        <f t="shared" si="11"/>
        <v>0</v>
      </c>
    </row>
    <row r="114" spans="1:22" ht="15.75" thickTop="1" x14ac:dyDescent="0.25"/>
    <row r="118" spans="1:22" x14ac:dyDescent="0.25">
      <c r="A118" t="s">
        <v>30</v>
      </c>
      <c r="B118" s="50">
        <v>306</v>
      </c>
    </row>
    <row r="119" spans="1:22" x14ac:dyDescent="0.25">
      <c r="A119" t="s">
        <v>32</v>
      </c>
      <c r="C119" s="43" t="s">
        <v>61</v>
      </c>
    </row>
    <row r="120" spans="1:22" x14ac:dyDescent="0.25">
      <c r="A120" t="s">
        <v>31</v>
      </c>
      <c r="B120" s="43">
        <v>1</v>
      </c>
      <c r="C120" t="s">
        <v>5</v>
      </c>
    </row>
    <row r="122" spans="1:22" x14ac:dyDescent="0.25">
      <c r="B122" s="114" t="str">
        <f>"End of "&amp; One_Period_g &amp;" Year"</f>
        <v>End of 1 Year</v>
      </c>
      <c r="C122" s="114"/>
      <c r="D122" s="114"/>
      <c r="E122" s="114"/>
      <c r="F122" s="114"/>
      <c r="G122" s="114"/>
      <c r="H122" s="114"/>
      <c r="I122" s="114"/>
      <c r="J122" s="114"/>
      <c r="K122" s="114"/>
      <c r="L122" s="114"/>
      <c r="M122" s="114"/>
      <c r="N122" s="114"/>
      <c r="O122" s="114"/>
      <c r="P122" s="114"/>
      <c r="Q122" s="114"/>
      <c r="R122" s="114"/>
      <c r="S122" s="114"/>
      <c r="T122" s="114"/>
      <c r="U122" s="114"/>
      <c r="V122" s="114"/>
    </row>
    <row r="123" spans="1:22" ht="15.75" thickBot="1" x14ac:dyDescent="0.3">
      <c r="B123" s="6">
        <v>0</v>
      </c>
      <c r="C123" s="6">
        <v>1</v>
      </c>
      <c r="D123" s="6">
        <v>2</v>
      </c>
      <c r="E123" s="6">
        <v>3</v>
      </c>
      <c r="F123" s="6">
        <v>4</v>
      </c>
      <c r="G123" s="6">
        <v>5</v>
      </c>
      <c r="H123" s="6">
        <v>6</v>
      </c>
      <c r="I123" s="6">
        <v>7</v>
      </c>
      <c r="J123" s="6">
        <v>8</v>
      </c>
      <c r="K123" s="6">
        <v>9</v>
      </c>
      <c r="L123" s="6">
        <v>10</v>
      </c>
      <c r="M123" s="6">
        <v>11</v>
      </c>
      <c r="N123" s="6">
        <v>12</v>
      </c>
      <c r="O123" s="6">
        <v>13</v>
      </c>
      <c r="P123" s="6">
        <v>14</v>
      </c>
      <c r="Q123" s="6">
        <v>15</v>
      </c>
      <c r="R123" s="6">
        <v>16</v>
      </c>
      <c r="S123" s="6">
        <v>17</v>
      </c>
      <c r="T123" s="6">
        <v>18</v>
      </c>
      <c r="U123" s="6">
        <v>19</v>
      </c>
      <c r="V123" s="6">
        <v>20</v>
      </c>
    </row>
    <row r="124" spans="1:22" x14ac:dyDescent="0.25">
      <c r="A124" s="7"/>
      <c r="B124" s="41">
        <f t="shared" ref="B124:H124" si="12">Amount_g</f>
        <v>306</v>
      </c>
      <c r="C124" s="41">
        <f t="shared" si="12"/>
        <v>306</v>
      </c>
      <c r="D124" s="41">
        <f t="shared" si="12"/>
        <v>306</v>
      </c>
      <c r="E124" s="41">
        <f t="shared" si="12"/>
        <v>306</v>
      </c>
      <c r="F124" s="41">
        <f t="shared" si="12"/>
        <v>306</v>
      </c>
      <c r="G124" s="41">
        <f t="shared" si="12"/>
        <v>306</v>
      </c>
      <c r="H124" s="41">
        <f t="shared" si="12"/>
        <v>306</v>
      </c>
      <c r="I124" s="41"/>
      <c r="J124" s="41"/>
      <c r="K124" s="41"/>
      <c r="L124" s="41"/>
      <c r="M124" s="41"/>
      <c r="N124" s="41"/>
      <c r="O124" s="41"/>
      <c r="P124" s="41"/>
      <c r="Q124" s="41"/>
      <c r="R124" s="41"/>
      <c r="S124" s="41"/>
      <c r="T124" s="41"/>
      <c r="U124" s="41"/>
      <c r="V124" s="41"/>
    </row>
    <row r="125" spans="1:22" x14ac:dyDescent="0.25">
      <c r="A125" s="7"/>
      <c r="B125" s="42"/>
      <c r="C125" s="41"/>
      <c r="D125" s="41"/>
      <c r="E125" s="41"/>
      <c r="F125" s="41"/>
      <c r="G125" s="41"/>
      <c r="H125" s="41"/>
      <c r="I125" s="41"/>
      <c r="J125" s="41"/>
      <c r="K125" s="41"/>
      <c r="L125" s="41"/>
      <c r="M125" s="41"/>
      <c r="N125" s="41"/>
      <c r="O125" s="41"/>
      <c r="P125" s="41"/>
      <c r="Q125" s="41"/>
      <c r="R125" s="41"/>
      <c r="S125" s="41"/>
      <c r="T125" s="41"/>
      <c r="U125" s="41"/>
      <c r="V125" s="41"/>
    </row>
    <row r="126" spans="1:22" ht="15.75" thickBot="1" x14ac:dyDescent="0.3">
      <c r="A126" s="7" t="s">
        <v>4</v>
      </c>
      <c r="B126" s="55">
        <f>ROUND(SUM(B124:B125),0)</f>
        <v>306</v>
      </c>
      <c r="C126" s="55">
        <f t="shared" ref="C126:V126" si="13">ROUND(SUM(C124:C125),0)</f>
        <v>306</v>
      </c>
      <c r="D126" s="55">
        <f t="shared" si="13"/>
        <v>306</v>
      </c>
      <c r="E126" s="55">
        <f t="shared" si="13"/>
        <v>306</v>
      </c>
      <c r="F126" s="55">
        <f t="shared" si="13"/>
        <v>306</v>
      </c>
      <c r="G126" s="55">
        <f t="shared" si="13"/>
        <v>306</v>
      </c>
      <c r="H126" s="55">
        <f t="shared" si="13"/>
        <v>306</v>
      </c>
      <c r="I126" s="55">
        <f t="shared" si="13"/>
        <v>0</v>
      </c>
      <c r="J126" s="55">
        <f t="shared" si="13"/>
        <v>0</v>
      </c>
      <c r="K126" s="55">
        <f t="shared" si="13"/>
        <v>0</v>
      </c>
      <c r="L126" s="55">
        <f t="shared" si="13"/>
        <v>0</v>
      </c>
      <c r="M126" s="55">
        <f t="shared" si="13"/>
        <v>0</v>
      </c>
      <c r="N126" s="55">
        <f t="shared" si="13"/>
        <v>0</v>
      </c>
      <c r="O126" s="55">
        <f t="shared" si="13"/>
        <v>0</v>
      </c>
      <c r="P126" s="55">
        <f t="shared" si="13"/>
        <v>0</v>
      </c>
      <c r="Q126" s="55">
        <f t="shared" si="13"/>
        <v>0</v>
      </c>
      <c r="R126" s="55">
        <f t="shared" si="13"/>
        <v>0</v>
      </c>
      <c r="S126" s="55">
        <f t="shared" si="13"/>
        <v>0</v>
      </c>
      <c r="T126" s="55">
        <f t="shared" si="13"/>
        <v>0</v>
      </c>
      <c r="U126" s="55">
        <f t="shared" si="13"/>
        <v>0</v>
      </c>
      <c r="V126" s="55">
        <f t="shared" si="13"/>
        <v>0</v>
      </c>
    </row>
    <row r="127" spans="1:22" ht="15.75" thickTop="1" x14ac:dyDescent="0.25"/>
    <row r="131" spans="1:23" x14ac:dyDescent="0.25">
      <c r="A131" t="s">
        <v>36</v>
      </c>
      <c r="B131" s="50">
        <v>5000</v>
      </c>
    </row>
    <row r="132" spans="1:23" x14ac:dyDescent="0.25">
      <c r="A132" t="s">
        <v>34</v>
      </c>
      <c r="C132" s="43" t="s">
        <v>61</v>
      </c>
    </row>
    <row r="133" spans="1:23" x14ac:dyDescent="0.25">
      <c r="A133" t="s">
        <v>35</v>
      </c>
      <c r="B133" s="43">
        <v>1</v>
      </c>
      <c r="C133" t="s">
        <v>5</v>
      </c>
    </row>
    <row r="135" spans="1:23" x14ac:dyDescent="0.25">
      <c r="B135" s="114" t="str">
        <f>"End of "&amp; One_Period_h &amp;" Year"</f>
        <v>End of 1 Year</v>
      </c>
      <c r="C135" s="114"/>
      <c r="D135" s="114"/>
      <c r="E135" s="114"/>
      <c r="F135" s="114"/>
      <c r="G135" s="114"/>
      <c r="H135" s="114"/>
      <c r="I135" s="114"/>
      <c r="J135" s="114"/>
      <c r="K135" s="114"/>
      <c r="L135" s="114"/>
      <c r="M135" s="114"/>
      <c r="N135" s="114"/>
      <c r="O135" s="114"/>
      <c r="P135" s="114"/>
      <c r="Q135" s="114"/>
      <c r="R135" s="114"/>
      <c r="S135" s="114"/>
      <c r="T135" s="114"/>
      <c r="U135" s="114"/>
      <c r="V135" s="114"/>
    </row>
    <row r="136" spans="1:23" ht="15.75" thickBot="1" x14ac:dyDescent="0.3">
      <c r="B136" s="6">
        <v>0</v>
      </c>
      <c r="C136" s="6">
        <v>1</v>
      </c>
      <c r="D136" s="6">
        <v>2</v>
      </c>
      <c r="E136" s="6">
        <v>3</v>
      </c>
      <c r="F136" s="6">
        <v>4</v>
      </c>
      <c r="G136" s="6">
        <v>5</v>
      </c>
      <c r="H136" s="6">
        <v>6</v>
      </c>
      <c r="I136" s="6">
        <v>7</v>
      </c>
      <c r="J136" s="6">
        <v>8</v>
      </c>
      <c r="K136" s="6">
        <v>9</v>
      </c>
      <c r="L136" s="6">
        <v>10</v>
      </c>
      <c r="M136" s="6">
        <v>11</v>
      </c>
      <c r="N136" s="6">
        <v>12</v>
      </c>
      <c r="O136" s="6">
        <v>13</v>
      </c>
      <c r="P136" s="6">
        <v>14</v>
      </c>
      <c r="Q136" s="6">
        <v>15</v>
      </c>
      <c r="R136" s="6">
        <v>16</v>
      </c>
      <c r="S136" s="6">
        <v>17</v>
      </c>
      <c r="T136" s="6">
        <v>18</v>
      </c>
      <c r="U136" s="6">
        <v>19</v>
      </c>
      <c r="V136" s="6">
        <v>20</v>
      </c>
      <c r="W136" s="40" t="s">
        <v>52</v>
      </c>
    </row>
    <row r="137" spans="1:23" x14ac:dyDescent="0.25">
      <c r="A137" s="7"/>
      <c r="B137" s="41"/>
      <c r="C137" s="41">
        <f t="shared" ref="C137:V137" si="14">Amount_h</f>
        <v>5000</v>
      </c>
      <c r="D137" s="41">
        <f t="shared" si="14"/>
        <v>5000</v>
      </c>
      <c r="E137" s="41">
        <f t="shared" si="14"/>
        <v>5000</v>
      </c>
      <c r="F137" s="41">
        <f t="shared" si="14"/>
        <v>5000</v>
      </c>
      <c r="G137" s="41">
        <f t="shared" si="14"/>
        <v>5000</v>
      </c>
      <c r="H137" s="41">
        <f t="shared" si="14"/>
        <v>5000</v>
      </c>
      <c r="I137" s="41">
        <f t="shared" si="14"/>
        <v>5000</v>
      </c>
      <c r="J137" s="41">
        <f t="shared" si="14"/>
        <v>5000</v>
      </c>
      <c r="K137" s="41">
        <f t="shared" si="14"/>
        <v>5000</v>
      </c>
      <c r="L137" s="41">
        <f t="shared" si="14"/>
        <v>5000</v>
      </c>
      <c r="M137" s="41">
        <f t="shared" si="14"/>
        <v>5000</v>
      </c>
      <c r="N137" s="41">
        <f t="shared" si="14"/>
        <v>5000</v>
      </c>
      <c r="O137" s="41">
        <f t="shared" si="14"/>
        <v>5000</v>
      </c>
      <c r="P137" s="41">
        <f t="shared" si="14"/>
        <v>5000</v>
      </c>
      <c r="Q137" s="41">
        <f t="shared" si="14"/>
        <v>5000</v>
      </c>
      <c r="R137" s="41">
        <f t="shared" si="14"/>
        <v>5000</v>
      </c>
      <c r="S137" s="41">
        <f t="shared" si="14"/>
        <v>5000</v>
      </c>
      <c r="T137" s="41">
        <f t="shared" si="14"/>
        <v>5000</v>
      </c>
      <c r="U137" s="41">
        <f t="shared" si="14"/>
        <v>5000</v>
      </c>
      <c r="V137" s="41">
        <f t="shared" si="14"/>
        <v>5000</v>
      </c>
    </row>
    <row r="138" spans="1:23" x14ac:dyDescent="0.25">
      <c r="A138" s="7"/>
      <c r="B138" s="42"/>
      <c r="C138" s="41"/>
      <c r="D138" s="41"/>
      <c r="E138" s="41"/>
      <c r="F138" s="41"/>
      <c r="G138" s="41"/>
      <c r="H138" s="41"/>
      <c r="I138" s="41"/>
      <c r="J138" s="41"/>
      <c r="K138" s="41"/>
      <c r="L138" s="41"/>
      <c r="M138" s="41"/>
      <c r="N138" s="41"/>
      <c r="O138" s="41"/>
      <c r="P138" s="41"/>
      <c r="Q138" s="41"/>
      <c r="R138" s="41"/>
      <c r="S138" s="41"/>
      <c r="T138" s="41"/>
      <c r="U138" s="41"/>
      <c r="V138" s="41"/>
    </row>
    <row r="139" spans="1:23" ht="15.75" thickBot="1" x14ac:dyDescent="0.3">
      <c r="A139" s="7" t="s">
        <v>4</v>
      </c>
      <c r="B139" s="55">
        <f>ROUND(SUM(B137:B138),0)</f>
        <v>0</v>
      </c>
      <c r="C139" s="55">
        <f t="shared" ref="C139:V139" si="15">ROUND(SUM(C137:C138),0)</f>
        <v>5000</v>
      </c>
      <c r="D139" s="55">
        <f t="shared" si="15"/>
        <v>5000</v>
      </c>
      <c r="E139" s="55">
        <f t="shared" si="15"/>
        <v>5000</v>
      </c>
      <c r="F139" s="55">
        <f t="shared" si="15"/>
        <v>5000</v>
      </c>
      <c r="G139" s="55">
        <f t="shared" si="15"/>
        <v>5000</v>
      </c>
      <c r="H139" s="55">
        <f t="shared" si="15"/>
        <v>5000</v>
      </c>
      <c r="I139" s="55">
        <f t="shared" si="15"/>
        <v>5000</v>
      </c>
      <c r="J139" s="55">
        <f t="shared" si="15"/>
        <v>5000</v>
      </c>
      <c r="K139" s="55">
        <f t="shared" si="15"/>
        <v>5000</v>
      </c>
      <c r="L139" s="55">
        <f t="shared" si="15"/>
        <v>5000</v>
      </c>
      <c r="M139" s="55">
        <f t="shared" si="15"/>
        <v>5000</v>
      </c>
      <c r="N139" s="55">
        <f t="shared" si="15"/>
        <v>5000</v>
      </c>
      <c r="O139" s="55">
        <f t="shared" si="15"/>
        <v>5000</v>
      </c>
      <c r="P139" s="55">
        <f t="shared" si="15"/>
        <v>5000</v>
      </c>
      <c r="Q139" s="55">
        <f t="shared" si="15"/>
        <v>5000</v>
      </c>
      <c r="R139" s="55">
        <f t="shared" si="15"/>
        <v>5000</v>
      </c>
      <c r="S139" s="55">
        <f t="shared" si="15"/>
        <v>5000</v>
      </c>
      <c r="T139" s="55">
        <f t="shared" si="15"/>
        <v>5000</v>
      </c>
      <c r="U139" s="55">
        <f t="shared" si="15"/>
        <v>5000</v>
      </c>
      <c r="V139" s="55">
        <f t="shared" si="15"/>
        <v>5000</v>
      </c>
      <c r="W139" s="56" t="s">
        <v>168</v>
      </c>
    </row>
    <row r="140" spans="1:23" ht="15.75" thickTop="1" x14ac:dyDescent="0.25"/>
    <row r="144" spans="1:23" x14ac:dyDescent="0.25">
      <c r="A144" t="s">
        <v>37</v>
      </c>
      <c r="B144" s="50">
        <v>3500</v>
      </c>
    </row>
    <row r="145" spans="1:22" x14ac:dyDescent="0.25">
      <c r="A145" t="s">
        <v>45</v>
      </c>
      <c r="C145" s="43" t="s">
        <v>163</v>
      </c>
    </row>
    <row r="146" spans="1:22" x14ac:dyDescent="0.25">
      <c r="A146" t="s">
        <v>38</v>
      </c>
      <c r="B146" s="43">
        <v>8.3333333333333329E-2</v>
      </c>
      <c r="C146" t="s">
        <v>5</v>
      </c>
    </row>
    <row r="148" spans="1:22" x14ac:dyDescent="0.25">
      <c r="B148" s="114" t="str">
        <f>"End of "&amp; One_Period_i &amp;" Year"</f>
        <v>End of 0.0833333333333333 Year</v>
      </c>
      <c r="C148" s="114"/>
      <c r="D148" s="114"/>
      <c r="E148" s="114"/>
      <c r="F148" s="114"/>
      <c r="G148" s="114"/>
      <c r="H148" s="114"/>
      <c r="I148" s="114"/>
      <c r="J148" s="114"/>
      <c r="K148" s="114"/>
      <c r="L148" s="114"/>
      <c r="M148" s="114"/>
      <c r="N148" s="114"/>
      <c r="O148" s="114"/>
      <c r="P148" s="114"/>
      <c r="Q148" s="114"/>
      <c r="R148" s="114"/>
      <c r="S148" s="114"/>
      <c r="T148" s="114"/>
      <c r="U148" s="114"/>
      <c r="V148" s="114"/>
    </row>
    <row r="149" spans="1:22" ht="15.75" thickBot="1" x14ac:dyDescent="0.3">
      <c r="B149" s="6">
        <v>0</v>
      </c>
      <c r="C149" s="6">
        <v>1</v>
      </c>
      <c r="D149" s="6">
        <v>2</v>
      </c>
      <c r="E149" s="6">
        <v>3</v>
      </c>
      <c r="F149" s="6">
        <v>4</v>
      </c>
      <c r="G149" s="6">
        <v>5</v>
      </c>
      <c r="H149" s="6">
        <v>6</v>
      </c>
      <c r="I149" s="6">
        <v>7</v>
      </c>
      <c r="J149" s="6">
        <v>8</v>
      </c>
      <c r="K149" s="6">
        <v>9</v>
      </c>
      <c r="L149" s="6">
        <v>10</v>
      </c>
      <c r="M149" s="6">
        <v>11</v>
      </c>
      <c r="N149" s="6">
        <v>12</v>
      </c>
      <c r="O149" s="6">
        <v>13</v>
      </c>
      <c r="P149" s="6">
        <v>14</v>
      </c>
      <c r="Q149" s="6">
        <v>15</v>
      </c>
      <c r="R149" s="6">
        <v>16</v>
      </c>
      <c r="S149" s="6">
        <v>17</v>
      </c>
      <c r="T149" s="6">
        <v>18</v>
      </c>
      <c r="U149" s="6">
        <v>19</v>
      </c>
      <c r="V149" s="6">
        <v>20</v>
      </c>
    </row>
    <row r="150" spans="1:22" x14ac:dyDescent="0.25">
      <c r="A150" s="7"/>
      <c r="B150" s="41">
        <f t="shared" ref="B150:M150" si="16">Amount_i</f>
        <v>3500</v>
      </c>
      <c r="C150" s="41">
        <f t="shared" si="16"/>
        <v>3500</v>
      </c>
      <c r="D150" s="41">
        <f t="shared" si="16"/>
        <v>3500</v>
      </c>
      <c r="E150" s="41">
        <f t="shared" si="16"/>
        <v>3500</v>
      </c>
      <c r="F150" s="41">
        <f t="shared" si="16"/>
        <v>3500</v>
      </c>
      <c r="G150" s="41">
        <f t="shared" si="16"/>
        <v>3500</v>
      </c>
      <c r="H150" s="41">
        <f t="shared" si="16"/>
        <v>3500</v>
      </c>
      <c r="I150" s="41">
        <f t="shared" si="16"/>
        <v>3500</v>
      </c>
      <c r="J150" s="41">
        <f t="shared" si="16"/>
        <v>3500</v>
      </c>
      <c r="K150" s="41">
        <f t="shared" si="16"/>
        <v>3500</v>
      </c>
      <c r="L150" s="41">
        <f t="shared" si="16"/>
        <v>3500</v>
      </c>
      <c r="M150" s="41">
        <f t="shared" si="16"/>
        <v>3500</v>
      </c>
      <c r="N150" s="41"/>
      <c r="O150" s="41"/>
      <c r="P150" s="41"/>
      <c r="Q150" s="41"/>
      <c r="R150" s="41"/>
      <c r="S150" s="41"/>
      <c r="T150" s="41"/>
      <c r="U150" s="41"/>
      <c r="V150" s="41"/>
    </row>
    <row r="151" spans="1:22" x14ac:dyDescent="0.25">
      <c r="A151" s="7"/>
      <c r="B151" s="42"/>
      <c r="C151" s="41"/>
      <c r="D151" s="41"/>
      <c r="E151" s="41"/>
      <c r="F151" s="41"/>
      <c r="G151" s="41"/>
      <c r="H151" s="41"/>
      <c r="I151" s="41"/>
      <c r="J151" s="41"/>
      <c r="K151" s="41"/>
      <c r="L151" s="41"/>
      <c r="M151" s="41"/>
      <c r="N151" s="41"/>
      <c r="O151" s="41"/>
      <c r="P151" s="41"/>
      <c r="Q151" s="41"/>
      <c r="R151" s="41"/>
      <c r="S151" s="41"/>
      <c r="T151" s="41"/>
      <c r="U151" s="41"/>
      <c r="V151" s="41"/>
    </row>
    <row r="152" spans="1:22" ht="15.75" thickBot="1" x14ac:dyDescent="0.3">
      <c r="A152" s="7" t="s">
        <v>4</v>
      </c>
      <c r="B152" s="55">
        <f>ROUND(SUM(B150:B151),0)</f>
        <v>3500</v>
      </c>
      <c r="C152" s="55">
        <f t="shared" ref="C152:V152" si="17">ROUND(SUM(C150:C151),0)</f>
        <v>3500</v>
      </c>
      <c r="D152" s="55">
        <f t="shared" si="17"/>
        <v>3500</v>
      </c>
      <c r="E152" s="55">
        <f t="shared" si="17"/>
        <v>3500</v>
      </c>
      <c r="F152" s="55">
        <f t="shared" si="17"/>
        <v>3500</v>
      </c>
      <c r="G152" s="55">
        <f t="shared" si="17"/>
        <v>3500</v>
      </c>
      <c r="H152" s="55">
        <f t="shared" si="17"/>
        <v>3500</v>
      </c>
      <c r="I152" s="55">
        <f t="shared" si="17"/>
        <v>3500</v>
      </c>
      <c r="J152" s="55">
        <f t="shared" si="17"/>
        <v>3500</v>
      </c>
      <c r="K152" s="55">
        <f t="shared" si="17"/>
        <v>3500</v>
      </c>
      <c r="L152" s="55">
        <f t="shared" si="17"/>
        <v>3500</v>
      </c>
      <c r="M152" s="55">
        <f t="shared" si="17"/>
        <v>3500</v>
      </c>
      <c r="N152" s="55">
        <f t="shared" si="17"/>
        <v>0</v>
      </c>
      <c r="O152" s="55">
        <f t="shared" si="17"/>
        <v>0</v>
      </c>
      <c r="P152" s="55">
        <f t="shared" si="17"/>
        <v>0</v>
      </c>
      <c r="Q152" s="55">
        <f t="shared" si="17"/>
        <v>0</v>
      </c>
      <c r="R152" s="55">
        <f t="shared" si="17"/>
        <v>0</v>
      </c>
      <c r="S152" s="55">
        <f t="shared" si="17"/>
        <v>0</v>
      </c>
      <c r="T152" s="55">
        <f t="shared" si="17"/>
        <v>0</v>
      </c>
      <c r="U152" s="55">
        <f t="shared" si="17"/>
        <v>0</v>
      </c>
      <c r="V152" s="55">
        <f t="shared" si="17"/>
        <v>0</v>
      </c>
    </row>
    <row r="153" spans="1:22" ht="15.75" thickTop="1" x14ac:dyDescent="0.25"/>
    <row r="157" spans="1:22" x14ac:dyDescent="0.25">
      <c r="A157" t="s">
        <v>40</v>
      </c>
      <c r="B157" s="50">
        <v>3500</v>
      </c>
    </row>
    <row r="158" spans="1:22" x14ac:dyDescent="0.25">
      <c r="A158" t="s">
        <v>46</v>
      </c>
      <c r="C158" s="43" t="s">
        <v>163</v>
      </c>
    </row>
    <row r="159" spans="1:22" x14ac:dyDescent="0.25">
      <c r="A159" t="s">
        <v>39</v>
      </c>
      <c r="B159" s="43">
        <v>8.3333333333333329E-2</v>
      </c>
      <c r="C159" t="s">
        <v>5</v>
      </c>
    </row>
    <row r="161" spans="1:22" x14ac:dyDescent="0.25">
      <c r="B161" s="114" t="str">
        <f>"End of "&amp; One_Period_j &amp;" Year"</f>
        <v>End of 0.0833333333333333 Year</v>
      </c>
      <c r="C161" s="114"/>
      <c r="D161" s="114"/>
      <c r="E161" s="114"/>
      <c r="F161" s="114"/>
      <c r="G161" s="114"/>
      <c r="H161" s="114"/>
      <c r="I161" s="114"/>
      <c r="J161" s="114"/>
      <c r="K161" s="114"/>
      <c r="L161" s="114"/>
      <c r="M161" s="114"/>
      <c r="N161" s="114"/>
      <c r="O161" s="114"/>
      <c r="P161" s="114"/>
      <c r="Q161" s="114"/>
      <c r="R161" s="114"/>
      <c r="S161" s="114"/>
      <c r="T161" s="114"/>
      <c r="U161" s="114"/>
      <c r="V161" s="114"/>
    </row>
    <row r="162" spans="1:22" ht="15.75" thickBot="1" x14ac:dyDescent="0.3">
      <c r="B162" s="6">
        <v>0</v>
      </c>
      <c r="C162" s="6">
        <v>1</v>
      </c>
      <c r="D162" s="6">
        <v>2</v>
      </c>
      <c r="E162" s="6">
        <v>3</v>
      </c>
      <c r="F162" s="6">
        <v>4</v>
      </c>
      <c r="G162" s="6">
        <v>5</v>
      </c>
      <c r="H162" s="6">
        <v>6</v>
      </c>
      <c r="I162" s="6">
        <v>7</v>
      </c>
      <c r="J162" s="6">
        <v>8</v>
      </c>
      <c r="K162" s="6">
        <v>9</v>
      </c>
      <c r="L162" s="6">
        <v>10</v>
      </c>
      <c r="M162" s="6">
        <v>11</v>
      </c>
      <c r="N162" s="6">
        <v>12</v>
      </c>
      <c r="O162" s="6">
        <v>13</v>
      </c>
      <c r="P162" s="6">
        <v>14</v>
      </c>
      <c r="Q162" s="6">
        <v>15</v>
      </c>
      <c r="R162" s="6">
        <v>16</v>
      </c>
      <c r="S162" s="6">
        <v>17</v>
      </c>
      <c r="T162" s="6">
        <v>18</v>
      </c>
      <c r="U162" s="6">
        <v>19</v>
      </c>
      <c r="V162" s="6">
        <v>20</v>
      </c>
    </row>
    <row r="163" spans="1:22" x14ac:dyDescent="0.25">
      <c r="A163" s="7"/>
      <c r="B163" s="41">
        <f>$B$157</f>
        <v>3500</v>
      </c>
      <c r="C163" s="41">
        <f t="shared" ref="C163:L163" si="18">$B$157</f>
        <v>3500</v>
      </c>
      <c r="D163" s="41">
        <f t="shared" si="18"/>
        <v>3500</v>
      </c>
      <c r="E163" s="41">
        <f t="shared" si="18"/>
        <v>3500</v>
      </c>
      <c r="F163" s="41">
        <f t="shared" si="18"/>
        <v>3500</v>
      </c>
      <c r="G163" s="41">
        <f t="shared" si="18"/>
        <v>3500</v>
      </c>
      <c r="H163" s="41">
        <f t="shared" si="18"/>
        <v>3500</v>
      </c>
      <c r="I163" s="41">
        <f t="shared" si="18"/>
        <v>3500</v>
      </c>
      <c r="J163" s="41">
        <f t="shared" si="18"/>
        <v>3500</v>
      </c>
      <c r="K163" s="41">
        <f t="shared" si="18"/>
        <v>3500</v>
      </c>
      <c r="L163" s="41">
        <f t="shared" si="18"/>
        <v>3500</v>
      </c>
      <c r="M163" s="41"/>
      <c r="N163" s="41"/>
      <c r="O163" s="41"/>
      <c r="P163" s="41"/>
      <c r="Q163" s="41"/>
      <c r="R163" s="41"/>
      <c r="S163" s="41"/>
      <c r="T163" s="41"/>
      <c r="U163" s="41"/>
      <c r="V163" s="41"/>
    </row>
    <row r="164" spans="1:22" x14ac:dyDescent="0.25">
      <c r="A164" s="7"/>
      <c r="B164" s="42">
        <f>$B$157</f>
        <v>3500</v>
      </c>
      <c r="C164" s="41"/>
      <c r="D164" s="41"/>
      <c r="E164" s="41"/>
      <c r="F164" s="41"/>
      <c r="G164" s="41"/>
      <c r="H164" s="41"/>
      <c r="I164" s="41"/>
      <c r="J164" s="41"/>
      <c r="K164" s="41"/>
      <c r="L164" s="41"/>
      <c r="M164" s="41"/>
      <c r="N164" s="41"/>
      <c r="O164" s="41"/>
      <c r="P164" s="41"/>
      <c r="Q164" s="41"/>
      <c r="R164" s="41"/>
      <c r="S164" s="41"/>
      <c r="T164" s="41"/>
      <c r="U164" s="41"/>
      <c r="V164" s="41"/>
    </row>
    <row r="165" spans="1:22" ht="15.75" thickBot="1" x14ac:dyDescent="0.3">
      <c r="A165" s="7" t="s">
        <v>4</v>
      </c>
      <c r="B165" s="55">
        <f>ROUND(SUM(B163:B164),0)</f>
        <v>7000</v>
      </c>
      <c r="C165" s="55">
        <f t="shared" ref="C165:V165" si="19">ROUND(SUM(C163:C164),0)</f>
        <v>3500</v>
      </c>
      <c r="D165" s="55">
        <f t="shared" si="19"/>
        <v>3500</v>
      </c>
      <c r="E165" s="55">
        <f t="shared" si="19"/>
        <v>3500</v>
      </c>
      <c r="F165" s="55">
        <f t="shared" si="19"/>
        <v>3500</v>
      </c>
      <c r="G165" s="55">
        <f t="shared" si="19"/>
        <v>3500</v>
      </c>
      <c r="H165" s="55">
        <f t="shared" si="19"/>
        <v>3500</v>
      </c>
      <c r="I165" s="55">
        <f t="shared" si="19"/>
        <v>3500</v>
      </c>
      <c r="J165" s="55">
        <f t="shared" si="19"/>
        <v>3500</v>
      </c>
      <c r="K165" s="55">
        <f t="shared" si="19"/>
        <v>3500</v>
      </c>
      <c r="L165" s="55">
        <f t="shared" si="19"/>
        <v>3500</v>
      </c>
      <c r="M165" s="55">
        <f t="shared" si="19"/>
        <v>0</v>
      </c>
      <c r="N165" s="55">
        <f t="shared" si="19"/>
        <v>0</v>
      </c>
      <c r="O165" s="55">
        <f t="shared" si="19"/>
        <v>0</v>
      </c>
      <c r="P165" s="55">
        <f t="shared" si="19"/>
        <v>0</v>
      </c>
      <c r="Q165" s="55">
        <f t="shared" si="19"/>
        <v>0</v>
      </c>
      <c r="R165" s="55">
        <f t="shared" si="19"/>
        <v>0</v>
      </c>
      <c r="S165" s="55">
        <f t="shared" si="19"/>
        <v>0</v>
      </c>
      <c r="T165" s="55">
        <f t="shared" si="19"/>
        <v>0</v>
      </c>
      <c r="U165" s="55">
        <f t="shared" si="19"/>
        <v>0</v>
      </c>
      <c r="V165" s="55">
        <f t="shared" si="19"/>
        <v>0</v>
      </c>
    </row>
    <row r="166" spans="1:22" ht="15.75" thickTop="1" x14ac:dyDescent="0.25"/>
    <row r="171" spans="1:22" x14ac:dyDescent="0.25">
      <c r="A171" t="s">
        <v>42</v>
      </c>
      <c r="B171" s="50">
        <v>3500</v>
      </c>
    </row>
    <row r="172" spans="1:22" x14ac:dyDescent="0.25">
      <c r="C172" s="43" t="s">
        <v>163</v>
      </c>
    </row>
    <row r="173" spans="1:22" x14ac:dyDescent="0.25">
      <c r="A173" t="s">
        <v>41</v>
      </c>
      <c r="B173" s="43">
        <v>8.3333333333333329E-2</v>
      </c>
      <c r="C173" t="s">
        <v>5</v>
      </c>
    </row>
    <row r="174" spans="1:22" x14ac:dyDescent="0.25">
      <c r="A174" t="s">
        <v>44</v>
      </c>
      <c r="B174" s="50">
        <f>2500*2</f>
        <v>5000</v>
      </c>
    </row>
    <row r="175" spans="1:22" x14ac:dyDescent="0.25">
      <c r="B175" s="114" t="str">
        <f>"End of "&amp; One_Period_k &amp;" Year"</f>
        <v>End of 0.0833333333333333 Year</v>
      </c>
      <c r="C175" s="114"/>
      <c r="D175" s="114"/>
      <c r="E175" s="114"/>
      <c r="F175" s="114"/>
      <c r="G175" s="114"/>
      <c r="H175" s="114"/>
      <c r="I175" s="114"/>
      <c r="J175" s="114"/>
      <c r="K175" s="114"/>
      <c r="L175" s="114"/>
      <c r="M175" s="114"/>
      <c r="N175" s="114"/>
      <c r="O175" s="114"/>
      <c r="P175" s="114"/>
      <c r="Q175" s="114"/>
      <c r="R175" s="114"/>
      <c r="S175" s="114"/>
      <c r="T175" s="114"/>
      <c r="U175" s="114"/>
      <c r="V175" s="114"/>
    </row>
    <row r="176" spans="1:22" ht="15.75" thickBot="1" x14ac:dyDescent="0.3">
      <c r="B176" s="6">
        <v>0</v>
      </c>
      <c r="C176" s="6">
        <v>1</v>
      </c>
      <c r="D176" s="6">
        <v>2</v>
      </c>
      <c r="E176" s="6">
        <v>3</v>
      </c>
      <c r="F176" s="6">
        <v>4</v>
      </c>
      <c r="G176" s="6">
        <v>5</v>
      </c>
      <c r="H176" s="6">
        <v>6</v>
      </c>
      <c r="I176" s="6">
        <v>7</v>
      </c>
      <c r="J176" s="6">
        <v>8</v>
      </c>
      <c r="K176" s="6">
        <v>9</v>
      </c>
      <c r="L176" s="6">
        <v>10</v>
      </c>
      <c r="M176" s="6">
        <v>11</v>
      </c>
      <c r="N176" s="6">
        <v>12</v>
      </c>
      <c r="O176" s="6">
        <v>13</v>
      </c>
      <c r="P176" s="6">
        <v>14</v>
      </c>
      <c r="Q176" s="6">
        <v>15</v>
      </c>
      <c r="R176" s="6">
        <v>16</v>
      </c>
      <c r="S176" s="6">
        <v>17</v>
      </c>
      <c r="T176" s="6">
        <v>18</v>
      </c>
      <c r="U176" s="6">
        <v>19</v>
      </c>
      <c r="V176" s="6">
        <v>20</v>
      </c>
    </row>
    <row r="177" spans="1:23" x14ac:dyDescent="0.25">
      <c r="A177" s="7"/>
      <c r="B177" s="41">
        <f>$B$171</f>
        <v>3500</v>
      </c>
      <c r="C177" s="41">
        <f t="shared" ref="C177:M177" si="20">$B$171</f>
        <v>3500</v>
      </c>
      <c r="D177" s="41">
        <f t="shared" si="20"/>
        <v>3500</v>
      </c>
      <c r="E177" s="41">
        <f t="shared" si="20"/>
        <v>3500</v>
      </c>
      <c r="F177" s="41">
        <f t="shared" si="20"/>
        <v>3500</v>
      </c>
      <c r="G177" s="41">
        <f t="shared" si="20"/>
        <v>3500</v>
      </c>
      <c r="H177" s="41">
        <f t="shared" si="20"/>
        <v>3500</v>
      </c>
      <c r="I177" s="41">
        <f t="shared" si="20"/>
        <v>3500</v>
      </c>
      <c r="J177" s="41">
        <f t="shared" si="20"/>
        <v>3500</v>
      </c>
      <c r="K177" s="41">
        <f t="shared" si="20"/>
        <v>3500</v>
      </c>
      <c r="L177" s="41">
        <f t="shared" si="20"/>
        <v>3500</v>
      </c>
      <c r="M177" s="41">
        <f t="shared" si="20"/>
        <v>3500</v>
      </c>
      <c r="N177" s="41"/>
      <c r="O177" s="41"/>
      <c r="P177" s="41"/>
      <c r="Q177" s="41"/>
      <c r="R177" s="41"/>
      <c r="S177" s="41"/>
      <c r="T177" s="41"/>
      <c r="U177" s="41"/>
      <c r="V177" s="41"/>
    </row>
    <row r="178" spans="1:23" x14ac:dyDescent="0.25">
      <c r="A178" s="7"/>
      <c r="B178" s="42">
        <f>$B$171*2</f>
        <v>7000</v>
      </c>
      <c r="C178" s="41"/>
      <c r="D178" s="41"/>
      <c r="E178" s="41"/>
      <c r="F178" s="41"/>
      <c r="G178" s="41"/>
      <c r="H178" s="41"/>
      <c r="I178" s="41"/>
      <c r="J178" s="41"/>
      <c r="K178" s="41"/>
      <c r="L178" s="41"/>
      <c r="M178" s="41"/>
      <c r="N178" s="42">
        <f>-$B$171*2</f>
        <v>-7000</v>
      </c>
      <c r="O178" s="41"/>
      <c r="P178" s="41"/>
      <c r="Q178" s="41"/>
      <c r="R178" s="41"/>
      <c r="S178" s="41"/>
      <c r="T178" s="41"/>
      <c r="U178" s="41"/>
      <c r="V178" s="41"/>
    </row>
    <row r="179" spans="1:23" ht="15.75" thickBot="1" x14ac:dyDescent="0.3">
      <c r="A179" s="7" t="s">
        <v>4</v>
      </c>
      <c r="B179" s="55">
        <f>ROUND(SUM(B177:B178),0)</f>
        <v>10500</v>
      </c>
      <c r="C179" s="55">
        <f t="shared" ref="C179:V179" si="21">ROUND(SUM(C177:C178),0)</f>
        <v>3500</v>
      </c>
      <c r="D179" s="55">
        <f t="shared" si="21"/>
        <v>3500</v>
      </c>
      <c r="E179" s="55">
        <f t="shared" si="21"/>
        <v>3500</v>
      </c>
      <c r="F179" s="55">
        <f t="shared" si="21"/>
        <v>3500</v>
      </c>
      <c r="G179" s="55">
        <f t="shared" si="21"/>
        <v>3500</v>
      </c>
      <c r="H179" s="55">
        <f t="shared" si="21"/>
        <v>3500</v>
      </c>
      <c r="I179" s="55">
        <f t="shared" si="21"/>
        <v>3500</v>
      </c>
      <c r="J179" s="55">
        <f t="shared" si="21"/>
        <v>3500</v>
      </c>
      <c r="K179" s="55">
        <f t="shared" si="21"/>
        <v>3500</v>
      </c>
      <c r="L179" s="55">
        <f t="shared" si="21"/>
        <v>3500</v>
      </c>
      <c r="M179" s="55">
        <f t="shared" si="21"/>
        <v>3500</v>
      </c>
      <c r="N179" s="55">
        <f t="shared" si="21"/>
        <v>-7000</v>
      </c>
      <c r="O179" s="55">
        <f t="shared" si="21"/>
        <v>0</v>
      </c>
      <c r="P179" s="55">
        <f t="shared" si="21"/>
        <v>0</v>
      </c>
      <c r="Q179" s="55">
        <f t="shared" si="21"/>
        <v>0</v>
      </c>
      <c r="R179" s="55">
        <f t="shared" si="21"/>
        <v>0</v>
      </c>
      <c r="S179" s="55">
        <f t="shared" si="21"/>
        <v>0</v>
      </c>
      <c r="T179" s="55">
        <f t="shared" si="21"/>
        <v>0</v>
      </c>
      <c r="U179" s="55">
        <f t="shared" si="21"/>
        <v>0</v>
      </c>
      <c r="V179" s="55">
        <f t="shared" si="21"/>
        <v>0</v>
      </c>
    </row>
    <row r="180" spans="1:23" ht="15.75" thickTop="1" x14ac:dyDescent="0.25"/>
    <row r="184" spans="1:23" x14ac:dyDescent="0.25">
      <c r="A184" t="s">
        <v>47</v>
      </c>
      <c r="B184" s="50">
        <v>500</v>
      </c>
    </row>
    <row r="185" spans="1:23" x14ac:dyDescent="0.25">
      <c r="C185" s="43" t="s">
        <v>61</v>
      </c>
    </row>
    <row r="186" spans="1:23" x14ac:dyDescent="0.25">
      <c r="A186" t="s">
        <v>43</v>
      </c>
      <c r="B186" s="43">
        <v>1</v>
      </c>
      <c r="C186" t="s">
        <v>5</v>
      </c>
    </row>
    <row r="188" spans="1:23" x14ac:dyDescent="0.25">
      <c r="B188" s="114" t="str">
        <f>"End of "&amp; One_Period_l &amp;" Year"</f>
        <v>End of 1 Year</v>
      </c>
      <c r="C188" s="114"/>
      <c r="D188" s="114"/>
      <c r="E188" s="114"/>
      <c r="F188" s="114"/>
      <c r="G188" s="114"/>
      <c r="H188" s="114"/>
      <c r="I188" s="114"/>
      <c r="J188" s="114"/>
      <c r="K188" s="114"/>
      <c r="L188" s="114"/>
      <c r="M188" s="114"/>
      <c r="N188" s="114"/>
      <c r="O188" s="114"/>
      <c r="P188" s="114"/>
      <c r="Q188" s="114"/>
      <c r="R188" s="114"/>
      <c r="S188" s="114"/>
      <c r="T188" s="114"/>
      <c r="U188" s="114"/>
      <c r="V188" s="114"/>
    </row>
    <row r="189" spans="1:23" ht="15.75" thickBot="1" x14ac:dyDescent="0.3">
      <c r="B189" s="6">
        <v>0</v>
      </c>
      <c r="C189" s="6">
        <v>1</v>
      </c>
      <c r="D189" s="6">
        <v>2</v>
      </c>
      <c r="E189" s="6">
        <v>3</v>
      </c>
      <c r="F189" s="6">
        <v>4</v>
      </c>
      <c r="G189" s="6">
        <v>5</v>
      </c>
      <c r="H189" s="6">
        <v>6</v>
      </c>
      <c r="I189" s="6">
        <v>7</v>
      </c>
      <c r="J189" s="6">
        <v>8</v>
      </c>
      <c r="K189" s="6">
        <v>9</v>
      </c>
      <c r="L189" s="6">
        <v>10</v>
      </c>
      <c r="M189" s="6">
        <v>11</v>
      </c>
      <c r="N189" s="6">
        <v>12</v>
      </c>
      <c r="O189" s="6">
        <v>13</v>
      </c>
      <c r="P189" s="6">
        <v>14</v>
      </c>
      <c r="Q189" s="6">
        <v>15</v>
      </c>
      <c r="R189" s="6">
        <v>16</v>
      </c>
      <c r="S189" s="6">
        <v>17</v>
      </c>
      <c r="T189" s="6">
        <v>18</v>
      </c>
      <c r="U189" s="6">
        <v>19</v>
      </c>
      <c r="V189" s="6">
        <v>20</v>
      </c>
      <c r="W189" s="40" t="s">
        <v>51</v>
      </c>
    </row>
    <row r="190" spans="1:23" x14ac:dyDescent="0.25">
      <c r="A190" s="7"/>
      <c r="B190" s="41"/>
      <c r="C190" s="41"/>
      <c r="D190" s="41"/>
      <c r="E190" s="41">
        <f t="shared" ref="E190:V190" si="22">Amount_l</f>
        <v>500</v>
      </c>
      <c r="F190" s="41">
        <f t="shared" si="22"/>
        <v>500</v>
      </c>
      <c r="G190" s="41">
        <f t="shared" si="22"/>
        <v>500</v>
      </c>
      <c r="H190" s="41">
        <f t="shared" si="22"/>
        <v>500</v>
      </c>
      <c r="I190" s="41">
        <f t="shared" si="22"/>
        <v>500</v>
      </c>
      <c r="J190" s="41">
        <f t="shared" si="22"/>
        <v>500</v>
      </c>
      <c r="K190" s="41">
        <f t="shared" si="22"/>
        <v>500</v>
      </c>
      <c r="L190" s="41">
        <f t="shared" si="22"/>
        <v>500</v>
      </c>
      <c r="M190" s="41">
        <f t="shared" si="22"/>
        <v>500</v>
      </c>
      <c r="N190" s="41">
        <f t="shared" si="22"/>
        <v>500</v>
      </c>
      <c r="O190" s="41">
        <f t="shared" si="22"/>
        <v>500</v>
      </c>
      <c r="P190" s="41">
        <f t="shared" si="22"/>
        <v>500</v>
      </c>
      <c r="Q190" s="41">
        <f t="shared" si="22"/>
        <v>500</v>
      </c>
      <c r="R190" s="41">
        <f t="shared" si="22"/>
        <v>500</v>
      </c>
      <c r="S190" s="41">
        <f t="shared" si="22"/>
        <v>500</v>
      </c>
      <c r="T190" s="41">
        <f t="shared" si="22"/>
        <v>500</v>
      </c>
      <c r="U190" s="41">
        <f t="shared" si="22"/>
        <v>500</v>
      </c>
      <c r="V190" s="41">
        <f t="shared" si="22"/>
        <v>500</v>
      </c>
    </row>
    <row r="191" spans="1:23" x14ac:dyDescent="0.25">
      <c r="A191" s="7"/>
      <c r="B191" s="42"/>
      <c r="C191" s="41"/>
      <c r="D191" s="41"/>
      <c r="E191" s="41"/>
      <c r="F191" s="41"/>
      <c r="G191" s="41"/>
      <c r="H191" s="41"/>
      <c r="I191" s="41"/>
      <c r="J191" s="41"/>
      <c r="K191" s="41"/>
      <c r="L191" s="41"/>
      <c r="M191" s="41"/>
      <c r="N191" s="41"/>
      <c r="O191" s="41"/>
      <c r="P191" s="41"/>
      <c r="Q191" s="41"/>
      <c r="R191" s="41"/>
      <c r="S191" s="41"/>
      <c r="T191" s="41"/>
      <c r="U191" s="41"/>
      <c r="V191" s="41"/>
    </row>
    <row r="192" spans="1:23" ht="15.75" thickBot="1" x14ac:dyDescent="0.3">
      <c r="A192" s="7" t="s">
        <v>4</v>
      </c>
      <c r="B192" s="55">
        <f>ROUND(SUM(B190:B191),0)</f>
        <v>0</v>
      </c>
      <c r="C192" s="55">
        <f t="shared" ref="C192:V192" si="23">ROUND(SUM(C190:C191),0)</f>
        <v>0</v>
      </c>
      <c r="D192" s="55">
        <f t="shared" si="23"/>
        <v>0</v>
      </c>
      <c r="E192" s="55">
        <f t="shared" si="23"/>
        <v>500</v>
      </c>
      <c r="F192" s="55">
        <f t="shared" si="23"/>
        <v>500</v>
      </c>
      <c r="G192" s="55">
        <f t="shared" si="23"/>
        <v>500</v>
      </c>
      <c r="H192" s="55">
        <f t="shared" si="23"/>
        <v>500</v>
      </c>
      <c r="I192" s="55">
        <f t="shared" si="23"/>
        <v>500</v>
      </c>
      <c r="J192" s="55">
        <f t="shared" si="23"/>
        <v>500</v>
      </c>
      <c r="K192" s="55">
        <f t="shared" si="23"/>
        <v>500</v>
      </c>
      <c r="L192" s="55">
        <f t="shared" si="23"/>
        <v>500</v>
      </c>
      <c r="M192" s="55">
        <f t="shared" si="23"/>
        <v>500</v>
      </c>
      <c r="N192" s="55">
        <f t="shared" si="23"/>
        <v>500</v>
      </c>
      <c r="O192" s="55">
        <f t="shared" si="23"/>
        <v>500</v>
      </c>
      <c r="P192" s="55">
        <f t="shared" si="23"/>
        <v>500</v>
      </c>
      <c r="Q192" s="55">
        <f t="shared" si="23"/>
        <v>500</v>
      </c>
      <c r="R192" s="55">
        <f t="shared" si="23"/>
        <v>500</v>
      </c>
      <c r="S192" s="55">
        <f t="shared" si="23"/>
        <v>500</v>
      </c>
      <c r="T192" s="55">
        <f t="shared" si="23"/>
        <v>500</v>
      </c>
      <c r="U192" s="55">
        <f t="shared" si="23"/>
        <v>500</v>
      </c>
      <c r="V192" s="55">
        <f t="shared" si="23"/>
        <v>500</v>
      </c>
      <c r="W192" s="56" t="s">
        <v>168</v>
      </c>
    </row>
    <row r="193" spans="1:23" ht="15.75" thickTop="1" x14ac:dyDescent="0.25"/>
    <row r="197" spans="1:23" x14ac:dyDescent="0.25">
      <c r="A197" t="s">
        <v>49</v>
      </c>
      <c r="B197" s="50">
        <v>500</v>
      </c>
    </row>
    <row r="198" spans="1:23" x14ac:dyDescent="0.25">
      <c r="C198" s="43" t="s">
        <v>61</v>
      </c>
    </row>
    <row r="199" spans="1:23" x14ac:dyDescent="0.25">
      <c r="A199" t="s">
        <v>48</v>
      </c>
      <c r="B199" s="43">
        <v>1</v>
      </c>
      <c r="C199" t="s">
        <v>5</v>
      </c>
    </row>
    <row r="200" spans="1:23" x14ac:dyDescent="0.25">
      <c r="A200" t="s">
        <v>50</v>
      </c>
      <c r="B200" s="51">
        <v>0.02</v>
      </c>
    </row>
    <row r="201" spans="1:23" x14ac:dyDescent="0.25">
      <c r="B201" s="114" t="str">
        <f>"End of "&amp; One_Period_m &amp;" Year"</f>
        <v>End of 1 Year</v>
      </c>
      <c r="C201" s="114"/>
      <c r="D201" s="114"/>
      <c r="E201" s="114"/>
      <c r="F201" s="114"/>
      <c r="G201" s="114"/>
      <c r="H201" s="114"/>
      <c r="I201" s="114"/>
      <c r="J201" s="114"/>
      <c r="K201" s="114"/>
      <c r="L201" s="114"/>
      <c r="M201" s="114"/>
      <c r="N201" s="114"/>
      <c r="O201" s="114"/>
      <c r="P201" s="114"/>
      <c r="Q201" s="114"/>
      <c r="R201" s="114"/>
      <c r="S201" s="114"/>
      <c r="T201" s="114"/>
      <c r="U201" s="114"/>
      <c r="V201" s="114"/>
    </row>
    <row r="202" spans="1:23" ht="15.75" thickBot="1" x14ac:dyDescent="0.3">
      <c r="B202" s="6">
        <v>0</v>
      </c>
      <c r="C202" s="6">
        <v>1</v>
      </c>
      <c r="D202" s="6">
        <v>2</v>
      </c>
      <c r="E202" s="6">
        <v>3</v>
      </c>
      <c r="F202" s="6">
        <v>4</v>
      </c>
      <c r="G202" s="6">
        <v>5</v>
      </c>
      <c r="H202" s="6">
        <v>6</v>
      </c>
      <c r="I202" s="6">
        <v>7</v>
      </c>
      <c r="J202" s="6">
        <v>8</v>
      </c>
      <c r="K202" s="6">
        <v>9</v>
      </c>
      <c r="L202" s="6">
        <v>10</v>
      </c>
      <c r="M202" s="6">
        <v>11</v>
      </c>
      <c r="N202" s="6">
        <v>12</v>
      </c>
      <c r="O202" s="6">
        <v>13</v>
      </c>
      <c r="P202" s="6">
        <v>14</v>
      </c>
      <c r="Q202" s="6">
        <v>15</v>
      </c>
      <c r="R202" s="6">
        <v>16</v>
      </c>
      <c r="S202" s="6">
        <v>17</v>
      </c>
      <c r="T202" s="6">
        <v>18</v>
      </c>
      <c r="U202" s="6">
        <v>19</v>
      </c>
      <c r="V202" s="6">
        <v>20</v>
      </c>
      <c r="W202" s="40" t="s">
        <v>51</v>
      </c>
    </row>
    <row r="203" spans="1:23" x14ac:dyDescent="0.25">
      <c r="A203" s="7"/>
      <c r="B203" s="41"/>
      <c r="C203" s="41"/>
      <c r="D203" s="41"/>
      <c r="E203" s="41"/>
      <c r="F203" s="41">
        <f>Amount_m</f>
        <v>500</v>
      </c>
      <c r="G203" s="41">
        <f t="shared" ref="G203:V203" si="24">F203*(1+Growth_rate___m)</f>
        <v>510</v>
      </c>
      <c r="H203" s="41">
        <f t="shared" si="24"/>
        <v>520.20000000000005</v>
      </c>
      <c r="I203" s="41">
        <f t="shared" si="24"/>
        <v>530.60400000000004</v>
      </c>
      <c r="J203" s="41">
        <f t="shared" si="24"/>
        <v>541.21608000000003</v>
      </c>
      <c r="K203" s="41">
        <f t="shared" si="24"/>
        <v>552.0404016</v>
      </c>
      <c r="L203" s="41">
        <f t="shared" si="24"/>
        <v>563.08120963199997</v>
      </c>
      <c r="M203" s="41">
        <f t="shared" si="24"/>
        <v>574.34283382464002</v>
      </c>
      <c r="N203" s="41">
        <f t="shared" si="24"/>
        <v>585.82969050113286</v>
      </c>
      <c r="O203" s="41">
        <f t="shared" si="24"/>
        <v>597.54628431115555</v>
      </c>
      <c r="P203" s="41">
        <f t="shared" si="24"/>
        <v>609.49720999737872</v>
      </c>
      <c r="Q203" s="41">
        <f t="shared" si="24"/>
        <v>621.68715419732632</v>
      </c>
      <c r="R203" s="41">
        <f t="shared" si="24"/>
        <v>634.12089728127285</v>
      </c>
      <c r="S203" s="41">
        <f t="shared" si="24"/>
        <v>646.80331522689835</v>
      </c>
      <c r="T203" s="41">
        <f t="shared" si="24"/>
        <v>659.73938153143638</v>
      </c>
      <c r="U203" s="41">
        <f t="shared" si="24"/>
        <v>672.93416916206513</v>
      </c>
      <c r="V203" s="41">
        <f t="shared" si="24"/>
        <v>686.39285254530648</v>
      </c>
    </row>
    <row r="204" spans="1:23" x14ac:dyDescent="0.25">
      <c r="A204" s="7"/>
      <c r="B204" s="42"/>
      <c r="C204" s="41"/>
      <c r="D204" s="41"/>
      <c r="E204" s="41"/>
      <c r="F204" s="41"/>
      <c r="G204" s="41"/>
      <c r="H204" s="41"/>
      <c r="I204" s="41"/>
      <c r="J204" s="41"/>
      <c r="K204" s="41"/>
      <c r="L204" s="41"/>
      <c r="M204" s="41"/>
      <c r="N204" s="41"/>
      <c r="O204" s="41"/>
      <c r="P204" s="41"/>
      <c r="Q204" s="41"/>
      <c r="R204" s="41"/>
      <c r="S204" s="41"/>
      <c r="T204" s="41"/>
      <c r="U204" s="41"/>
      <c r="V204" s="41"/>
    </row>
    <row r="205" spans="1:23" ht="15.75" thickBot="1" x14ac:dyDescent="0.3">
      <c r="A205" s="7" t="s">
        <v>4</v>
      </c>
      <c r="B205" s="55">
        <f>ROUND(SUM(B203:B204),0)</f>
        <v>0</v>
      </c>
      <c r="C205" s="55">
        <f t="shared" ref="C205:V205" si="25">ROUND(SUM(C203:C204),0)</f>
        <v>0</v>
      </c>
      <c r="D205" s="55">
        <f t="shared" si="25"/>
        <v>0</v>
      </c>
      <c r="E205" s="55">
        <f t="shared" si="25"/>
        <v>0</v>
      </c>
      <c r="F205" s="55">
        <f t="shared" si="25"/>
        <v>500</v>
      </c>
      <c r="G205" s="55">
        <f t="shared" si="25"/>
        <v>510</v>
      </c>
      <c r="H205" s="55">
        <f t="shared" si="25"/>
        <v>520</v>
      </c>
      <c r="I205" s="55">
        <f t="shared" si="25"/>
        <v>531</v>
      </c>
      <c r="J205" s="55">
        <f t="shared" si="25"/>
        <v>541</v>
      </c>
      <c r="K205" s="55">
        <f t="shared" si="25"/>
        <v>552</v>
      </c>
      <c r="L205" s="55">
        <f t="shared" si="25"/>
        <v>563</v>
      </c>
      <c r="M205" s="55">
        <f t="shared" si="25"/>
        <v>574</v>
      </c>
      <c r="N205" s="55">
        <f t="shared" si="25"/>
        <v>586</v>
      </c>
      <c r="O205" s="55">
        <f t="shared" si="25"/>
        <v>598</v>
      </c>
      <c r="P205" s="55">
        <f t="shared" si="25"/>
        <v>609</v>
      </c>
      <c r="Q205" s="55">
        <f t="shared" si="25"/>
        <v>622</v>
      </c>
      <c r="R205" s="55">
        <f t="shared" si="25"/>
        <v>634</v>
      </c>
      <c r="S205" s="55">
        <f t="shared" si="25"/>
        <v>647</v>
      </c>
      <c r="T205" s="55">
        <f t="shared" si="25"/>
        <v>660</v>
      </c>
      <c r="U205" s="55">
        <f t="shared" si="25"/>
        <v>673</v>
      </c>
      <c r="V205" s="55">
        <f t="shared" si="25"/>
        <v>686</v>
      </c>
      <c r="W205" s="56" t="s">
        <v>168</v>
      </c>
    </row>
    <row r="206" spans="1:23" ht="15.75" thickTop="1" x14ac:dyDescent="0.25"/>
  </sheetData>
  <mergeCells count="15">
    <mergeCell ref="B83:V83"/>
    <mergeCell ref="B13:V13"/>
    <mergeCell ref="B28:V28"/>
    <mergeCell ref="B44:V44"/>
    <mergeCell ref="B57:V57"/>
    <mergeCell ref="B70:V70"/>
    <mergeCell ref="B175:V175"/>
    <mergeCell ref="B188:V188"/>
    <mergeCell ref="B201:V201"/>
    <mergeCell ref="B96:V96"/>
    <mergeCell ref="B109:V109"/>
    <mergeCell ref="B122:V122"/>
    <mergeCell ref="B135:V135"/>
    <mergeCell ref="B148:V148"/>
    <mergeCell ref="B161:V16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ADA083A-2C09-4E2F-95DB-9B4792370F41}">
          <x14:formula1>
            <xm:f>'Names Choices Etc'!$D$1:$D$2</xm:f>
          </x14:formula1>
          <xm:sqref>W205 W139 W192</xm:sqref>
        </x14:dataValidation>
        <x14:dataValidation type="list" allowBlank="1" showInputMessage="1" showErrorMessage="1" xr:uid="{8557425B-B132-4B70-86EE-827386F4F2F8}">
          <x14:formula1>
            <xm:f>'Names Choices Etc'!$B$1:$B$6</xm:f>
          </x14:formula1>
          <xm:sqref>B11 B26 B42 B55 B68 B81 B94 B107 B120 B133 B146 B159 B173 B186 B199</xm:sqref>
        </x14:dataValidation>
        <x14:dataValidation type="list" allowBlank="1" showInputMessage="1" showErrorMessage="1" xr:uid="{D2D5D2DE-D800-48E9-AE78-1F85A716AF0F}">
          <x14:formula1>
            <xm:f>'Names Choices Etc'!$A$1:$A$6</xm:f>
          </x14:formula1>
          <xm:sqref>C25 C41 C54 C67 C80 C93 C106 C119 C132 C145 C158 C172 C10 C198 C185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A557-F2AD-4077-841C-BA768CBC993F}">
  <dimension ref="A7:G32"/>
  <sheetViews>
    <sheetView workbookViewId="0">
      <selection activeCell="C93" sqref="C93"/>
    </sheetView>
  </sheetViews>
  <sheetFormatPr defaultColWidth="8.85546875" defaultRowHeight="15" x14ac:dyDescent="0.25"/>
  <cols>
    <col min="1" max="1" width="28" bestFit="1" customWidth="1"/>
    <col min="2" max="3" width="12.42578125" bestFit="1" customWidth="1"/>
    <col min="4" max="4" width="20" bestFit="1" customWidth="1"/>
    <col min="5" max="5" width="24.85546875" bestFit="1" customWidth="1"/>
    <col min="7" max="7" width="10.5703125" bestFit="1" customWidth="1"/>
  </cols>
  <sheetData>
    <row r="7" spans="1:7" x14ac:dyDescent="0.25">
      <c r="A7" t="s">
        <v>54</v>
      </c>
      <c r="B7" s="8">
        <v>1000</v>
      </c>
    </row>
    <row r="8" spans="1:7" x14ac:dyDescent="0.25">
      <c r="A8" t="s">
        <v>55</v>
      </c>
      <c r="B8" s="9">
        <v>0.06</v>
      </c>
    </row>
    <row r="9" spans="1:7" x14ac:dyDescent="0.25">
      <c r="A9" t="s">
        <v>56</v>
      </c>
      <c r="B9" s="7">
        <f>1/52</f>
        <v>1.9230769230769232E-2</v>
      </c>
      <c r="C9" t="s">
        <v>5</v>
      </c>
      <c r="G9" s="7" t="s">
        <v>258</v>
      </c>
    </row>
    <row r="11" spans="1:7" x14ac:dyDescent="0.25">
      <c r="A11" t="s">
        <v>53</v>
      </c>
      <c r="B11" s="57">
        <f>P2_Amount_Ex1*((1+P2_Interest_Rate_Ex1/(1/P2_Compounding_Period_Ex1))^(8/P2_Compounding_Period_Ex1))</f>
        <v>1615.6272797163144</v>
      </c>
      <c r="G11" s="59">
        <f>ROUND(B11,2)</f>
        <v>1615.63</v>
      </c>
    </row>
    <row r="16" spans="1:7" ht="15.75" thickBot="1" x14ac:dyDescent="0.3">
      <c r="B16" s="6" t="s">
        <v>57</v>
      </c>
      <c r="C16" s="6" t="s">
        <v>58</v>
      </c>
      <c r="D16" s="6" t="s">
        <v>59</v>
      </c>
      <c r="E16" s="6" t="s">
        <v>60</v>
      </c>
    </row>
    <row r="17" spans="2:7" x14ac:dyDescent="0.25">
      <c r="B17" s="3">
        <v>1000</v>
      </c>
      <c r="C17" s="4">
        <v>0.04</v>
      </c>
      <c r="D17" s="5" t="s">
        <v>61</v>
      </c>
      <c r="E17" s="58">
        <f>B17*((1+C17)^8)</f>
        <v>1368.5690504052741</v>
      </c>
      <c r="G17" s="60">
        <f>ROUND(E17,2)</f>
        <v>1368.57</v>
      </c>
    </row>
    <row r="18" spans="2:7" x14ac:dyDescent="0.25">
      <c r="B18" s="3">
        <v>1000</v>
      </c>
      <c r="C18" s="4">
        <v>0.04</v>
      </c>
      <c r="D18" s="5" t="s">
        <v>62</v>
      </c>
      <c r="E18" s="58">
        <f>B18*((1+C18/2)^(8*2))</f>
        <v>1372.7857050906121</v>
      </c>
      <c r="G18" s="60">
        <f t="shared" ref="G18:G32" si="0">ROUND(E18,2)</f>
        <v>1372.79</v>
      </c>
    </row>
    <row r="19" spans="2:7" x14ac:dyDescent="0.25">
      <c r="B19" s="3">
        <v>1000</v>
      </c>
      <c r="C19" s="4">
        <v>0.04</v>
      </c>
      <c r="D19" s="5" t="s">
        <v>64</v>
      </c>
      <c r="E19" s="58">
        <f>B19*((1+C19/4)^(8*4))</f>
        <v>1374.9406785310975</v>
      </c>
      <c r="G19" s="60">
        <f t="shared" si="0"/>
        <v>1374.94</v>
      </c>
    </row>
    <row r="20" spans="2:7" x14ac:dyDescent="0.25">
      <c r="B20" s="3">
        <v>1000</v>
      </c>
      <c r="C20" s="4">
        <v>0.04</v>
      </c>
      <c r="D20" s="5" t="s">
        <v>63</v>
      </c>
      <c r="E20" s="58">
        <f>B20*((1+C20/365)^(8*365))</f>
        <v>1377.1036194133355</v>
      </c>
      <c r="G20" s="60">
        <f t="shared" si="0"/>
        <v>1377.1</v>
      </c>
    </row>
    <row r="21" spans="2:7" x14ac:dyDescent="0.25">
      <c r="B21" s="3">
        <v>1000</v>
      </c>
      <c r="C21" s="4">
        <v>7.0000000000000007E-2</v>
      </c>
      <c r="D21" s="5" t="s">
        <v>61</v>
      </c>
      <c r="E21" s="58">
        <f>B21*((1+C21)^8)</f>
        <v>1718.1861798319203</v>
      </c>
      <c r="G21" s="60">
        <f t="shared" si="0"/>
        <v>1718.19</v>
      </c>
    </row>
    <row r="22" spans="2:7" x14ac:dyDescent="0.25">
      <c r="B22" s="3">
        <v>1000</v>
      </c>
      <c r="C22" s="4">
        <v>7.0000000000000007E-2</v>
      </c>
      <c r="D22" s="5" t="s">
        <v>62</v>
      </c>
      <c r="E22" s="58">
        <f>B22*((1+C22/2)^(8*2))</f>
        <v>1733.9860398284845</v>
      </c>
      <c r="G22" s="60">
        <f t="shared" si="0"/>
        <v>1733.99</v>
      </c>
    </row>
    <row r="23" spans="2:7" x14ac:dyDescent="0.25">
      <c r="B23" s="3">
        <v>1000</v>
      </c>
      <c r="C23" s="4">
        <v>7.0000000000000007E-2</v>
      </c>
      <c r="D23" s="5" t="s">
        <v>64</v>
      </c>
      <c r="E23" s="58">
        <f>B23*((1+C23/4)^(8*4))</f>
        <v>1742.2134921803515</v>
      </c>
      <c r="G23" s="60">
        <f t="shared" si="0"/>
        <v>1742.21</v>
      </c>
    </row>
    <row r="24" spans="2:7" x14ac:dyDescent="0.25">
      <c r="B24" s="3">
        <v>1000</v>
      </c>
      <c r="C24" s="4">
        <v>7.0000000000000007E-2</v>
      </c>
      <c r="D24" s="5" t="s">
        <v>63</v>
      </c>
      <c r="E24" s="58">
        <f>B24*((1+C24/365)^(8*365))</f>
        <v>1750.5785061219162</v>
      </c>
      <c r="G24" s="60">
        <f t="shared" si="0"/>
        <v>1750.58</v>
      </c>
    </row>
    <row r="25" spans="2:7" x14ac:dyDescent="0.25">
      <c r="B25" s="3">
        <v>1000</v>
      </c>
      <c r="C25" s="4">
        <v>0.15</v>
      </c>
      <c r="D25" s="5" t="s">
        <v>61</v>
      </c>
      <c r="E25" s="58">
        <f>B25*((1+C25)^8)</f>
        <v>3059.0228625390605</v>
      </c>
      <c r="G25" s="60">
        <f t="shared" si="0"/>
        <v>3059.02</v>
      </c>
    </row>
    <row r="26" spans="2:7" x14ac:dyDescent="0.25">
      <c r="B26" s="3">
        <v>1000</v>
      </c>
      <c r="C26" s="4">
        <v>0.15</v>
      </c>
      <c r="D26" s="5" t="s">
        <v>62</v>
      </c>
      <c r="E26" s="58">
        <f>B26*((1+C26/2)^(8*2))</f>
        <v>3180.7931542702026</v>
      </c>
      <c r="G26" s="60">
        <f t="shared" si="0"/>
        <v>3180.79</v>
      </c>
    </row>
    <row r="27" spans="2:7" x14ac:dyDescent="0.25">
      <c r="B27" s="3">
        <v>1000</v>
      </c>
      <c r="C27" s="4">
        <v>0.15</v>
      </c>
      <c r="D27" s="5" t="s">
        <v>64</v>
      </c>
      <c r="E27" s="58">
        <f>B27*((1+C27/4)^(8*4))</f>
        <v>3248.0250669508296</v>
      </c>
      <c r="G27" s="60">
        <f t="shared" si="0"/>
        <v>3248.03</v>
      </c>
    </row>
    <row r="28" spans="2:7" x14ac:dyDescent="0.25">
      <c r="B28" s="3">
        <v>1000</v>
      </c>
      <c r="C28" s="4">
        <v>0.15</v>
      </c>
      <c r="D28" s="5" t="s">
        <v>63</v>
      </c>
      <c r="E28" s="58">
        <f>B28*((1+C28/365)^(8*365))</f>
        <v>3319.2985888580861</v>
      </c>
      <c r="G28" s="60">
        <f t="shared" si="0"/>
        <v>3319.3</v>
      </c>
    </row>
    <row r="29" spans="2:7" x14ac:dyDescent="0.25">
      <c r="B29" s="3">
        <v>1000</v>
      </c>
      <c r="C29" s="4">
        <v>0.25</v>
      </c>
      <c r="D29" s="5" t="s">
        <v>61</v>
      </c>
      <c r="E29" s="58">
        <f>B29*((1+C29)^8)</f>
        <v>5960.4644775390625</v>
      </c>
      <c r="G29" s="60">
        <f t="shared" si="0"/>
        <v>5960.46</v>
      </c>
    </row>
    <row r="30" spans="2:7" x14ac:dyDescent="0.25">
      <c r="B30" s="3">
        <v>1000</v>
      </c>
      <c r="C30" s="4">
        <v>0.25</v>
      </c>
      <c r="D30" s="5" t="s">
        <v>62</v>
      </c>
      <c r="E30" s="58">
        <f>B30*((1+C30/2)^(8*2))</f>
        <v>6583.2501720274231</v>
      </c>
      <c r="G30" s="60">
        <f t="shared" si="0"/>
        <v>6583.25</v>
      </c>
    </row>
    <row r="31" spans="2:7" x14ac:dyDescent="0.25">
      <c r="B31" s="3">
        <v>1000</v>
      </c>
      <c r="C31" s="4">
        <v>0.25</v>
      </c>
      <c r="D31" s="5" t="s">
        <v>64</v>
      </c>
      <c r="E31" s="58">
        <f>B31*((1+C31/4)^(8*4))</f>
        <v>6958.666757218808</v>
      </c>
      <c r="G31" s="60">
        <f t="shared" si="0"/>
        <v>6958.67</v>
      </c>
    </row>
    <row r="32" spans="2:7" x14ac:dyDescent="0.25">
      <c r="B32" s="3">
        <v>1000</v>
      </c>
      <c r="C32" s="4">
        <v>0.25</v>
      </c>
      <c r="D32" s="5" t="s">
        <v>63</v>
      </c>
      <c r="E32" s="58">
        <f>B32*((1+C32/365)^(8*365))</f>
        <v>7383.9991426156257</v>
      </c>
      <c r="G32" s="60">
        <f t="shared" si="0"/>
        <v>7384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FC15-C9D2-4F91-8149-F98F013DA2FC}">
  <dimension ref="A7:H38"/>
  <sheetViews>
    <sheetView workbookViewId="0">
      <selection activeCell="C93" sqref="C93"/>
    </sheetView>
  </sheetViews>
  <sheetFormatPr defaultColWidth="8.85546875" defaultRowHeight="15" x14ac:dyDescent="0.25"/>
  <cols>
    <col min="1" max="1" width="27" bestFit="1" customWidth="1"/>
    <col min="2" max="2" width="10.85546875" bestFit="1" customWidth="1"/>
    <col min="3" max="3" width="19.42578125" customWidth="1"/>
    <col min="5" max="5" width="19.28515625" bestFit="1" customWidth="1"/>
    <col min="8" max="8" width="11.42578125" bestFit="1" customWidth="1"/>
  </cols>
  <sheetData>
    <row r="7" spans="1:8" x14ac:dyDescent="0.25">
      <c r="B7" s="8"/>
    </row>
    <row r="8" spans="1:8" x14ac:dyDescent="0.25">
      <c r="A8" t="s">
        <v>70</v>
      </c>
      <c r="B8" s="47">
        <v>10000</v>
      </c>
    </row>
    <row r="9" spans="1:8" x14ac:dyDescent="0.25">
      <c r="A9" t="s">
        <v>71</v>
      </c>
      <c r="B9" s="48">
        <v>0.05</v>
      </c>
    </row>
    <row r="10" spans="1:8" x14ac:dyDescent="0.25">
      <c r="A10" t="s">
        <v>72</v>
      </c>
      <c r="B10" s="49">
        <v>1</v>
      </c>
      <c r="C10" t="s">
        <v>5</v>
      </c>
    </row>
    <row r="12" spans="1:8" ht="15.75" thickBot="1" x14ac:dyDescent="0.3">
      <c r="B12" s="10" t="s">
        <v>1</v>
      </c>
      <c r="C12" s="10" t="s">
        <v>68</v>
      </c>
      <c r="D12" s="5" t="s">
        <v>69</v>
      </c>
      <c r="E12" s="10" t="s">
        <v>68</v>
      </c>
      <c r="H12" s="7" t="s">
        <v>258</v>
      </c>
    </row>
    <row r="13" spans="1:8" x14ac:dyDescent="0.25">
      <c r="B13" s="5">
        <v>0</v>
      </c>
      <c r="C13" s="53">
        <f>P3_Amount_Ex*(1+P3_Interest_Rate_Ex)^B13</f>
        <v>10000</v>
      </c>
      <c r="E13" s="53">
        <f>P3_Amount_Ex</f>
        <v>10000</v>
      </c>
      <c r="H13" s="64">
        <f>ROUND(C13,0)</f>
        <v>10000</v>
      </c>
    </row>
    <row r="14" spans="1:8" x14ac:dyDescent="0.25">
      <c r="B14" s="5">
        <v>1</v>
      </c>
      <c r="C14" s="53">
        <f>P3_Amount_Ex*(1+P3_Interest_Rate_Ex)^B14</f>
        <v>10500</v>
      </c>
      <c r="E14" s="53">
        <f>E13*(1+P3_Interest_Rate_Ex)</f>
        <v>10500</v>
      </c>
      <c r="H14" s="64">
        <f t="shared" ref="H14:H17" si="0">ROUND(C14,0)</f>
        <v>10500</v>
      </c>
    </row>
    <row r="15" spans="1:8" x14ac:dyDescent="0.25">
      <c r="B15" s="5">
        <v>2</v>
      </c>
      <c r="C15" s="53">
        <f>P3_Amount_Ex*(1+P3_Interest_Rate_Ex)^B15</f>
        <v>11025</v>
      </c>
      <c r="E15" s="53">
        <f>E14*(1+P3_Interest_Rate_Ex)</f>
        <v>11025</v>
      </c>
      <c r="H15" s="64">
        <f t="shared" si="0"/>
        <v>11025</v>
      </c>
    </row>
    <row r="16" spans="1:8" x14ac:dyDescent="0.25">
      <c r="B16" s="5">
        <v>3</v>
      </c>
      <c r="C16" s="53">
        <f>P3_Amount_Ex*(1+P3_Interest_Rate_Ex)^B16</f>
        <v>11576.250000000002</v>
      </c>
      <c r="E16" s="53">
        <f>E15*(1+P3_Interest_Rate_Ex)</f>
        <v>11576.25</v>
      </c>
      <c r="H16" s="64">
        <f t="shared" si="0"/>
        <v>11576</v>
      </c>
    </row>
    <row r="17" spans="1:8" x14ac:dyDescent="0.25">
      <c r="B17" s="5">
        <v>4</v>
      </c>
      <c r="C17" s="53">
        <f>P3_Amount_Ex*(1+P3_Interest_Rate_Ex)^B17</f>
        <v>12155.0625</v>
      </c>
      <c r="E17" s="53">
        <f>E16*(1+P3_Interest_Rate_Ex)</f>
        <v>12155.0625</v>
      </c>
      <c r="H17" s="64">
        <f t="shared" si="0"/>
        <v>12155</v>
      </c>
    </row>
    <row r="23" spans="1:8" x14ac:dyDescent="0.25">
      <c r="A23" t="s">
        <v>65</v>
      </c>
      <c r="B23" s="50">
        <v>100000</v>
      </c>
    </row>
    <row r="24" spans="1:8" x14ac:dyDescent="0.25">
      <c r="A24" t="s">
        <v>66</v>
      </c>
      <c r="B24" s="51">
        <v>0.08</v>
      </c>
    </row>
    <row r="25" spans="1:8" x14ac:dyDescent="0.25">
      <c r="A25" t="s">
        <v>67</v>
      </c>
      <c r="B25" s="43">
        <v>1</v>
      </c>
      <c r="C25" t="s">
        <v>5</v>
      </c>
    </row>
    <row r="27" spans="1:8" ht="15.75" thickBot="1" x14ac:dyDescent="0.3">
      <c r="B27" s="10" t="s">
        <v>1</v>
      </c>
      <c r="C27" s="10" t="s">
        <v>68</v>
      </c>
      <c r="H27" s="7" t="s">
        <v>258</v>
      </c>
    </row>
    <row r="28" spans="1:8" x14ac:dyDescent="0.25">
      <c r="B28" s="5">
        <v>0</v>
      </c>
      <c r="C28" s="41">
        <f>B23</f>
        <v>100000</v>
      </c>
      <c r="H28" s="64">
        <f>ROUND(C28,0)</f>
        <v>100000</v>
      </c>
    </row>
    <row r="29" spans="1:8" x14ac:dyDescent="0.25">
      <c r="B29" s="5">
        <v>1</v>
      </c>
      <c r="C29" s="41">
        <f>C28*(1+$B$24)</f>
        <v>108000</v>
      </c>
      <c r="H29" s="64">
        <f t="shared" ref="H29:H33" si="1">ROUND(C29,0)</f>
        <v>108000</v>
      </c>
    </row>
    <row r="30" spans="1:8" x14ac:dyDescent="0.25">
      <c r="B30" s="5">
        <v>2</v>
      </c>
      <c r="C30" s="41">
        <f t="shared" ref="C30:C38" si="2">C29*(1+$B$24)</f>
        <v>116640.00000000001</v>
      </c>
      <c r="H30" s="64">
        <f t="shared" si="1"/>
        <v>116640</v>
      </c>
    </row>
    <row r="31" spans="1:8" x14ac:dyDescent="0.25">
      <c r="B31" s="5">
        <v>3</v>
      </c>
      <c r="C31" s="41">
        <f t="shared" si="2"/>
        <v>125971.20000000003</v>
      </c>
      <c r="H31" s="64">
        <f t="shared" si="1"/>
        <v>125971</v>
      </c>
    </row>
    <row r="32" spans="1:8" x14ac:dyDescent="0.25">
      <c r="B32" s="5">
        <v>4</v>
      </c>
      <c r="C32" s="41">
        <f t="shared" si="2"/>
        <v>136048.89600000004</v>
      </c>
      <c r="H32" s="64">
        <f t="shared" si="1"/>
        <v>136049</v>
      </c>
    </row>
    <row r="33" spans="2:8" x14ac:dyDescent="0.25">
      <c r="B33" s="5">
        <v>5</v>
      </c>
      <c r="C33" s="41">
        <f t="shared" si="2"/>
        <v>146932.80768000006</v>
      </c>
      <c r="H33" s="64">
        <f t="shared" si="1"/>
        <v>146933</v>
      </c>
    </row>
    <row r="34" spans="2:8" x14ac:dyDescent="0.25">
      <c r="B34" s="5">
        <v>6</v>
      </c>
      <c r="C34" s="41">
        <f t="shared" si="2"/>
        <v>158687.43229440006</v>
      </c>
      <c r="H34" s="64">
        <f>ROUND(C34,0)</f>
        <v>158687</v>
      </c>
    </row>
    <row r="35" spans="2:8" x14ac:dyDescent="0.25">
      <c r="B35" s="5">
        <v>7</v>
      </c>
      <c r="C35" s="41">
        <f t="shared" si="2"/>
        <v>171382.42687795206</v>
      </c>
      <c r="H35" s="64">
        <f t="shared" ref="H35:H38" si="3">ROUND(C35,0)</f>
        <v>171382</v>
      </c>
    </row>
    <row r="36" spans="2:8" x14ac:dyDescent="0.25">
      <c r="B36" s="5">
        <v>8</v>
      </c>
      <c r="C36" s="41">
        <f t="shared" si="2"/>
        <v>185093.02102818823</v>
      </c>
      <c r="H36" s="64">
        <f t="shared" si="3"/>
        <v>185093</v>
      </c>
    </row>
    <row r="37" spans="2:8" x14ac:dyDescent="0.25">
      <c r="B37" s="5">
        <v>9</v>
      </c>
      <c r="C37" s="41">
        <f t="shared" si="2"/>
        <v>199900.4627104433</v>
      </c>
      <c r="H37" s="64">
        <f t="shared" si="3"/>
        <v>199900</v>
      </c>
    </row>
    <row r="38" spans="2:8" x14ac:dyDescent="0.25">
      <c r="B38" s="5">
        <v>10</v>
      </c>
      <c r="C38" s="41">
        <f t="shared" si="2"/>
        <v>215892.49972727877</v>
      </c>
      <c r="H38" s="64">
        <f t="shared" si="3"/>
        <v>215892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1354-DE4A-406F-A619-DEB09DDF7A73}">
  <dimension ref="A7:O41"/>
  <sheetViews>
    <sheetView topLeftCell="A7" zoomScale="115" zoomScaleNormal="115" workbookViewId="0">
      <selection activeCell="C93" sqref="C93"/>
    </sheetView>
  </sheetViews>
  <sheetFormatPr defaultColWidth="8.85546875" defaultRowHeight="15" x14ac:dyDescent="0.25"/>
  <cols>
    <col min="1" max="1" width="33.42578125" bestFit="1" customWidth="1"/>
    <col min="2" max="2" width="6.85546875" customWidth="1"/>
  </cols>
  <sheetData>
    <row r="7" spans="1:8" x14ac:dyDescent="0.25">
      <c r="A7" t="s">
        <v>74</v>
      </c>
      <c r="B7" s="65">
        <v>0.12</v>
      </c>
    </row>
    <row r="9" spans="1:8" ht="15.75" thickBot="1" x14ac:dyDescent="0.3">
      <c r="A9" t="s">
        <v>0</v>
      </c>
      <c r="C9" s="6">
        <v>0</v>
      </c>
      <c r="D9" s="6">
        <v>1</v>
      </c>
      <c r="E9" s="6">
        <v>2</v>
      </c>
      <c r="F9" s="6">
        <v>3</v>
      </c>
      <c r="G9" s="6">
        <v>4</v>
      </c>
      <c r="H9" s="6">
        <v>5</v>
      </c>
    </row>
    <row r="10" spans="1:8" ht="15.75" thickBot="1" x14ac:dyDescent="0.3">
      <c r="A10" t="s">
        <v>73</v>
      </c>
      <c r="C10" s="12"/>
      <c r="D10" s="13">
        <v>100</v>
      </c>
      <c r="E10" s="13">
        <v>200</v>
      </c>
      <c r="F10" s="13">
        <v>300</v>
      </c>
      <c r="G10" s="13">
        <v>400</v>
      </c>
      <c r="H10" s="13">
        <v>500</v>
      </c>
    </row>
    <row r="11" spans="1:8" x14ac:dyDescent="0.25">
      <c r="A11" t="s">
        <v>166</v>
      </c>
      <c r="B11" s="33">
        <v>0</v>
      </c>
      <c r="C11" s="62">
        <f>ROUND(SUM(D11:H11),0)</f>
        <v>1000</v>
      </c>
      <c r="D11" s="61">
        <f>D$10/(1+P4_Interest_Rate_Ex)^(D$9-$B11)</f>
        <v>89.285714285714278</v>
      </c>
      <c r="E11" s="61">
        <f>E$10/(1+P4_Interest_Rate_Ex)^(E$9-$B11)</f>
        <v>159.43877551020407</v>
      </c>
      <c r="F11" s="61">
        <f>F$10/(1+P4_Interest_Rate_Ex)^(F$9-$B11)</f>
        <v>213.53407434402325</v>
      </c>
      <c r="G11" s="61">
        <f>G$10/(1+P4_Interest_Rate_Ex)^(G$9-$B11)</f>
        <v>254.20723136193246</v>
      </c>
      <c r="H11" s="61">
        <f>H$10/(1+P4_Interest_Rate_Ex)^(H$9-$B11)</f>
        <v>283.7134278592996</v>
      </c>
    </row>
    <row r="12" spans="1:8" x14ac:dyDescent="0.25">
      <c r="A12" t="s">
        <v>166</v>
      </c>
      <c r="B12" s="33">
        <v>1</v>
      </c>
      <c r="C12" s="11"/>
      <c r="D12" s="62">
        <f>ROUND(SUM(E12:H12),0)</f>
        <v>1020</v>
      </c>
      <c r="E12" s="61">
        <f>E$10/(1+P4_Interest_Rate_Ex)^(E$9-$B12)</f>
        <v>178.57142857142856</v>
      </c>
      <c r="F12" s="61">
        <f>F$10/(1+P4_Interest_Rate_Ex)^(F$9-$B12)</f>
        <v>239.15816326530609</v>
      </c>
      <c r="G12" s="61">
        <f>G$10/(1+P4_Interest_Rate_Ex)^(G$9-$B12)</f>
        <v>284.71209912536438</v>
      </c>
      <c r="H12" s="61">
        <f>H$10/(1+P4_Interest_Rate_Ex)^(H$9-$B12)</f>
        <v>317.75903920241558</v>
      </c>
    </row>
    <row r="13" spans="1:8" x14ac:dyDescent="0.25">
      <c r="A13" t="s">
        <v>166</v>
      </c>
      <c r="B13" s="33">
        <v>2</v>
      </c>
      <c r="C13" s="11"/>
      <c r="D13" s="11"/>
      <c r="E13" s="62">
        <f>ROUND(SUM(F13:H13),0)</f>
        <v>943</v>
      </c>
      <c r="F13" s="61">
        <f>F$10/(1+P4_Interest_Rate_Ex)^(F$9-$B13)</f>
        <v>267.85714285714283</v>
      </c>
      <c r="G13" s="61">
        <f>G$10/(1+P4_Interest_Rate_Ex)^(G$9-$B13)</f>
        <v>318.87755102040813</v>
      </c>
      <c r="H13" s="61">
        <f>H$10/(1+P4_Interest_Rate_Ex)^(H$9-$B13)</f>
        <v>355.89012390670541</v>
      </c>
    </row>
    <row r="14" spans="1:8" x14ac:dyDescent="0.25">
      <c r="A14" t="s">
        <v>166</v>
      </c>
      <c r="B14" s="33">
        <v>3</v>
      </c>
      <c r="C14" s="11"/>
      <c r="D14" s="11"/>
      <c r="E14" s="11"/>
      <c r="F14" s="62">
        <f>ROUND(SUM(G14:H14),0)</f>
        <v>756</v>
      </c>
      <c r="G14" s="61">
        <f>G$10/(1+P4_Interest_Rate_Ex)^(G$9-$B14)</f>
        <v>357.14285714285711</v>
      </c>
      <c r="H14" s="61">
        <f>H$10/(1+P4_Interest_Rate_Ex)^(H$9-$B14)</f>
        <v>398.59693877551013</v>
      </c>
    </row>
    <row r="15" spans="1:8" x14ac:dyDescent="0.25">
      <c r="A15" t="s">
        <v>166</v>
      </c>
      <c r="B15" s="33">
        <v>4</v>
      </c>
      <c r="C15" s="11"/>
      <c r="D15" s="11"/>
      <c r="E15" s="11"/>
      <c r="F15" s="11"/>
      <c r="G15" s="62">
        <f>ROUND(SUM(H15),0)</f>
        <v>446</v>
      </c>
      <c r="H15" s="61">
        <f>H$10/(1+P4_Interest_Rate_Ex)^(H$9-$B15)</f>
        <v>446.42857142857139</v>
      </c>
    </row>
    <row r="16" spans="1:8" x14ac:dyDescent="0.25">
      <c r="A16" t="s">
        <v>166</v>
      </c>
      <c r="B16" s="33">
        <v>5</v>
      </c>
      <c r="C16" s="11"/>
      <c r="D16" s="11"/>
      <c r="E16" s="11"/>
      <c r="F16" s="11"/>
      <c r="H16" s="62">
        <f>0</f>
        <v>0</v>
      </c>
    </row>
    <row r="22" spans="1:15" x14ac:dyDescent="0.25">
      <c r="A22" t="s">
        <v>75</v>
      </c>
      <c r="B22" s="104">
        <v>0.08</v>
      </c>
    </row>
    <row r="24" spans="1:15" ht="15.75" thickBot="1" x14ac:dyDescent="0.3">
      <c r="A24" t="s">
        <v>0</v>
      </c>
      <c r="C24" s="6">
        <v>0</v>
      </c>
      <c r="D24" s="6">
        <v>1</v>
      </c>
      <c r="E24" s="6">
        <v>2</v>
      </c>
      <c r="F24" s="6">
        <v>3</v>
      </c>
      <c r="G24" s="6">
        <v>4</v>
      </c>
      <c r="H24" s="6">
        <v>5</v>
      </c>
      <c r="I24" s="6">
        <v>6</v>
      </c>
      <c r="J24" s="6">
        <v>7</v>
      </c>
      <c r="K24" s="6">
        <v>8</v>
      </c>
      <c r="L24" s="6">
        <v>9</v>
      </c>
      <c r="M24" s="6">
        <v>10</v>
      </c>
      <c r="N24" s="6">
        <v>11</v>
      </c>
      <c r="O24" s="6">
        <v>12</v>
      </c>
    </row>
    <row r="25" spans="1:15" ht="15.75" thickBot="1" x14ac:dyDescent="0.3">
      <c r="A25" t="s">
        <v>73</v>
      </c>
      <c r="C25" s="12"/>
      <c r="D25" s="13">
        <v>400</v>
      </c>
      <c r="E25" s="13">
        <v>500</v>
      </c>
      <c r="F25" s="13">
        <v>600</v>
      </c>
      <c r="G25" s="13">
        <v>100</v>
      </c>
      <c r="H25" s="13">
        <v>200</v>
      </c>
      <c r="I25" s="13">
        <v>300</v>
      </c>
      <c r="J25" s="13">
        <v>400</v>
      </c>
      <c r="K25" s="13">
        <v>700</v>
      </c>
      <c r="L25" s="13">
        <v>900</v>
      </c>
      <c r="M25" s="13">
        <v>1000</v>
      </c>
      <c r="N25" s="13">
        <v>1100</v>
      </c>
      <c r="O25" s="13">
        <v>1200</v>
      </c>
    </row>
    <row r="26" spans="1:15" x14ac:dyDescent="0.25">
      <c r="A26" t="s">
        <v>166</v>
      </c>
      <c r="B26" s="33">
        <v>0</v>
      </c>
      <c r="C26" s="62">
        <f>ROUND(SUM(D26:O26),0)</f>
        <v>4147</v>
      </c>
      <c r="D26" s="61" cm="1">
        <f t="array" ref="D26">D$25/(1+P4_Interest_Rate)^(D$24-$B26)</f>
        <v>370.37037037037032</v>
      </c>
      <c r="E26" s="61" cm="1">
        <f t="array" ref="E26">E$25/(1+P4_Interest_Rate)^(E$24-$B26)</f>
        <v>428.66941015089162</v>
      </c>
      <c r="F26" s="61" cm="1">
        <f t="array" ref="F26">F$25/(1+P4_Interest_Rate)^(F$24-$B26)</f>
        <v>476.29934461210178</v>
      </c>
      <c r="G26" s="61" cm="1">
        <f t="array" ref="G26">G$25/(1+P4_Interest_Rate)^(G$24-$B26)</f>
        <v>73.50298527964533</v>
      </c>
      <c r="H26" s="61" cm="1">
        <f t="array" ref="H26">H$25/(1+P4_Interest_Rate)^(H$24-$B26)</f>
        <v>136.11663940675061</v>
      </c>
      <c r="I26" s="61" cm="1">
        <f t="array" ref="I26">I$25/(1+P4_Interest_Rate)^(I$24-$B26)</f>
        <v>189.05088806493137</v>
      </c>
      <c r="J26" s="61" cm="1">
        <f t="array" ref="J26">J$25/(1+P4_Interest_Rate)^(J$24-$B26)</f>
        <v>233.39615810485353</v>
      </c>
      <c r="K26" s="61" cm="1">
        <f t="array" ref="K26">K$25/(1+P4_Interest_Rate)^(K$24-$B26)</f>
        <v>378.18821915138307</v>
      </c>
      <c r="L26" s="61" cm="1">
        <f t="array" ref="L26">L$25/(1+P4_Interest_Rate)^(L$24-$B26)</f>
        <v>450.22407041831309</v>
      </c>
      <c r="M26" s="61" cm="1">
        <f t="array" ref="M26">M$25/(1+P4_Interest_Rate)^(M$24-$B26)</f>
        <v>463.19348808468425</v>
      </c>
      <c r="N26" s="61" cm="1">
        <f t="array" ref="N26">N$25/(1+P4_Interest_Rate)^(N$24-$B26)</f>
        <v>471.77114527143766</v>
      </c>
      <c r="O26" s="61" cm="1">
        <f t="array" ref="O26">O$25/(1+P4_Interest_Rate)^(O$24-$B26)</f>
        <v>476.53651037518955</v>
      </c>
    </row>
    <row r="27" spans="1:15" x14ac:dyDescent="0.25">
      <c r="A27" t="s">
        <v>166</v>
      </c>
      <c r="B27" s="33">
        <v>1</v>
      </c>
      <c r="C27" s="35"/>
      <c r="D27" s="62">
        <f>ROUND(SUM(E27:O27),0)</f>
        <v>4079</v>
      </c>
      <c r="E27" s="61" cm="1">
        <f t="array" ref="E27">E$25/(1+P4_Interest_Rate)^(E$24-$B27)</f>
        <v>462.96296296296293</v>
      </c>
      <c r="F27" s="61" cm="1">
        <f t="array" ref="F27">F$25/(1+P4_Interest_Rate)^(F$24-$B27)</f>
        <v>514.4032921810699</v>
      </c>
      <c r="G27" s="61" cm="1">
        <f t="array" ref="G27">G$25/(1+P4_Interest_Rate)^(G$24-$B27)</f>
        <v>79.383224102016953</v>
      </c>
      <c r="H27" s="61" cm="1">
        <f t="array" ref="H27">H$25/(1+P4_Interest_Rate)^(H$24-$B27)</f>
        <v>147.00597055929066</v>
      </c>
      <c r="I27" s="61" cm="1">
        <f t="array" ref="I27">I$25/(1+P4_Interest_Rate)^(I$24-$B27)</f>
        <v>204.17495911012591</v>
      </c>
      <c r="J27" s="61" cm="1">
        <f t="array" ref="J27">J$25/(1+P4_Interest_Rate)^(J$24-$B27)</f>
        <v>252.06785075324183</v>
      </c>
      <c r="K27" s="61" cm="1">
        <f t="array" ref="K27">K$25/(1+P4_Interest_Rate)^(K$24-$B27)</f>
        <v>408.44327668349371</v>
      </c>
      <c r="L27" s="61" cm="1">
        <f t="array" ref="L27">L$25/(1+P4_Interest_Rate)^(L$24-$B27)</f>
        <v>486.24199605177819</v>
      </c>
      <c r="M27" s="61" cm="1">
        <f t="array" ref="M27">M$25/(1+P4_Interest_Rate)^(M$24-$B27)</f>
        <v>500.24896713145898</v>
      </c>
      <c r="N27" s="61" cm="1">
        <f t="array" ref="N27">N$25/(1+P4_Interest_Rate)^(N$24-$B27)</f>
        <v>509.51283689315267</v>
      </c>
      <c r="O27" s="61" cm="1">
        <f t="array" ref="O27">O$25/(1+P4_Interest_Rate)^(O$24-$B27)</f>
        <v>514.65943120520478</v>
      </c>
    </row>
    <row r="28" spans="1:15" x14ac:dyDescent="0.25">
      <c r="A28" t="s">
        <v>166</v>
      </c>
      <c r="B28" s="33">
        <v>2</v>
      </c>
      <c r="C28" s="35"/>
      <c r="D28" s="35"/>
      <c r="E28" s="62">
        <f>ROUND(SUM(F28:O28),0)</f>
        <v>3905</v>
      </c>
      <c r="F28" s="61" cm="1">
        <f t="array" ref="F28">F$25/(1+P4_Interest_Rate)^(F$24-$B28)</f>
        <v>555.55555555555554</v>
      </c>
      <c r="G28" s="61" cm="1">
        <f t="array" ref="G28">G$25/(1+P4_Interest_Rate)^(G$24-$B28)</f>
        <v>85.733882030178322</v>
      </c>
      <c r="H28" s="61" cm="1">
        <f t="array" ref="H28">H$25/(1+P4_Interest_Rate)^(H$24-$B28)</f>
        <v>158.76644820403391</v>
      </c>
      <c r="I28" s="61" cm="1">
        <f t="array" ref="I28">I$25/(1+P4_Interest_Rate)^(I$24-$B28)</f>
        <v>220.50895583893598</v>
      </c>
      <c r="J28" s="61" cm="1">
        <f t="array" ref="J28">J$25/(1+P4_Interest_Rate)^(J$24-$B28)</f>
        <v>272.23327881350122</v>
      </c>
      <c r="K28" s="61" cm="1">
        <f t="array" ref="K28">K$25/(1+P4_Interest_Rate)^(K$24-$B28)</f>
        <v>441.1187388181732</v>
      </c>
      <c r="L28" s="61" cm="1">
        <f t="array" ref="L28">L$25/(1+P4_Interest_Rate)^(L$24-$B28)</f>
        <v>525.14135573592046</v>
      </c>
      <c r="M28" s="61" cm="1">
        <f t="array" ref="M28">M$25/(1+P4_Interest_Rate)^(M$24-$B28)</f>
        <v>540.26888450197578</v>
      </c>
      <c r="N28" s="61" cm="1">
        <f t="array" ref="N28">N$25/(1+P4_Interest_Rate)^(N$24-$B28)</f>
        <v>550.27386384460488</v>
      </c>
      <c r="O28" s="61" cm="1">
        <f t="array" ref="O28">O$25/(1+P4_Interest_Rate)^(O$24-$B28)</f>
        <v>555.83218570162114</v>
      </c>
    </row>
    <row r="29" spans="1:15" x14ac:dyDescent="0.25">
      <c r="A29" t="s">
        <v>166</v>
      </c>
      <c r="B29" s="33">
        <v>3</v>
      </c>
      <c r="C29" s="35"/>
      <c r="D29" s="35"/>
      <c r="E29" s="35"/>
      <c r="F29" s="62">
        <f>ROUND(SUM(G29:O29),0)</f>
        <v>3618</v>
      </c>
      <c r="G29" s="61" cm="1">
        <f t="array" ref="G29">G$25/(1+P4_Interest_Rate)^(G$24-$B29)</f>
        <v>92.592592592592581</v>
      </c>
      <c r="H29" s="61" cm="1">
        <f t="array" ref="H29">H$25/(1+P4_Interest_Rate)^(H$24-$B29)</f>
        <v>171.46776406035664</v>
      </c>
      <c r="I29" s="61" cm="1">
        <f t="array" ref="I29">I$25/(1+P4_Interest_Rate)^(I$24-$B29)</f>
        <v>238.14967230605089</v>
      </c>
      <c r="J29" s="61" cm="1">
        <f t="array" ref="J29">J$25/(1+P4_Interest_Rate)^(J$24-$B29)</f>
        <v>294.01194111858132</v>
      </c>
      <c r="K29" s="61" cm="1">
        <f t="array" ref="K29">K$25/(1+P4_Interest_Rate)^(K$24-$B29)</f>
        <v>476.4082379236271</v>
      </c>
      <c r="L29" s="61" cm="1">
        <f t="array" ref="L29">L$25/(1+P4_Interest_Rate)^(L$24-$B29)</f>
        <v>567.15266419479406</v>
      </c>
      <c r="M29" s="61" cm="1">
        <f t="array" ref="M29">M$25/(1+P4_Interest_Rate)^(M$24-$B29)</f>
        <v>583.4903952621338</v>
      </c>
      <c r="N29" s="61" cm="1">
        <f t="array" ref="N29">N$25/(1+P4_Interest_Rate)^(N$24-$B29)</f>
        <v>594.29577295217337</v>
      </c>
      <c r="O29" s="61" cm="1">
        <f t="array" ref="O29">O$25/(1+P4_Interest_Rate)^(O$24-$B29)</f>
        <v>600.29876055775082</v>
      </c>
    </row>
    <row r="30" spans="1:15" x14ac:dyDescent="0.25">
      <c r="A30" t="s">
        <v>166</v>
      </c>
      <c r="B30" s="33">
        <v>4</v>
      </c>
      <c r="C30" s="35"/>
      <c r="D30" s="35"/>
      <c r="E30" s="35"/>
      <c r="F30" s="35"/>
      <c r="G30" s="62">
        <f>ROUND(SUM(H30:O30),0)</f>
        <v>3807</v>
      </c>
      <c r="H30" s="61" cm="1">
        <f t="array" ref="H30">H$25/(1+P4_Interest_Rate)^(H$24-$B30)</f>
        <v>185.18518518518516</v>
      </c>
      <c r="I30" s="61" cm="1">
        <f t="array" ref="I30">I$25/(1+P4_Interest_Rate)^(I$24-$B30)</f>
        <v>257.20164609053495</v>
      </c>
      <c r="J30" s="61" cm="1">
        <f t="array" ref="J30">J$25/(1+P4_Interest_Rate)^(J$24-$B30)</f>
        <v>317.53289640806781</v>
      </c>
      <c r="K30" s="61" cm="1">
        <f t="array" ref="K30">K$25/(1+P4_Interest_Rate)^(K$24-$B30)</f>
        <v>514.52089695751727</v>
      </c>
      <c r="L30" s="61" cm="1">
        <f t="array" ref="L30">L$25/(1+P4_Interest_Rate)^(L$24-$B30)</f>
        <v>612.52487733037776</v>
      </c>
      <c r="M30" s="61" cm="1">
        <f t="array" ref="M30">M$25/(1+P4_Interest_Rate)^(M$24-$B30)</f>
        <v>630.16962688310457</v>
      </c>
      <c r="N30" s="61" cm="1">
        <f t="array" ref="N30">N$25/(1+P4_Interest_Rate)^(N$24-$B30)</f>
        <v>641.83943478834726</v>
      </c>
      <c r="O30" s="61" cm="1">
        <f t="array" ref="O30">O$25/(1+P4_Interest_Rate)^(O$24-$B30)</f>
        <v>648.32266140237095</v>
      </c>
    </row>
    <row r="31" spans="1:15" x14ac:dyDescent="0.25">
      <c r="A31" t="s">
        <v>166</v>
      </c>
      <c r="B31" s="33">
        <v>5</v>
      </c>
      <c r="E31" s="35"/>
      <c r="F31" s="35"/>
      <c r="G31" s="35"/>
      <c r="H31" s="62">
        <f>ROUND(SUM(I31:O31),0)</f>
        <v>3912</v>
      </c>
      <c r="I31" s="61" cm="1">
        <f t="array" ref="I31">I$25/(1+P4_Interest_Rate)^(I$24-$B31)</f>
        <v>277.77777777777777</v>
      </c>
      <c r="J31" s="61" cm="1">
        <f t="array" ref="J31">J$25/(1+P4_Interest_Rate)^(J$24-$B31)</f>
        <v>342.93552812071329</v>
      </c>
      <c r="K31" s="61" cm="1">
        <f t="array" ref="K31">K$25/(1+P4_Interest_Rate)^(K$24-$B31)</f>
        <v>555.6825687141187</v>
      </c>
      <c r="L31" s="61" cm="1">
        <f t="array" ref="L31">L$25/(1+P4_Interest_Rate)^(L$24-$B31)</f>
        <v>661.5268675168079</v>
      </c>
      <c r="M31" s="61" cm="1">
        <f t="array" ref="M31">M$25/(1+P4_Interest_Rate)^(M$24-$B31)</f>
        <v>680.58319703375298</v>
      </c>
      <c r="N31" s="61" cm="1">
        <f t="array" ref="N31">N$25/(1+P4_Interest_Rate)^(N$24-$B31)</f>
        <v>693.18658957141497</v>
      </c>
      <c r="O31" s="61" cm="1">
        <f t="array" ref="O31">O$25/(1+P4_Interest_Rate)^(O$24-$B31)</f>
        <v>700.18847431456061</v>
      </c>
    </row>
    <row r="32" spans="1:15" x14ac:dyDescent="0.25">
      <c r="A32" t="s">
        <v>166</v>
      </c>
      <c r="B32" s="33">
        <v>6</v>
      </c>
      <c r="F32" s="35"/>
      <c r="G32" s="35"/>
      <c r="H32" s="35"/>
      <c r="I32" s="62">
        <f>ROUND(SUM(J32:O32),0)</f>
        <v>3925</v>
      </c>
      <c r="J32" s="61" cm="1">
        <f t="array" ref="J32">J$25/(1+P4_Interest_Rate)^(J$24-$B32)</f>
        <v>370.37037037037032</v>
      </c>
      <c r="K32" s="61" cm="1">
        <f t="array" ref="K32">K$25/(1+P4_Interest_Rate)^(K$24-$B32)</f>
        <v>600.13717421124818</v>
      </c>
      <c r="L32" s="61" cm="1">
        <f t="array" ref="L32">L$25/(1+P4_Interest_Rate)^(L$24-$B32)</f>
        <v>714.44901691815267</v>
      </c>
      <c r="M32" s="61" cm="1">
        <f t="array" ref="M32">M$25/(1+P4_Interest_Rate)^(M$24-$B32)</f>
        <v>735.02985279645327</v>
      </c>
      <c r="N32" s="61" cm="1">
        <f t="array" ref="N32">N$25/(1+P4_Interest_Rate)^(N$24-$B32)</f>
        <v>748.64151673712831</v>
      </c>
      <c r="O32" s="61" cm="1">
        <f t="array" ref="O32">O$25/(1+P4_Interest_Rate)^(O$24-$B32)</f>
        <v>756.20355225972548</v>
      </c>
    </row>
    <row r="33" spans="1:15" x14ac:dyDescent="0.25">
      <c r="A33" t="s">
        <v>166</v>
      </c>
      <c r="B33" s="33">
        <v>7</v>
      </c>
      <c r="G33" s="35"/>
      <c r="H33" s="35"/>
      <c r="I33" s="35"/>
      <c r="J33" s="62">
        <f>ROUND(SUM(K33:O33),0)</f>
        <v>3839</v>
      </c>
      <c r="K33" s="61" cm="1">
        <f t="array" ref="K33">K$25/(1+P4_Interest_Rate)^(K$24-$B33)</f>
        <v>648.14814814814815</v>
      </c>
      <c r="L33" s="61" cm="1">
        <f t="array" ref="L33">L$25/(1+P4_Interest_Rate)^(L$24-$B33)</f>
        <v>771.60493827160485</v>
      </c>
      <c r="M33" s="61" cm="1">
        <f t="array" ref="M33">M$25/(1+P4_Interest_Rate)^(M$24-$B33)</f>
        <v>793.83224102016959</v>
      </c>
      <c r="N33" s="61" cm="1">
        <f t="array" ref="N33">N$25/(1+P4_Interest_Rate)^(N$24-$B33)</f>
        <v>808.53283807609853</v>
      </c>
      <c r="O33" s="61" cm="1">
        <f t="array" ref="O33">O$25/(1+P4_Interest_Rate)^(O$24-$B33)</f>
        <v>816.69983644050365</v>
      </c>
    </row>
    <row r="34" spans="1:15" x14ac:dyDescent="0.25">
      <c r="A34" t="s">
        <v>166</v>
      </c>
      <c r="B34" s="33">
        <v>8</v>
      </c>
      <c r="H34" s="35"/>
      <c r="I34" s="35"/>
      <c r="J34" s="35"/>
      <c r="K34" s="62">
        <f>ROUND(SUM(L34:O34),0)</f>
        <v>3446</v>
      </c>
      <c r="L34" s="61" cm="1">
        <f t="array" ref="L34">L$25/(1+P4_Interest_Rate)^(L$24-$B34)</f>
        <v>833.33333333333326</v>
      </c>
      <c r="M34" s="61" cm="1">
        <f t="array" ref="M34">M$25/(1+P4_Interest_Rate)^(M$24-$B34)</f>
        <v>857.33882030178324</v>
      </c>
      <c r="N34" s="61" cm="1">
        <f t="array" ref="N34">N$25/(1+P4_Interest_Rate)^(N$24-$B34)</f>
        <v>873.21546512218652</v>
      </c>
      <c r="O34" s="61" cm="1">
        <f t="array" ref="O34">O$25/(1+P4_Interest_Rate)^(O$24-$B34)</f>
        <v>882.0358233557439</v>
      </c>
    </row>
    <row r="35" spans="1:15" x14ac:dyDescent="0.25">
      <c r="A35" t="s">
        <v>166</v>
      </c>
      <c r="B35" s="33">
        <v>9</v>
      </c>
      <c r="I35" s="35"/>
      <c r="J35" s="35"/>
      <c r="K35" s="35"/>
      <c r="L35" s="62">
        <f>ROUND(SUM(M35:O35),0)</f>
        <v>2822</v>
      </c>
      <c r="M35" s="61" cm="1">
        <f t="array" ref="M35">M$25/(1+P4_Interest_Rate)^(M$24-$B35)</f>
        <v>925.92592592592587</v>
      </c>
      <c r="N35" s="61" cm="1">
        <f t="array" ref="N35">N$25/(1+P4_Interest_Rate)^(N$24-$B35)</f>
        <v>943.07270233196152</v>
      </c>
      <c r="O35" s="61" cm="1">
        <f t="array" ref="O35">O$25/(1+P4_Interest_Rate)^(O$24-$B35)</f>
        <v>952.59868922420355</v>
      </c>
    </row>
    <row r="36" spans="1:15" x14ac:dyDescent="0.25">
      <c r="A36" t="s">
        <v>166</v>
      </c>
      <c r="B36" s="33">
        <v>10</v>
      </c>
      <c r="J36" s="35"/>
      <c r="K36" s="35"/>
      <c r="L36" s="35"/>
      <c r="M36" s="62">
        <f>ROUND(SUM(N36:O36),0)</f>
        <v>2047</v>
      </c>
      <c r="N36" s="61" cm="1">
        <f t="array" ref="N36">N$25/(1+P4_Interest_Rate)^(N$24-$B36)</f>
        <v>1018.5185185185185</v>
      </c>
      <c r="O36" s="61" cm="1">
        <f t="array" ref="O36">O$25/(1+P4_Interest_Rate)^(O$24-$B36)</f>
        <v>1028.8065843621398</v>
      </c>
    </row>
    <row r="37" spans="1:15" x14ac:dyDescent="0.25">
      <c r="A37" t="s">
        <v>166</v>
      </c>
      <c r="B37" s="33">
        <v>11</v>
      </c>
      <c r="K37" s="35"/>
      <c r="L37" s="35"/>
      <c r="M37" s="35"/>
      <c r="N37" s="62">
        <f>ROUND(SUM(O37),0)</f>
        <v>1111</v>
      </c>
      <c r="O37" s="61" cm="1">
        <f t="array" ref="O37">O$25/(1+P4_Interest_Rate)^(O$24-$B37)</f>
        <v>1111.1111111111111</v>
      </c>
    </row>
    <row r="38" spans="1:15" x14ac:dyDescent="0.25">
      <c r="A38" t="s">
        <v>166</v>
      </c>
      <c r="B38" s="33">
        <v>12</v>
      </c>
      <c r="L38" s="35"/>
      <c r="M38" s="35"/>
      <c r="N38" s="35"/>
      <c r="O38" s="63">
        <v>0</v>
      </c>
    </row>
    <row r="39" spans="1:15" x14ac:dyDescent="0.25">
      <c r="M39" s="35"/>
      <c r="N39" s="35"/>
      <c r="O39" s="35"/>
    </row>
    <row r="40" spans="1:15" x14ac:dyDescent="0.25">
      <c r="N40" s="35"/>
      <c r="O40" s="35"/>
    </row>
    <row r="41" spans="1:15" x14ac:dyDescent="0.25">
      <c r="O41" s="3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9BC9-4D13-47D1-BDBE-31D44FDB0CDA}">
  <dimension ref="A7:N83"/>
  <sheetViews>
    <sheetView topLeftCell="A36" workbookViewId="0">
      <selection activeCell="C93" sqref="C93"/>
    </sheetView>
  </sheetViews>
  <sheetFormatPr defaultColWidth="8.85546875" defaultRowHeight="15" x14ac:dyDescent="0.25"/>
  <cols>
    <col min="1" max="1" width="20.42578125" customWidth="1"/>
    <col min="2" max="2" width="10.42578125" bestFit="1" customWidth="1"/>
    <col min="14" max="14" width="10.42578125" bestFit="1" customWidth="1"/>
  </cols>
  <sheetData>
    <row r="7" spans="1:14" x14ac:dyDescent="0.25">
      <c r="A7" t="s">
        <v>76</v>
      </c>
      <c r="B7" s="47">
        <v>1000</v>
      </c>
    </row>
    <row r="8" spans="1:14" x14ac:dyDescent="0.25">
      <c r="A8" t="s">
        <v>77</v>
      </c>
      <c r="B8" s="71">
        <v>0.05</v>
      </c>
    </row>
    <row r="9" spans="1:14" x14ac:dyDescent="0.25">
      <c r="A9" t="s">
        <v>78</v>
      </c>
      <c r="B9" s="71">
        <v>6.5000000000000002E-2</v>
      </c>
    </row>
    <row r="10" spans="1:14" x14ac:dyDescent="0.25">
      <c r="A10" t="s">
        <v>79</v>
      </c>
      <c r="B10" s="49">
        <v>0.5</v>
      </c>
      <c r="C10" t="s">
        <v>5</v>
      </c>
    </row>
    <row r="12" spans="1:14" ht="15.75" thickBot="1" x14ac:dyDescent="0.3">
      <c r="A12" t="s">
        <v>0</v>
      </c>
      <c r="B12" s="6">
        <v>0</v>
      </c>
      <c r="C12" s="6">
        <v>1</v>
      </c>
      <c r="D12" s="6">
        <v>2</v>
      </c>
      <c r="E12" s="6">
        <v>3</v>
      </c>
      <c r="F12" s="6">
        <v>4</v>
      </c>
      <c r="G12" s="6">
        <v>5</v>
      </c>
      <c r="H12" s="6">
        <v>6</v>
      </c>
      <c r="I12" s="6">
        <v>7</v>
      </c>
      <c r="J12" s="6">
        <v>8</v>
      </c>
      <c r="K12" s="6">
        <v>9</v>
      </c>
      <c r="L12" s="6">
        <v>10</v>
      </c>
      <c r="M12" s="6">
        <v>11</v>
      </c>
      <c r="N12" s="6">
        <v>12</v>
      </c>
    </row>
    <row r="13" spans="1:14" x14ac:dyDescent="0.25">
      <c r="A13" t="s">
        <v>80</v>
      </c>
      <c r="B13" s="74"/>
      <c r="C13" s="74">
        <f t="shared" ref="C13:N13" si="0">P5_Face_Ex1*(P5_Coupon_Rate_Ex1*P5_One_Period_Ex1)</f>
        <v>25</v>
      </c>
      <c r="D13" s="74">
        <f t="shared" si="0"/>
        <v>25</v>
      </c>
      <c r="E13" s="74">
        <f t="shared" si="0"/>
        <v>25</v>
      </c>
      <c r="F13" s="74">
        <f t="shared" si="0"/>
        <v>25</v>
      </c>
      <c r="G13" s="74">
        <f t="shared" si="0"/>
        <v>25</v>
      </c>
      <c r="H13" s="74">
        <f t="shared" si="0"/>
        <v>25</v>
      </c>
      <c r="I13" s="74">
        <f t="shared" si="0"/>
        <v>25</v>
      </c>
      <c r="J13" s="74">
        <f t="shared" si="0"/>
        <v>25</v>
      </c>
      <c r="K13" s="74">
        <f t="shared" si="0"/>
        <v>25</v>
      </c>
      <c r="L13" s="74">
        <f t="shared" si="0"/>
        <v>25</v>
      </c>
      <c r="M13" s="74">
        <f t="shared" si="0"/>
        <v>25</v>
      </c>
      <c r="N13" s="74">
        <f t="shared" si="0"/>
        <v>25</v>
      </c>
    </row>
    <row r="14" spans="1:14" x14ac:dyDescent="0.25">
      <c r="A14" t="s">
        <v>81</v>
      </c>
      <c r="B14" s="75"/>
      <c r="C14" s="75"/>
      <c r="D14" s="75"/>
      <c r="E14" s="75"/>
      <c r="F14" s="75"/>
      <c r="G14" s="75"/>
      <c r="H14" s="75"/>
      <c r="I14" s="75"/>
      <c r="J14" s="75"/>
      <c r="K14" s="75"/>
      <c r="L14" s="75"/>
      <c r="M14" s="75"/>
      <c r="N14" s="74">
        <f>P5_Face_Ex1</f>
        <v>1000</v>
      </c>
    </row>
    <row r="15" spans="1:14" ht="15.75" thickBot="1" x14ac:dyDescent="0.3">
      <c r="A15" t="s">
        <v>4</v>
      </c>
      <c r="B15" s="52">
        <f>ROUND(SUM(B13:B14),2)</f>
        <v>0</v>
      </c>
      <c r="C15" s="52">
        <f>ROUND(SUM(C13:C14),2)</f>
        <v>25</v>
      </c>
      <c r="D15" s="52">
        <f t="shared" ref="D15:N15" si="1">ROUND(SUM(D13:D14),2)</f>
        <v>25</v>
      </c>
      <c r="E15" s="52">
        <f t="shared" si="1"/>
        <v>25</v>
      </c>
      <c r="F15" s="52">
        <f t="shared" si="1"/>
        <v>25</v>
      </c>
      <c r="G15" s="52">
        <f t="shared" si="1"/>
        <v>25</v>
      </c>
      <c r="H15" s="52">
        <f t="shared" si="1"/>
        <v>25</v>
      </c>
      <c r="I15" s="52">
        <f t="shared" si="1"/>
        <v>25</v>
      </c>
      <c r="J15" s="52">
        <f t="shared" si="1"/>
        <v>25</v>
      </c>
      <c r="K15" s="52">
        <f t="shared" si="1"/>
        <v>25</v>
      </c>
      <c r="L15" s="52">
        <f t="shared" si="1"/>
        <v>25</v>
      </c>
      <c r="M15" s="52">
        <f t="shared" si="1"/>
        <v>25</v>
      </c>
      <c r="N15" s="52">
        <f t="shared" si="1"/>
        <v>1025</v>
      </c>
    </row>
    <row r="16" spans="1:14" ht="15.75" thickTop="1" x14ac:dyDescent="0.25"/>
    <row r="17" spans="1:14" x14ac:dyDescent="0.25">
      <c r="A17" t="s">
        <v>82</v>
      </c>
      <c r="B17" s="72">
        <f>ROUND(SUM(C17:N17),2)</f>
        <v>926.45</v>
      </c>
      <c r="C17" s="70">
        <f t="shared" ref="C17:N17" si="2">C15/(1+P5_Interest_Rate_Ex1*P5_One_Period_Ex1)^C12</f>
        <v>24.213075060532688</v>
      </c>
      <c r="D17" s="70">
        <f t="shared" si="2"/>
        <v>23.450920155479601</v>
      </c>
      <c r="E17" s="70">
        <f t="shared" si="2"/>
        <v>22.712755598527462</v>
      </c>
      <c r="F17" s="70">
        <f t="shared" si="2"/>
        <v>21.997826245547177</v>
      </c>
      <c r="G17" s="70">
        <f t="shared" si="2"/>
        <v>21.305400722079593</v>
      </c>
      <c r="H17" s="70">
        <f t="shared" si="2"/>
        <v>20.63477067513762</v>
      </c>
      <c r="I17" s="70">
        <f t="shared" si="2"/>
        <v>19.98525004855944</v>
      </c>
      <c r="J17" s="70">
        <f t="shared" si="2"/>
        <v>19.356174381171368</v>
      </c>
      <c r="K17" s="70">
        <f t="shared" si="2"/>
        <v>18.746900127042487</v>
      </c>
      <c r="L17" s="70">
        <f t="shared" si="2"/>
        <v>18.156803997135579</v>
      </c>
      <c r="M17" s="70">
        <f t="shared" si="2"/>
        <v>17.58528232168095</v>
      </c>
      <c r="N17" s="70">
        <f t="shared" si="2"/>
        <v>698.30176773745177</v>
      </c>
    </row>
    <row r="23" spans="1:14" x14ac:dyDescent="0.25">
      <c r="A23" t="s">
        <v>83</v>
      </c>
      <c r="B23" s="47">
        <v>1000</v>
      </c>
    </row>
    <row r="24" spans="1:14" x14ac:dyDescent="0.25">
      <c r="A24" t="s">
        <v>84</v>
      </c>
      <c r="B24" s="71">
        <v>6.5000000000000002E-2</v>
      </c>
    </row>
    <row r="25" spans="1:14" x14ac:dyDescent="0.25">
      <c r="A25" t="s">
        <v>85</v>
      </c>
      <c r="B25" s="71">
        <v>0.05</v>
      </c>
    </row>
    <row r="26" spans="1:14" x14ac:dyDescent="0.25">
      <c r="A26" t="s">
        <v>86</v>
      </c>
      <c r="B26" s="49">
        <v>0.5</v>
      </c>
      <c r="C26" t="s">
        <v>5</v>
      </c>
    </row>
    <row r="28" spans="1:14" ht="15.75" thickBot="1" x14ac:dyDescent="0.3">
      <c r="A28" t="s">
        <v>0</v>
      </c>
      <c r="B28" s="6">
        <v>0</v>
      </c>
      <c r="C28" s="6">
        <v>1</v>
      </c>
      <c r="D28" s="6">
        <v>2</v>
      </c>
      <c r="E28" s="6">
        <v>3</v>
      </c>
      <c r="F28" s="6">
        <v>4</v>
      </c>
      <c r="G28" s="6">
        <v>5</v>
      </c>
      <c r="H28" s="6">
        <v>6</v>
      </c>
      <c r="I28" s="6">
        <v>7</v>
      </c>
      <c r="J28" s="6">
        <v>8</v>
      </c>
      <c r="K28" s="6">
        <v>9</v>
      </c>
      <c r="L28" s="6">
        <v>10</v>
      </c>
      <c r="M28" s="6">
        <v>11</v>
      </c>
      <c r="N28" s="6">
        <v>12</v>
      </c>
    </row>
    <row r="29" spans="1:14" x14ac:dyDescent="0.25">
      <c r="A29" t="s">
        <v>80</v>
      </c>
      <c r="B29" s="11"/>
      <c r="C29" s="11">
        <f t="shared" ref="C29:N29" si="3">P5_Face_Ex1*(P5_Coupon_Rate_Ex2*P5_One_Period_Ex2)</f>
        <v>32.5</v>
      </c>
      <c r="D29" s="11">
        <f t="shared" si="3"/>
        <v>32.5</v>
      </c>
      <c r="E29" s="11">
        <f t="shared" si="3"/>
        <v>32.5</v>
      </c>
      <c r="F29" s="11">
        <f t="shared" si="3"/>
        <v>32.5</v>
      </c>
      <c r="G29" s="11">
        <f t="shared" si="3"/>
        <v>32.5</v>
      </c>
      <c r="H29" s="11">
        <f t="shared" si="3"/>
        <v>32.5</v>
      </c>
      <c r="I29" s="11">
        <f t="shared" si="3"/>
        <v>32.5</v>
      </c>
      <c r="J29" s="11">
        <f t="shared" si="3"/>
        <v>32.5</v>
      </c>
      <c r="K29" s="11">
        <f t="shared" si="3"/>
        <v>32.5</v>
      </c>
      <c r="L29" s="11">
        <f t="shared" si="3"/>
        <v>32.5</v>
      </c>
      <c r="M29" s="11">
        <f t="shared" si="3"/>
        <v>32.5</v>
      </c>
      <c r="N29" s="11">
        <f t="shared" si="3"/>
        <v>32.5</v>
      </c>
    </row>
    <row r="30" spans="1:14" x14ac:dyDescent="0.25">
      <c r="A30" t="s">
        <v>81</v>
      </c>
      <c r="N30" s="11">
        <f>P5_Face_Ex2</f>
        <v>1000</v>
      </c>
    </row>
    <row r="31" spans="1:14" ht="15.75" thickBot="1" x14ac:dyDescent="0.3">
      <c r="A31" t="s">
        <v>4</v>
      </c>
      <c r="B31" s="52">
        <f>ROUND(SUM(B29:B30),2)</f>
        <v>0</v>
      </c>
      <c r="C31" s="52">
        <f>ROUND(SUM(C29:C30),2)</f>
        <v>32.5</v>
      </c>
      <c r="D31" s="52">
        <f t="shared" ref="D31:N31" si="4">ROUND(SUM(D29:D30),2)</f>
        <v>32.5</v>
      </c>
      <c r="E31" s="52">
        <f t="shared" si="4"/>
        <v>32.5</v>
      </c>
      <c r="F31" s="52">
        <f t="shared" si="4"/>
        <v>32.5</v>
      </c>
      <c r="G31" s="52">
        <f t="shared" si="4"/>
        <v>32.5</v>
      </c>
      <c r="H31" s="52">
        <f t="shared" si="4"/>
        <v>32.5</v>
      </c>
      <c r="I31" s="52">
        <f t="shared" si="4"/>
        <v>32.5</v>
      </c>
      <c r="J31" s="52">
        <f t="shared" si="4"/>
        <v>32.5</v>
      </c>
      <c r="K31" s="52">
        <f t="shared" si="4"/>
        <v>32.5</v>
      </c>
      <c r="L31" s="52">
        <f t="shared" si="4"/>
        <v>32.5</v>
      </c>
      <c r="M31" s="52">
        <f t="shared" si="4"/>
        <v>32.5</v>
      </c>
      <c r="N31" s="52">
        <f t="shared" si="4"/>
        <v>1032.5</v>
      </c>
    </row>
    <row r="32" spans="1:14" ht="15.75" thickTop="1" x14ac:dyDescent="0.25"/>
    <row r="33" spans="1:14" x14ac:dyDescent="0.25">
      <c r="A33" t="s">
        <v>82</v>
      </c>
      <c r="B33" s="72">
        <f>ROUND(SUM(C33:N33),2)</f>
        <v>1076.93</v>
      </c>
      <c r="C33" s="70">
        <f t="shared" ref="C33:N33" si="5">C31/(1+P5_Interest_Rate_Ex2*P5_One_Period_Ex2)^C28</f>
        <v>31.707317073170735</v>
      </c>
      <c r="D33" s="70">
        <f t="shared" si="5"/>
        <v>30.933967876264131</v>
      </c>
      <c r="E33" s="70">
        <f t="shared" si="5"/>
        <v>30.179480854891835</v>
      </c>
      <c r="F33" s="70">
        <f t="shared" si="5"/>
        <v>29.443395955992038</v>
      </c>
      <c r="G33" s="70">
        <f t="shared" si="5"/>
        <v>28.725264347309309</v>
      </c>
      <c r="H33" s="70">
        <f t="shared" si="5"/>
        <v>28.024648143716401</v>
      </c>
      <c r="I33" s="70">
        <f t="shared" si="5"/>
        <v>27.341120140211121</v>
      </c>
      <c r="J33" s="70">
        <f t="shared" si="5"/>
        <v>26.674263551425486</v>
      </c>
      <c r="K33" s="70">
        <f t="shared" si="5"/>
        <v>26.023671757488284</v>
      </c>
      <c r="L33" s="70">
        <f t="shared" si="5"/>
        <v>25.388948056086129</v>
      </c>
      <c r="M33" s="70">
        <f t="shared" si="5"/>
        <v>24.769705420571835</v>
      </c>
      <c r="N33" s="70">
        <f t="shared" si="5"/>
        <v>767.72145130928095</v>
      </c>
    </row>
    <row r="41" spans="1:14" x14ac:dyDescent="0.25">
      <c r="A41" t="s">
        <v>87</v>
      </c>
      <c r="B41" s="50">
        <v>1000</v>
      </c>
    </row>
    <row r="42" spans="1:14" x14ac:dyDescent="0.25">
      <c r="A42" t="s">
        <v>88</v>
      </c>
      <c r="B42" s="73">
        <v>0.05</v>
      </c>
    </row>
    <row r="43" spans="1:14" x14ac:dyDescent="0.25">
      <c r="A43" t="s">
        <v>89</v>
      </c>
      <c r="B43" s="73">
        <v>8.5000000000000006E-2</v>
      </c>
    </row>
    <row r="44" spans="1:14" x14ac:dyDescent="0.25">
      <c r="A44" t="s">
        <v>90</v>
      </c>
      <c r="B44" s="43">
        <v>0.5</v>
      </c>
      <c r="C44" t="s">
        <v>5</v>
      </c>
    </row>
    <row r="46" spans="1:14" ht="15.75" thickBot="1" x14ac:dyDescent="0.3">
      <c r="A46" t="s">
        <v>0</v>
      </c>
      <c r="B46" s="6">
        <v>0</v>
      </c>
      <c r="C46" s="6">
        <v>1</v>
      </c>
      <c r="D46" s="6">
        <v>2</v>
      </c>
      <c r="E46" s="6">
        <v>3</v>
      </c>
      <c r="F46" s="6">
        <v>4</v>
      </c>
      <c r="G46" s="6">
        <v>5</v>
      </c>
      <c r="H46" s="6">
        <v>6</v>
      </c>
      <c r="I46" s="6">
        <v>7</v>
      </c>
      <c r="J46" s="6">
        <v>8</v>
      </c>
      <c r="K46" s="6">
        <v>9</v>
      </c>
      <c r="L46" s="6">
        <v>10</v>
      </c>
      <c r="M46" s="6">
        <v>11</v>
      </c>
      <c r="N46" s="6">
        <v>12</v>
      </c>
    </row>
    <row r="47" spans="1:14" x14ac:dyDescent="0.25">
      <c r="A47" t="s">
        <v>80</v>
      </c>
      <c r="B47" s="61"/>
      <c r="C47" s="61">
        <f>$B41*$B42*$B44</f>
        <v>25</v>
      </c>
      <c r="D47" s="61">
        <f t="shared" ref="D47:L47" si="6">$B41*$B42*$B44</f>
        <v>25</v>
      </c>
      <c r="E47" s="61">
        <f t="shared" si="6"/>
        <v>25</v>
      </c>
      <c r="F47" s="61">
        <f t="shared" si="6"/>
        <v>25</v>
      </c>
      <c r="G47" s="61">
        <f t="shared" si="6"/>
        <v>25</v>
      </c>
      <c r="H47" s="61">
        <f t="shared" si="6"/>
        <v>25</v>
      </c>
      <c r="I47" s="61">
        <f t="shared" si="6"/>
        <v>25</v>
      </c>
      <c r="J47" s="61">
        <f t="shared" si="6"/>
        <v>25</v>
      </c>
      <c r="K47" s="61">
        <f t="shared" si="6"/>
        <v>25</v>
      </c>
      <c r="L47" s="61">
        <f t="shared" si="6"/>
        <v>25</v>
      </c>
      <c r="M47" s="61"/>
      <c r="N47" s="61"/>
    </row>
    <row r="48" spans="1:14" x14ac:dyDescent="0.25">
      <c r="A48" t="s">
        <v>81</v>
      </c>
      <c r="B48" s="68"/>
      <c r="C48" s="68"/>
      <c r="D48" s="68"/>
      <c r="E48" s="68"/>
      <c r="F48" s="68"/>
      <c r="G48" s="68"/>
      <c r="H48" s="68"/>
      <c r="I48" s="68"/>
      <c r="J48" s="68"/>
      <c r="K48" s="68"/>
      <c r="L48" s="69">
        <f>B41</f>
        <v>1000</v>
      </c>
      <c r="M48" s="68"/>
      <c r="N48" s="61"/>
    </row>
    <row r="49" spans="1:14" ht="15.75" thickBot="1" x14ac:dyDescent="0.3">
      <c r="A49" t="s">
        <v>4</v>
      </c>
      <c r="B49" s="52">
        <f>ROUND(SUM(B47:B48),2)</f>
        <v>0</v>
      </c>
      <c r="C49" s="52">
        <f>ROUND(SUM(C47:C48),2)</f>
        <v>25</v>
      </c>
      <c r="D49" s="52">
        <f t="shared" ref="D49:N49" si="7">ROUND(SUM(D47:D48),2)</f>
        <v>25</v>
      </c>
      <c r="E49" s="52">
        <f t="shared" si="7"/>
        <v>25</v>
      </c>
      <c r="F49" s="52">
        <f t="shared" si="7"/>
        <v>25</v>
      </c>
      <c r="G49" s="52">
        <f t="shared" si="7"/>
        <v>25</v>
      </c>
      <c r="H49" s="52">
        <f t="shared" si="7"/>
        <v>25</v>
      </c>
      <c r="I49" s="52">
        <f t="shared" si="7"/>
        <v>25</v>
      </c>
      <c r="J49" s="52">
        <f t="shared" si="7"/>
        <v>25</v>
      </c>
      <c r="K49" s="52">
        <f t="shared" si="7"/>
        <v>25</v>
      </c>
      <c r="L49" s="52">
        <f t="shared" si="7"/>
        <v>1025</v>
      </c>
      <c r="M49" s="52">
        <f t="shared" si="7"/>
        <v>0</v>
      </c>
      <c r="N49" s="52">
        <f t="shared" si="7"/>
        <v>0</v>
      </c>
    </row>
    <row r="50" spans="1:14" ht="15.75" thickTop="1" x14ac:dyDescent="0.25"/>
    <row r="51" spans="1:14" x14ac:dyDescent="0.25">
      <c r="A51" t="s">
        <v>82</v>
      </c>
      <c r="B51" s="72">
        <f>ROUND(SUM(C51:N51),2)</f>
        <v>859.81</v>
      </c>
      <c r="C51" s="66">
        <f>C49/((1+$B43*$B44)^C46)</f>
        <v>23.980815347721823</v>
      </c>
      <c r="D51" s="66">
        <f t="shared" ref="D51:L51" si="8">D49/((1+$B43*$B44)^D46)</f>
        <v>23.003180189661222</v>
      </c>
      <c r="E51" s="66">
        <f t="shared" si="8"/>
        <v>22.065400661545535</v>
      </c>
      <c r="F51" s="66">
        <f t="shared" si="8"/>
        <v>21.1658519535209</v>
      </c>
      <c r="G51" s="66">
        <f t="shared" si="8"/>
        <v>20.302975494984079</v>
      </c>
      <c r="H51" s="66">
        <f t="shared" si="8"/>
        <v>19.47527625418137</v>
      </c>
      <c r="I51" s="66">
        <f t="shared" si="8"/>
        <v>18.681320147895796</v>
      </c>
      <c r="J51" s="66">
        <f t="shared" si="8"/>
        <v>17.919731556734579</v>
      </c>
      <c r="K51" s="66">
        <f t="shared" si="8"/>
        <v>17.189190941711825</v>
      </c>
      <c r="L51" s="66">
        <f t="shared" si="8"/>
        <v>676.02573487787527</v>
      </c>
      <c r="M51" s="66">
        <v>0</v>
      </c>
      <c r="N51" s="66">
        <v>0</v>
      </c>
    </row>
    <row r="57" spans="1:14" x14ac:dyDescent="0.25">
      <c r="A57" t="s">
        <v>91</v>
      </c>
      <c r="B57" s="50">
        <v>1000</v>
      </c>
    </row>
    <row r="58" spans="1:14" x14ac:dyDescent="0.25">
      <c r="A58" t="s">
        <v>92</v>
      </c>
      <c r="B58" s="73">
        <v>8.5000000000000006E-2</v>
      </c>
    </row>
    <row r="59" spans="1:14" x14ac:dyDescent="0.25">
      <c r="A59" t="s">
        <v>93</v>
      </c>
      <c r="B59" s="73">
        <v>8.5000000000000006E-2</v>
      </c>
    </row>
    <row r="60" spans="1:14" x14ac:dyDescent="0.25">
      <c r="A60" t="s">
        <v>94</v>
      </c>
      <c r="B60" s="43">
        <v>0.5</v>
      </c>
      <c r="C60" t="s">
        <v>5</v>
      </c>
    </row>
    <row r="62" spans="1:14" ht="15.75" thickBot="1" x14ac:dyDescent="0.3">
      <c r="A62" t="s">
        <v>0</v>
      </c>
      <c r="B62" s="6">
        <v>0</v>
      </c>
      <c r="C62" s="6">
        <v>1</v>
      </c>
      <c r="D62" s="6">
        <v>2</v>
      </c>
      <c r="E62" s="6">
        <v>3</v>
      </c>
      <c r="F62" s="6">
        <v>4</v>
      </c>
      <c r="G62" s="6">
        <v>5</v>
      </c>
      <c r="H62" s="6">
        <v>6</v>
      </c>
      <c r="I62" s="6">
        <v>7</v>
      </c>
      <c r="J62" s="6">
        <v>8</v>
      </c>
      <c r="K62" s="6">
        <v>9</v>
      </c>
      <c r="L62" s="6">
        <v>10</v>
      </c>
      <c r="M62" s="6">
        <v>11</v>
      </c>
      <c r="N62" s="6">
        <v>12</v>
      </c>
    </row>
    <row r="63" spans="1:14" x14ac:dyDescent="0.25">
      <c r="A63" t="s">
        <v>80</v>
      </c>
      <c r="B63" s="61"/>
      <c r="C63" s="61">
        <f>$B57*$B58*$B60</f>
        <v>42.5</v>
      </c>
      <c r="D63" s="61">
        <f t="shared" ref="D63:L63" si="9">$B57*$B58*$B60</f>
        <v>42.5</v>
      </c>
      <c r="E63" s="61">
        <f t="shared" si="9"/>
        <v>42.5</v>
      </c>
      <c r="F63" s="61">
        <f t="shared" si="9"/>
        <v>42.5</v>
      </c>
      <c r="G63" s="61">
        <f t="shared" si="9"/>
        <v>42.5</v>
      </c>
      <c r="H63" s="61">
        <f t="shared" si="9"/>
        <v>42.5</v>
      </c>
      <c r="I63" s="61">
        <f t="shared" si="9"/>
        <v>42.5</v>
      </c>
      <c r="J63" s="61">
        <f t="shared" si="9"/>
        <v>42.5</v>
      </c>
      <c r="K63" s="61">
        <f t="shared" si="9"/>
        <v>42.5</v>
      </c>
      <c r="L63" s="61">
        <f t="shared" si="9"/>
        <v>42.5</v>
      </c>
      <c r="M63" s="61"/>
      <c r="N63" s="61"/>
    </row>
    <row r="64" spans="1:14" x14ac:dyDescent="0.25">
      <c r="A64" t="s">
        <v>81</v>
      </c>
      <c r="B64" s="68"/>
      <c r="C64" s="68"/>
      <c r="D64" s="68"/>
      <c r="E64" s="68"/>
      <c r="F64" s="68"/>
      <c r="G64" s="68"/>
      <c r="H64" s="68"/>
      <c r="I64" s="68"/>
      <c r="J64" s="68"/>
      <c r="K64" s="68"/>
      <c r="L64" s="69">
        <f>B57</f>
        <v>1000</v>
      </c>
      <c r="M64" s="68"/>
      <c r="N64" s="61"/>
    </row>
    <row r="65" spans="1:14" ht="15.75" thickBot="1" x14ac:dyDescent="0.3">
      <c r="A65" t="s">
        <v>4</v>
      </c>
      <c r="B65" s="52">
        <f>ROUND(SUM(B63:B64),2)</f>
        <v>0</v>
      </c>
      <c r="C65" s="52">
        <f>ROUND(SUM(C63:C64),2)</f>
        <v>42.5</v>
      </c>
      <c r="D65" s="52">
        <f t="shared" ref="D65:N65" si="10">ROUND(SUM(D63:D64),2)</f>
        <v>42.5</v>
      </c>
      <c r="E65" s="52">
        <f t="shared" si="10"/>
        <v>42.5</v>
      </c>
      <c r="F65" s="52">
        <f t="shared" si="10"/>
        <v>42.5</v>
      </c>
      <c r="G65" s="52">
        <f t="shared" si="10"/>
        <v>42.5</v>
      </c>
      <c r="H65" s="52">
        <f t="shared" si="10"/>
        <v>42.5</v>
      </c>
      <c r="I65" s="52">
        <f t="shared" si="10"/>
        <v>42.5</v>
      </c>
      <c r="J65" s="52">
        <f t="shared" si="10"/>
        <v>42.5</v>
      </c>
      <c r="K65" s="52">
        <f t="shared" si="10"/>
        <v>42.5</v>
      </c>
      <c r="L65" s="52">
        <f t="shared" si="10"/>
        <v>1042.5</v>
      </c>
      <c r="M65" s="52">
        <f t="shared" si="10"/>
        <v>0</v>
      </c>
      <c r="N65" s="52">
        <f t="shared" si="10"/>
        <v>0</v>
      </c>
    </row>
    <row r="66" spans="1:14" ht="15.75" thickTop="1" x14ac:dyDescent="0.25"/>
    <row r="67" spans="1:14" x14ac:dyDescent="0.25">
      <c r="A67" t="s">
        <v>82</v>
      </c>
      <c r="B67" s="67">
        <f>ROUND(SUM(C67:L67),2)</f>
        <v>1000</v>
      </c>
      <c r="C67" s="66">
        <f>C65/((1+$B59*$B60)^C62)</f>
        <v>40.767386091127101</v>
      </c>
      <c r="D67" s="66">
        <f t="shared" ref="D67:L67" si="11">D65/((1+$B59*$B60)^D62)</f>
        <v>39.105406322424074</v>
      </c>
      <c r="E67" s="66">
        <f t="shared" si="11"/>
        <v>37.511181124627413</v>
      </c>
      <c r="F67" s="66">
        <f t="shared" si="11"/>
        <v>35.981948320985531</v>
      </c>
      <c r="G67" s="66">
        <f t="shared" si="11"/>
        <v>34.51505834147293</v>
      </c>
      <c r="H67" s="66">
        <f t="shared" si="11"/>
        <v>33.107969632108329</v>
      </c>
      <c r="I67" s="66">
        <f t="shared" si="11"/>
        <v>31.758244251422855</v>
      </c>
      <c r="J67" s="66">
        <f t="shared" si="11"/>
        <v>30.463543646448784</v>
      </c>
      <c r="K67" s="66">
        <f t="shared" si="11"/>
        <v>29.221624600910104</v>
      </c>
      <c r="L67" s="66">
        <f t="shared" si="11"/>
        <v>687.56763766847314</v>
      </c>
      <c r="M67" s="66">
        <v>0</v>
      </c>
      <c r="N67" s="66">
        <v>0</v>
      </c>
    </row>
    <row r="73" spans="1:14" x14ac:dyDescent="0.25">
      <c r="A73" t="s">
        <v>95</v>
      </c>
      <c r="B73" s="50">
        <v>1000</v>
      </c>
    </row>
    <row r="74" spans="1:14" x14ac:dyDescent="0.25">
      <c r="A74" t="s">
        <v>96</v>
      </c>
      <c r="B74" s="73">
        <v>0</v>
      </c>
    </row>
    <row r="75" spans="1:14" x14ac:dyDescent="0.25">
      <c r="A75" t="s">
        <v>97</v>
      </c>
      <c r="B75" s="73">
        <v>8.5000000000000006E-2</v>
      </c>
    </row>
    <row r="76" spans="1:14" x14ac:dyDescent="0.25">
      <c r="A76" t="s">
        <v>98</v>
      </c>
      <c r="B76" s="43">
        <v>0.5</v>
      </c>
      <c r="C76" t="s">
        <v>5</v>
      </c>
    </row>
    <row r="78" spans="1:14" ht="15.75" thickBot="1" x14ac:dyDescent="0.3">
      <c r="A78" t="s">
        <v>0</v>
      </c>
      <c r="B78" s="6">
        <v>0</v>
      </c>
      <c r="C78" s="6">
        <v>1</v>
      </c>
      <c r="D78" s="6">
        <v>2</v>
      </c>
      <c r="E78" s="6">
        <v>3</v>
      </c>
      <c r="F78" s="6">
        <v>4</v>
      </c>
      <c r="G78" s="6">
        <v>5</v>
      </c>
      <c r="H78" s="6">
        <v>6</v>
      </c>
      <c r="I78" s="6">
        <v>7</v>
      </c>
      <c r="J78" s="6">
        <v>8</v>
      </c>
      <c r="K78" s="6">
        <v>9</v>
      </c>
      <c r="L78" s="6">
        <v>10</v>
      </c>
      <c r="M78" s="6">
        <v>11</v>
      </c>
      <c r="N78" s="6">
        <v>12</v>
      </c>
    </row>
    <row r="79" spans="1:14" x14ac:dyDescent="0.25">
      <c r="A79" t="s">
        <v>80</v>
      </c>
      <c r="B79" s="61"/>
      <c r="C79" s="61">
        <f>$B73*$B74*$B76</f>
        <v>0</v>
      </c>
      <c r="D79" s="61">
        <f t="shared" ref="D79:L79" si="12">$B73*$B74*$B76</f>
        <v>0</v>
      </c>
      <c r="E79" s="61">
        <f t="shared" si="12"/>
        <v>0</v>
      </c>
      <c r="F79" s="61">
        <f t="shared" si="12"/>
        <v>0</v>
      </c>
      <c r="G79" s="61">
        <f t="shared" si="12"/>
        <v>0</v>
      </c>
      <c r="H79" s="61">
        <f t="shared" si="12"/>
        <v>0</v>
      </c>
      <c r="I79" s="61">
        <f t="shared" si="12"/>
        <v>0</v>
      </c>
      <c r="J79" s="61">
        <f t="shared" si="12"/>
        <v>0</v>
      </c>
      <c r="K79" s="61">
        <f t="shared" si="12"/>
        <v>0</v>
      </c>
      <c r="L79" s="61">
        <f t="shared" si="12"/>
        <v>0</v>
      </c>
      <c r="M79" s="61"/>
      <c r="N79" s="61"/>
    </row>
    <row r="80" spans="1:14" x14ac:dyDescent="0.25">
      <c r="A80" t="s">
        <v>81</v>
      </c>
      <c r="B80" s="68"/>
      <c r="C80" s="68"/>
      <c r="D80" s="68"/>
      <c r="E80" s="68"/>
      <c r="F80" s="68"/>
      <c r="G80" s="68"/>
      <c r="H80" s="68"/>
      <c r="I80" s="68"/>
      <c r="J80" s="68"/>
      <c r="K80" s="68"/>
      <c r="L80" s="69">
        <f>B73</f>
        <v>1000</v>
      </c>
      <c r="M80" s="68"/>
      <c r="N80" s="61"/>
    </row>
    <row r="81" spans="1:14" ht="15.75" thickBot="1" x14ac:dyDescent="0.3">
      <c r="A81" t="s">
        <v>4</v>
      </c>
      <c r="B81" s="52">
        <f>ROUND(SUM(B79:B80),2)</f>
        <v>0</v>
      </c>
      <c r="C81" s="52">
        <f>ROUND(SUM(C79:C80),2)</f>
        <v>0</v>
      </c>
      <c r="D81" s="52">
        <f t="shared" ref="D81:N81" si="13">ROUND(SUM(D79:D80),2)</f>
        <v>0</v>
      </c>
      <c r="E81" s="52">
        <f t="shared" si="13"/>
        <v>0</v>
      </c>
      <c r="F81" s="52">
        <f t="shared" si="13"/>
        <v>0</v>
      </c>
      <c r="G81" s="52">
        <f t="shared" si="13"/>
        <v>0</v>
      </c>
      <c r="H81" s="52">
        <f t="shared" si="13"/>
        <v>0</v>
      </c>
      <c r="I81" s="52">
        <f t="shared" si="13"/>
        <v>0</v>
      </c>
      <c r="J81" s="52">
        <f t="shared" si="13"/>
        <v>0</v>
      </c>
      <c r="K81" s="52">
        <f t="shared" si="13"/>
        <v>0</v>
      </c>
      <c r="L81" s="52">
        <f t="shared" si="13"/>
        <v>1000</v>
      </c>
      <c r="M81" s="52">
        <f t="shared" si="13"/>
        <v>0</v>
      </c>
      <c r="N81" s="52">
        <f t="shared" si="13"/>
        <v>0</v>
      </c>
    </row>
    <row r="82" spans="1:14" ht="15.75" thickTop="1" x14ac:dyDescent="0.25"/>
    <row r="83" spans="1:14" x14ac:dyDescent="0.25">
      <c r="A83" t="s">
        <v>82</v>
      </c>
      <c r="B83" s="67">
        <f>ROUND(SUM(C83:L83),2)</f>
        <v>659.54</v>
      </c>
      <c r="C83" s="66">
        <f>C81/((1+$B75*$B76)^C78)</f>
        <v>0</v>
      </c>
      <c r="D83" s="66">
        <f t="shared" ref="D83:L83" si="14">D81/((1+$B75*$B76)^D78)</f>
        <v>0</v>
      </c>
      <c r="E83" s="66">
        <f t="shared" si="14"/>
        <v>0</v>
      </c>
      <c r="F83" s="66">
        <f t="shared" si="14"/>
        <v>0</v>
      </c>
      <c r="G83" s="66">
        <f t="shared" si="14"/>
        <v>0</v>
      </c>
      <c r="H83" s="66">
        <f t="shared" si="14"/>
        <v>0</v>
      </c>
      <c r="I83" s="66">
        <f t="shared" si="14"/>
        <v>0</v>
      </c>
      <c r="J83" s="66">
        <f t="shared" si="14"/>
        <v>0</v>
      </c>
      <c r="K83" s="66">
        <f t="shared" si="14"/>
        <v>0</v>
      </c>
      <c r="L83" s="66">
        <f t="shared" si="14"/>
        <v>659.53730231987822</v>
      </c>
      <c r="M83" s="66">
        <v>0</v>
      </c>
      <c r="N83" s="66">
        <v>0</v>
      </c>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ABCE777-ADD8-4BF8-90CE-40422FF5C691}">
          <x14:formula1>
            <xm:f>'Names Choices Etc'!$C$1:$C$4</xm:f>
          </x14:formula1>
          <xm:sqref>B42:B43 B58:B59 B74:B75</xm:sqref>
        </x14:dataValidation>
        <x14:dataValidation type="list" allowBlank="1" showInputMessage="1" showErrorMessage="1" xr:uid="{AC586BA0-C7F6-41B8-85F3-3906B1A09931}">
          <x14:formula1>
            <xm:f>'Names Choices Etc'!$B$1:$B$6</xm:f>
          </x14:formula1>
          <xm:sqref>B44 B60 B76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B49D-149F-4FE7-8CCA-94EBB47C495C}">
  <dimension ref="A6:J58"/>
  <sheetViews>
    <sheetView topLeftCell="A25" zoomScale="130" zoomScaleNormal="130" workbookViewId="0">
      <selection activeCell="C93" sqref="C93"/>
    </sheetView>
  </sheetViews>
  <sheetFormatPr defaultColWidth="8.85546875" defaultRowHeight="15" x14ac:dyDescent="0.25"/>
  <cols>
    <col min="1" max="1" width="20.28515625" customWidth="1"/>
    <col min="2" max="6" width="12.28515625" bestFit="1" customWidth="1"/>
    <col min="10" max="10" width="11.7109375" bestFit="1" customWidth="1"/>
    <col min="12" max="12" width="8.28515625" customWidth="1"/>
  </cols>
  <sheetData>
    <row r="6" spans="1:10" x14ac:dyDescent="0.25">
      <c r="A6" t="s">
        <v>99</v>
      </c>
      <c r="B6" s="47">
        <v>400</v>
      </c>
    </row>
    <row r="7" spans="1:10" x14ac:dyDescent="0.25">
      <c r="A7" t="s">
        <v>100</v>
      </c>
      <c r="B7" s="76">
        <v>2.5000000000000001E-2</v>
      </c>
    </row>
    <row r="8" spans="1:10" x14ac:dyDescent="0.25">
      <c r="A8" t="s">
        <v>101</v>
      </c>
      <c r="B8" s="48">
        <v>0</v>
      </c>
    </row>
    <row r="9" spans="1:10" x14ac:dyDescent="0.25">
      <c r="J9" t="s">
        <v>258</v>
      </c>
    </row>
    <row r="10" spans="1:10" x14ac:dyDescent="0.25">
      <c r="A10" t="s">
        <v>82</v>
      </c>
      <c r="B10" s="47">
        <f>P6_Amount_Ex1/(P6_Interest_Rate_Ex1-P6_Growth_Rate_Ex1)</f>
        <v>16000</v>
      </c>
      <c r="J10" s="79">
        <f>ROUND(B10,2)</f>
        <v>16000</v>
      </c>
    </row>
    <row r="15" spans="1:10" x14ac:dyDescent="0.25">
      <c r="A15" t="s">
        <v>102</v>
      </c>
      <c r="B15" s="47">
        <v>400</v>
      </c>
    </row>
    <row r="16" spans="1:10" x14ac:dyDescent="0.25">
      <c r="A16" t="s">
        <v>103</v>
      </c>
      <c r="B16" s="76">
        <v>2.5000000000000001E-2</v>
      </c>
    </row>
    <row r="17" spans="1:10" x14ac:dyDescent="0.25">
      <c r="A17" t="s">
        <v>104</v>
      </c>
      <c r="B17" s="48">
        <v>0.01</v>
      </c>
    </row>
    <row r="18" spans="1:10" x14ac:dyDescent="0.25">
      <c r="J18" t="s">
        <v>258</v>
      </c>
    </row>
    <row r="19" spans="1:10" x14ac:dyDescent="0.25">
      <c r="A19" t="s">
        <v>82</v>
      </c>
      <c r="B19" s="47">
        <f>P6_Amount_Ex2/(P6_Interest_Rate_Ex2-P6_Growth_Rate_Ex2)</f>
        <v>26666.666666666664</v>
      </c>
      <c r="J19" s="79">
        <f>ROUND(B19,2)</f>
        <v>26666.67</v>
      </c>
    </row>
    <row r="25" spans="1:10" x14ac:dyDescent="0.25">
      <c r="A25" t="s">
        <v>105</v>
      </c>
      <c r="B25" s="47">
        <v>400</v>
      </c>
    </row>
    <row r="26" spans="1:10" x14ac:dyDescent="0.25">
      <c r="A26" t="s">
        <v>106</v>
      </c>
      <c r="B26" s="76">
        <v>2.5000000000000001E-2</v>
      </c>
    </row>
    <row r="27" spans="1:10" x14ac:dyDescent="0.25">
      <c r="A27" t="s">
        <v>107</v>
      </c>
      <c r="B27" s="48">
        <v>0.01</v>
      </c>
    </row>
    <row r="29" spans="1:10" ht="15.75" thickBot="1" x14ac:dyDescent="0.3">
      <c r="A29" t="s">
        <v>0</v>
      </c>
      <c r="B29" s="6">
        <v>0</v>
      </c>
      <c r="C29" s="6">
        <v>1</v>
      </c>
      <c r="D29" s="6">
        <v>2</v>
      </c>
      <c r="E29" s="6">
        <v>3</v>
      </c>
      <c r="J29" t="s">
        <v>258</v>
      </c>
    </row>
    <row r="30" spans="1:10" x14ac:dyDescent="0.25">
      <c r="A30" t="s">
        <v>82</v>
      </c>
      <c r="B30" s="57">
        <f>C30/(1+P6_Interest_Rate_Ex3)</f>
        <v>25381.717231806466</v>
      </c>
      <c r="C30" s="14">
        <f>D30/(1+P6_Interest_Rate_Ex3)</f>
        <v>26016.260162601626</v>
      </c>
      <c r="D30" s="14">
        <f>P6_Amount_Ex3/(P6_Interest_Rate_Ex3-P6_Growth_Rate_Ex3)</f>
        <v>26666.666666666664</v>
      </c>
      <c r="J30" s="79">
        <f>ROUND(B30,2)</f>
        <v>25381.72</v>
      </c>
    </row>
    <row r="34" spans="1:10" x14ac:dyDescent="0.25">
      <c r="A34" t="s">
        <v>108</v>
      </c>
      <c r="B34" s="50">
        <v>700</v>
      </c>
    </row>
    <row r="35" spans="1:10" x14ac:dyDescent="0.25">
      <c r="A35" t="s">
        <v>109</v>
      </c>
      <c r="B35" s="77">
        <v>3.5000000000000003E-2</v>
      </c>
    </row>
    <row r="36" spans="1:10" x14ac:dyDescent="0.25">
      <c r="A36" t="s">
        <v>110</v>
      </c>
      <c r="B36" s="77">
        <v>0</v>
      </c>
    </row>
    <row r="37" spans="1:10" x14ac:dyDescent="0.25">
      <c r="J37" t="s">
        <v>258</v>
      </c>
    </row>
    <row r="38" spans="1:10" x14ac:dyDescent="0.25">
      <c r="A38" t="s">
        <v>82</v>
      </c>
      <c r="B38" s="50">
        <f>B34/(B35-B36)</f>
        <v>19999.999999999996</v>
      </c>
      <c r="J38" s="79">
        <f>ROUND(B38,2)</f>
        <v>20000</v>
      </c>
    </row>
    <row r="43" spans="1:10" x14ac:dyDescent="0.25">
      <c r="A43" t="s">
        <v>111</v>
      </c>
      <c r="B43" s="50">
        <v>700</v>
      </c>
    </row>
    <row r="44" spans="1:10" x14ac:dyDescent="0.25">
      <c r="A44" t="s">
        <v>112</v>
      </c>
      <c r="B44" s="77">
        <v>3.5000000000000003E-2</v>
      </c>
    </row>
    <row r="45" spans="1:10" x14ac:dyDescent="0.25">
      <c r="A45" t="s">
        <v>113</v>
      </c>
      <c r="B45" s="77">
        <v>1.4999999999999999E-2</v>
      </c>
    </row>
    <row r="46" spans="1:10" x14ac:dyDescent="0.25">
      <c r="J46" t="s">
        <v>258</v>
      </c>
    </row>
    <row r="47" spans="1:10" x14ac:dyDescent="0.25">
      <c r="A47" t="s">
        <v>82</v>
      </c>
      <c r="B47" s="50">
        <f>B43/(B44-B45)</f>
        <v>34999.999999999993</v>
      </c>
      <c r="J47" s="79">
        <f>ROUND(B47,2)</f>
        <v>35000</v>
      </c>
    </row>
    <row r="53" spans="1:10" x14ac:dyDescent="0.25">
      <c r="A53" t="s">
        <v>158</v>
      </c>
      <c r="B53" s="50">
        <v>700</v>
      </c>
    </row>
    <row r="54" spans="1:10" x14ac:dyDescent="0.25">
      <c r="A54" t="s">
        <v>159</v>
      </c>
      <c r="B54" s="77">
        <v>3.5000000000000003E-2</v>
      </c>
    </row>
    <row r="55" spans="1:10" x14ac:dyDescent="0.25">
      <c r="A55" t="s">
        <v>160</v>
      </c>
      <c r="B55" s="77">
        <v>1.4999999999999999E-2</v>
      </c>
    </row>
    <row r="57" spans="1:10" ht="15.75" thickBot="1" x14ac:dyDescent="0.3">
      <c r="A57" t="s">
        <v>0</v>
      </c>
      <c r="B57" s="6">
        <v>0</v>
      </c>
      <c r="C57" s="6">
        <v>1</v>
      </c>
      <c r="D57" s="6">
        <v>2</v>
      </c>
      <c r="E57" s="6">
        <v>3</v>
      </c>
      <c r="F57" s="6">
        <v>4</v>
      </c>
      <c r="G57" s="6">
        <v>5</v>
      </c>
      <c r="H57" s="6">
        <v>6</v>
      </c>
      <c r="I57" s="6">
        <v>7</v>
      </c>
      <c r="J57" t="s">
        <v>258</v>
      </c>
    </row>
    <row r="58" spans="1:10" x14ac:dyDescent="0.25">
      <c r="A58" t="s">
        <v>82</v>
      </c>
      <c r="B58" s="78">
        <f t="shared" ref="B58:D58" si="0">C58/(1+$B$54)</f>
        <v>30500.477969450025</v>
      </c>
      <c r="C58" s="37">
        <f t="shared" si="0"/>
        <v>31567.994698380775</v>
      </c>
      <c r="D58" s="37">
        <f t="shared" si="0"/>
        <v>32672.874512824099</v>
      </c>
      <c r="E58" s="38">
        <f>F58/(1+$B$54)</f>
        <v>33816.425120772939</v>
      </c>
      <c r="F58" s="37">
        <f>B53/(B54-B55)</f>
        <v>34999.999999999993</v>
      </c>
      <c r="G58" s="34"/>
      <c r="H58" s="37"/>
      <c r="I58" s="34"/>
      <c r="J58" s="79">
        <f>ROUND(B58,2)</f>
        <v>30500.48</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6638-09EC-4B20-8C66-8F863F5D7E9F}">
  <sheetPr>
    <tabColor theme="6" tint="0.79998168889431442"/>
  </sheetPr>
  <dimension ref="A6:N532"/>
  <sheetViews>
    <sheetView topLeftCell="A30" zoomScaleNormal="100" workbookViewId="0">
      <selection activeCell="C93" sqref="C93"/>
    </sheetView>
  </sheetViews>
  <sheetFormatPr defaultColWidth="8.85546875" defaultRowHeight="15" x14ac:dyDescent="0.25"/>
  <cols>
    <col min="1" max="1" width="27.85546875" customWidth="1"/>
    <col min="2" max="2" width="11.42578125" bestFit="1" customWidth="1"/>
    <col min="12" max="12" width="10.42578125" bestFit="1" customWidth="1"/>
    <col min="14" max="14" width="10.42578125" bestFit="1" customWidth="1"/>
  </cols>
  <sheetData>
    <row r="6" spans="1:2" x14ac:dyDescent="0.25">
      <c r="A6" t="s">
        <v>114</v>
      </c>
      <c r="B6" s="57">
        <v>1000</v>
      </c>
    </row>
    <row r="7" spans="1:2" x14ac:dyDescent="0.25">
      <c r="A7" t="s">
        <v>115</v>
      </c>
      <c r="B7" s="57">
        <v>15384.62</v>
      </c>
    </row>
    <row r="8" spans="1:2" x14ac:dyDescent="0.25">
      <c r="A8" t="s">
        <v>116</v>
      </c>
      <c r="B8" s="80">
        <f>P7_Amount_Ex1/P7_PV_Ex1</f>
        <v>6.4999980500005841E-2</v>
      </c>
    </row>
    <row r="15" spans="1:2" x14ac:dyDescent="0.25">
      <c r="A15" t="s">
        <v>117</v>
      </c>
      <c r="B15" s="57">
        <v>1000</v>
      </c>
    </row>
    <row r="16" spans="1:2" x14ac:dyDescent="0.25">
      <c r="A16" t="s">
        <v>118</v>
      </c>
      <c r="B16" s="57">
        <f>P7_Face_Ex2/(1+P7_Implicit_Interest_Rate_Ex2)^P7_Maturity_Ex2</f>
        <v>385.54000389223336</v>
      </c>
    </row>
    <row r="17" spans="1:14" x14ac:dyDescent="0.25">
      <c r="A17" t="s">
        <v>119</v>
      </c>
      <c r="B17" s="81">
        <v>10</v>
      </c>
    </row>
    <row r="19" spans="1:14" x14ac:dyDescent="0.25">
      <c r="A19" t="s">
        <v>130</v>
      </c>
      <c r="B19" s="80">
        <v>0.10000093740652907</v>
      </c>
    </row>
    <row r="26" spans="1:14" x14ac:dyDescent="0.25">
      <c r="A26" t="s">
        <v>120</v>
      </c>
      <c r="B26" s="47">
        <v>1000</v>
      </c>
    </row>
    <row r="27" spans="1:14" x14ac:dyDescent="0.25">
      <c r="A27" t="s">
        <v>121</v>
      </c>
      <c r="B27" s="71">
        <v>6.5000000000000002E-2</v>
      </c>
    </row>
    <row r="28" spans="1:14" x14ac:dyDescent="0.25">
      <c r="A28" t="s">
        <v>122</v>
      </c>
      <c r="B28" s="76">
        <v>8.821350586550683E-2</v>
      </c>
    </row>
    <row r="29" spans="1:14" x14ac:dyDescent="0.25">
      <c r="A29" t="s">
        <v>123</v>
      </c>
      <c r="B29" s="49">
        <v>0.5</v>
      </c>
      <c r="C29" t="s">
        <v>5</v>
      </c>
    </row>
    <row r="31" spans="1:14" ht="15.75" thickBot="1" x14ac:dyDescent="0.3">
      <c r="A31" t="s">
        <v>0</v>
      </c>
      <c r="B31" s="6">
        <v>0</v>
      </c>
      <c r="C31" s="6">
        <v>1</v>
      </c>
      <c r="D31" s="6">
        <v>2</v>
      </c>
      <c r="E31" s="6">
        <v>3</v>
      </c>
      <c r="F31" s="6">
        <v>4</v>
      </c>
      <c r="G31" s="6">
        <v>5</v>
      </c>
      <c r="H31" s="6">
        <v>6</v>
      </c>
      <c r="I31" s="6">
        <v>7</v>
      </c>
      <c r="J31" s="6">
        <v>8</v>
      </c>
      <c r="K31" s="6">
        <v>9</v>
      </c>
      <c r="L31" s="6">
        <v>10</v>
      </c>
      <c r="M31" s="6">
        <v>11</v>
      </c>
      <c r="N31" s="6">
        <v>12</v>
      </c>
    </row>
    <row r="32" spans="1:14" x14ac:dyDescent="0.25">
      <c r="A32" t="s">
        <v>80</v>
      </c>
      <c r="B32" s="70"/>
      <c r="C32" s="70">
        <f t="shared" ref="C32:N32" si="0">P7_Face_Ex3*(P7_Coupon_Rate_Ex3*P7_One_Period_Ex3)</f>
        <v>32.5</v>
      </c>
      <c r="D32" s="70">
        <f t="shared" si="0"/>
        <v>32.5</v>
      </c>
      <c r="E32" s="70">
        <f t="shared" si="0"/>
        <v>32.5</v>
      </c>
      <c r="F32" s="70">
        <f t="shared" si="0"/>
        <v>32.5</v>
      </c>
      <c r="G32" s="70">
        <f t="shared" si="0"/>
        <v>32.5</v>
      </c>
      <c r="H32" s="70">
        <f t="shared" si="0"/>
        <v>32.5</v>
      </c>
      <c r="I32" s="70">
        <f t="shared" si="0"/>
        <v>32.5</v>
      </c>
      <c r="J32" s="70">
        <f t="shared" si="0"/>
        <v>32.5</v>
      </c>
      <c r="K32" s="70">
        <f t="shared" si="0"/>
        <v>32.5</v>
      </c>
      <c r="L32" s="70">
        <f t="shared" si="0"/>
        <v>32.5</v>
      </c>
      <c r="M32" s="70">
        <f t="shared" si="0"/>
        <v>32.5</v>
      </c>
      <c r="N32" s="70">
        <f t="shared" si="0"/>
        <v>32.5</v>
      </c>
    </row>
    <row r="33" spans="1:14" x14ac:dyDescent="0.25">
      <c r="A33" t="s">
        <v>81</v>
      </c>
      <c r="B33" s="83"/>
      <c r="C33" s="83"/>
      <c r="D33" s="83"/>
      <c r="E33" s="83"/>
      <c r="F33" s="83"/>
      <c r="G33" s="83"/>
      <c r="H33" s="83"/>
      <c r="I33" s="83"/>
      <c r="J33" s="83"/>
      <c r="K33" s="83"/>
      <c r="L33" s="83"/>
      <c r="M33" s="83"/>
      <c r="N33" s="70">
        <f>P7_Face_Ex3</f>
        <v>1000</v>
      </c>
    </row>
    <row r="34" spans="1:14" ht="15.75" thickBot="1" x14ac:dyDescent="0.3">
      <c r="A34" t="s">
        <v>4</v>
      </c>
      <c r="B34" s="82">
        <f>ROUND(SUM(B32:B33),2)</f>
        <v>0</v>
      </c>
      <c r="C34" s="82">
        <f t="shared" ref="C34:N34" si="1">ROUND(SUM(C32:C33),2)</f>
        <v>32.5</v>
      </c>
      <c r="D34" s="82">
        <f t="shared" si="1"/>
        <v>32.5</v>
      </c>
      <c r="E34" s="82">
        <f t="shared" si="1"/>
        <v>32.5</v>
      </c>
      <c r="F34" s="82">
        <f t="shared" si="1"/>
        <v>32.5</v>
      </c>
      <c r="G34" s="82">
        <f t="shared" si="1"/>
        <v>32.5</v>
      </c>
      <c r="H34" s="82">
        <f t="shared" si="1"/>
        <v>32.5</v>
      </c>
      <c r="I34" s="82">
        <f t="shared" si="1"/>
        <v>32.5</v>
      </c>
      <c r="J34" s="82">
        <f t="shared" si="1"/>
        <v>32.5</v>
      </c>
      <c r="K34" s="82">
        <f t="shared" si="1"/>
        <v>32.5</v>
      </c>
      <c r="L34" s="82">
        <f t="shared" si="1"/>
        <v>32.5</v>
      </c>
      <c r="M34" s="82">
        <f t="shared" si="1"/>
        <v>32.5</v>
      </c>
      <c r="N34" s="82">
        <f t="shared" si="1"/>
        <v>1032.5</v>
      </c>
    </row>
    <row r="35" spans="1:14" ht="15.75" thickTop="1" x14ac:dyDescent="0.25"/>
    <row r="36" spans="1:14" x14ac:dyDescent="0.25">
      <c r="A36" t="s">
        <v>82</v>
      </c>
      <c r="B36" s="84">
        <f>SUM(C36:N36)</f>
        <v>893.62000507554581</v>
      </c>
      <c r="C36" s="70">
        <f t="shared" ref="C36:N36" si="2">C34/(1+P7_Interest_Rate_Ex3*P7_One_Period_Ex3)^C31</f>
        <v>31.127085337502063</v>
      </c>
      <c r="D36" s="70">
        <f t="shared" si="2"/>
        <v>29.812167434096491</v>
      </c>
      <c r="E36" s="70">
        <f t="shared" si="2"/>
        <v>28.552796302062198</v>
      </c>
      <c r="F36" s="70">
        <f t="shared" si="2"/>
        <v>27.346625449803181</v>
      </c>
      <c r="G36" s="70">
        <f t="shared" si="2"/>
        <v>26.191407509807057</v>
      </c>
      <c r="H36" s="70">
        <f t="shared" si="2"/>
        <v>25.084990051294056</v>
      </c>
      <c r="I36" s="70">
        <f t="shared" si="2"/>
        <v>24.025311569754471</v>
      </c>
      <c r="J36" s="70">
        <f t="shared" si="2"/>
        <v>23.010397645902248</v>
      </c>
      <c r="K36" s="70">
        <f t="shared" si="2"/>
        <v>22.038357266887875</v>
      </c>
      <c r="L36" s="70">
        <f t="shared" si="2"/>
        <v>21.107379302916236</v>
      </c>
      <c r="M36" s="70">
        <f t="shared" si="2"/>
        <v>20.215729132704571</v>
      </c>
      <c r="N36" s="70">
        <f t="shared" si="2"/>
        <v>615.10775807281527</v>
      </c>
    </row>
    <row r="37" spans="1:14" x14ac:dyDescent="0.25">
      <c r="A37" t="s">
        <v>258</v>
      </c>
      <c r="B37" s="72">
        <f>ROUND(B36,2)</f>
        <v>893.62</v>
      </c>
      <c r="C37" s="72">
        <f t="shared" ref="C37:N37" si="3">ROUND(C36,2)</f>
        <v>31.13</v>
      </c>
      <c r="D37" s="72">
        <f t="shared" si="3"/>
        <v>29.81</v>
      </c>
      <c r="E37" s="72">
        <f t="shared" si="3"/>
        <v>28.55</v>
      </c>
      <c r="F37" s="72">
        <f t="shared" si="3"/>
        <v>27.35</v>
      </c>
      <c r="G37" s="72">
        <f t="shared" si="3"/>
        <v>26.19</v>
      </c>
      <c r="H37" s="72">
        <f t="shared" si="3"/>
        <v>25.08</v>
      </c>
      <c r="I37" s="72">
        <f t="shared" si="3"/>
        <v>24.03</v>
      </c>
      <c r="J37" s="72">
        <f t="shared" si="3"/>
        <v>23.01</v>
      </c>
      <c r="K37" s="72">
        <f t="shared" si="3"/>
        <v>22.04</v>
      </c>
      <c r="L37" s="72">
        <f t="shared" si="3"/>
        <v>21.11</v>
      </c>
      <c r="M37" s="72">
        <f t="shared" si="3"/>
        <v>20.22</v>
      </c>
      <c r="N37" s="72">
        <f t="shared" si="3"/>
        <v>615.11</v>
      </c>
    </row>
    <row r="41" spans="1:14" x14ac:dyDescent="0.25">
      <c r="A41" t="s">
        <v>124</v>
      </c>
      <c r="B41" s="78">
        <v>4000</v>
      </c>
    </row>
    <row r="42" spans="1:14" x14ac:dyDescent="0.25">
      <c r="A42" t="s">
        <v>125</v>
      </c>
      <c r="B42" s="78">
        <v>35714.29</v>
      </c>
    </row>
    <row r="43" spans="1:14" x14ac:dyDescent="0.25">
      <c r="A43" t="s">
        <v>116</v>
      </c>
      <c r="B43" s="85">
        <f>P7_Amount_1/P7_PV_1</f>
        <v>0.11199998656000161</v>
      </c>
    </row>
    <row r="44" spans="1:14" x14ac:dyDescent="0.25">
      <c r="A44" t="s">
        <v>259</v>
      </c>
      <c r="B44" s="89">
        <f>ROUND(Implicit_interest_rate,4)</f>
        <v>0.112</v>
      </c>
    </row>
    <row r="50" spans="1:3" x14ac:dyDescent="0.25">
      <c r="A50" t="s">
        <v>126</v>
      </c>
      <c r="B50" s="78">
        <v>10000</v>
      </c>
    </row>
    <row r="51" spans="1:3" x14ac:dyDescent="0.25">
      <c r="A51" t="s">
        <v>127</v>
      </c>
      <c r="B51" s="78">
        <f>P7_Face_2/(1+P7_Implicit_interest_rate_2)^20</f>
        <v>2073.9397778684843</v>
      </c>
    </row>
    <row r="52" spans="1:3" x14ac:dyDescent="0.25">
      <c r="A52" t="s">
        <v>128</v>
      </c>
      <c r="B52" s="86">
        <v>20</v>
      </c>
      <c r="C52" t="s">
        <v>5</v>
      </c>
    </row>
    <row r="54" spans="1:3" x14ac:dyDescent="0.25">
      <c r="A54" t="s">
        <v>129</v>
      </c>
      <c r="B54" s="85">
        <v>8.1832920281349725E-2</v>
      </c>
    </row>
    <row r="55" spans="1:3" x14ac:dyDescent="0.25">
      <c r="A55" t="s">
        <v>259</v>
      </c>
      <c r="B55" s="89">
        <f>ROUND(P7_Implicit_interest_rate_2,4)</f>
        <v>8.1799999999999998E-2</v>
      </c>
    </row>
    <row r="61" spans="1:3" x14ac:dyDescent="0.25">
      <c r="A61" t="s">
        <v>131</v>
      </c>
      <c r="B61" s="50">
        <v>1000</v>
      </c>
    </row>
    <row r="62" spans="1:3" x14ac:dyDescent="0.25">
      <c r="A62" t="s">
        <v>132</v>
      </c>
      <c r="B62" s="73">
        <v>0.05</v>
      </c>
    </row>
    <row r="63" spans="1:3" x14ac:dyDescent="0.25">
      <c r="A63" t="s">
        <v>133</v>
      </c>
      <c r="B63" s="77">
        <v>6.6693723420688078E-2</v>
      </c>
    </row>
    <row r="64" spans="1:3" x14ac:dyDescent="0.25">
      <c r="A64" t="s">
        <v>134</v>
      </c>
      <c r="B64" s="43">
        <v>0.5</v>
      </c>
      <c r="C64" t="s">
        <v>5</v>
      </c>
    </row>
    <row r="66" spans="1:14" ht="15.75" thickBot="1" x14ac:dyDescent="0.3">
      <c r="A66" t="s">
        <v>0</v>
      </c>
      <c r="B66" s="6">
        <v>0</v>
      </c>
      <c r="C66" s="6">
        <v>1</v>
      </c>
      <c r="D66" s="6">
        <v>2</v>
      </c>
      <c r="E66" s="6">
        <v>3</v>
      </c>
      <c r="F66" s="6">
        <v>4</v>
      </c>
      <c r="G66" s="6">
        <v>5</v>
      </c>
      <c r="H66" s="6">
        <v>6</v>
      </c>
      <c r="I66" s="6">
        <v>7</v>
      </c>
      <c r="J66" s="6">
        <v>8</v>
      </c>
      <c r="K66" s="6">
        <v>9</v>
      </c>
      <c r="L66" s="6">
        <v>10</v>
      </c>
      <c r="M66" s="6">
        <v>11</v>
      </c>
      <c r="N66" s="6">
        <v>12</v>
      </c>
    </row>
    <row r="67" spans="1:14" x14ac:dyDescent="0.25">
      <c r="A67" t="s">
        <v>80</v>
      </c>
      <c r="B67" s="66"/>
      <c r="C67" s="66">
        <f t="shared" ref="C67:L67" si="4">P7_Face_3*(P7_Coupon_Rate_3*P7_One_Period_3)</f>
        <v>25</v>
      </c>
      <c r="D67" s="66">
        <f t="shared" si="4"/>
        <v>25</v>
      </c>
      <c r="E67" s="66">
        <f t="shared" si="4"/>
        <v>25</v>
      </c>
      <c r="F67" s="66">
        <f t="shared" si="4"/>
        <v>25</v>
      </c>
      <c r="G67" s="66">
        <f t="shared" si="4"/>
        <v>25</v>
      </c>
      <c r="H67" s="66">
        <f t="shared" si="4"/>
        <v>25</v>
      </c>
      <c r="I67" s="66">
        <f t="shared" si="4"/>
        <v>25</v>
      </c>
      <c r="J67" s="66">
        <f t="shared" si="4"/>
        <v>25</v>
      </c>
      <c r="K67" s="66">
        <f t="shared" si="4"/>
        <v>25</v>
      </c>
      <c r="L67" s="66">
        <f t="shared" si="4"/>
        <v>25</v>
      </c>
      <c r="M67" s="66"/>
      <c r="N67" s="66"/>
    </row>
    <row r="68" spans="1:14" x14ac:dyDescent="0.25">
      <c r="A68" t="s">
        <v>81</v>
      </c>
      <c r="B68" s="87"/>
      <c r="C68" s="87"/>
      <c r="D68" s="87"/>
      <c r="E68" s="87"/>
      <c r="F68" s="87"/>
      <c r="G68" s="87"/>
      <c r="H68" s="87"/>
      <c r="I68" s="87"/>
      <c r="J68" s="87"/>
      <c r="K68" s="87"/>
      <c r="L68" s="87">
        <f>P7_Face_3</f>
        <v>1000</v>
      </c>
      <c r="M68" s="87"/>
      <c r="N68" s="66"/>
    </row>
    <row r="69" spans="1:14" ht="15.75" thickBot="1" x14ac:dyDescent="0.3">
      <c r="A69" t="s">
        <v>4</v>
      </c>
      <c r="B69" s="82">
        <f>ROUND(SUM(B67:B68),2)</f>
        <v>0</v>
      </c>
      <c r="C69" s="82">
        <f t="shared" ref="C69:N69" si="5">ROUND(SUM(C67:C68),2)</f>
        <v>25</v>
      </c>
      <c r="D69" s="82">
        <f t="shared" si="5"/>
        <v>25</v>
      </c>
      <c r="E69" s="82">
        <f t="shared" si="5"/>
        <v>25</v>
      </c>
      <c r="F69" s="82">
        <f t="shared" si="5"/>
        <v>25</v>
      </c>
      <c r="G69" s="82">
        <f t="shared" si="5"/>
        <v>25</v>
      </c>
      <c r="H69" s="82">
        <f t="shared" si="5"/>
        <v>25</v>
      </c>
      <c r="I69" s="82">
        <f t="shared" si="5"/>
        <v>25</v>
      </c>
      <c r="J69" s="82">
        <f t="shared" si="5"/>
        <v>25</v>
      </c>
      <c r="K69" s="82">
        <f t="shared" si="5"/>
        <v>25</v>
      </c>
      <c r="L69" s="82">
        <f t="shared" si="5"/>
        <v>1025</v>
      </c>
      <c r="M69" s="82">
        <f t="shared" si="5"/>
        <v>0</v>
      </c>
      <c r="N69" s="82">
        <f t="shared" si="5"/>
        <v>0</v>
      </c>
    </row>
    <row r="70" spans="1:14" ht="15.75" thickTop="1" x14ac:dyDescent="0.25"/>
    <row r="71" spans="1:14" x14ac:dyDescent="0.25">
      <c r="A71" t="s">
        <v>82</v>
      </c>
      <c r="B71" s="88">
        <f>SUM(C71:L71)</f>
        <v>930.00041573727981</v>
      </c>
      <c r="C71" s="66">
        <f t="shared" ref="C71:L71" si="6">C69/(1+P7_Interest_Rate_3/2)^C66</f>
        <v>24.193231649846258</v>
      </c>
      <c r="D71" s="66">
        <f t="shared" si="6"/>
        <v>23.412498306524906</v>
      </c>
      <c r="E71" s="66">
        <f t="shared" si="6"/>
        <v>22.65695980125561</v>
      </c>
      <c r="F71" s="66">
        <f t="shared" si="6"/>
        <v>21.925803078121266</v>
      </c>
      <c r="G71" s="66">
        <f t="shared" si="6"/>
        <v>21.218241319115997</v>
      </c>
      <c r="H71" s="66">
        <f t="shared" si="6"/>
        <v>20.533513097428507</v>
      </c>
      <c r="I71" s="66">
        <f t="shared" si="6"/>
        <v>19.8708815580496</v>
      </c>
      <c r="J71" s="66">
        <f t="shared" si="6"/>
        <v>19.229633624822078</v>
      </c>
      <c r="K71" s="66">
        <f t="shared" si="6"/>
        <v>18.609079233079733</v>
      </c>
      <c r="L71" s="66">
        <f t="shared" si="6"/>
        <v>738.35057406903582</v>
      </c>
      <c r="M71" s="66"/>
      <c r="N71" s="66"/>
    </row>
    <row r="72" spans="1:14" x14ac:dyDescent="0.25">
      <c r="A72" t="s">
        <v>258</v>
      </c>
      <c r="B72" s="72">
        <f>ROUND(B71,2)</f>
        <v>930</v>
      </c>
      <c r="C72" s="72">
        <f t="shared" ref="C72:N72" si="7">ROUND(C71,2)</f>
        <v>24.19</v>
      </c>
      <c r="D72" s="72">
        <f t="shared" si="7"/>
        <v>23.41</v>
      </c>
      <c r="E72" s="72">
        <f t="shared" si="7"/>
        <v>22.66</v>
      </c>
      <c r="F72" s="72">
        <f t="shared" si="7"/>
        <v>21.93</v>
      </c>
      <c r="G72" s="72">
        <f t="shared" si="7"/>
        <v>21.22</v>
      </c>
      <c r="H72" s="72">
        <f t="shared" si="7"/>
        <v>20.53</v>
      </c>
      <c r="I72" s="72">
        <f t="shared" si="7"/>
        <v>19.87</v>
      </c>
      <c r="J72" s="72">
        <f t="shared" si="7"/>
        <v>19.23</v>
      </c>
      <c r="K72" s="72">
        <f t="shared" si="7"/>
        <v>18.61</v>
      </c>
      <c r="L72" s="72">
        <f t="shared" si="7"/>
        <v>738.35</v>
      </c>
      <c r="M72" s="72">
        <f t="shared" si="7"/>
        <v>0</v>
      </c>
      <c r="N72" s="72">
        <f t="shared" si="7"/>
        <v>0</v>
      </c>
    </row>
    <row r="73" spans="1:14" x14ac:dyDescent="0.25">
      <c r="B73" s="89">
        <f>ROUND(P7_Interest_Rate_3,4)</f>
        <v>6.6699999999999995E-2</v>
      </c>
    </row>
    <row r="532" spans="2:2" x14ac:dyDescent="0.25">
      <c r="B532">
        <v>0</v>
      </c>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5105C2A-7BE1-4C69-9D39-5D70F9951791}">
          <x14:formula1>
            <xm:f>'Names Choices Etc'!$B$1:$B$6</xm:f>
          </x14:formula1>
          <xm:sqref>B64</xm:sqref>
        </x14:dataValidation>
        <x14:dataValidation type="list" allowBlank="1" showInputMessage="1" showErrorMessage="1" xr:uid="{827149E3-CD80-4C01-ADAC-E5B1AADB2A17}">
          <x14:formula1>
            <xm:f>'Names Choices Etc'!$C$1:$C$4</xm:f>
          </x14:formula1>
          <xm:sqref>B62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9227-391C-4A2E-BFD0-F64B458C7C73}">
  <dimension ref="A9:N45"/>
  <sheetViews>
    <sheetView topLeftCell="A12" zoomScale="115" zoomScaleNormal="115" workbookViewId="0">
      <selection activeCell="H42" sqref="H42"/>
    </sheetView>
  </sheetViews>
  <sheetFormatPr defaultColWidth="8.85546875" defaultRowHeight="15" x14ac:dyDescent="0.25"/>
  <cols>
    <col min="1" max="1" width="17.28515625" customWidth="1"/>
    <col min="2" max="2" width="13.28515625" customWidth="1"/>
    <col min="6" max="6" width="12.5703125" bestFit="1" customWidth="1"/>
    <col min="8" max="8" width="12.5703125" bestFit="1" customWidth="1"/>
    <col min="10" max="10" width="12.5703125" bestFit="1" customWidth="1"/>
    <col min="12" max="14" width="12.28515625" bestFit="1" customWidth="1"/>
  </cols>
  <sheetData>
    <row r="9" spans="1:10" ht="15.75" thickBot="1" x14ac:dyDescent="0.3"/>
    <row r="10" spans="1:10" ht="48" thickBot="1" x14ac:dyDescent="0.3">
      <c r="D10" s="20" t="s">
        <v>1</v>
      </c>
      <c r="E10" s="21" t="s">
        <v>135</v>
      </c>
      <c r="F10" s="22" t="s">
        <v>141</v>
      </c>
      <c r="G10" s="21" t="s">
        <v>137</v>
      </c>
      <c r="H10" s="22" t="s">
        <v>142</v>
      </c>
      <c r="I10" s="21" t="s">
        <v>138</v>
      </c>
      <c r="J10" s="15" t="s">
        <v>252</v>
      </c>
    </row>
    <row r="11" spans="1:10" ht="15.75" x14ac:dyDescent="0.25">
      <c r="A11" t="s">
        <v>139</v>
      </c>
      <c r="B11" s="57">
        <v>1000</v>
      </c>
      <c r="D11" s="17">
        <v>0</v>
      </c>
      <c r="E11" s="16">
        <v>0.05</v>
      </c>
      <c r="F11" s="91">
        <f t="shared" ref="F11:F21" si="0">P8_Face_Value_Ex/(1+E11)^($D$21-$D11)</f>
        <v>613.91325354075934</v>
      </c>
      <c r="G11" s="16">
        <v>0.05</v>
      </c>
      <c r="H11" s="91">
        <f t="shared" ref="H11:H21" si="1">P8_Face_Value_Ex/(1+G11)^($D$21-$D11)</f>
        <v>613.91325354075934</v>
      </c>
      <c r="I11" s="16">
        <v>0.05</v>
      </c>
      <c r="J11" s="91">
        <f t="shared" ref="J11:J21" si="2">P8_Face_Value_Ex/(1+I11)^($D$21-$D11)</f>
        <v>613.91325354075934</v>
      </c>
    </row>
    <row r="12" spans="1:10" ht="15.75" x14ac:dyDescent="0.25">
      <c r="D12" s="17">
        <v>1</v>
      </c>
      <c r="E12" s="16">
        <v>0.05</v>
      </c>
      <c r="F12" s="91">
        <f t="shared" si="0"/>
        <v>644.60891621779729</v>
      </c>
      <c r="G12" s="16">
        <v>0.05</v>
      </c>
      <c r="H12" s="91">
        <f t="shared" si="1"/>
        <v>644.60891621779729</v>
      </c>
      <c r="I12" s="16">
        <v>0.1</v>
      </c>
      <c r="J12" s="91">
        <f t="shared" si="2"/>
        <v>424.09761837248465</v>
      </c>
    </row>
    <row r="13" spans="1:10" ht="15.75" x14ac:dyDescent="0.25">
      <c r="D13" s="17">
        <v>2</v>
      </c>
      <c r="E13" s="16">
        <v>0.05</v>
      </c>
      <c r="F13" s="91">
        <f t="shared" si="0"/>
        <v>676.83936202868722</v>
      </c>
      <c r="G13" s="16">
        <v>0.05</v>
      </c>
      <c r="H13" s="91">
        <f t="shared" si="1"/>
        <v>676.83936202868722</v>
      </c>
      <c r="I13" s="16">
        <v>0.1</v>
      </c>
      <c r="J13" s="91">
        <f t="shared" si="2"/>
        <v>466.50738020973318</v>
      </c>
    </row>
    <row r="14" spans="1:10" ht="15.75" x14ac:dyDescent="0.25">
      <c r="D14" s="17">
        <v>3</v>
      </c>
      <c r="E14" s="16">
        <v>0.05</v>
      </c>
      <c r="F14" s="91">
        <f t="shared" si="0"/>
        <v>710.68133013012141</v>
      </c>
      <c r="G14" s="16">
        <v>0.05</v>
      </c>
      <c r="H14" s="91">
        <f t="shared" si="1"/>
        <v>710.68133013012141</v>
      </c>
      <c r="I14" s="16">
        <v>0.04</v>
      </c>
      <c r="J14" s="91">
        <f t="shared" si="2"/>
        <v>759.91781320206326</v>
      </c>
    </row>
    <row r="15" spans="1:10" ht="15.75" x14ac:dyDescent="0.25">
      <c r="D15" s="17">
        <v>4</v>
      </c>
      <c r="E15" s="16">
        <v>0.05</v>
      </c>
      <c r="F15" s="91">
        <f t="shared" si="0"/>
        <v>746.2153966366277</v>
      </c>
      <c r="G15" s="16">
        <v>0.05</v>
      </c>
      <c r="H15" s="91">
        <f t="shared" si="1"/>
        <v>746.2153966366277</v>
      </c>
      <c r="I15" s="16">
        <v>0.04</v>
      </c>
      <c r="J15" s="91">
        <f t="shared" si="2"/>
        <v>790.31452573014576</v>
      </c>
    </row>
    <row r="16" spans="1:10" ht="15.75" x14ac:dyDescent="0.25">
      <c r="D16" s="17">
        <v>5</v>
      </c>
      <c r="E16" s="16">
        <v>0.05</v>
      </c>
      <c r="F16" s="91">
        <f t="shared" si="0"/>
        <v>783.526166468459</v>
      </c>
      <c r="G16" s="16">
        <v>0.2</v>
      </c>
      <c r="H16" s="91">
        <f t="shared" si="1"/>
        <v>401.87757201646093</v>
      </c>
      <c r="I16" s="16">
        <v>0.04</v>
      </c>
      <c r="J16" s="91">
        <f t="shared" si="2"/>
        <v>821.92710675935155</v>
      </c>
    </row>
    <row r="17" spans="1:14" ht="15.75" x14ac:dyDescent="0.25">
      <c r="D17" s="17">
        <v>6</v>
      </c>
      <c r="E17" s="16">
        <v>0.05</v>
      </c>
      <c r="F17" s="91">
        <f t="shared" si="0"/>
        <v>822.70247479188197</v>
      </c>
      <c r="G17" s="16">
        <v>0.2</v>
      </c>
      <c r="H17" s="91">
        <f t="shared" si="1"/>
        <v>482.25308641975312</v>
      </c>
      <c r="I17" s="16">
        <v>0.03</v>
      </c>
      <c r="J17" s="91">
        <f t="shared" si="2"/>
        <v>888.487047915689</v>
      </c>
    </row>
    <row r="18" spans="1:14" ht="15.75" x14ac:dyDescent="0.25">
      <c r="D18" s="17">
        <v>7</v>
      </c>
      <c r="E18" s="16">
        <v>0.05</v>
      </c>
      <c r="F18" s="91">
        <f t="shared" si="0"/>
        <v>863.83759853147603</v>
      </c>
      <c r="G18" s="16">
        <v>0.2</v>
      </c>
      <c r="H18" s="91">
        <f t="shared" si="1"/>
        <v>578.7037037037037</v>
      </c>
      <c r="I18" s="16">
        <v>0.03</v>
      </c>
      <c r="J18" s="91">
        <f t="shared" si="2"/>
        <v>915.14165935315953</v>
      </c>
    </row>
    <row r="19" spans="1:14" ht="15.75" x14ac:dyDescent="0.25">
      <c r="D19" s="17">
        <v>8</v>
      </c>
      <c r="E19" s="16">
        <v>0.05</v>
      </c>
      <c r="F19" s="91">
        <f t="shared" si="0"/>
        <v>907.02947845804988</v>
      </c>
      <c r="G19" s="16">
        <v>0.2</v>
      </c>
      <c r="H19" s="91">
        <f t="shared" si="1"/>
        <v>694.44444444444446</v>
      </c>
      <c r="I19" s="16">
        <v>0.03</v>
      </c>
      <c r="J19" s="91">
        <f t="shared" si="2"/>
        <v>942.59590913375439</v>
      </c>
    </row>
    <row r="20" spans="1:14" ht="15.75" x14ac:dyDescent="0.25">
      <c r="D20" s="17">
        <v>9</v>
      </c>
      <c r="E20" s="16">
        <v>0.05</v>
      </c>
      <c r="F20" s="91">
        <f t="shared" si="0"/>
        <v>952.38095238095229</v>
      </c>
      <c r="G20" s="16">
        <v>0.2</v>
      </c>
      <c r="H20" s="91">
        <f t="shared" si="1"/>
        <v>833.33333333333337</v>
      </c>
      <c r="I20" s="16">
        <v>0.03</v>
      </c>
      <c r="J20" s="91">
        <f t="shared" si="2"/>
        <v>970.87378640776694</v>
      </c>
    </row>
    <row r="21" spans="1:14" ht="16.5" thickBot="1" x14ac:dyDescent="0.3">
      <c r="D21" s="18">
        <v>10</v>
      </c>
      <c r="E21" s="19"/>
      <c r="F21" s="92">
        <f t="shared" si="0"/>
        <v>1000</v>
      </c>
      <c r="G21" s="19"/>
      <c r="H21" s="92">
        <f t="shared" si="1"/>
        <v>1000</v>
      </c>
      <c r="I21" s="19"/>
      <c r="J21" s="92">
        <f t="shared" si="2"/>
        <v>1000</v>
      </c>
    </row>
    <row r="28" spans="1:14" ht="15.75" thickBot="1" x14ac:dyDescent="0.3"/>
    <row r="29" spans="1:14" ht="48" thickBot="1" x14ac:dyDescent="0.3">
      <c r="D29" s="20" t="s">
        <v>1</v>
      </c>
      <c r="E29" s="21" t="s">
        <v>135</v>
      </c>
      <c r="F29" s="22" t="s">
        <v>136</v>
      </c>
      <c r="G29" s="21" t="s">
        <v>137</v>
      </c>
      <c r="H29" s="22" t="s">
        <v>136</v>
      </c>
      <c r="I29" s="21" t="s">
        <v>138</v>
      </c>
      <c r="J29" s="15" t="s">
        <v>136</v>
      </c>
      <c r="L29" s="90"/>
      <c r="M29" s="90"/>
      <c r="N29" s="90"/>
    </row>
    <row r="30" spans="1:14" ht="15.75" x14ac:dyDescent="0.25">
      <c r="A30" t="s">
        <v>140</v>
      </c>
      <c r="B30" s="57">
        <v>25000</v>
      </c>
      <c r="D30" s="17">
        <v>0</v>
      </c>
      <c r="E30" s="16">
        <v>0.1</v>
      </c>
      <c r="F30" s="93">
        <f>F$45/(1+E30)^($D$45-$D30)</f>
        <v>5984.8012342290849</v>
      </c>
      <c r="G30" s="16">
        <v>0.1</v>
      </c>
      <c r="H30" s="93">
        <f>H$45/(1+G30)^($D$45-$D30)</f>
        <v>5984.8012342290849</v>
      </c>
      <c r="I30" s="16">
        <v>0.1</v>
      </c>
      <c r="J30" s="93">
        <f>J$45/(1+I30)^($D$45-$D30)</f>
        <v>5984.8012342290849</v>
      </c>
      <c r="L30" s="95"/>
      <c r="M30" s="95"/>
      <c r="N30" s="95"/>
    </row>
    <row r="31" spans="1:14" ht="15.75" x14ac:dyDescent="0.25">
      <c r="D31" s="17">
        <v>1</v>
      </c>
      <c r="E31" s="16">
        <v>0.1</v>
      </c>
      <c r="F31" s="93">
        <f t="shared" ref="F31:H44" si="3">F$45/(1+E31)^($D$45-$D31)</f>
        <v>6583.2813576519939</v>
      </c>
      <c r="G31" s="16">
        <v>0.1</v>
      </c>
      <c r="H31" s="93">
        <f t="shared" si="3"/>
        <v>6583.2813576519939</v>
      </c>
      <c r="I31" s="16">
        <v>0.1</v>
      </c>
      <c r="J31" s="93">
        <f t="shared" ref="J31:J44" si="4">J$45/(1+I31)^($D$45-$D31)</f>
        <v>6583.2813576519939</v>
      </c>
      <c r="L31" s="95"/>
      <c r="M31" s="95"/>
      <c r="N31" s="95"/>
    </row>
    <row r="32" spans="1:14" ht="15.75" x14ac:dyDescent="0.25">
      <c r="D32" s="17">
        <v>2</v>
      </c>
      <c r="E32" s="16">
        <v>0.1</v>
      </c>
      <c r="F32" s="93">
        <f t="shared" si="3"/>
        <v>7241.6094934171942</v>
      </c>
      <c r="G32" s="16">
        <v>0.1</v>
      </c>
      <c r="H32" s="93">
        <f t="shared" si="3"/>
        <v>7241.6094934171942</v>
      </c>
      <c r="I32" s="16">
        <v>0.1</v>
      </c>
      <c r="J32" s="93">
        <f t="shared" si="4"/>
        <v>7241.6094934171942</v>
      </c>
      <c r="L32" s="95"/>
      <c r="M32" s="95"/>
      <c r="N32" s="95"/>
    </row>
    <row r="33" spans="4:14" ht="15.75" x14ac:dyDescent="0.25">
      <c r="D33" s="17">
        <v>3</v>
      </c>
      <c r="E33" s="16">
        <v>0.1</v>
      </c>
      <c r="F33" s="93">
        <f t="shared" si="3"/>
        <v>7965.7704427589142</v>
      </c>
      <c r="G33" s="16">
        <v>0.1</v>
      </c>
      <c r="H33" s="93">
        <f t="shared" si="3"/>
        <v>7965.7704427589142</v>
      </c>
      <c r="I33" s="16">
        <v>0.15</v>
      </c>
      <c r="J33" s="93">
        <f t="shared" si="4"/>
        <v>4672.6787546666528</v>
      </c>
      <c r="L33" s="95"/>
      <c r="M33" s="95"/>
      <c r="N33" s="95"/>
    </row>
    <row r="34" spans="4:14" ht="15.75" x14ac:dyDescent="0.25">
      <c r="D34" s="17">
        <v>4</v>
      </c>
      <c r="E34" s="16">
        <v>0.1</v>
      </c>
      <c r="F34" s="93">
        <f t="shared" si="3"/>
        <v>8762.3474870348055</v>
      </c>
      <c r="G34" s="16">
        <v>0.1</v>
      </c>
      <c r="H34" s="93">
        <f t="shared" si="3"/>
        <v>8762.3474870348055</v>
      </c>
      <c r="I34" s="16">
        <v>0.15</v>
      </c>
      <c r="J34" s="93">
        <f t="shared" si="4"/>
        <v>5373.5805678666493</v>
      </c>
      <c r="L34" s="95"/>
      <c r="M34" s="95"/>
      <c r="N34" s="95"/>
    </row>
    <row r="35" spans="4:14" ht="15.75" x14ac:dyDescent="0.25">
      <c r="D35" s="17">
        <v>5</v>
      </c>
      <c r="E35" s="16">
        <v>0.1</v>
      </c>
      <c r="F35" s="93">
        <f t="shared" si="3"/>
        <v>9638.5822357382876</v>
      </c>
      <c r="G35" s="16">
        <v>0.1</v>
      </c>
      <c r="H35" s="93">
        <f t="shared" si="3"/>
        <v>9638.5822357382876</v>
      </c>
      <c r="I35" s="16">
        <v>0.15</v>
      </c>
      <c r="J35" s="93">
        <f t="shared" si="4"/>
        <v>6179.6176530466464</v>
      </c>
      <c r="L35" s="95"/>
      <c r="M35" s="95"/>
      <c r="N35" s="95"/>
    </row>
    <row r="36" spans="4:14" ht="15.75" x14ac:dyDescent="0.25">
      <c r="D36" s="17">
        <v>6</v>
      </c>
      <c r="E36" s="16">
        <v>0.1</v>
      </c>
      <c r="F36" s="93">
        <f t="shared" si="3"/>
        <v>10602.440459312116</v>
      </c>
      <c r="G36" s="16">
        <v>0.15</v>
      </c>
      <c r="H36" s="93">
        <f t="shared" si="3"/>
        <v>7106.560301003643</v>
      </c>
      <c r="I36" s="16">
        <v>0.15</v>
      </c>
      <c r="J36" s="93">
        <f t="shared" si="4"/>
        <v>7106.560301003643</v>
      </c>
      <c r="L36" s="95"/>
      <c r="M36" s="95"/>
      <c r="N36" s="95"/>
    </row>
    <row r="37" spans="4:14" ht="15.75" x14ac:dyDescent="0.25">
      <c r="D37" s="17">
        <v>7</v>
      </c>
      <c r="E37" s="16">
        <v>0.1</v>
      </c>
      <c r="F37" s="93">
        <f t="shared" si="3"/>
        <v>11662.684505243329</v>
      </c>
      <c r="G37" s="16">
        <v>0.15</v>
      </c>
      <c r="H37" s="93">
        <f t="shared" si="3"/>
        <v>8172.544346154189</v>
      </c>
      <c r="I37" s="16">
        <v>0.03</v>
      </c>
      <c r="J37" s="93">
        <f t="shared" si="4"/>
        <v>19735.230857848393</v>
      </c>
      <c r="L37" s="95"/>
      <c r="M37" s="95"/>
      <c r="N37" s="95"/>
    </row>
    <row r="38" spans="4:14" ht="15.75" x14ac:dyDescent="0.25">
      <c r="D38" s="17">
        <v>8</v>
      </c>
      <c r="E38" s="16">
        <v>0.1</v>
      </c>
      <c r="F38" s="93">
        <f t="shared" si="3"/>
        <v>12828.952955767661</v>
      </c>
      <c r="G38" s="16">
        <v>0.15</v>
      </c>
      <c r="H38" s="93">
        <f t="shared" si="3"/>
        <v>9398.4259980773168</v>
      </c>
      <c r="I38" s="16">
        <v>0.03</v>
      </c>
      <c r="J38" s="93">
        <f t="shared" si="4"/>
        <v>20327.287783583844</v>
      </c>
      <c r="L38" s="95"/>
      <c r="M38" s="95"/>
      <c r="N38" s="95"/>
    </row>
    <row r="39" spans="4:14" ht="15.75" x14ac:dyDescent="0.25">
      <c r="D39" s="17">
        <v>9</v>
      </c>
      <c r="E39" s="16">
        <v>0.1</v>
      </c>
      <c r="F39" s="93">
        <f t="shared" si="3"/>
        <v>14111.848251344429</v>
      </c>
      <c r="G39" s="16">
        <v>0.15</v>
      </c>
      <c r="H39" s="93">
        <f t="shared" si="3"/>
        <v>10808.189897788912</v>
      </c>
      <c r="I39" s="16">
        <v>0.03</v>
      </c>
      <c r="J39" s="93">
        <f t="shared" si="4"/>
        <v>20937.10641709136</v>
      </c>
      <c r="L39" s="95"/>
      <c r="M39" s="95"/>
      <c r="N39" s="95"/>
    </row>
    <row r="40" spans="4:14" ht="15.75" x14ac:dyDescent="0.25">
      <c r="D40" s="17">
        <v>10</v>
      </c>
      <c r="E40" s="16">
        <v>0.1</v>
      </c>
      <c r="F40" s="93">
        <f t="shared" si="3"/>
        <v>15523.033076478874</v>
      </c>
      <c r="G40" s="16">
        <v>0.15</v>
      </c>
      <c r="H40" s="93">
        <f t="shared" si="3"/>
        <v>12429.418382457246</v>
      </c>
      <c r="I40" s="16">
        <v>0.03</v>
      </c>
      <c r="J40" s="93">
        <f t="shared" si="4"/>
        <v>21565.219609604101</v>
      </c>
      <c r="L40" s="95"/>
      <c r="M40" s="95"/>
      <c r="N40" s="95"/>
    </row>
    <row r="41" spans="4:14" ht="15.75" x14ac:dyDescent="0.25">
      <c r="D41" s="17">
        <v>11</v>
      </c>
      <c r="E41" s="16">
        <v>0.1</v>
      </c>
      <c r="F41" s="93">
        <f t="shared" si="3"/>
        <v>17075.336384126764</v>
      </c>
      <c r="G41" s="16">
        <v>0.15</v>
      </c>
      <c r="H41" s="93">
        <f t="shared" si="3"/>
        <v>14293.831139825834</v>
      </c>
      <c r="I41" s="16">
        <v>0.1</v>
      </c>
      <c r="J41" s="93">
        <f t="shared" si="4"/>
        <v>17075.336384126764</v>
      </c>
      <c r="L41" s="95"/>
      <c r="M41" s="95"/>
      <c r="N41" s="95"/>
    </row>
    <row r="42" spans="4:14" ht="15.75" x14ac:dyDescent="0.25">
      <c r="D42" s="17">
        <v>12</v>
      </c>
      <c r="E42" s="16">
        <v>0.1</v>
      </c>
      <c r="F42" s="93">
        <f t="shared" si="3"/>
        <v>18782.870022539439</v>
      </c>
      <c r="G42" s="16">
        <v>0.1</v>
      </c>
      <c r="H42" s="93">
        <f t="shared" si="3"/>
        <v>18782.870022539439</v>
      </c>
      <c r="I42" s="16">
        <v>0.1</v>
      </c>
      <c r="J42" s="93">
        <f t="shared" si="4"/>
        <v>18782.870022539439</v>
      </c>
      <c r="L42" s="95"/>
      <c r="M42" s="95"/>
      <c r="N42" s="95"/>
    </row>
    <row r="43" spans="4:14" ht="15.75" x14ac:dyDescent="0.25">
      <c r="D43" s="17">
        <v>13</v>
      </c>
      <c r="E43" s="16">
        <v>0.1</v>
      </c>
      <c r="F43" s="93">
        <f t="shared" si="3"/>
        <v>20661.157024793385</v>
      </c>
      <c r="G43" s="16">
        <v>0.1</v>
      </c>
      <c r="H43" s="93">
        <f t="shared" si="3"/>
        <v>20661.157024793385</v>
      </c>
      <c r="I43" s="16">
        <v>0.1</v>
      </c>
      <c r="J43" s="93">
        <f t="shared" si="4"/>
        <v>20661.157024793385</v>
      </c>
      <c r="L43" s="95"/>
      <c r="M43" s="95"/>
      <c r="N43" s="95"/>
    </row>
    <row r="44" spans="4:14" ht="15.75" x14ac:dyDescent="0.25">
      <c r="D44" s="17">
        <v>14</v>
      </c>
      <c r="E44" s="16">
        <v>0.1</v>
      </c>
      <c r="F44" s="93">
        <f t="shared" si="3"/>
        <v>22727.272727272724</v>
      </c>
      <c r="G44" s="16">
        <v>0.1</v>
      </c>
      <c r="H44" s="93">
        <f t="shared" si="3"/>
        <v>22727.272727272724</v>
      </c>
      <c r="I44" s="16">
        <v>0.1</v>
      </c>
      <c r="J44" s="93">
        <f t="shared" si="4"/>
        <v>22727.272727272724</v>
      </c>
      <c r="L44" s="95"/>
      <c r="M44" s="95"/>
      <c r="N44" s="95"/>
    </row>
    <row r="45" spans="4:14" ht="16.5" thickBot="1" x14ac:dyDescent="0.3">
      <c r="D45" s="18">
        <v>15</v>
      </c>
      <c r="E45" s="19"/>
      <c r="F45" s="94">
        <f>P8_Face_Value_1</f>
        <v>25000</v>
      </c>
      <c r="G45" s="19"/>
      <c r="H45" s="94">
        <f>P8_Face_Value_1</f>
        <v>25000</v>
      </c>
      <c r="I45" s="19"/>
      <c r="J45" s="94">
        <f>P8_Face_Value_1</f>
        <v>25000</v>
      </c>
      <c r="L45" s="95"/>
      <c r="M45" s="95"/>
      <c r="N45" s="9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2ECF-D186-4BA0-B49C-1F1DEF843E4F}">
  <dimension ref="A1"/>
  <sheetViews>
    <sheetView workbookViewId="0">
      <selection activeCell="C93" sqref="C93"/>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5D97-D170-4C51-9D8D-467E0267A2AC}">
  <dimension ref="A6:O66"/>
  <sheetViews>
    <sheetView topLeftCell="A39" zoomScale="145" zoomScaleNormal="145" workbookViewId="0">
      <selection activeCell="C93" sqref="C93"/>
    </sheetView>
  </sheetViews>
  <sheetFormatPr defaultColWidth="8.85546875" defaultRowHeight="15" x14ac:dyDescent="0.25"/>
  <cols>
    <col min="1" max="1" width="19.140625" customWidth="1"/>
    <col min="2" max="2" width="15" customWidth="1"/>
    <col min="3" max="3" width="9.42578125" bestFit="1" customWidth="1"/>
    <col min="4" max="5" width="11" bestFit="1" customWidth="1"/>
    <col min="6" max="6" width="13.7109375" customWidth="1"/>
    <col min="7" max="7" width="11" bestFit="1" customWidth="1"/>
    <col min="8" max="8" width="17" customWidth="1"/>
  </cols>
  <sheetData>
    <row r="6" spans="1:14" ht="15.75" thickBot="1" x14ac:dyDescent="0.3"/>
    <row r="7" spans="1:14" ht="32.25" thickBot="1" x14ac:dyDescent="0.3">
      <c r="B7" s="20"/>
      <c r="C7" s="21" t="s">
        <v>143</v>
      </c>
      <c r="D7" s="21" t="s">
        <v>144</v>
      </c>
      <c r="E7" s="21" t="s">
        <v>145</v>
      </c>
      <c r="F7" s="21" t="s">
        <v>146</v>
      </c>
      <c r="G7" s="21" t="s">
        <v>147</v>
      </c>
      <c r="H7" s="15" t="s">
        <v>148</v>
      </c>
    </row>
    <row r="8" spans="1:14" ht="31.5" x14ac:dyDescent="0.25">
      <c r="B8" s="24" t="s">
        <v>149</v>
      </c>
      <c r="C8" s="23">
        <v>150</v>
      </c>
      <c r="D8" s="23">
        <v>250</v>
      </c>
      <c r="E8" s="23">
        <v>350</v>
      </c>
      <c r="F8" s="23">
        <v>450</v>
      </c>
      <c r="G8" s="23">
        <v>530</v>
      </c>
      <c r="H8" s="25">
        <v>550</v>
      </c>
    </row>
    <row r="9" spans="1:14" ht="32.25" thickBot="1" x14ac:dyDescent="0.3">
      <c r="B9" s="24" t="s">
        <v>150</v>
      </c>
      <c r="C9" s="27">
        <v>-90</v>
      </c>
      <c r="D9" s="27">
        <v>-130</v>
      </c>
      <c r="E9" s="27">
        <v>-170</v>
      </c>
      <c r="F9" s="27">
        <v>-210</v>
      </c>
      <c r="G9" s="27">
        <v>-250</v>
      </c>
      <c r="H9" s="28">
        <v>-250</v>
      </c>
    </row>
    <row r="10" spans="1:14" ht="32.25" thickBot="1" x14ac:dyDescent="0.3">
      <c r="B10" s="26" t="s">
        <v>151</v>
      </c>
      <c r="C10" s="27">
        <f>C8+C9</f>
        <v>60</v>
      </c>
      <c r="D10" s="27">
        <f t="shared" ref="D10:H10" si="0">D8+D9</f>
        <v>120</v>
      </c>
      <c r="E10" s="27">
        <f t="shared" si="0"/>
        <v>180</v>
      </c>
      <c r="F10" s="27">
        <f t="shared" si="0"/>
        <v>240</v>
      </c>
      <c r="G10" s="27">
        <f t="shared" si="0"/>
        <v>280</v>
      </c>
      <c r="H10" s="99">
        <f t="shared" si="0"/>
        <v>300</v>
      </c>
    </row>
    <row r="11" spans="1:14" ht="15.75" x14ac:dyDescent="0.25">
      <c r="B11" s="31"/>
      <c r="C11" s="23"/>
      <c r="D11" s="23"/>
      <c r="E11" s="23"/>
      <c r="F11" s="23"/>
      <c r="G11" s="23"/>
      <c r="H11" s="23"/>
    </row>
    <row r="12" spans="1:14" ht="15.75" x14ac:dyDescent="0.25">
      <c r="B12" s="31"/>
      <c r="C12" s="23"/>
      <c r="D12" s="23"/>
      <c r="E12" s="23"/>
      <c r="F12" s="23"/>
      <c r="G12" s="23"/>
      <c r="H12" s="23"/>
    </row>
    <row r="13" spans="1:14" ht="15.75" x14ac:dyDescent="0.25">
      <c r="B13" s="31"/>
      <c r="C13" s="23"/>
      <c r="D13" s="23"/>
      <c r="E13" s="23"/>
      <c r="F13" s="23"/>
      <c r="G13" s="23"/>
      <c r="H13" s="23"/>
    </row>
    <row r="15" spans="1:14" x14ac:dyDescent="0.25">
      <c r="A15" t="s">
        <v>152</v>
      </c>
      <c r="B15" s="48">
        <v>0.08</v>
      </c>
    </row>
    <row r="16" spans="1:14" ht="15.75" thickBot="1" x14ac:dyDescent="0.3">
      <c r="A16" t="s">
        <v>0</v>
      </c>
      <c r="B16" s="6">
        <v>0</v>
      </c>
      <c r="C16" s="6">
        <v>1</v>
      </c>
      <c r="D16" s="6">
        <v>2</v>
      </c>
      <c r="E16" s="6">
        <v>3</v>
      </c>
      <c r="F16" s="6">
        <v>4</v>
      </c>
      <c r="G16" s="6">
        <v>5</v>
      </c>
      <c r="H16" s="6">
        <v>6</v>
      </c>
      <c r="I16" s="6">
        <v>7</v>
      </c>
      <c r="J16" s="6">
        <v>8</v>
      </c>
      <c r="K16" s="6">
        <v>9</v>
      </c>
      <c r="L16" s="6">
        <v>10</v>
      </c>
      <c r="M16" s="6">
        <v>11</v>
      </c>
      <c r="N16" s="6">
        <v>12</v>
      </c>
    </row>
    <row r="17" spans="1:15" x14ac:dyDescent="0.25">
      <c r="A17" t="s">
        <v>153</v>
      </c>
      <c r="C17" s="54">
        <f>C10</f>
        <v>60</v>
      </c>
      <c r="D17" s="54">
        <f t="shared" ref="D17:F17" si="1">D10</f>
        <v>120</v>
      </c>
      <c r="E17" s="54">
        <f t="shared" si="1"/>
        <v>180</v>
      </c>
      <c r="F17" s="54">
        <f t="shared" si="1"/>
        <v>240</v>
      </c>
      <c r="G17" s="54">
        <f>G10</f>
        <v>280</v>
      </c>
      <c r="H17" s="49">
        <v>300</v>
      </c>
      <c r="I17" s="49">
        <v>300</v>
      </c>
      <c r="J17" s="49">
        <v>300</v>
      </c>
      <c r="K17" s="49">
        <v>300</v>
      </c>
      <c r="L17" s="49">
        <v>300</v>
      </c>
      <c r="M17" s="49">
        <v>300</v>
      </c>
      <c r="N17" s="49">
        <v>300</v>
      </c>
      <c r="O17" t="s">
        <v>154</v>
      </c>
    </row>
    <row r="18" spans="1:15" ht="30" x14ac:dyDescent="0.25">
      <c r="A18" s="29" t="s">
        <v>155</v>
      </c>
      <c r="C18" s="96"/>
      <c r="D18" s="96"/>
      <c r="E18" s="96"/>
      <c r="F18" s="96"/>
      <c r="G18" s="97">
        <f>ROUND(H17/P9_Interest_Rate_Ex,0)</f>
        <v>3750</v>
      </c>
      <c r="H18" s="7"/>
      <c r="I18" s="7"/>
      <c r="J18" s="7"/>
      <c r="K18" s="7"/>
      <c r="L18" s="7"/>
      <c r="M18" s="7"/>
      <c r="N18" s="7"/>
    </row>
    <row r="19" spans="1:15" x14ac:dyDescent="0.25">
      <c r="A19" s="29" t="s">
        <v>261</v>
      </c>
      <c r="C19" s="64">
        <f>ROUND(SUM(C17:C18),0)</f>
        <v>60</v>
      </c>
      <c r="D19" s="64">
        <f t="shared" ref="D19:G19" si="2">ROUND(SUM(D17:D18),0)</f>
        <v>120</v>
      </c>
      <c r="E19" s="64">
        <f t="shared" si="2"/>
        <v>180</v>
      </c>
      <c r="F19" s="64">
        <f t="shared" si="2"/>
        <v>240</v>
      </c>
      <c r="G19" s="64">
        <f t="shared" si="2"/>
        <v>4030</v>
      </c>
      <c r="H19" s="7"/>
      <c r="I19" s="7"/>
      <c r="J19" s="7"/>
      <c r="K19" s="7"/>
      <c r="L19" s="7"/>
      <c r="M19" s="7"/>
      <c r="N19" s="7"/>
    </row>
    <row r="20" spans="1:15" x14ac:dyDescent="0.25">
      <c r="A20" s="29" t="s">
        <v>82</v>
      </c>
      <c r="B20" s="72">
        <f>ROUND(SUM(C20:G20),2)</f>
        <v>3220.48</v>
      </c>
      <c r="C20" s="70">
        <f>C19/(1+P9_Interest_Rate_Ex)^C16</f>
        <v>55.55555555555555</v>
      </c>
      <c r="D20" s="70">
        <f>D19/(1+P9_Interest_Rate_Ex)^D16</f>
        <v>102.88065843621398</v>
      </c>
      <c r="E20" s="70">
        <f>E19/(1+P9_Interest_Rate_Ex)^E16</f>
        <v>142.88980338363052</v>
      </c>
      <c r="F20" s="70">
        <f>F19/(1+P9_Interest_Rate_Ex)^F16</f>
        <v>176.40716467114879</v>
      </c>
      <c r="G20" s="70">
        <f>G19/(1+P9_Interest_Rate_Ex)^G16</f>
        <v>2742.7502840460247</v>
      </c>
    </row>
    <row r="22" spans="1:15" ht="30" x14ac:dyDescent="0.25">
      <c r="A22" s="29" t="s">
        <v>262</v>
      </c>
      <c r="B22" s="98">
        <f>B20</f>
        <v>3220.48</v>
      </c>
    </row>
    <row r="23" spans="1:15" x14ac:dyDescent="0.25">
      <c r="B23" s="95"/>
    </row>
    <row r="24" spans="1:15" x14ac:dyDescent="0.25">
      <c r="B24" s="95"/>
    </row>
    <row r="25" spans="1:15" x14ac:dyDescent="0.25">
      <c r="B25" s="95"/>
    </row>
    <row r="26" spans="1:15" x14ac:dyDescent="0.25">
      <c r="B26" s="95"/>
    </row>
    <row r="27" spans="1:15" x14ac:dyDescent="0.25">
      <c r="B27" s="95"/>
    </row>
    <row r="28" spans="1:15" ht="15.75" thickBot="1" x14ac:dyDescent="0.3">
      <c r="B28" s="95"/>
      <c r="E28" s="6">
        <v>3</v>
      </c>
      <c r="F28" s="6">
        <v>4</v>
      </c>
      <c r="G28" s="6">
        <v>5</v>
      </c>
      <c r="H28" s="6">
        <v>6</v>
      </c>
      <c r="I28" s="6">
        <v>7</v>
      </c>
      <c r="J28" s="6">
        <v>8</v>
      </c>
      <c r="K28" s="6">
        <v>9</v>
      </c>
      <c r="L28" s="6">
        <v>10</v>
      </c>
      <c r="M28" s="6">
        <v>11</v>
      </c>
      <c r="N28" s="6">
        <v>12</v>
      </c>
    </row>
    <row r="29" spans="1:15" x14ac:dyDescent="0.25">
      <c r="A29" t="s">
        <v>260</v>
      </c>
      <c r="B29" s="95"/>
      <c r="F29" s="54">
        <f>F17</f>
        <v>240</v>
      </c>
      <c r="G29" s="54">
        <f t="shared" ref="G29:N29" si="3">G17</f>
        <v>280</v>
      </c>
      <c r="H29" s="54">
        <f t="shared" si="3"/>
        <v>300</v>
      </c>
      <c r="I29" s="54">
        <f t="shared" si="3"/>
        <v>300</v>
      </c>
      <c r="J29" s="54">
        <f t="shared" si="3"/>
        <v>300</v>
      </c>
      <c r="K29" s="54">
        <f t="shared" si="3"/>
        <v>300</v>
      </c>
      <c r="L29" s="54">
        <f t="shared" si="3"/>
        <v>300</v>
      </c>
      <c r="M29" s="54">
        <f t="shared" si="3"/>
        <v>300</v>
      </c>
      <c r="N29" s="54">
        <f t="shared" si="3"/>
        <v>300</v>
      </c>
      <c r="O29" t="s">
        <v>154</v>
      </c>
    </row>
    <row r="30" spans="1:15" ht="30" x14ac:dyDescent="0.25">
      <c r="A30" s="29" t="s">
        <v>155</v>
      </c>
      <c r="B30" s="95"/>
      <c r="F30" s="100"/>
      <c r="G30" s="97">
        <f>G18</f>
        <v>3750</v>
      </c>
    </row>
    <row r="31" spans="1:15" x14ac:dyDescent="0.25">
      <c r="A31" s="29" t="s">
        <v>261</v>
      </c>
      <c r="B31" s="95"/>
      <c r="F31" s="64">
        <f>ROUND(SUM(F29:F30),0)</f>
        <v>240</v>
      </c>
      <c r="G31" s="64">
        <f>ROUND(SUM(G29:G30),0)</f>
        <v>4030</v>
      </c>
    </row>
    <row r="32" spans="1:15" x14ac:dyDescent="0.25">
      <c r="A32" s="29" t="s">
        <v>82</v>
      </c>
      <c r="B32" s="95"/>
      <c r="E32" s="72">
        <f>ROUND(SUM(F32:G32),2)</f>
        <v>3677.3</v>
      </c>
      <c r="F32" s="83">
        <f>F31/(1+P9_Interest_Rate_Ex)^(F28-3)</f>
        <v>222.2222222222222</v>
      </c>
      <c r="G32" s="83">
        <f>G31/(1+P9_Interest_Rate_Ex)^(G28-3)</f>
        <v>3455.0754458161864</v>
      </c>
    </row>
    <row r="33" spans="1:14" x14ac:dyDescent="0.25">
      <c r="B33" s="95"/>
    </row>
    <row r="34" spans="1:14" ht="30" x14ac:dyDescent="0.25">
      <c r="A34" s="29" t="s">
        <v>263</v>
      </c>
      <c r="B34" s="72">
        <f>E32</f>
        <v>3677.3</v>
      </c>
    </row>
    <row r="35" spans="1:14" x14ac:dyDescent="0.25">
      <c r="B35" s="95"/>
    </row>
    <row r="38" spans="1:14" ht="15.75" thickBot="1" x14ac:dyDescent="0.3"/>
    <row r="39" spans="1:14" ht="32.25" thickBot="1" x14ac:dyDescent="0.3">
      <c r="B39" s="20"/>
      <c r="C39" s="21" t="s">
        <v>143</v>
      </c>
      <c r="D39" s="21" t="s">
        <v>144</v>
      </c>
      <c r="E39" s="21" t="s">
        <v>145</v>
      </c>
      <c r="F39" s="15" t="s">
        <v>148</v>
      </c>
    </row>
    <row r="40" spans="1:14" ht="31.5" x14ac:dyDescent="0.25">
      <c r="B40" s="24" t="s">
        <v>156</v>
      </c>
      <c r="C40" s="23">
        <v>200</v>
      </c>
      <c r="D40" s="23">
        <v>350</v>
      </c>
      <c r="E40" s="23">
        <v>450</v>
      </c>
      <c r="F40" s="25">
        <v>600</v>
      </c>
    </row>
    <row r="41" spans="1:14" ht="32.25" thickBot="1" x14ac:dyDescent="0.3">
      <c r="B41" s="24" t="s">
        <v>157</v>
      </c>
      <c r="C41" s="27">
        <v>-75</v>
      </c>
      <c r="D41" s="27">
        <v>-150</v>
      </c>
      <c r="E41" s="27">
        <v>-200</v>
      </c>
      <c r="F41" s="28">
        <v>-250</v>
      </c>
    </row>
    <row r="42" spans="1:14" ht="32.25" thickBot="1" x14ac:dyDescent="0.3">
      <c r="B42" s="26" t="s">
        <v>151</v>
      </c>
      <c r="C42" s="27">
        <f>C40+C41</f>
        <v>125</v>
      </c>
      <c r="D42" s="27">
        <f t="shared" ref="D42:F42" si="4">D40+D41</f>
        <v>200</v>
      </c>
      <c r="E42" s="27">
        <f t="shared" si="4"/>
        <v>250</v>
      </c>
      <c r="F42" s="28">
        <f t="shared" si="4"/>
        <v>350</v>
      </c>
    </row>
    <row r="43" spans="1:14" ht="15.75" x14ac:dyDescent="0.25">
      <c r="B43" s="31"/>
      <c r="C43" s="23"/>
      <c r="D43" s="23"/>
      <c r="E43" s="23"/>
      <c r="F43" s="23"/>
    </row>
    <row r="44" spans="1:14" ht="15.75" x14ac:dyDescent="0.25">
      <c r="B44" s="31"/>
      <c r="C44" s="23"/>
      <c r="D44" s="23"/>
      <c r="E44" s="23"/>
      <c r="F44" s="23"/>
    </row>
    <row r="45" spans="1:14" ht="15.75" x14ac:dyDescent="0.25">
      <c r="B45" s="31"/>
      <c r="C45" s="23"/>
      <c r="D45" s="23"/>
      <c r="E45" s="23"/>
      <c r="F45" s="23"/>
    </row>
    <row r="46" spans="1:14" ht="15.75" x14ac:dyDescent="0.25">
      <c r="B46" s="31"/>
      <c r="C46" s="23"/>
      <c r="D46" s="23"/>
      <c r="E46" s="23"/>
      <c r="F46" s="23"/>
    </row>
    <row r="47" spans="1:14" x14ac:dyDescent="0.25">
      <c r="A47" t="s">
        <v>161</v>
      </c>
      <c r="B47" s="51">
        <v>0.05</v>
      </c>
    </row>
    <row r="48" spans="1:14" ht="15.75" thickBot="1" x14ac:dyDescent="0.3">
      <c r="A48" t="s">
        <v>0</v>
      </c>
      <c r="B48" s="6">
        <v>0</v>
      </c>
      <c r="C48" s="6">
        <v>1</v>
      </c>
      <c r="D48" s="6">
        <v>2</v>
      </c>
      <c r="E48" s="6">
        <v>3</v>
      </c>
      <c r="F48" s="6">
        <v>4</v>
      </c>
      <c r="G48" s="6">
        <v>5</v>
      </c>
      <c r="H48" s="6">
        <v>6</v>
      </c>
      <c r="I48" s="6">
        <v>7</v>
      </c>
      <c r="J48" s="6">
        <v>8</v>
      </c>
      <c r="K48" s="6">
        <v>9</v>
      </c>
      <c r="L48" s="6">
        <v>10</v>
      </c>
      <c r="M48" s="6">
        <v>11</v>
      </c>
      <c r="N48" s="6">
        <v>12</v>
      </c>
    </row>
    <row r="49" spans="1:15" x14ac:dyDescent="0.25">
      <c r="A49" t="s">
        <v>153</v>
      </c>
      <c r="C49" s="54">
        <f>C42</f>
        <v>125</v>
      </c>
      <c r="D49" s="54">
        <f t="shared" ref="D49:F49" si="5">D42</f>
        <v>200</v>
      </c>
      <c r="E49" s="54">
        <f t="shared" si="5"/>
        <v>250</v>
      </c>
      <c r="F49" s="54">
        <f t="shared" si="5"/>
        <v>350</v>
      </c>
      <c r="G49" s="54">
        <f>F49</f>
        <v>350</v>
      </c>
      <c r="H49" s="54">
        <f t="shared" ref="H49:N49" si="6">G49</f>
        <v>350</v>
      </c>
      <c r="I49" s="54">
        <f t="shared" si="6"/>
        <v>350</v>
      </c>
      <c r="J49" s="54">
        <f t="shared" si="6"/>
        <v>350</v>
      </c>
      <c r="K49" s="54">
        <f t="shared" si="6"/>
        <v>350</v>
      </c>
      <c r="L49" s="54">
        <f t="shared" si="6"/>
        <v>350</v>
      </c>
      <c r="M49" s="54">
        <f t="shared" si="6"/>
        <v>350</v>
      </c>
      <c r="N49" s="54">
        <f t="shared" si="6"/>
        <v>350</v>
      </c>
      <c r="O49" t="s">
        <v>154</v>
      </c>
    </row>
    <row r="50" spans="1:15" ht="30" x14ac:dyDescent="0.25">
      <c r="A50" s="29" t="s">
        <v>264</v>
      </c>
      <c r="C50" s="96"/>
      <c r="D50" s="96"/>
      <c r="E50" s="97">
        <f>ROUND(F49/P9_Interest_Rate,0)</f>
        <v>7000</v>
      </c>
      <c r="F50" s="101"/>
      <c r="H50" s="7"/>
      <c r="I50" s="7"/>
      <c r="J50" s="7"/>
      <c r="K50" s="7"/>
      <c r="L50" s="7"/>
      <c r="M50" s="7"/>
      <c r="N50" s="7"/>
    </row>
    <row r="51" spans="1:15" x14ac:dyDescent="0.25">
      <c r="A51" s="29" t="s">
        <v>261</v>
      </c>
      <c r="C51" s="64">
        <f>ROUND(SUM(C49:C50),0)</f>
        <v>125</v>
      </c>
      <c r="D51" s="64">
        <f t="shared" ref="D51" si="7">ROUND(SUM(D49:D50),0)</f>
        <v>200</v>
      </c>
      <c r="E51" s="64">
        <f>ROUND(SUM(E49:E50),0)</f>
        <v>7250</v>
      </c>
      <c r="F51" s="102"/>
      <c r="G51" s="102"/>
      <c r="H51" s="7"/>
      <c r="I51" s="7"/>
      <c r="J51" s="7"/>
      <c r="K51" s="7"/>
      <c r="L51" s="7"/>
      <c r="M51" s="7"/>
      <c r="N51" s="7"/>
    </row>
    <row r="52" spans="1:15" x14ac:dyDescent="0.25">
      <c r="A52" s="29" t="s">
        <v>82</v>
      </c>
      <c r="B52" s="72">
        <f>ROUND(SUM(C52:G52),2)</f>
        <v>6563.28</v>
      </c>
      <c r="C52" s="70">
        <f>C51/(1+P9_Interest_Rate)^C48</f>
        <v>119.04761904761904</v>
      </c>
      <c r="D52" s="70">
        <f>D51/(1+P9_Interest_Rate)^D48</f>
        <v>181.40589569160997</v>
      </c>
      <c r="E52" s="70">
        <f>E51/(1+P9_Interest_Rate)^E48</f>
        <v>6262.8225893532008</v>
      </c>
      <c r="F52" s="30"/>
      <c r="G52" s="30"/>
    </row>
    <row r="54" spans="1:15" ht="30" x14ac:dyDescent="0.25">
      <c r="A54" s="29" t="s">
        <v>262</v>
      </c>
      <c r="B54" s="98">
        <f>B52</f>
        <v>6563.28</v>
      </c>
    </row>
    <row r="55" spans="1:15" x14ac:dyDescent="0.25">
      <c r="A55" s="29"/>
      <c r="B55" s="98"/>
    </row>
    <row r="59" spans="1:15" ht="15.75" thickBot="1" x14ac:dyDescent="0.3">
      <c r="A59" t="s">
        <v>0</v>
      </c>
      <c r="B59" s="5"/>
      <c r="C59" s="5"/>
      <c r="D59" s="6">
        <v>2</v>
      </c>
      <c r="E59" s="6">
        <v>3</v>
      </c>
      <c r="F59" s="6">
        <v>4</v>
      </c>
      <c r="G59" s="6">
        <v>5</v>
      </c>
      <c r="H59" s="6">
        <v>6</v>
      </c>
      <c r="I59" s="6">
        <v>7</v>
      </c>
      <c r="J59" s="6">
        <v>8</v>
      </c>
      <c r="K59" s="6">
        <v>9</v>
      </c>
      <c r="L59" s="6">
        <v>10</v>
      </c>
      <c r="M59" s="6">
        <v>11</v>
      </c>
      <c r="N59" s="6">
        <v>12</v>
      </c>
    </row>
    <row r="60" spans="1:15" x14ac:dyDescent="0.25">
      <c r="A60" t="s">
        <v>153</v>
      </c>
      <c r="C60" s="102"/>
      <c r="D60" s="102"/>
      <c r="E60" s="54">
        <f t="shared" ref="E60:N60" si="8">E49</f>
        <v>250</v>
      </c>
      <c r="F60" s="54">
        <f t="shared" si="8"/>
        <v>350</v>
      </c>
      <c r="G60" s="54">
        <f t="shared" si="8"/>
        <v>350</v>
      </c>
      <c r="H60" s="54">
        <f t="shared" si="8"/>
        <v>350</v>
      </c>
      <c r="I60" s="54">
        <f t="shared" si="8"/>
        <v>350</v>
      </c>
      <c r="J60" s="54">
        <f t="shared" si="8"/>
        <v>350</v>
      </c>
      <c r="K60" s="54">
        <f t="shared" si="8"/>
        <v>350</v>
      </c>
      <c r="L60" s="54">
        <f t="shared" si="8"/>
        <v>350</v>
      </c>
      <c r="M60" s="54">
        <f t="shared" si="8"/>
        <v>350</v>
      </c>
      <c r="N60" s="54">
        <f t="shared" si="8"/>
        <v>350</v>
      </c>
      <c r="O60" t="s">
        <v>154</v>
      </c>
    </row>
    <row r="61" spans="1:15" ht="30" x14ac:dyDescent="0.25">
      <c r="A61" s="29" t="s">
        <v>264</v>
      </c>
      <c r="C61" s="102"/>
      <c r="D61" s="102"/>
      <c r="E61" s="97">
        <f>ROUND(F60/P9_Interest_Rate,0)</f>
        <v>7000</v>
      </c>
      <c r="F61" s="102"/>
      <c r="H61" s="7"/>
      <c r="I61" s="7"/>
      <c r="J61" s="7"/>
      <c r="K61" s="7"/>
      <c r="L61" s="7"/>
      <c r="M61" s="7"/>
      <c r="N61" s="7"/>
    </row>
    <row r="62" spans="1:15" x14ac:dyDescent="0.25">
      <c r="A62" s="29" t="s">
        <v>261</v>
      </c>
      <c r="C62" s="102"/>
      <c r="D62" s="102"/>
      <c r="E62" s="64">
        <f>ROUND(SUM(E60:E61),0)</f>
        <v>7250</v>
      </c>
      <c r="F62" s="102"/>
      <c r="G62" s="102"/>
      <c r="H62" s="7"/>
      <c r="I62" s="7"/>
      <c r="J62" s="7"/>
      <c r="K62" s="7"/>
      <c r="L62" s="7"/>
      <c r="M62" s="7"/>
      <c r="N62" s="7"/>
    </row>
    <row r="63" spans="1:15" x14ac:dyDescent="0.25">
      <c r="A63" s="29" t="s">
        <v>82</v>
      </c>
      <c r="C63" s="30"/>
      <c r="D63" s="72">
        <f>ROUND(SUM(E63),2)</f>
        <v>6904.76</v>
      </c>
      <c r="E63" s="84">
        <f>E62/(1+P9_Interest_Rate)^(E59-2)</f>
        <v>6904.7619047619046</v>
      </c>
      <c r="F63" s="30"/>
      <c r="G63" s="30"/>
    </row>
    <row r="65" spans="1:6" ht="30" x14ac:dyDescent="0.25">
      <c r="A65" s="29" t="s">
        <v>265</v>
      </c>
      <c r="B65" s="98">
        <f>D63</f>
        <v>6904.76</v>
      </c>
    </row>
    <row r="66" spans="1:6" x14ac:dyDescent="0.25">
      <c r="F66">
        <f>27.67/(1+ (0.0522/2))^40</f>
        <v>9.8723752536464016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51079-BC9C-4FA9-9C1F-25511D5A7C58}">
  <dimension ref="B47:E47"/>
  <sheetViews>
    <sheetView topLeftCell="A13" zoomScale="130" zoomScaleNormal="130" workbookViewId="0">
      <selection activeCell="C93" sqref="C93"/>
    </sheetView>
  </sheetViews>
  <sheetFormatPr defaultColWidth="8.85546875" defaultRowHeight="15" x14ac:dyDescent="0.25"/>
  <cols>
    <col min="2" max="2" width="14" customWidth="1"/>
  </cols>
  <sheetData>
    <row r="47" spans="2:5" x14ac:dyDescent="0.25">
      <c r="B47" s="103">
        <f>10*(1+(5.22%/2))^40</f>
        <v>28.027702846668006</v>
      </c>
      <c r="C47" t="s">
        <v>255</v>
      </c>
      <c r="E47" s="107" t="b">
        <v>0</v>
      </c>
    </row>
  </sheetData>
  <sheetProtection algorithmName="SHA-512" hashValue="y5SbAHcmgZAsLeT3tfCIBh/dCXuBwVQIjaJ/3fgWce2hfgFgYZY6PO1fHHMOWhQB3TFNNkkjfH+QW402Frf9AQ==" saltValue="ri2wKetQQyCRFroj0OIhug==" spinCount="100000" sheet="1" objects="1" scenarios="1"/>
  <conditionalFormatting sqref="B47">
    <cfRule type="expression" dxfId="31" priority="1">
      <formula>AND($E$47,ROUND($B$47,2)&lt;&gt;28.03)</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4</xdr:col>
                    <xdr:colOff>104775</xdr:colOff>
                    <xdr:row>45</xdr:row>
                    <xdr:rowOff>171450</xdr:rowOff>
                  </from>
                  <to>
                    <xdr:col>5</xdr:col>
                    <xdr:colOff>409575</xdr:colOff>
                    <xdr:row>47</xdr:row>
                    <xdr:rowOff>28575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W206"/>
  <sheetViews>
    <sheetView tabSelected="1" topLeftCell="A4" zoomScaleNormal="100" workbookViewId="0">
      <selection activeCell="R7" sqref="R7"/>
    </sheetView>
  </sheetViews>
  <sheetFormatPr defaultColWidth="8.85546875" defaultRowHeight="15" x14ac:dyDescent="0.25"/>
  <cols>
    <col min="1" max="1" width="17.28515625" customWidth="1"/>
    <col min="2" max="2" width="11" bestFit="1" customWidth="1"/>
    <col min="3" max="3" width="9.28515625" bestFit="1" customWidth="1"/>
    <col min="4" max="4" width="11.85546875" bestFit="1" customWidth="1"/>
    <col min="9" max="9" width="11.85546875" bestFit="1" customWidth="1"/>
    <col min="10" max="10" width="9.42578125" bestFit="1" customWidth="1"/>
    <col min="12" max="12" width="9.42578125" bestFit="1" customWidth="1"/>
    <col min="14" max="14" width="10.7109375" bestFit="1" customWidth="1"/>
    <col min="16" max="16" width="10.7109375" bestFit="1" customWidth="1"/>
    <col min="18" max="18" width="9.5703125" bestFit="1" customWidth="1"/>
    <col min="21" max="21" width="10.7109375" bestFit="1" customWidth="1"/>
    <col min="22" max="22" width="8.85546875" customWidth="1"/>
    <col min="23" max="23" width="18.28515625" bestFit="1" customWidth="1"/>
  </cols>
  <sheetData>
    <row r="8" spans="1:22" ht="15.75" thickBot="1" x14ac:dyDescent="0.3">
      <c r="A8" s="6" t="s">
        <v>7</v>
      </c>
      <c r="B8" s="6" t="s">
        <v>6</v>
      </c>
    </row>
    <row r="9" spans="1:22" x14ac:dyDescent="0.25">
      <c r="A9" t="s">
        <v>8</v>
      </c>
      <c r="B9" s="47">
        <v>1000</v>
      </c>
    </row>
    <row r="10" spans="1:22" x14ac:dyDescent="0.25">
      <c r="A10" t="s">
        <v>9</v>
      </c>
      <c r="B10" s="48">
        <v>0.05</v>
      </c>
      <c r="C10" s="49" t="s">
        <v>61</v>
      </c>
    </row>
    <row r="11" spans="1:22" x14ac:dyDescent="0.25">
      <c r="A11" t="s">
        <v>10</v>
      </c>
      <c r="B11" s="49">
        <v>1</v>
      </c>
      <c r="C11" t="s">
        <v>5</v>
      </c>
    </row>
    <row r="12" spans="1:22" x14ac:dyDescent="0.25">
      <c r="B12" s="7"/>
    </row>
    <row r="13" spans="1:22" x14ac:dyDescent="0.25">
      <c r="B13" s="114" t="str">
        <f>"End of "&amp; One_Period_Ex1 &amp;" Year"</f>
        <v>End of 1 Year</v>
      </c>
      <c r="C13" s="114"/>
      <c r="D13" s="114"/>
      <c r="E13" s="114"/>
      <c r="F13" s="114"/>
      <c r="G13" s="114"/>
      <c r="H13" s="114"/>
      <c r="I13" s="114"/>
      <c r="J13" s="114"/>
      <c r="K13" s="114"/>
      <c r="L13" s="114"/>
      <c r="M13" s="114"/>
      <c r="N13" s="114"/>
      <c r="O13" s="114"/>
      <c r="P13" s="114"/>
      <c r="Q13" s="114"/>
      <c r="R13" s="114"/>
      <c r="S13" s="114"/>
      <c r="T13" s="114"/>
      <c r="U13" s="114"/>
      <c r="V13" s="114"/>
    </row>
    <row r="14" spans="1:22" ht="15.75" thickBot="1" x14ac:dyDescent="0.3">
      <c r="B14" s="6">
        <v>0</v>
      </c>
      <c r="C14" s="6">
        <v>1</v>
      </c>
      <c r="D14" s="6">
        <v>2</v>
      </c>
      <c r="E14" s="6">
        <v>3</v>
      </c>
      <c r="F14" s="6">
        <v>4</v>
      </c>
      <c r="G14" s="6">
        <v>5</v>
      </c>
      <c r="H14" s="6">
        <v>6</v>
      </c>
      <c r="I14" s="6">
        <v>7</v>
      </c>
      <c r="J14" s="6">
        <v>8</v>
      </c>
      <c r="K14" s="6">
        <v>9</v>
      </c>
      <c r="L14" s="6">
        <v>10</v>
      </c>
      <c r="M14" s="6">
        <v>11</v>
      </c>
      <c r="N14" s="6">
        <v>12</v>
      </c>
      <c r="O14" s="6">
        <v>13</v>
      </c>
      <c r="P14" s="6">
        <v>14</v>
      </c>
      <c r="Q14" s="6">
        <v>15</v>
      </c>
      <c r="R14" s="6">
        <v>16</v>
      </c>
      <c r="S14" s="6">
        <v>17</v>
      </c>
      <c r="T14" s="6">
        <v>18</v>
      </c>
      <c r="U14" s="6">
        <v>19</v>
      </c>
      <c r="V14" s="6">
        <v>20</v>
      </c>
    </row>
    <row r="15" spans="1:22" x14ac:dyDescent="0.25">
      <c r="A15" s="7" t="s">
        <v>3</v>
      </c>
      <c r="B15" s="53"/>
      <c r="C15" s="53">
        <f>Face_Ex1*Coupon_rate_Ex1</f>
        <v>50</v>
      </c>
      <c r="D15" s="53">
        <f>Face_Ex1*Coupon_rate_Ex1</f>
        <v>50</v>
      </c>
      <c r="E15" s="53">
        <f>Face_Ex1*Coupon_rate_Ex1</f>
        <v>50</v>
      </c>
      <c r="F15" s="53"/>
      <c r="G15" s="53"/>
      <c r="H15" s="53"/>
      <c r="I15" s="53"/>
      <c r="J15" s="53"/>
      <c r="K15" s="53"/>
      <c r="L15" s="53"/>
      <c r="M15" s="53"/>
      <c r="N15" s="53"/>
      <c r="O15" s="53"/>
      <c r="P15" s="53"/>
      <c r="Q15" s="53"/>
      <c r="R15" s="53"/>
      <c r="S15" s="53"/>
      <c r="T15" s="53"/>
      <c r="U15" s="53"/>
      <c r="V15" s="53"/>
    </row>
    <row r="16" spans="1:22" x14ac:dyDescent="0.25">
      <c r="A16" s="7" t="s">
        <v>2</v>
      </c>
      <c r="B16" s="54"/>
      <c r="C16" s="54"/>
      <c r="D16" s="54"/>
      <c r="E16" s="53">
        <f>Face_Ex1</f>
        <v>1000</v>
      </c>
      <c r="F16" s="54"/>
      <c r="G16" s="54"/>
      <c r="H16" s="53"/>
      <c r="I16" s="54"/>
      <c r="J16" s="54"/>
      <c r="K16" s="53"/>
      <c r="L16" s="53"/>
      <c r="M16" s="53"/>
      <c r="N16" s="53"/>
      <c r="O16" s="53"/>
      <c r="P16" s="53"/>
      <c r="Q16" s="53"/>
      <c r="R16" s="53"/>
      <c r="S16" s="53"/>
      <c r="T16" s="53"/>
      <c r="U16" s="53"/>
      <c r="V16" s="53"/>
    </row>
    <row r="17" spans="1:22" ht="15.75" thickBot="1" x14ac:dyDescent="0.3">
      <c r="A17" s="7" t="s">
        <v>4</v>
      </c>
      <c r="B17" s="55">
        <f>ROUND(SUM(B15:B16),0)</f>
        <v>0</v>
      </c>
      <c r="C17" s="55">
        <f t="shared" ref="C17:V17" si="0">ROUND(SUM(C15:C16),0)</f>
        <v>50</v>
      </c>
      <c r="D17" s="55">
        <f t="shared" si="0"/>
        <v>50</v>
      </c>
      <c r="E17" s="55">
        <f t="shared" si="0"/>
        <v>1050</v>
      </c>
      <c r="F17" s="55">
        <f t="shared" si="0"/>
        <v>0</v>
      </c>
      <c r="G17" s="55">
        <f t="shared" si="0"/>
        <v>0</v>
      </c>
      <c r="H17" s="55">
        <f t="shared" si="0"/>
        <v>0</v>
      </c>
      <c r="I17" s="55">
        <f t="shared" si="0"/>
        <v>0</v>
      </c>
      <c r="J17" s="55">
        <f t="shared" si="0"/>
        <v>0</v>
      </c>
      <c r="K17" s="55">
        <f t="shared" si="0"/>
        <v>0</v>
      </c>
      <c r="L17" s="55">
        <f t="shared" si="0"/>
        <v>0</v>
      </c>
      <c r="M17" s="55">
        <f t="shared" si="0"/>
        <v>0</v>
      </c>
      <c r="N17" s="55">
        <f t="shared" si="0"/>
        <v>0</v>
      </c>
      <c r="O17" s="55">
        <f t="shared" si="0"/>
        <v>0</v>
      </c>
      <c r="P17" s="55">
        <f t="shared" si="0"/>
        <v>0</v>
      </c>
      <c r="Q17" s="55">
        <f t="shared" si="0"/>
        <v>0</v>
      </c>
      <c r="R17" s="55">
        <f t="shared" si="0"/>
        <v>0</v>
      </c>
      <c r="S17" s="55">
        <f t="shared" si="0"/>
        <v>0</v>
      </c>
      <c r="T17" s="55">
        <f t="shared" si="0"/>
        <v>0</v>
      </c>
      <c r="U17" s="55">
        <f t="shared" si="0"/>
        <v>0</v>
      </c>
      <c r="V17" s="55">
        <f t="shared" si="0"/>
        <v>0</v>
      </c>
    </row>
    <row r="18" spans="1:22" ht="15.75" thickTop="1" x14ac:dyDescent="0.25"/>
    <row r="23" spans="1:22" ht="15.75" thickBot="1" x14ac:dyDescent="0.3">
      <c r="A23" s="6" t="s">
        <v>7</v>
      </c>
      <c r="B23" s="6" t="s">
        <v>6</v>
      </c>
    </row>
    <row r="24" spans="1:22" x14ac:dyDescent="0.25">
      <c r="A24" t="s">
        <v>11</v>
      </c>
      <c r="B24" s="47">
        <v>20000</v>
      </c>
    </row>
    <row r="25" spans="1:22" x14ac:dyDescent="0.25">
      <c r="A25" t="s">
        <v>12</v>
      </c>
      <c r="B25" s="48">
        <v>0.08</v>
      </c>
      <c r="C25" s="49" t="s">
        <v>62</v>
      </c>
    </row>
    <row r="26" spans="1:22" x14ac:dyDescent="0.25">
      <c r="A26" t="s">
        <v>13</v>
      </c>
      <c r="B26" s="49">
        <v>0.5</v>
      </c>
      <c r="C26" t="s">
        <v>5</v>
      </c>
    </row>
    <row r="28" spans="1:22" x14ac:dyDescent="0.25">
      <c r="B28" s="114" t="str">
        <f>"End of "&amp; One_Period_Ex2 &amp;" Year"</f>
        <v>End of 0.5 Year</v>
      </c>
      <c r="C28" s="114"/>
      <c r="D28" s="114"/>
      <c r="E28" s="114"/>
      <c r="F28" s="114"/>
      <c r="G28" s="114"/>
      <c r="H28" s="114"/>
      <c r="I28" s="114"/>
      <c r="J28" s="114"/>
      <c r="K28" s="114"/>
      <c r="L28" s="114"/>
      <c r="M28" s="114"/>
      <c r="N28" s="114"/>
      <c r="O28" s="114"/>
      <c r="P28" s="114"/>
      <c r="Q28" s="114"/>
      <c r="R28" s="114"/>
      <c r="S28" s="114"/>
      <c r="T28" s="114"/>
      <c r="U28" s="114"/>
      <c r="V28" s="114"/>
    </row>
    <row r="29" spans="1:22" ht="15.75" thickBot="1" x14ac:dyDescent="0.3">
      <c r="B29" s="6">
        <v>0</v>
      </c>
      <c r="C29" s="6">
        <v>1</v>
      </c>
      <c r="D29" s="6">
        <v>2</v>
      </c>
      <c r="E29" s="6">
        <v>3</v>
      </c>
      <c r="F29" s="6">
        <v>4</v>
      </c>
      <c r="G29" s="6">
        <v>5</v>
      </c>
      <c r="H29" s="6">
        <v>6</v>
      </c>
      <c r="I29" s="6">
        <v>7</v>
      </c>
      <c r="J29" s="6">
        <v>8</v>
      </c>
      <c r="K29" s="6">
        <v>9</v>
      </c>
      <c r="L29" s="6">
        <v>10</v>
      </c>
      <c r="M29" s="6">
        <v>11</v>
      </c>
      <c r="N29" s="6">
        <v>12</v>
      </c>
      <c r="O29" s="6">
        <v>13</v>
      </c>
      <c r="P29" s="6">
        <v>14</v>
      </c>
      <c r="Q29" s="6">
        <v>15</v>
      </c>
      <c r="R29" s="6">
        <v>16</v>
      </c>
      <c r="S29" s="6">
        <v>17</v>
      </c>
      <c r="T29" s="6">
        <v>18</v>
      </c>
      <c r="U29" s="6">
        <v>19</v>
      </c>
      <c r="V29" s="6">
        <v>20</v>
      </c>
    </row>
    <row r="30" spans="1:22" x14ac:dyDescent="0.25">
      <c r="A30" s="7" t="s">
        <v>3</v>
      </c>
      <c r="B30" s="53"/>
      <c r="C30" s="53">
        <f t="shared" ref="C30:J30" si="1">Face_Ex2*(Coupon_rate_Ex2/(1/One_Period_Ex2))</f>
        <v>800</v>
      </c>
      <c r="D30" s="53">
        <f t="shared" si="1"/>
        <v>800</v>
      </c>
      <c r="E30" s="53">
        <f t="shared" si="1"/>
        <v>800</v>
      </c>
      <c r="F30" s="53">
        <f t="shared" si="1"/>
        <v>800</v>
      </c>
      <c r="G30" s="53">
        <f t="shared" si="1"/>
        <v>800</v>
      </c>
      <c r="H30" s="53">
        <f t="shared" si="1"/>
        <v>800</v>
      </c>
      <c r="I30" s="53">
        <f t="shared" si="1"/>
        <v>800</v>
      </c>
      <c r="J30" s="53">
        <f t="shared" si="1"/>
        <v>800</v>
      </c>
      <c r="K30" s="53"/>
      <c r="L30" s="53"/>
      <c r="M30" s="53"/>
      <c r="N30" s="53"/>
      <c r="O30" s="53"/>
      <c r="P30" s="53"/>
      <c r="Q30" s="53"/>
      <c r="R30" s="53"/>
      <c r="S30" s="53"/>
      <c r="T30" s="53"/>
      <c r="U30" s="53"/>
      <c r="V30" s="53"/>
    </row>
    <row r="31" spans="1:22" x14ac:dyDescent="0.25">
      <c r="A31" s="7" t="s">
        <v>2</v>
      </c>
      <c r="B31" s="54"/>
      <c r="C31" s="53"/>
      <c r="D31" s="53"/>
      <c r="E31" s="53"/>
      <c r="F31" s="53"/>
      <c r="G31" s="53"/>
      <c r="H31" s="53"/>
      <c r="I31" s="53"/>
      <c r="J31" s="53">
        <f>Face_Ex2</f>
        <v>20000</v>
      </c>
      <c r="K31" s="53"/>
      <c r="L31" s="53"/>
      <c r="M31" s="53"/>
      <c r="N31" s="53"/>
      <c r="O31" s="53"/>
      <c r="P31" s="53"/>
      <c r="Q31" s="53"/>
      <c r="R31" s="53"/>
      <c r="S31" s="53"/>
      <c r="T31" s="53"/>
      <c r="U31" s="53"/>
      <c r="V31" s="53"/>
    </row>
    <row r="32" spans="1:22" ht="15.75" thickBot="1" x14ac:dyDescent="0.3">
      <c r="A32" s="7" t="s">
        <v>4</v>
      </c>
      <c r="B32" s="55">
        <f>ROUND(SUM(B30:B31),0)</f>
        <v>0</v>
      </c>
      <c r="C32" s="55">
        <f t="shared" ref="C32" si="2">ROUND(SUM(C30:C31),0)</f>
        <v>800</v>
      </c>
      <c r="D32" s="55">
        <f t="shared" ref="D32" si="3">ROUND(SUM(D30:D31),0)</f>
        <v>800</v>
      </c>
      <c r="E32" s="55">
        <f t="shared" ref="E32" si="4">ROUND(SUM(E30:E31),0)</f>
        <v>800</v>
      </c>
      <c r="F32" s="55">
        <f t="shared" ref="F32" si="5">ROUND(SUM(F30:F31),0)</f>
        <v>800</v>
      </c>
      <c r="G32" s="55">
        <f t="shared" ref="G32" si="6">ROUND(SUM(G30:G31),0)</f>
        <v>800</v>
      </c>
      <c r="H32" s="55">
        <f t="shared" ref="H32" si="7">ROUND(SUM(H30:H31),0)</f>
        <v>800</v>
      </c>
      <c r="I32" s="55">
        <f t="shared" ref="I32" si="8">ROUND(SUM(I30:I31),0)</f>
        <v>800</v>
      </c>
      <c r="J32" s="55">
        <f t="shared" ref="J32" si="9">ROUND(SUM(J30:J31),0)</f>
        <v>20800</v>
      </c>
      <c r="K32" s="55">
        <f t="shared" ref="K32" si="10">ROUND(SUM(K30:K31),0)</f>
        <v>0</v>
      </c>
      <c r="L32" s="55">
        <f t="shared" ref="L32" si="11">ROUND(SUM(L30:L31),0)</f>
        <v>0</v>
      </c>
      <c r="M32" s="55">
        <f t="shared" ref="M32" si="12">ROUND(SUM(M30:M31),0)</f>
        <v>0</v>
      </c>
      <c r="N32" s="55">
        <f t="shared" ref="N32" si="13">ROUND(SUM(N30:N31),0)</f>
        <v>0</v>
      </c>
      <c r="O32" s="55">
        <f t="shared" ref="O32" si="14">ROUND(SUM(O30:O31),0)</f>
        <v>0</v>
      </c>
      <c r="P32" s="55">
        <f t="shared" ref="P32" si="15">ROUND(SUM(P30:P31),0)</f>
        <v>0</v>
      </c>
      <c r="Q32" s="55">
        <f t="shared" ref="Q32" si="16">ROUND(SUM(Q30:Q31),0)</f>
        <v>0</v>
      </c>
      <c r="R32" s="55">
        <f t="shared" ref="R32" si="17">ROUND(SUM(R30:R31),0)</f>
        <v>0</v>
      </c>
      <c r="S32" s="55">
        <f t="shared" ref="S32" si="18">ROUND(SUM(S30:S31),0)</f>
        <v>0</v>
      </c>
      <c r="T32" s="55">
        <f t="shared" ref="T32" si="19">ROUND(SUM(T30:T31),0)</f>
        <v>0</v>
      </c>
      <c r="U32" s="55">
        <f t="shared" ref="U32" si="20">ROUND(SUM(U30:U31),0)</f>
        <v>0</v>
      </c>
      <c r="V32" s="55">
        <f t="shared" ref="V32" si="21">ROUND(SUM(V30:V31),0)</f>
        <v>0</v>
      </c>
    </row>
    <row r="33" spans="1:22" ht="15.75" thickTop="1" x14ac:dyDescent="0.25"/>
    <row r="39" spans="1:22" ht="15.75" thickBot="1" x14ac:dyDescent="0.3">
      <c r="A39" s="6" t="s">
        <v>7</v>
      </c>
      <c r="B39" s="6" t="s">
        <v>6</v>
      </c>
    </row>
    <row r="40" spans="1:22" x14ac:dyDescent="0.25">
      <c r="A40" t="s">
        <v>14</v>
      </c>
      <c r="B40" s="44"/>
      <c r="E40" s="113" t="b">
        <v>0</v>
      </c>
      <c r="F40" t="s">
        <v>300</v>
      </c>
    </row>
    <row r="41" spans="1:22" x14ac:dyDescent="0.25">
      <c r="A41" t="s">
        <v>15</v>
      </c>
      <c r="B41" s="45"/>
      <c r="C41" s="43"/>
    </row>
    <row r="42" spans="1:22" x14ac:dyDescent="0.25">
      <c r="A42" t="s">
        <v>16</v>
      </c>
      <c r="B42" s="46"/>
      <c r="C42" t="s">
        <v>5</v>
      </c>
    </row>
    <row r="44" spans="1:22" x14ac:dyDescent="0.25">
      <c r="B44" s="114" t="str">
        <f>"End of "&amp; One_Period_a &amp;" Year"</f>
        <v>End of  Year</v>
      </c>
      <c r="C44" s="114"/>
      <c r="D44" s="114"/>
      <c r="E44" s="114"/>
      <c r="F44" s="114"/>
      <c r="G44" s="114"/>
      <c r="H44" s="114"/>
      <c r="I44" s="114"/>
      <c r="J44" s="114"/>
      <c r="K44" s="114"/>
      <c r="L44" s="114"/>
      <c r="M44" s="114"/>
      <c r="N44" s="114"/>
      <c r="O44" s="114"/>
      <c r="P44" s="114"/>
      <c r="Q44" s="114"/>
      <c r="R44" s="114"/>
      <c r="S44" s="114"/>
      <c r="T44" s="114"/>
      <c r="U44" s="114"/>
      <c r="V44" s="114"/>
    </row>
    <row r="45" spans="1:22" ht="15.75" thickBot="1" x14ac:dyDescent="0.3">
      <c r="B45" s="6">
        <v>0</v>
      </c>
      <c r="C45" s="6">
        <v>1</v>
      </c>
      <c r="D45" s="6">
        <v>2</v>
      </c>
      <c r="E45" s="6">
        <v>3</v>
      </c>
      <c r="F45" s="6">
        <v>4</v>
      </c>
      <c r="G45" s="6">
        <v>5</v>
      </c>
      <c r="H45" s="6">
        <v>6</v>
      </c>
      <c r="I45" s="6">
        <v>7</v>
      </c>
      <c r="J45" s="6">
        <v>8</v>
      </c>
      <c r="K45" s="6">
        <v>9</v>
      </c>
      <c r="L45" s="6">
        <v>10</v>
      </c>
      <c r="M45" s="6">
        <v>11</v>
      </c>
      <c r="N45" s="6">
        <v>12</v>
      </c>
      <c r="O45" s="6">
        <v>13</v>
      </c>
      <c r="P45" s="6">
        <v>14</v>
      </c>
      <c r="Q45" s="6">
        <v>15</v>
      </c>
      <c r="R45" s="6">
        <v>16</v>
      </c>
      <c r="S45" s="6">
        <v>17</v>
      </c>
      <c r="T45" s="6">
        <v>18</v>
      </c>
      <c r="U45" s="6">
        <v>19</v>
      </c>
      <c r="V45" s="6">
        <v>20</v>
      </c>
    </row>
    <row r="46" spans="1:22" x14ac:dyDescent="0.25">
      <c r="A46" s="7"/>
      <c r="B46" s="41"/>
      <c r="C46" s="41"/>
      <c r="D46" s="41"/>
      <c r="E46" s="41"/>
      <c r="F46" s="41"/>
      <c r="G46" s="41"/>
      <c r="H46" s="41"/>
      <c r="I46" s="41"/>
      <c r="J46" s="41"/>
      <c r="K46" s="41"/>
      <c r="L46" s="41"/>
      <c r="M46" s="41"/>
      <c r="N46" s="41"/>
      <c r="O46" s="41"/>
      <c r="P46" s="41"/>
      <c r="Q46" s="41"/>
      <c r="R46" s="41"/>
      <c r="S46" s="41"/>
      <c r="T46" s="41"/>
      <c r="U46" s="41"/>
      <c r="V46" s="41"/>
    </row>
    <row r="47" spans="1:22" x14ac:dyDescent="0.25">
      <c r="A47" s="7"/>
      <c r="B47" s="42"/>
      <c r="C47" s="41"/>
      <c r="D47" s="41"/>
      <c r="E47" s="41"/>
      <c r="F47" s="41"/>
      <c r="G47" s="41"/>
      <c r="H47" s="41"/>
      <c r="I47" s="41"/>
      <c r="J47" s="41"/>
      <c r="K47" s="41"/>
      <c r="L47" s="41"/>
      <c r="M47" s="41"/>
      <c r="N47" s="41"/>
      <c r="O47" s="41"/>
      <c r="P47" s="41"/>
      <c r="Q47" s="41"/>
      <c r="R47" s="41"/>
      <c r="S47" s="41"/>
      <c r="T47" s="41"/>
      <c r="U47" s="41"/>
      <c r="V47" s="41"/>
    </row>
    <row r="48" spans="1:22" ht="15.75" thickBot="1" x14ac:dyDescent="0.3">
      <c r="A48" s="7" t="s">
        <v>4</v>
      </c>
      <c r="B48" s="55">
        <f>ROUND(SUM(B46:B47),0)</f>
        <v>0</v>
      </c>
      <c r="C48" s="55">
        <f t="shared" ref="C48" si="22">ROUND(SUM(C46:C47),0)</f>
        <v>0</v>
      </c>
      <c r="D48" s="55">
        <f t="shared" ref="D48" si="23">ROUND(SUM(D46:D47),0)</f>
        <v>0</v>
      </c>
      <c r="E48" s="55">
        <f t="shared" ref="E48" si="24">ROUND(SUM(E46:E47),0)</f>
        <v>0</v>
      </c>
      <c r="F48" s="55">
        <f t="shared" ref="F48" si="25">ROUND(SUM(F46:F47),0)</f>
        <v>0</v>
      </c>
      <c r="G48" s="55">
        <f t="shared" ref="G48" si="26">ROUND(SUM(G46:G47),0)</f>
        <v>0</v>
      </c>
      <c r="H48" s="55">
        <f t="shared" ref="H48" si="27">ROUND(SUM(H46:H47),0)</f>
        <v>0</v>
      </c>
      <c r="I48" s="55">
        <f t="shared" ref="I48" si="28">ROUND(SUM(I46:I47),0)</f>
        <v>0</v>
      </c>
      <c r="J48" s="55">
        <f t="shared" ref="J48" si="29">ROUND(SUM(J46:J47),0)</f>
        <v>0</v>
      </c>
      <c r="K48" s="55">
        <f t="shared" ref="K48" si="30">ROUND(SUM(K46:K47),0)</f>
        <v>0</v>
      </c>
      <c r="L48" s="55">
        <f t="shared" ref="L48" si="31">ROUND(SUM(L46:L47),0)</f>
        <v>0</v>
      </c>
      <c r="M48" s="55">
        <f t="shared" ref="M48" si="32">ROUND(SUM(M46:M47),0)</f>
        <v>0</v>
      </c>
      <c r="N48" s="55">
        <f t="shared" ref="N48" si="33">ROUND(SUM(N46:N47),0)</f>
        <v>0</v>
      </c>
      <c r="O48" s="55">
        <f t="shared" ref="O48" si="34">ROUND(SUM(O46:O47),0)</f>
        <v>0</v>
      </c>
      <c r="P48" s="55">
        <f t="shared" ref="P48" si="35">ROUND(SUM(P46:P47),0)</f>
        <v>0</v>
      </c>
      <c r="Q48" s="55">
        <f t="shared" ref="Q48" si="36">ROUND(SUM(Q46:Q47),0)</f>
        <v>0</v>
      </c>
      <c r="R48" s="55">
        <f t="shared" ref="R48" si="37">ROUND(SUM(R46:R47),0)</f>
        <v>0</v>
      </c>
      <c r="S48" s="55">
        <f t="shared" ref="S48" si="38">ROUND(SUM(S46:S47),0)</f>
        <v>0</v>
      </c>
      <c r="T48" s="55">
        <f t="shared" ref="T48" si="39">ROUND(SUM(T46:T47),0)</f>
        <v>0</v>
      </c>
      <c r="U48" s="55">
        <f t="shared" ref="U48" si="40">ROUND(SUM(U46:U47),0)</f>
        <v>0</v>
      </c>
      <c r="V48" s="55">
        <f t="shared" ref="V48" si="41">ROUND(SUM(V46:V47),0)</f>
        <v>0</v>
      </c>
    </row>
    <row r="49" spans="1:22" ht="15.75" thickTop="1" x14ac:dyDescent="0.25"/>
    <row r="52" spans="1:22" ht="15.75" thickBot="1" x14ac:dyDescent="0.3">
      <c r="A52" s="6" t="s">
        <v>7</v>
      </c>
      <c r="B52" s="6" t="s">
        <v>6</v>
      </c>
    </row>
    <row r="53" spans="1:22" x14ac:dyDescent="0.25">
      <c r="A53" t="s">
        <v>17</v>
      </c>
      <c r="B53" s="44"/>
      <c r="E53" s="113" t="b">
        <v>0</v>
      </c>
      <c r="F53" t="s">
        <v>300</v>
      </c>
    </row>
    <row r="54" spans="1:22" x14ac:dyDescent="0.25">
      <c r="A54" t="s">
        <v>18</v>
      </c>
      <c r="B54" s="45"/>
      <c r="C54" s="43"/>
    </row>
    <row r="55" spans="1:22" x14ac:dyDescent="0.25">
      <c r="A55" t="s">
        <v>19</v>
      </c>
      <c r="B55" s="46"/>
      <c r="C55" t="s">
        <v>5</v>
      </c>
    </row>
    <row r="57" spans="1:22" x14ac:dyDescent="0.25">
      <c r="B57" s="114" t="str">
        <f>"End of "&amp; One_Period_b &amp;" Year"</f>
        <v>End of  Year</v>
      </c>
      <c r="C57" s="114"/>
      <c r="D57" s="114"/>
      <c r="E57" s="114"/>
      <c r="F57" s="114"/>
      <c r="G57" s="114"/>
      <c r="H57" s="114"/>
      <c r="I57" s="114"/>
      <c r="J57" s="114"/>
      <c r="K57" s="114"/>
      <c r="L57" s="114"/>
      <c r="M57" s="114"/>
      <c r="N57" s="114"/>
      <c r="O57" s="114"/>
      <c r="P57" s="114"/>
      <c r="Q57" s="114"/>
      <c r="R57" s="114"/>
      <c r="S57" s="114"/>
      <c r="T57" s="114"/>
      <c r="U57" s="114"/>
      <c r="V57" s="114"/>
    </row>
    <row r="58" spans="1:22" ht="15.75" thickBot="1" x14ac:dyDescent="0.3">
      <c r="B58" s="6">
        <v>0</v>
      </c>
      <c r="C58" s="6">
        <v>1</v>
      </c>
      <c r="D58" s="6">
        <v>2</v>
      </c>
      <c r="E58" s="6">
        <v>3</v>
      </c>
      <c r="F58" s="6">
        <v>4</v>
      </c>
      <c r="G58" s="6">
        <v>5</v>
      </c>
      <c r="H58" s="6">
        <v>6</v>
      </c>
      <c r="I58" s="6">
        <v>7</v>
      </c>
      <c r="J58" s="6">
        <v>8</v>
      </c>
      <c r="K58" s="6">
        <v>9</v>
      </c>
      <c r="L58" s="6">
        <v>10</v>
      </c>
      <c r="M58" s="6">
        <v>11</v>
      </c>
      <c r="N58" s="6">
        <v>12</v>
      </c>
      <c r="O58" s="6">
        <v>13</v>
      </c>
      <c r="P58" s="6">
        <v>14</v>
      </c>
      <c r="Q58" s="6">
        <v>15</v>
      </c>
      <c r="R58" s="6">
        <v>16</v>
      </c>
      <c r="S58" s="6">
        <v>17</v>
      </c>
      <c r="T58" s="6">
        <v>18</v>
      </c>
      <c r="U58" s="6">
        <v>19</v>
      </c>
      <c r="V58" s="6">
        <v>20</v>
      </c>
    </row>
    <row r="59" spans="1:22" x14ac:dyDescent="0.25">
      <c r="A59" s="7"/>
      <c r="B59" s="41"/>
      <c r="C59" s="41"/>
      <c r="D59" s="41"/>
      <c r="E59" s="41"/>
      <c r="F59" s="41"/>
      <c r="G59" s="41"/>
      <c r="H59" s="41"/>
      <c r="I59" s="41"/>
      <c r="J59" s="41"/>
      <c r="K59" s="41"/>
      <c r="L59" s="41"/>
      <c r="M59" s="41"/>
      <c r="N59" s="41"/>
      <c r="O59" s="41"/>
      <c r="P59" s="41"/>
      <c r="Q59" s="41"/>
      <c r="R59" s="41"/>
      <c r="S59" s="41"/>
      <c r="T59" s="41"/>
      <c r="U59" s="41"/>
      <c r="V59" s="41"/>
    </row>
    <row r="60" spans="1:22" x14ac:dyDescent="0.25">
      <c r="A60" s="7"/>
      <c r="B60" s="42"/>
      <c r="C60" s="41"/>
      <c r="D60" s="41"/>
      <c r="E60" s="41"/>
      <c r="F60" s="41"/>
      <c r="G60" s="41"/>
      <c r="H60" s="41"/>
      <c r="I60" s="41"/>
      <c r="J60" s="41"/>
      <c r="K60" s="41"/>
      <c r="L60" s="41"/>
      <c r="M60" s="41"/>
      <c r="N60" s="41"/>
      <c r="O60" s="41"/>
      <c r="P60" s="41"/>
      <c r="Q60" s="41"/>
      <c r="R60" s="41"/>
      <c r="S60" s="41"/>
      <c r="T60" s="41"/>
      <c r="U60" s="41">
        <f>Face_b</f>
        <v>0</v>
      </c>
      <c r="V60" s="41"/>
    </row>
    <row r="61" spans="1:22" ht="15.75" thickBot="1" x14ac:dyDescent="0.3">
      <c r="A61" s="7" t="s">
        <v>4</v>
      </c>
      <c r="B61" s="55">
        <f>ROUND(SUM(B59:B60),0)</f>
        <v>0</v>
      </c>
      <c r="C61" s="55">
        <f t="shared" ref="C61" si="42">ROUND(SUM(C59:C60),0)</f>
        <v>0</v>
      </c>
      <c r="D61" s="55">
        <f t="shared" ref="D61" si="43">ROUND(SUM(D59:D60),0)</f>
        <v>0</v>
      </c>
      <c r="E61" s="55">
        <f t="shared" ref="E61" si="44">ROUND(SUM(E59:E60),0)</f>
        <v>0</v>
      </c>
      <c r="F61" s="55">
        <f t="shared" ref="F61" si="45">ROUND(SUM(F59:F60),0)</f>
        <v>0</v>
      </c>
      <c r="G61" s="55">
        <f t="shared" ref="G61" si="46">ROUND(SUM(G59:G60),0)</f>
        <v>0</v>
      </c>
      <c r="H61" s="55">
        <f t="shared" ref="H61" si="47">ROUND(SUM(H59:H60),0)</f>
        <v>0</v>
      </c>
      <c r="I61" s="55">
        <f t="shared" ref="I61" si="48">ROUND(SUM(I59:I60),0)</f>
        <v>0</v>
      </c>
      <c r="J61" s="55">
        <f t="shared" ref="J61" si="49">ROUND(SUM(J59:J60),0)</f>
        <v>0</v>
      </c>
      <c r="K61" s="55">
        <f t="shared" ref="K61" si="50">ROUND(SUM(K59:K60),0)</f>
        <v>0</v>
      </c>
      <c r="L61" s="55">
        <f t="shared" ref="L61" si="51">ROUND(SUM(L59:L60),0)</f>
        <v>0</v>
      </c>
      <c r="M61" s="55">
        <f t="shared" ref="M61" si="52">ROUND(SUM(M59:M60),0)</f>
        <v>0</v>
      </c>
      <c r="N61" s="55">
        <f t="shared" ref="N61" si="53">ROUND(SUM(N59:N60),0)</f>
        <v>0</v>
      </c>
      <c r="O61" s="55">
        <f t="shared" ref="O61" si="54">ROUND(SUM(O59:O60),0)</f>
        <v>0</v>
      </c>
      <c r="P61" s="55">
        <f t="shared" ref="P61" si="55">ROUND(SUM(P59:P60),0)</f>
        <v>0</v>
      </c>
      <c r="Q61" s="55">
        <f t="shared" ref="Q61" si="56">ROUND(SUM(Q59:Q60),0)</f>
        <v>0</v>
      </c>
      <c r="R61" s="55">
        <f t="shared" ref="R61" si="57">ROUND(SUM(R59:R60),0)</f>
        <v>0</v>
      </c>
      <c r="S61" s="55">
        <f t="shared" ref="S61" si="58">ROUND(SUM(S59:S60),0)</f>
        <v>0</v>
      </c>
      <c r="T61" s="55">
        <f t="shared" ref="T61" si="59">ROUND(SUM(T59:T60),0)</f>
        <v>0</v>
      </c>
      <c r="U61" s="55">
        <f t="shared" ref="U61" si="60">ROUND(SUM(U59:U60),0)</f>
        <v>0</v>
      </c>
      <c r="V61" s="55">
        <f t="shared" ref="V61" si="61">ROUND(SUM(V59:V60),0)</f>
        <v>0</v>
      </c>
    </row>
    <row r="62" spans="1:22" ht="15.75" thickTop="1" x14ac:dyDescent="0.25"/>
    <row r="65" spans="1:22" ht="15.75" thickBot="1" x14ac:dyDescent="0.3">
      <c r="A65" s="6" t="s">
        <v>7</v>
      </c>
      <c r="B65" s="6" t="s">
        <v>6</v>
      </c>
    </row>
    <row r="66" spans="1:22" x14ac:dyDescent="0.25">
      <c r="A66" t="s">
        <v>20</v>
      </c>
      <c r="B66" s="44"/>
      <c r="E66" s="113" t="b">
        <v>0</v>
      </c>
      <c r="F66" t="s">
        <v>300</v>
      </c>
    </row>
    <row r="67" spans="1:22" x14ac:dyDescent="0.25">
      <c r="A67" t="s">
        <v>21</v>
      </c>
      <c r="B67" s="45"/>
      <c r="C67" s="43"/>
    </row>
    <row r="68" spans="1:22" x14ac:dyDescent="0.25">
      <c r="A68" t="s">
        <v>22</v>
      </c>
      <c r="B68" s="46"/>
      <c r="C68" t="s">
        <v>5</v>
      </c>
    </row>
    <row r="70" spans="1:22" x14ac:dyDescent="0.25">
      <c r="B70" s="114" t="str">
        <f>"End of "&amp; One_Period_c &amp;" Year"</f>
        <v>End of  Year</v>
      </c>
      <c r="C70" s="114"/>
      <c r="D70" s="114"/>
      <c r="E70" s="114"/>
      <c r="F70" s="114"/>
      <c r="G70" s="114"/>
      <c r="H70" s="114"/>
      <c r="I70" s="114"/>
      <c r="J70" s="114"/>
      <c r="K70" s="114"/>
      <c r="L70" s="114"/>
      <c r="M70" s="114"/>
      <c r="N70" s="114"/>
      <c r="O70" s="114"/>
      <c r="P70" s="114"/>
      <c r="Q70" s="114"/>
      <c r="R70" s="114"/>
      <c r="S70" s="114"/>
      <c r="T70" s="114"/>
      <c r="U70" s="114"/>
      <c r="V70" s="114"/>
    </row>
    <row r="71" spans="1:22" ht="15.75" thickBot="1" x14ac:dyDescent="0.3">
      <c r="B71" s="6">
        <v>0</v>
      </c>
      <c r="C71" s="6">
        <v>1</v>
      </c>
      <c r="D71" s="6">
        <v>2</v>
      </c>
      <c r="E71" s="6">
        <v>3</v>
      </c>
      <c r="F71" s="6">
        <v>4</v>
      </c>
      <c r="G71" s="6">
        <v>5</v>
      </c>
      <c r="H71" s="6">
        <v>6</v>
      </c>
      <c r="I71" s="6">
        <v>7</v>
      </c>
      <c r="J71" s="6">
        <v>8</v>
      </c>
      <c r="K71" s="6">
        <v>9</v>
      </c>
      <c r="L71" s="6">
        <v>10</v>
      </c>
      <c r="M71" s="6">
        <v>11</v>
      </c>
      <c r="N71" s="6">
        <v>12</v>
      </c>
      <c r="O71" s="6">
        <v>13</v>
      </c>
      <c r="P71" s="6">
        <v>14</v>
      </c>
      <c r="Q71" s="6">
        <v>15</v>
      </c>
      <c r="R71" s="6">
        <v>16</v>
      </c>
      <c r="S71" s="6">
        <v>17</v>
      </c>
      <c r="T71" s="6">
        <v>18</v>
      </c>
      <c r="U71" s="6">
        <v>19</v>
      </c>
      <c r="V71" s="6">
        <v>20</v>
      </c>
    </row>
    <row r="72" spans="1:22" x14ac:dyDescent="0.25">
      <c r="A72" s="7"/>
      <c r="B72" s="41"/>
      <c r="C72" s="41"/>
      <c r="D72" s="41"/>
      <c r="E72" s="41"/>
      <c r="F72" s="41"/>
      <c r="G72" s="41"/>
      <c r="H72" s="41"/>
      <c r="I72" s="41"/>
      <c r="J72" s="41"/>
      <c r="K72" s="41"/>
      <c r="L72" s="41"/>
      <c r="M72" s="41"/>
      <c r="N72" s="41"/>
      <c r="O72" s="41"/>
      <c r="P72" s="41"/>
      <c r="Q72" s="41"/>
      <c r="R72" s="41"/>
      <c r="S72" s="41"/>
      <c r="T72" s="41"/>
      <c r="U72" s="41"/>
      <c r="V72" s="41"/>
    </row>
    <row r="73" spans="1:22" x14ac:dyDescent="0.25">
      <c r="A73" s="7"/>
      <c r="B73" s="42"/>
      <c r="C73" s="41"/>
      <c r="D73" s="41"/>
      <c r="E73" s="41"/>
      <c r="F73" s="41"/>
      <c r="G73" s="41"/>
      <c r="H73" s="41"/>
      <c r="I73" s="41"/>
      <c r="J73" s="41"/>
      <c r="K73" s="41"/>
      <c r="L73" s="41"/>
      <c r="M73" s="41"/>
      <c r="N73" s="41"/>
      <c r="O73" s="41"/>
      <c r="P73" s="41"/>
      <c r="Q73" s="41"/>
      <c r="R73" s="41"/>
      <c r="S73" s="41"/>
      <c r="T73" s="41"/>
      <c r="U73" s="41"/>
      <c r="V73" s="41"/>
    </row>
    <row r="74" spans="1:22" ht="15.75" thickBot="1" x14ac:dyDescent="0.3">
      <c r="A74" s="7" t="s">
        <v>4</v>
      </c>
      <c r="B74" s="55">
        <f>ROUND(SUM(B72:B73),0)</f>
        <v>0</v>
      </c>
      <c r="C74" s="55">
        <f t="shared" ref="C74" si="62">ROUND(SUM(C72:C73),0)</f>
        <v>0</v>
      </c>
      <c r="D74" s="55">
        <f t="shared" ref="D74" si="63">ROUND(SUM(D72:D73),0)</f>
        <v>0</v>
      </c>
      <c r="E74" s="55">
        <f t="shared" ref="E74" si="64">ROUND(SUM(E72:E73),0)</f>
        <v>0</v>
      </c>
      <c r="F74" s="55">
        <f t="shared" ref="F74" si="65">ROUND(SUM(F72:F73),0)</f>
        <v>0</v>
      </c>
      <c r="G74" s="55">
        <f t="shared" ref="G74" si="66">ROUND(SUM(G72:G73),0)</f>
        <v>0</v>
      </c>
      <c r="H74" s="55">
        <f t="shared" ref="H74" si="67">ROUND(SUM(H72:H73),0)</f>
        <v>0</v>
      </c>
      <c r="I74" s="55">
        <f t="shared" ref="I74" si="68">ROUND(SUM(I72:I73),0)</f>
        <v>0</v>
      </c>
      <c r="J74" s="55">
        <f t="shared" ref="J74" si="69">ROUND(SUM(J72:J73),0)</f>
        <v>0</v>
      </c>
      <c r="K74" s="55">
        <f t="shared" ref="K74" si="70">ROUND(SUM(K72:K73),0)</f>
        <v>0</v>
      </c>
      <c r="L74" s="55">
        <f t="shared" ref="L74" si="71">ROUND(SUM(L72:L73),0)</f>
        <v>0</v>
      </c>
      <c r="M74" s="55">
        <f t="shared" ref="M74" si="72">ROUND(SUM(M72:M73),0)</f>
        <v>0</v>
      </c>
      <c r="N74" s="55">
        <f t="shared" ref="N74" si="73">ROUND(SUM(N72:N73),0)</f>
        <v>0</v>
      </c>
      <c r="O74" s="55">
        <f t="shared" ref="O74" si="74">ROUND(SUM(O72:O73),0)</f>
        <v>0</v>
      </c>
      <c r="P74" s="55">
        <f t="shared" ref="P74" si="75">ROUND(SUM(P72:P73),0)</f>
        <v>0</v>
      </c>
      <c r="Q74" s="55">
        <f t="shared" ref="Q74" si="76">ROUND(SUM(Q72:Q73),0)</f>
        <v>0</v>
      </c>
      <c r="R74" s="55">
        <f t="shared" ref="R74" si="77">ROUND(SUM(R72:R73),0)</f>
        <v>0</v>
      </c>
      <c r="S74" s="55">
        <f t="shared" ref="S74" si="78">ROUND(SUM(S72:S73),0)</f>
        <v>0</v>
      </c>
      <c r="T74" s="55">
        <f t="shared" ref="T74" si="79">ROUND(SUM(T72:T73),0)</f>
        <v>0</v>
      </c>
      <c r="U74" s="55">
        <f t="shared" ref="U74" si="80">ROUND(SUM(U72:U73),0)</f>
        <v>0</v>
      </c>
      <c r="V74" s="55">
        <f t="shared" ref="V74" si="81">ROUND(SUM(V72:V73),0)</f>
        <v>0</v>
      </c>
    </row>
    <row r="75" spans="1:22" ht="15.75" thickTop="1" x14ac:dyDescent="0.25"/>
    <row r="78" spans="1:22" ht="15.75" thickBot="1" x14ac:dyDescent="0.3">
      <c r="A78" s="6" t="s">
        <v>7</v>
      </c>
      <c r="B78" s="6" t="s">
        <v>6</v>
      </c>
    </row>
    <row r="79" spans="1:22" x14ac:dyDescent="0.25">
      <c r="A79" t="s">
        <v>23</v>
      </c>
      <c r="B79" s="44"/>
      <c r="E79" s="113" t="b">
        <v>0</v>
      </c>
      <c r="F79" t="s">
        <v>300</v>
      </c>
    </row>
    <row r="80" spans="1:22" x14ac:dyDescent="0.25">
      <c r="A80" t="s">
        <v>24</v>
      </c>
      <c r="B80" s="45"/>
      <c r="C80" s="43"/>
    </row>
    <row r="81" spans="1:22" x14ac:dyDescent="0.25">
      <c r="A81" t="s">
        <v>25</v>
      </c>
      <c r="B81" s="46"/>
      <c r="C81" t="s">
        <v>5</v>
      </c>
    </row>
    <row r="83" spans="1:22" x14ac:dyDescent="0.25">
      <c r="B83" s="114" t="str">
        <f>"End of "&amp; One_Period_d &amp;" Year"</f>
        <v>End of  Year</v>
      </c>
      <c r="C83" s="114"/>
      <c r="D83" s="114"/>
      <c r="E83" s="114"/>
      <c r="F83" s="114"/>
      <c r="G83" s="114"/>
      <c r="H83" s="114"/>
      <c r="I83" s="114"/>
      <c r="J83" s="114"/>
      <c r="K83" s="114"/>
      <c r="L83" s="114"/>
      <c r="M83" s="114"/>
      <c r="N83" s="114"/>
      <c r="O83" s="114"/>
      <c r="P83" s="114"/>
      <c r="Q83" s="114"/>
      <c r="R83" s="114"/>
      <c r="S83" s="114"/>
      <c r="T83" s="114"/>
      <c r="U83" s="114"/>
      <c r="V83" s="114"/>
    </row>
    <row r="84" spans="1:22" ht="15.75" thickBot="1" x14ac:dyDescent="0.3">
      <c r="B84" s="6">
        <v>0</v>
      </c>
      <c r="C84" s="6">
        <v>1</v>
      </c>
      <c r="D84" s="6">
        <v>2</v>
      </c>
      <c r="E84" s="6">
        <v>3</v>
      </c>
      <c r="F84" s="6">
        <v>4</v>
      </c>
      <c r="G84" s="6">
        <v>5</v>
      </c>
      <c r="H84" s="6">
        <v>6</v>
      </c>
      <c r="I84" s="6">
        <v>7</v>
      </c>
      <c r="J84" s="6">
        <v>8</v>
      </c>
      <c r="K84" s="6">
        <v>9</v>
      </c>
      <c r="L84" s="6">
        <v>10</v>
      </c>
      <c r="M84" s="6">
        <v>11</v>
      </c>
      <c r="N84" s="6">
        <v>12</v>
      </c>
      <c r="O84" s="6">
        <v>13</v>
      </c>
      <c r="P84" s="6">
        <v>14</v>
      </c>
      <c r="Q84" s="6">
        <v>15</v>
      </c>
      <c r="R84" s="6">
        <v>16</v>
      </c>
      <c r="S84" s="6">
        <v>17</v>
      </c>
      <c r="T84" s="6">
        <v>18</v>
      </c>
      <c r="U84" s="6">
        <v>19</v>
      </c>
      <c r="V84" s="6">
        <v>20</v>
      </c>
    </row>
    <row r="85" spans="1:22" x14ac:dyDescent="0.25">
      <c r="A85" s="7"/>
      <c r="B85" s="41"/>
      <c r="C85" s="41"/>
      <c r="D85" s="41"/>
      <c r="E85" s="41"/>
      <c r="F85" s="41"/>
      <c r="G85" s="41"/>
      <c r="H85" s="41"/>
      <c r="I85" s="41"/>
      <c r="J85" s="41"/>
      <c r="K85" s="41"/>
      <c r="L85" s="41"/>
      <c r="M85" s="41"/>
      <c r="N85" s="41"/>
      <c r="O85" s="41"/>
      <c r="P85" s="41"/>
      <c r="Q85" s="41"/>
      <c r="R85" s="41"/>
      <c r="S85" s="41"/>
      <c r="T85" s="41"/>
      <c r="U85" s="41"/>
      <c r="V85" s="41"/>
    </row>
    <row r="86" spans="1:22" x14ac:dyDescent="0.25">
      <c r="A86" s="7"/>
      <c r="B86" s="42"/>
      <c r="C86" s="41"/>
      <c r="D86" s="41"/>
      <c r="E86" s="41"/>
      <c r="F86" s="41"/>
      <c r="G86" s="41"/>
      <c r="H86" s="41"/>
      <c r="I86" s="41"/>
      <c r="J86" s="41"/>
      <c r="K86" s="41"/>
      <c r="L86" s="41"/>
      <c r="M86" s="41"/>
      <c r="N86" s="41"/>
      <c r="O86" s="41"/>
      <c r="P86" s="41"/>
      <c r="Q86" s="41"/>
      <c r="R86" s="41"/>
      <c r="S86" s="41"/>
      <c r="T86" s="41"/>
      <c r="U86" s="41"/>
      <c r="V86" s="41"/>
    </row>
    <row r="87" spans="1:22" ht="15.75" thickBot="1" x14ac:dyDescent="0.3">
      <c r="A87" s="7" t="s">
        <v>4</v>
      </c>
      <c r="B87" s="55">
        <f>ROUND(SUM(B85:B86),0)</f>
        <v>0</v>
      </c>
      <c r="C87" s="55">
        <f t="shared" ref="C87" si="82">ROUND(SUM(C85:C86),0)</f>
        <v>0</v>
      </c>
      <c r="D87" s="55">
        <f t="shared" ref="D87" si="83">ROUND(SUM(D85:D86),0)</f>
        <v>0</v>
      </c>
      <c r="E87" s="55">
        <f t="shared" ref="E87" si="84">ROUND(SUM(E85:E86),0)</f>
        <v>0</v>
      </c>
      <c r="F87" s="55">
        <f t="shared" ref="F87" si="85">ROUND(SUM(F85:F86),0)</f>
        <v>0</v>
      </c>
      <c r="G87" s="55">
        <f t="shared" ref="G87" si="86">ROUND(SUM(G85:G86),0)</f>
        <v>0</v>
      </c>
      <c r="H87" s="55">
        <f t="shared" ref="H87" si="87">ROUND(SUM(H85:H86),0)</f>
        <v>0</v>
      </c>
      <c r="I87" s="55">
        <f t="shared" ref="I87" si="88">ROUND(SUM(I85:I86),0)</f>
        <v>0</v>
      </c>
      <c r="J87" s="55">
        <f t="shared" ref="J87" si="89">ROUND(SUM(J85:J86),0)</f>
        <v>0</v>
      </c>
      <c r="K87" s="55">
        <f t="shared" ref="K87" si="90">ROUND(SUM(K85:K86),0)</f>
        <v>0</v>
      </c>
      <c r="L87" s="55">
        <f t="shared" ref="L87" si="91">ROUND(SUM(L85:L86),0)</f>
        <v>0</v>
      </c>
      <c r="M87" s="55">
        <f t="shared" ref="M87" si="92">ROUND(SUM(M85:M86),0)</f>
        <v>0</v>
      </c>
      <c r="N87" s="55">
        <f t="shared" ref="N87" si="93">ROUND(SUM(N85:N86),0)</f>
        <v>0</v>
      </c>
      <c r="O87" s="55">
        <f t="shared" ref="O87" si="94">ROUND(SUM(O85:O86),0)</f>
        <v>0</v>
      </c>
      <c r="P87" s="55">
        <f t="shared" ref="P87" si="95">ROUND(SUM(P85:P86),0)</f>
        <v>0</v>
      </c>
      <c r="Q87" s="55">
        <f t="shared" ref="Q87" si="96">ROUND(SUM(Q85:Q86),0)</f>
        <v>0</v>
      </c>
      <c r="R87" s="55">
        <f t="shared" ref="R87" si="97">ROUND(SUM(R85:R86),0)</f>
        <v>0</v>
      </c>
      <c r="S87" s="55">
        <f t="shared" ref="S87" si="98">ROUND(SUM(S85:S86),0)</f>
        <v>0</v>
      </c>
      <c r="T87" s="55">
        <f t="shared" ref="T87" si="99">ROUND(SUM(T85:T86),0)</f>
        <v>0</v>
      </c>
      <c r="U87" s="55">
        <f t="shared" ref="U87" si="100">ROUND(SUM(U85:U86),0)</f>
        <v>0</v>
      </c>
      <c r="V87" s="55">
        <f t="shared" ref="V87" si="101">ROUND(SUM(V85:V86),0)</f>
        <v>0</v>
      </c>
    </row>
    <row r="88" spans="1:22" ht="15.75" thickTop="1" x14ac:dyDescent="0.25"/>
    <row r="92" spans="1:22" x14ac:dyDescent="0.25">
      <c r="A92" t="s">
        <v>26</v>
      </c>
      <c r="B92" s="44"/>
      <c r="E92" s="113" t="b">
        <v>0</v>
      </c>
      <c r="F92" t="s">
        <v>300</v>
      </c>
    </row>
    <row r="93" spans="1:22" x14ac:dyDescent="0.25">
      <c r="A93" t="s">
        <v>27</v>
      </c>
      <c r="B93" s="45"/>
      <c r="C93" s="43"/>
    </row>
    <row r="94" spans="1:22" x14ac:dyDescent="0.25">
      <c r="A94" t="s">
        <v>28</v>
      </c>
      <c r="B94" s="46"/>
      <c r="C94" t="s">
        <v>5</v>
      </c>
    </row>
    <row r="96" spans="1:22" x14ac:dyDescent="0.25">
      <c r="B96" s="114" t="str">
        <f>"End of "&amp; One_Period_e &amp;" Year"</f>
        <v>End of  Year</v>
      </c>
      <c r="C96" s="114"/>
      <c r="D96" s="114"/>
      <c r="E96" s="114"/>
      <c r="F96" s="114"/>
      <c r="G96" s="114"/>
      <c r="H96" s="114"/>
      <c r="I96" s="114"/>
      <c r="J96" s="114"/>
      <c r="K96" s="114"/>
      <c r="L96" s="114"/>
      <c r="M96" s="114"/>
      <c r="N96" s="114"/>
      <c r="O96" s="114"/>
      <c r="P96" s="114"/>
      <c r="Q96" s="114"/>
      <c r="R96" s="114"/>
      <c r="S96" s="114"/>
      <c r="T96" s="114"/>
      <c r="U96" s="114"/>
      <c r="V96" s="114"/>
    </row>
    <row r="97" spans="1:22" ht="15.75" thickBot="1" x14ac:dyDescent="0.3">
      <c r="B97" s="6">
        <v>0</v>
      </c>
      <c r="C97" s="6">
        <v>1</v>
      </c>
      <c r="D97" s="6">
        <v>2</v>
      </c>
      <c r="E97" s="6">
        <v>3</v>
      </c>
      <c r="F97" s="6">
        <v>4</v>
      </c>
      <c r="G97" s="6">
        <v>5</v>
      </c>
      <c r="H97" s="6">
        <v>6</v>
      </c>
      <c r="I97" s="6">
        <v>7</v>
      </c>
      <c r="J97" s="6">
        <v>8</v>
      </c>
      <c r="K97" s="6">
        <v>9</v>
      </c>
      <c r="L97" s="6">
        <v>10</v>
      </c>
      <c r="M97" s="6">
        <v>11</v>
      </c>
      <c r="N97" s="6">
        <v>12</v>
      </c>
      <c r="O97" s="6">
        <v>13</v>
      </c>
      <c r="P97" s="6">
        <v>14</v>
      </c>
      <c r="Q97" s="6">
        <v>15</v>
      </c>
      <c r="R97" s="6">
        <v>16</v>
      </c>
      <c r="S97" s="6">
        <v>17</v>
      </c>
      <c r="T97" s="6">
        <v>18</v>
      </c>
      <c r="U97" s="6">
        <v>19</v>
      </c>
      <c r="V97" s="6">
        <v>20</v>
      </c>
    </row>
    <row r="98" spans="1:22" x14ac:dyDescent="0.25">
      <c r="A98" s="7"/>
      <c r="B98" s="41"/>
      <c r="C98" s="41"/>
      <c r="D98" s="41"/>
      <c r="E98" s="41"/>
      <c r="F98" s="41"/>
      <c r="G98" s="41"/>
      <c r="H98" s="41"/>
      <c r="I98" s="41"/>
      <c r="J98" s="41"/>
      <c r="K98" s="41"/>
      <c r="L98" s="41"/>
      <c r="M98" s="41"/>
      <c r="N98" s="41"/>
      <c r="O98" s="41"/>
      <c r="P98" s="41"/>
      <c r="Q98" s="41"/>
      <c r="R98" s="41"/>
      <c r="S98" s="41"/>
      <c r="T98" s="41"/>
      <c r="U98" s="41"/>
      <c r="V98" s="41"/>
    </row>
    <row r="99" spans="1:22" x14ac:dyDescent="0.25">
      <c r="A99" s="7"/>
      <c r="B99" s="42"/>
      <c r="C99" s="41"/>
      <c r="D99" s="41"/>
      <c r="E99" s="41"/>
      <c r="F99" s="41"/>
      <c r="G99" s="41"/>
      <c r="H99" s="41"/>
      <c r="I99" s="41"/>
      <c r="J99" s="41"/>
      <c r="K99" s="41"/>
      <c r="L99" s="41"/>
      <c r="M99" s="41"/>
      <c r="N99" s="41"/>
      <c r="O99" s="41"/>
      <c r="P99" s="41"/>
      <c r="Q99" s="41"/>
      <c r="R99" s="41"/>
      <c r="S99" s="41"/>
      <c r="T99" s="41"/>
      <c r="U99" s="41"/>
      <c r="V99" s="41"/>
    </row>
    <row r="100" spans="1:22" ht="15.75" thickBot="1" x14ac:dyDescent="0.3">
      <c r="A100" s="7" t="s">
        <v>4</v>
      </c>
      <c r="B100" s="55">
        <f>ROUND(SUM(B98:B99),0)</f>
        <v>0</v>
      </c>
      <c r="C100" s="55">
        <f t="shared" ref="C100" si="102">ROUND(SUM(C98:C99),0)</f>
        <v>0</v>
      </c>
      <c r="D100" s="55">
        <f t="shared" ref="D100" si="103">ROUND(SUM(D98:D99),0)</f>
        <v>0</v>
      </c>
      <c r="E100" s="55">
        <f t="shared" ref="E100" si="104">ROUND(SUM(E98:E99),0)</f>
        <v>0</v>
      </c>
      <c r="F100" s="55">
        <f t="shared" ref="F100" si="105">ROUND(SUM(F98:F99),0)</f>
        <v>0</v>
      </c>
      <c r="G100" s="55">
        <f t="shared" ref="G100" si="106">ROUND(SUM(G98:G99),0)</f>
        <v>0</v>
      </c>
      <c r="H100" s="55">
        <f t="shared" ref="H100" si="107">ROUND(SUM(H98:H99),0)</f>
        <v>0</v>
      </c>
      <c r="I100" s="55">
        <f t="shared" ref="I100" si="108">ROUND(SUM(I98:I99),0)</f>
        <v>0</v>
      </c>
      <c r="J100" s="55">
        <f t="shared" ref="J100" si="109">ROUND(SUM(J98:J99),0)</f>
        <v>0</v>
      </c>
      <c r="K100" s="55">
        <f t="shared" ref="K100" si="110">ROUND(SUM(K98:K99),0)</f>
        <v>0</v>
      </c>
      <c r="L100" s="55">
        <f t="shared" ref="L100" si="111">ROUND(SUM(L98:L99),0)</f>
        <v>0</v>
      </c>
      <c r="M100" s="55">
        <f t="shared" ref="M100" si="112">ROUND(SUM(M98:M99),0)</f>
        <v>0</v>
      </c>
      <c r="N100" s="55">
        <f t="shared" ref="N100" si="113">ROUND(SUM(N98:N99),0)</f>
        <v>0</v>
      </c>
      <c r="O100" s="55">
        <f t="shared" ref="O100" si="114">ROUND(SUM(O98:O99),0)</f>
        <v>0</v>
      </c>
      <c r="P100" s="55">
        <f t="shared" ref="P100" si="115">ROUND(SUM(P98:P99),0)</f>
        <v>0</v>
      </c>
      <c r="Q100" s="55">
        <f t="shared" ref="Q100" si="116">ROUND(SUM(Q98:Q99),0)</f>
        <v>0</v>
      </c>
      <c r="R100" s="55">
        <f t="shared" ref="R100" si="117">ROUND(SUM(R98:R99),0)</f>
        <v>0</v>
      </c>
      <c r="S100" s="55">
        <f t="shared" ref="S100" si="118">ROUND(SUM(S98:S99),0)</f>
        <v>0</v>
      </c>
      <c r="T100" s="55">
        <f t="shared" ref="T100" si="119">ROUND(SUM(T98:T99),0)</f>
        <v>0</v>
      </c>
      <c r="U100" s="55">
        <f t="shared" ref="U100" si="120">ROUND(SUM(U98:U99),0)</f>
        <v>0</v>
      </c>
      <c r="V100" s="55">
        <f t="shared" ref="V100" si="121">ROUND(SUM(V98:V99),0)</f>
        <v>0</v>
      </c>
    </row>
    <row r="101" spans="1:22" ht="15.75" thickTop="1" x14ac:dyDescent="0.25"/>
    <row r="105" spans="1:22" x14ac:dyDescent="0.25">
      <c r="A105" t="s">
        <v>167</v>
      </c>
      <c r="B105" s="44"/>
      <c r="E105" s="113" t="b">
        <v>0</v>
      </c>
      <c r="F105" t="s">
        <v>300</v>
      </c>
    </row>
    <row r="106" spans="1:22" x14ac:dyDescent="0.25">
      <c r="A106" t="s">
        <v>33</v>
      </c>
      <c r="B106" s="45"/>
      <c r="C106" s="43"/>
    </row>
    <row r="107" spans="1:22" x14ac:dyDescent="0.25">
      <c r="A107" t="s">
        <v>29</v>
      </c>
      <c r="B107" s="46"/>
      <c r="C107" t="s">
        <v>5</v>
      </c>
    </row>
    <row r="109" spans="1:22" x14ac:dyDescent="0.25">
      <c r="B109" s="114" t="str">
        <f>"End of "&amp; One_Period_f &amp;" Year"</f>
        <v>End of  Year</v>
      </c>
      <c r="C109" s="114"/>
      <c r="D109" s="114"/>
      <c r="E109" s="114"/>
      <c r="F109" s="114"/>
      <c r="G109" s="114"/>
      <c r="H109" s="114"/>
      <c r="I109" s="114"/>
      <c r="J109" s="114"/>
      <c r="K109" s="114"/>
      <c r="L109" s="114"/>
      <c r="M109" s="114"/>
      <c r="N109" s="114"/>
      <c r="O109" s="114"/>
      <c r="P109" s="114"/>
      <c r="Q109" s="114"/>
      <c r="R109" s="114"/>
      <c r="S109" s="114"/>
      <c r="T109" s="114"/>
      <c r="U109" s="114"/>
      <c r="V109" s="114"/>
    </row>
    <row r="110" spans="1:22" ht="15.75" thickBot="1" x14ac:dyDescent="0.3">
      <c r="B110" s="6">
        <v>0</v>
      </c>
      <c r="C110" s="6">
        <v>1</v>
      </c>
      <c r="D110" s="6">
        <v>2</v>
      </c>
      <c r="E110" s="6">
        <v>3</v>
      </c>
      <c r="F110" s="6">
        <v>4</v>
      </c>
      <c r="G110" s="6">
        <v>5</v>
      </c>
      <c r="H110" s="6">
        <v>6</v>
      </c>
      <c r="I110" s="6">
        <v>7</v>
      </c>
      <c r="J110" s="6">
        <v>8</v>
      </c>
      <c r="K110" s="6">
        <v>9</v>
      </c>
      <c r="L110" s="6">
        <v>10</v>
      </c>
      <c r="M110" s="6">
        <v>11</v>
      </c>
      <c r="N110" s="6">
        <v>12</v>
      </c>
      <c r="O110" s="6">
        <v>13</v>
      </c>
      <c r="P110" s="6">
        <v>14</v>
      </c>
      <c r="Q110" s="6">
        <v>15</v>
      </c>
      <c r="R110" s="6">
        <v>16</v>
      </c>
      <c r="S110" s="6">
        <v>17</v>
      </c>
      <c r="T110" s="6">
        <v>18</v>
      </c>
      <c r="U110" s="6">
        <v>19</v>
      </c>
      <c r="V110" s="6">
        <v>20</v>
      </c>
    </row>
    <row r="111" spans="1:22" x14ac:dyDescent="0.25">
      <c r="A111" s="7"/>
      <c r="B111" s="41"/>
      <c r="C111" s="41"/>
      <c r="D111" s="41"/>
      <c r="E111" s="41"/>
      <c r="F111" s="41"/>
      <c r="G111" s="41"/>
      <c r="H111" s="41"/>
      <c r="I111" s="41"/>
      <c r="J111" s="41"/>
      <c r="K111" s="41"/>
      <c r="L111" s="41"/>
      <c r="M111" s="41"/>
      <c r="N111" s="41"/>
      <c r="O111" s="41"/>
      <c r="P111" s="41"/>
      <c r="Q111" s="41"/>
      <c r="R111" s="41"/>
      <c r="S111" s="41"/>
      <c r="T111" s="41"/>
      <c r="U111" s="41"/>
      <c r="V111" s="41"/>
    </row>
    <row r="112" spans="1:22" x14ac:dyDescent="0.25">
      <c r="A112" s="7"/>
      <c r="B112" s="42"/>
      <c r="C112" s="41"/>
      <c r="D112" s="41"/>
      <c r="E112" s="41"/>
      <c r="F112" s="41"/>
      <c r="G112" s="41"/>
      <c r="H112" s="41"/>
      <c r="I112" s="41"/>
      <c r="J112" s="41"/>
      <c r="K112" s="41"/>
      <c r="L112" s="41"/>
      <c r="M112" s="41"/>
      <c r="N112" s="41"/>
      <c r="O112" s="41"/>
      <c r="P112" s="41"/>
      <c r="Q112" s="41"/>
      <c r="R112" s="41"/>
      <c r="S112" s="41"/>
      <c r="T112" s="41"/>
      <c r="U112" s="41"/>
      <c r="V112" s="41"/>
    </row>
    <row r="113" spans="1:22" ht="15.75" thickBot="1" x14ac:dyDescent="0.3">
      <c r="A113" s="7" t="s">
        <v>4</v>
      </c>
      <c r="B113" s="55">
        <f>ROUND(SUM(B111:B112),0)</f>
        <v>0</v>
      </c>
      <c r="C113" s="55">
        <f t="shared" ref="C113" si="122">ROUND(SUM(C111:C112),0)</f>
        <v>0</v>
      </c>
      <c r="D113" s="55">
        <f t="shared" ref="D113" si="123">ROUND(SUM(D111:D112),0)</f>
        <v>0</v>
      </c>
      <c r="E113" s="55">
        <f t="shared" ref="E113" si="124">ROUND(SUM(E111:E112),0)</f>
        <v>0</v>
      </c>
      <c r="F113" s="55">
        <f t="shared" ref="F113" si="125">ROUND(SUM(F111:F112),0)</f>
        <v>0</v>
      </c>
      <c r="G113" s="55">
        <f t="shared" ref="G113" si="126">ROUND(SUM(G111:G112),0)</f>
        <v>0</v>
      </c>
      <c r="H113" s="55">
        <f t="shared" ref="H113" si="127">ROUND(SUM(H111:H112),0)</f>
        <v>0</v>
      </c>
      <c r="I113" s="55">
        <f t="shared" ref="I113" si="128">ROUND(SUM(I111:I112),0)</f>
        <v>0</v>
      </c>
      <c r="J113" s="55">
        <f t="shared" ref="J113" si="129">ROUND(SUM(J111:J112),0)</f>
        <v>0</v>
      </c>
      <c r="K113" s="55">
        <f t="shared" ref="K113" si="130">ROUND(SUM(K111:K112),0)</f>
        <v>0</v>
      </c>
      <c r="L113" s="55">
        <f t="shared" ref="L113" si="131">ROUND(SUM(L111:L112),0)</f>
        <v>0</v>
      </c>
      <c r="M113" s="55">
        <f t="shared" ref="M113" si="132">ROUND(SUM(M111:M112),0)</f>
        <v>0</v>
      </c>
      <c r="N113" s="55">
        <f t="shared" ref="N113" si="133">ROUND(SUM(N111:N112),0)</f>
        <v>0</v>
      </c>
      <c r="O113" s="55">
        <f t="shared" ref="O113" si="134">ROUND(SUM(O111:O112),0)</f>
        <v>0</v>
      </c>
      <c r="P113" s="55">
        <f t="shared" ref="P113" si="135">ROUND(SUM(P111:P112),0)</f>
        <v>0</v>
      </c>
      <c r="Q113" s="55">
        <f t="shared" ref="Q113" si="136">ROUND(SUM(Q111:Q112),0)</f>
        <v>0</v>
      </c>
      <c r="R113" s="55">
        <f t="shared" ref="R113" si="137">ROUND(SUM(R111:R112),0)</f>
        <v>0</v>
      </c>
      <c r="S113" s="55">
        <f t="shared" ref="S113" si="138">ROUND(SUM(S111:S112),0)</f>
        <v>0</v>
      </c>
      <c r="T113" s="55">
        <f t="shared" ref="T113" si="139">ROUND(SUM(T111:T112),0)</f>
        <v>0</v>
      </c>
      <c r="U113" s="55">
        <f t="shared" ref="U113" si="140">ROUND(SUM(U111:U112),0)</f>
        <v>0</v>
      </c>
      <c r="V113" s="55">
        <f t="shared" ref="V113" si="141">ROUND(SUM(V111:V112),0)</f>
        <v>0</v>
      </c>
    </row>
    <row r="114" spans="1:22" ht="15.75" thickTop="1" x14ac:dyDescent="0.25"/>
    <row r="118" spans="1:22" x14ac:dyDescent="0.25">
      <c r="A118" t="s">
        <v>30</v>
      </c>
      <c r="B118" s="44"/>
      <c r="E118" s="113" t="b">
        <v>0</v>
      </c>
      <c r="F118" t="s">
        <v>300</v>
      </c>
    </row>
    <row r="119" spans="1:22" x14ac:dyDescent="0.25">
      <c r="A119" t="s">
        <v>32</v>
      </c>
      <c r="B119" s="45"/>
      <c r="C119" s="43"/>
    </row>
    <row r="120" spans="1:22" x14ac:dyDescent="0.25">
      <c r="A120" t="s">
        <v>31</v>
      </c>
      <c r="B120" s="46"/>
      <c r="C120" t="s">
        <v>5</v>
      </c>
    </row>
    <row r="122" spans="1:22" x14ac:dyDescent="0.25">
      <c r="B122" s="114" t="str">
        <f>"End of "&amp; One_Period_g &amp;" Year"</f>
        <v>End of  Year</v>
      </c>
      <c r="C122" s="114"/>
      <c r="D122" s="114"/>
      <c r="E122" s="114"/>
      <c r="F122" s="114"/>
      <c r="G122" s="114"/>
      <c r="H122" s="114"/>
      <c r="I122" s="114"/>
      <c r="J122" s="114"/>
      <c r="K122" s="114"/>
      <c r="L122" s="114"/>
      <c r="M122" s="114"/>
      <c r="N122" s="114"/>
      <c r="O122" s="114"/>
      <c r="P122" s="114"/>
      <c r="Q122" s="114"/>
      <c r="R122" s="114"/>
      <c r="S122" s="114"/>
      <c r="T122" s="114"/>
      <c r="U122" s="114"/>
      <c r="V122" s="114"/>
    </row>
    <row r="123" spans="1:22" ht="15.75" thickBot="1" x14ac:dyDescent="0.3">
      <c r="B123" s="6">
        <v>0</v>
      </c>
      <c r="C123" s="6">
        <v>1</v>
      </c>
      <c r="D123" s="6">
        <v>2</v>
      </c>
      <c r="E123" s="6">
        <v>3</v>
      </c>
      <c r="F123" s="6">
        <v>4</v>
      </c>
      <c r="G123" s="6">
        <v>5</v>
      </c>
      <c r="H123" s="6">
        <v>6</v>
      </c>
      <c r="I123" s="6">
        <v>7</v>
      </c>
      <c r="J123" s="6">
        <v>8</v>
      </c>
      <c r="K123" s="6">
        <v>9</v>
      </c>
      <c r="L123" s="6">
        <v>10</v>
      </c>
      <c r="M123" s="6">
        <v>11</v>
      </c>
      <c r="N123" s="6">
        <v>12</v>
      </c>
      <c r="O123" s="6">
        <v>13</v>
      </c>
      <c r="P123" s="6">
        <v>14</v>
      </c>
      <c r="Q123" s="6">
        <v>15</v>
      </c>
      <c r="R123" s="6">
        <v>16</v>
      </c>
      <c r="S123" s="6">
        <v>17</v>
      </c>
      <c r="T123" s="6">
        <v>18</v>
      </c>
      <c r="U123" s="6">
        <v>19</v>
      </c>
      <c r="V123" s="6">
        <v>20</v>
      </c>
    </row>
    <row r="124" spans="1:22" x14ac:dyDescent="0.25">
      <c r="A124" s="7"/>
      <c r="B124" s="41"/>
      <c r="C124" s="41"/>
      <c r="D124" s="41"/>
      <c r="E124" s="41"/>
      <c r="F124" s="41"/>
      <c r="G124" s="41"/>
      <c r="H124" s="41"/>
      <c r="I124" s="41"/>
      <c r="J124" s="41"/>
      <c r="K124" s="41"/>
      <c r="L124" s="41"/>
      <c r="M124" s="41"/>
      <c r="N124" s="41"/>
      <c r="O124" s="41"/>
      <c r="P124" s="41"/>
      <c r="Q124" s="41"/>
      <c r="R124" s="41"/>
      <c r="S124" s="41"/>
      <c r="T124" s="41"/>
      <c r="U124" s="41"/>
      <c r="V124" s="41"/>
    </row>
    <row r="125" spans="1:22" x14ac:dyDescent="0.25">
      <c r="A125" s="7"/>
      <c r="B125" s="42"/>
      <c r="C125" s="41"/>
      <c r="D125" s="41"/>
      <c r="E125" s="41"/>
      <c r="F125" s="41"/>
      <c r="G125" s="41"/>
      <c r="H125" s="41"/>
      <c r="I125" s="41"/>
      <c r="J125" s="41"/>
      <c r="K125" s="41"/>
      <c r="L125" s="41"/>
      <c r="M125" s="41"/>
      <c r="N125" s="41"/>
      <c r="O125" s="41"/>
      <c r="P125" s="41"/>
      <c r="Q125" s="41"/>
      <c r="R125" s="41"/>
      <c r="S125" s="41"/>
      <c r="T125" s="41"/>
      <c r="U125" s="41"/>
      <c r="V125" s="41"/>
    </row>
    <row r="126" spans="1:22" ht="15.75" thickBot="1" x14ac:dyDescent="0.3">
      <c r="A126" s="7" t="s">
        <v>4</v>
      </c>
      <c r="B126" s="55">
        <f>ROUND(SUM(B124:B125),0)</f>
        <v>0</v>
      </c>
      <c r="C126" s="55">
        <f t="shared" ref="C126" si="142">ROUND(SUM(C124:C125),0)</f>
        <v>0</v>
      </c>
      <c r="D126" s="55">
        <f t="shared" ref="D126" si="143">ROUND(SUM(D124:D125),0)</f>
        <v>0</v>
      </c>
      <c r="E126" s="55">
        <f t="shared" ref="E126" si="144">ROUND(SUM(E124:E125),0)</f>
        <v>0</v>
      </c>
      <c r="F126" s="55">
        <f t="shared" ref="F126" si="145">ROUND(SUM(F124:F125),0)</f>
        <v>0</v>
      </c>
      <c r="G126" s="55">
        <f t="shared" ref="G126" si="146">ROUND(SUM(G124:G125),0)</f>
        <v>0</v>
      </c>
      <c r="H126" s="55">
        <f t="shared" ref="H126" si="147">ROUND(SUM(H124:H125),0)</f>
        <v>0</v>
      </c>
      <c r="I126" s="55">
        <f t="shared" ref="I126" si="148">ROUND(SUM(I124:I125),0)</f>
        <v>0</v>
      </c>
      <c r="J126" s="55">
        <f t="shared" ref="J126" si="149">ROUND(SUM(J124:J125),0)</f>
        <v>0</v>
      </c>
      <c r="K126" s="55">
        <f t="shared" ref="K126" si="150">ROUND(SUM(K124:K125),0)</f>
        <v>0</v>
      </c>
      <c r="L126" s="55">
        <f t="shared" ref="L126" si="151">ROUND(SUM(L124:L125),0)</f>
        <v>0</v>
      </c>
      <c r="M126" s="55">
        <f t="shared" ref="M126" si="152">ROUND(SUM(M124:M125),0)</f>
        <v>0</v>
      </c>
      <c r="N126" s="55">
        <f t="shared" ref="N126" si="153">ROUND(SUM(N124:N125),0)</f>
        <v>0</v>
      </c>
      <c r="O126" s="55">
        <f t="shared" ref="O126" si="154">ROUND(SUM(O124:O125),0)</f>
        <v>0</v>
      </c>
      <c r="P126" s="55">
        <f t="shared" ref="P126" si="155">ROUND(SUM(P124:P125),0)</f>
        <v>0</v>
      </c>
      <c r="Q126" s="55">
        <f t="shared" ref="Q126" si="156">ROUND(SUM(Q124:Q125),0)</f>
        <v>0</v>
      </c>
      <c r="R126" s="55">
        <f t="shared" ref="R126" si="157">ROUND(SUM(R124:R125),0)</f>
        <v>0</v>
      </c>
      <c r="S126" s="55">
        <f t="shared" ref="S126" si="158">ROUND(SUM(S124:S125),0)</f>
        <v>0</v>
      </c>
      <c r="T126" s="55">
        <f t="shared" ref="T126" si="159">ROUND(SUM(T124:T125),0)</f>
        <v>0</v>
      </c>
      <c r="U126" s="55">
        <f t="shared" ref="U126" si="160">ROUND(SUM(U124:U125),0)</f>
        <v>0</v>
      </c>
      <c r="V126" s="55">
        <f t="shared" ref="V126" si="161">ROUND(SUM(V124:V125),0)</f>
        <v>0</v>
      </c>
    </row>
    <row r="127" spans="1:22" ht="15.75" thickTop="1" x14ac:dyDescent="0.25"/>
    <row r="131" spans="1:23" x14ac:dyDescent="0.25">
      <c r="A131" t="s">
        <v>36</v>
      </c>
      <c r="B131" s="44"/>
      <c r="E131" s="113" t="b">
        <v>0</v>
      </c>
      <c r="F131" t="s">
        <v>300</v>
      </c>
    </row>
    <row r="132" spans="1:23" x14ac:dyDescent="0.25">
      <c r="A132" t="s">
        <v>34</v>
      </c>
      <c r="B132" s="45"/>
      <c r="C132" s="43"/>
    </row>
    <row r="133" spans="1:23" x14ac:dyDescent="0.25">
      <c r="A133" t="s">
        <v>35</v>
      </c>
      <c r="B133" s="46"/>
      <c r="C133" t="s">
        <v>5</v>
      </c>
    </row>
    <row r="135" spans="1:23" x14ac:dyDescent="0.25">
      <c r="B135" s="114" t="str">
        <f>"End of "&amp; One_Period_h &amp;" Year"</f>
        <v>End of  Year</v>
      </c>
      <c r="C135" s="114"/>
      <c r="D135" s="114"/>
      <c r="E135" s="114"/>
      <c r="F135" s="114"/>
      <c r="G135" s="114"/>
      <c r="H135" s="114"/>
      <c r="I135" s="114"/>
      <c r="J135" s="114"/>
      <c r="K135" s="114"/>
      <c r="L135" s="114"/>
      <c r="M135" s="114"/>
      <c r="N135" s="114"/>
      <c r="O135" s="114"/>
      <c r="P135" s="114"/>
      <c r="Q135" s="114"/>
      <c r="R135" s="114"/>
      <c r="S135" s="114"/>
      <c r="T135" s="114"/>
      <c r="U135" s="114"/>
      <c r="V135" s="114"/>
    </row>
    <row r="136" spans="1:23" ht="15.75" thickBot="1" x14ac:dyDescent="0.3">
      <c r="B136" s="6">
        <v>0</v>
      </c>
      <c r="C136" s="6">
        <v>1</v>
      </c>
      <c r="D136" s="6">
        <v>2</v>
      </c>
      <c r="E136" s="6">
        <v>3</v>
      </c>
      <c r="F136" s="6">
        <v>4</v>
      </c>
      <c r="G136" s="6">
        <v>5</v>
      </c>
      <c r="H136" s="6">
        <v>6</v>
      </c>
      <c r="I136" s="6">
        <v>7</v>
      </c>
      <c r="J136" s="6">
        <v>8</v>
      </c>
      <c r="K136" s="6">
        <v>9</v>
      </c>
      <c r="L136" s="6">
        <v>10</v>
      </c>
      <c r="M136" s="6">
        <v>11</v>
      </c>
      <c r="N136" s="6">
        <v>12</v>
      </c>
      <c r="O136" s="6">
        <v>13</v>
      </c>
      <c r="P136" s="6">
        <v>14</v>
      </c>
      <c r="Q136" s="6">
        <v>15</v>
      </c>
      <c r="R136" s="6">
        <v>16</v>
      </c>
      <c r="S136" s="6">
        <v>17</v>
      </c>
      <c r="T136" s="6">
        <v>18</v>
      </c>
      <c r="U136" s="6">
        <v>19</v>
      </c>
      <c r="V136" s="6">
        <v>20</v>
      </c>
      <c r="W136" s="40" t="s">
        <v>52</v>
      </c>
    </row>
    <row r="137" spans="1:23" x14ac:dyDescent="0.25">
      <c r="A137" s="7"/>
      <c r="B137" s="41"/>
      <c r="C137" s="41"/>
      <c r="D137" s="41"/>
      <c r="E137" s="41"/>
      <c r="F137" s="41"/>
      <c r="G137" s="41"/>
      <c r="H137" s="41"/>
      <c r="I137" s="41"/>
      <c r="J137" s="41"/>
      <c r="K137" s="41"/>
      <c r="L137" s="41"/>
      <c r="M137" s="41"/>
      <c r="N137" s="41"/>
      <c r="O137" s="41"/>
      <c r="P137" s="41"/>
      <c r="Q137" s="41"/>
      <c r="R137" s="41"/>
      <c r="S137" s="41"/>
      <c r="T137" s="41"/>
      <c r="U137" s="41"/>
      <c r="V137" s="41"/>
    </row>
    <row r="138" spans="1:23" x14ac:dyDescent="0.25">
      <c r="A138" s="7"/>
      <c r="B138" s="42"/>
      <c r="C138" s="41"/>
      <c r="D138" s="41"/>
      <c r="E138" s="41"/>
      <c r="F138" s="41"/>
      <c r="G138" s="41"/>
      <c r="H138" s="41"/>
      <c r="I138" s="41"/>
      <c r="J138" s="41"/>
      <c r="K138" s="41"/>
      <c r="L138" s="41"/>
      <c r="M138" s="41"/>
      <c r="N138" s="41"/>
      <c r="O138" s="41"/>
      <c r="P138" s="41"/>
      <c r="Q138" s="41"/>
      <c r="R138" s="41"/>
      <c r="S138" s="41"/>
      <c r="T138" s="41"/>
      <c r="U138" s="41"/>
      <c r="V138" s="41"/>
    </row>
    <row r="139" spans="1:23" ht="15.75" thickBot="1" x14ac:dyDescent="0.3">
      <c r="A139" s="7" t="s">
        <v>4</v>
      </c>
      <c r="B139" s="55">
        <f>ROUND(SUM(B137:B138),0)</f>
        <v>0</v>
      </c>
      <c r="C139" s="55">
        <f t="shared" ref="C139" si="162">ROUND(SUM(C137:C138),0)</f>
        <v>0</v>
      </c>
      <c r="D139" s="55">
        <f t="shared" ref="D139" si="163">ROUND(SUM(D137:D138),0)</f>
        <v>0</v>
      </c>
      <c r="E139" s="55">
        <f t="shared" ref="E139" si="164">ROUND(SUM(E137:E138),0)</f>
        <v>0</v>
      </c>
      <c r="F139" s="55">
        <f t="shared" ref="F139" si="165">ROUND(SUM(F137:F138),0)</f>
        <v>0</v>
      </c>
      <c r="G139" s="55">
        <f t="shared" ref="G139" si="166">ROUND(SUM(G137:G138),0)</f>
        <v>0</v>
      </c>
      <c r="H139" s="55">
        <f t="shared" ref="H139" si="167">ROUND(SUM(H137:H138),0)</f>
        <v>0</v>
      </c>
      <c r="I139" s="55">
        <f t="shared" ref="I139" si="168">ROUND(SUM(I137:I138),0)</f>
        <v>0</v>
      </c>
      <c r="J139" s="55">
        <f t="shared" ref="J139" si="169">ROUND(SUM(J137:J138),0)</f>
        <v>0</v>
      </c>
      <c r="K139" s="55">
        <f t="shared" ref="K139" si="170">ROUND(SUM(K137:K138),0)</f>
        <v>0</v>
      </c>
      <c r="L139" s="55">
        <f t="shared" ref="L139" si="171">ROUND(SUM(L137:L138),0)</f>
        <v>0</v>
      </c>
      <c r="M139" s="55">
        <f t="shared" ref="M139" si="172">ROUND(SUM(M137:M138),0)</f>
        <v>0</v>
      </c>
      <c r="N139" s="55">
        <f t="shared" ref="N139" si="173">ROUND(SUM(N137:N138),0)</f>
        <v>0</v>
      </c>
      <c r="O139" s="55">
        <f t="shared" ref="O139" si="174">ROUND(SUM(O137:O138),0)</f>
        <v>0</v>
      </c>
      <c r="P139" s="55">
        <f t="shared" ref="P139" si="175">ROUND(SUM(P137:P138),0)</f>
        <v>0</v>
      </c>
      <c r="Q139" s="55">
        <f t="shared" ref="Q139" si="176">ROUND(SUM(Q137:Q138),0)</f>
        <v>0</v>
      </c>
      <c r="R139" s="55">
        <f t="shared" ref="R139" si="177">ROUND(SUM(R137:R138),0)</f>
        <v>0</v>
      </c>
      <c r="S139" s="55">
        <f t="shared" ref="S139" si="178">ROUND(SUM(S137:S138),0)</f>
        <v>0</v>
      </c>
      <c r="T139" s="55">
        <f t="shared" ref="T139" si="179">ROUND(SUM(T137:T138),0)</f>
        <v>0</v>
      </c>
      <c r="U139" s="55">
        <f t="shared" ref="U139" si="180">ROUND(SUM(U137:U138),0)</f>
        <v>0</v>
      </c>
      <c r="V139" s="55">
        <f t="shared" ref="V139" si="181">ROUND(SUM(V137:V138),0)</f>
        <v>0</v>
      </c>
      <c r="W139" s="56"/>
    </row>
    <row r="140" spans="1:23" ht="15.75" thickTop="1" x14ac:dyDescent="0.25"/>
    <row r="144" spans="1:23" x14ac:dyDescent="0.25">
      <c r="A144" t="s">
        <v>37</v>
      </c>
      <c r="B144" s="44"/>
      <c r="E144" s="113" t="b">
        <v>0</v>
      </c>
      <c r="F144" t="s">
        <v>300</v>
      </c>
    </row>
    <row r="145" spans="1:22" x14ac:dyDescent="0.25">
      <c r="A145" t="s">
        <v>45</v>
      </c>
      <c r="B145" s="45"/>
      <c r="C145" s="43"/>
    </row>
    <row r="146" spans="1:22" x14ac:dyDescent="0.25">
      <c r="A146" t="s">
        <v>38</v>
      </c>
      <c r="B146" s="46"/>
      <c r="C146" t="s">
        <v>5</v>
      </c>
    </row>
    <row r="148" spans="1:22" x14ac:dyDescent="0.25">
      <c r="B148" s="114" t="str">
        <f>"End of "&amp; One_Period_i &amp;" Year"</f>
        <v>End of  Year</v>
      </c>
      <c r="C148" s="114"/>
      <c r="D148" s="114"/>
      <c r="E148" s="114"/>
      <c r="F148" s="114"/>
      <c r="G148" s="114"/>
      <c r="H148" s="114"/>
      <c r="I148" s="114"/>
      <c r="J148" s="114"/>
      <c r="K148" s="114"/>
      <c r="L148" s="114"/>
      <c r="M148" s="114"/>
      <c r="N148" s="114"/>
      <c r="O148" s="114"/>
      <c r="P148" s="114"/>
      <c r="Q148" s="114"/>
      <c r="R148" s="114"/>
      <c r="S148" s="114"/>
      <c r="T148" s="114"/>
      <c r="U148" s="114"/>
      <c r="V148" s="114"/>
    </row>
    <row r="149" spans="1:22" ht="15.75" thickBot="1" x14ac:dyDescent="0.3">
      <c r="B149" s="6">
        <v>0</v>
      </c>
      <c r="C149" s="6">
        <v>1</v>
      </c>
      <c r="D149" s="6">
        <v>2</v>
      </c>
      <c r="E149" s="6">
        <v>3</v>
      </c>
      <c r="F149" s="6">
        <v>4</v>
      </c>
      <c r="G149" s="6">
        <v>5</v>
      </c>
      <c r="H149" s="6">
        <v>6</v>
      </c>
      <c r="I149" s="6">
        <v>7</v>
      </c>
      <c r="J149" s="6">
        <v>8</v>
      </c>
      <c r="K149" s="6">
        <v>9</v>
      </c>
      <c r="L149" s="6">
        <v>10</v>
      </c>
      <c r="M149" s="6">
        <v>11</v>
      </c>
      <c r="N149" s="6">
        <v>12</v>
      </c>
      <c r="O149" s="6">
        <v>13</v>
      </c>
      <c r="P149" s="6">
        <v>14</v>
      </c>
      <c r="Q149" s="6">
        <v>15</v>
      </c>
      <c r="R149" s="6">
        <v>16</v>
      </c>
      <c r="S149" s="6">
        <v>17</v>
      </c>
      <c r="T149" s="6">
        <v>18</v>
      </c>
      <c r="U149" s="6">
        <v>19</v>
      </c>
      <c r="V149" s="6">
        <v>20</v>
      </c>
    </row>
    <row r="150" spans="1:22" x14ac:dyDescent="0.25">
      <c r="A150" s="7"/>
      <c r="B150" s="41"/>
      <c r="C150" s="41"/>
      <c r="D150" s="41"/>
      <c r="E150" s="41"/>
      <c r="F150" s="41"/>
      <c r="G150" s="41"/>
      <c r="H150" s="41"/>
      <c r="I150" s="41"/>
      <c r="J150" s="41"/>
      <c r="K150" s="41"/>
      <c r="L150" s="41"/>
      <c r="M150" s="41"/>
      <c r="N150" s="41"/>
      <c r="O150" s="41"/>
      <c r="P150" s="41"/>
      <c r="Q150" s="41"/>
      <c r="R150" s="41"/>
      <c r="S150" s="41"/>
      <c r="T150" s="41"/>
      <c r="U150" s="41"/>
      <c r="V150" s="41"/>
    </row>
    <row r="151" spans="1:22" x14ac:dyDescent="0.25">
      <c r="A151" s="7"/>
      <c r="B151" s="42"/>
      <c r="C151" s="41"/>
      <c r="D151" s="41"/>
      <c r="E151" s="41"/>
      <c r="F151" s="41"/>
      <c r="G151" s="41"/>
      <c r="H151" s="41"/>
      <c r="I151" s="41"/>
      <c r="J151" s="41"/>
      <c r="K151" s="41"/>
      <c r="L151" s="41"/>
      <c r="M151" s="41"/>
      <c r="N151" s="41"/>
      <c r="O151" s="41"/>
      <c r="P151" s="41"/>
      <c r="Q151" s="41"/>
      <c r="R151" s="41"/>
      <c r="S151" s="41"/>
      <c r="T151" s="41"/>
      <c r="U151" s="41"/>
      <c r="V151" s="41"/>
    </row>
    <row r="152" spans="1:22" ht="15.75" thickBot="1" x14ac:dyDescent="0.3">
      <c r="A152" s="7" t="s">
        <v>4</v>
      </c>
      <c r="B152" s="55">
        <f>ROUND(SUM(B150:B151),0)</f>
        <v>0</v>
      </c>
      <c r="C152" s="55">
        <f t="shared" ref="C152" si="182">ROUND(SUM(C150:C151),0)</f>
        <v>0</v>
      </c>
      <c r="D152" s="55">
        <f t="shared" ref="D152" si="183">ROUND(SUM(D150:D151),0)</f>
        <v>0</v>
      </c>
      <c r="E152" s="55">
        <f t="shared" ref="E152" si="184">ROUND(SUM(E150:E151),0)</f>
        <v>0</v>
      </c>
      <c r="F152" s="55">
        <f t="shared" ref="F152" si="185">ROUND(SUM(F150:F151),0)</f>
        <v>0</v>
      </c>
      <c r="G152" s="55">
        <f t="shared" ref="G152" si="186">ROUND(SUM(G150:G151),0)</f>
        <v>0</v>
      </c>
      <c r="H152" s="55">
        <f t="shared" ref="H152" si="187">ROUND(SUM(H150:H151),0)</f>
        <v>0</v>
      </c>
      <c r="I152" s="55">
        <f t="shared" ref="I152" si="188">ROUND(SUM(I150:I151),0)</f>
        <v>0</v>
      </c>
      <c r="J152" s="55">
        <f t="shared" ref="J152" si="189">ROUND(SUM(J150:J151),0)</f>
        <v>0</v>
      </c>
      <c r="K152" s="55">
        <f t="shared" ref="K152" si="190">ROUND(SUM(K150:K151),0)</f>
        <v>0</v>
      </c>
      <c r="L152" s="55">
        <f t="shared" ref="L152" si="191">ROUND(SUM(L150:L151),0)</f>
        <v>0</v>
      </c>
      <c r="M152" s="55">
        <f t="shared" ref="M152" si="192">ROUND(SUM(M150:M151),0)</f>
        <v>0</v>
      </c>
      <c r="N152" s="55">
        <f t="shared" ref="N152" si="193">ROUND(SUM(N150:N151),0)</f>
        <v>0</v>
      </c>
      <c r="O152" s="55">
        <f t="shared" ref="O152" si="194">ROUND(SUM(O150:O151),0)</f>
        <v>0</v>
      </c>
      <c r="P152" s="55">
        <f t="shared" ref="P152" si="195">ROUND(SUM(P150:P151),0)</f>
        <v>0</v>
      </c>
      <c r="Q152" s="55">
        <f t="shared" ref="Q152" si="196">ROUND(SUM(Q150:Q151),0)</f>
        <v>0</v>
      </c>
      <c r="R152" s="55">
        <f t="shared" ref="R152" si="197">ROUND(SUM(R150:R151),0)</f>
        <v>0</v>
      </c>
      <c r="S152" s="55">
        <f t="shared" ref="S152" si="198">ROUND(SUM(S150:S151),0)</f>
        <v>0</v>
      </c>
      <c r="T152" s="55">
        <f t="shared" ref="T152" si="199">ROUND(SUM(T150:T151),0)</f>
        <v>0</v>
      </c>
      <c r="U152" s="55">
        <f t="shared" ref="U152" si="200">ROUND(SUM(U150:U151),0)</f>
        <v>0</v>
      </c>
      <c r="V152" s="55">
        <f t="shared" ref="V152" si="201">ROUND(SUM(V150:V151),0)</f>
        <v>0</v>
      </c>
    </row>
    <row r="153" spans="1:22" ht="15.75" thickTop="1" x14ac:dyDescent="0.25"/>
    <row r="157" spans="1:22" x14ac:dyDescent="0.25">
      <c r="A157" t="s">
        <v>40</v>
      </c>
      <c r="B157" s="44"/>
      <c r="E157" s="113" t="b">
        <v>0</v>
      </c>
      <c r="F157" t="s">
        <v>300</v>
      </c>
    </row>
    <row r="158" spans="1:22" x14ac:dyDescent="0.25">
      <c r="A158" t="s">
        <v>46</v>
      </c>
      <c r="B158" s="45"/>
      <c r="C158" s="43"/>
    </row>
    <row r="159" spans="1:22" x14ac:dyDescent="0.25">
      <c r="A159" t="s">
        <v>39</v>
      </c>
      <c r="B159" s="46"/>
      <c r="C159" t="s">
        <v>5</v>
      </c>
    </row>
    <row r="161" spans="1:22" x14ac:dyDescent="0.25">
      <c r="B161" s="114" t="str">
        <f>"End of "&amp; One_Period_j &amp;" Year"</f>
        <v>End of  Year</v>
      </c>
      <c r="C161" s="114"/>
      <c r="D161" s="114"/>
      <c r="E161" s="114"/>
      <c r="F161" s="114"/>
      <c r="G161" s="114"/>
      <c r="H161" s="114"/>
      <c r="I161" s="114"/>
      <c r="J161" s="114"/>
      <c r="K161" s="114"/>
      <c r="L161" s="114"/>
      <c r="M161" s="114"/>
      <c r="N161" s="114"/>
      <c r="O161" s="114"/>
      <c r="P161" s="114"/>
      <c r="Q161" s="114"/>
      <c r="R161" s="114"/>
      <c r="S161" s="114"/>
      <c r="T161" s="114"/>
      <c r="U161" s="114"/>
      <c r="V161" s="114"/>
    </row>
    <row r="162" spans="1:22" ht="15.75" thickBot="1" x14ac:dyDescent="0.3">
      <c r="B162" s="6">
        <v>0</v>
      </c>
      <c r="C162" s="6">
        <v>1</v>
      </c>
      <c r="D162" s="6">
        <v>2</v>
      </c>
      <c r="E162" s="6">
        <v>3</v>
      </c>
      <c r="F162" s="6">
        <v>4</v>
      </c>
      <c r="G162" s="6">
        <v>5</v>
      </c>
      <c r="H162" s="6">
        <v>6</v>
      </c>
      <c r="I162" s="6">
        <v>7</v>
      </c>
      <c r="J162" s="6">
        <v>8</v>
      </c>
      <c r="K162" s="6">
        <v>9</v>
      </c>
      <c r="L162" s="6">
        <v>10</v>
      </c>
      <c r="M162" s="6">
        <v>11</v>
      </c>
      <c r="N162" s="6">
        <v>12</v>
      </c>
      <c r="O162" s="6">
        <v>13</v>
      </c>
      <c r="P162" s="6">
        <v>14</v>
      </c>
      <c r="Q162" s="6">
        <v>15</v>
      </c>
      <c r="R162" s="6">
        <v>16</v>
      </c>
      <c r="S162" s="6">
        <v>17</v>
      </c>
      <c r="T162" s="6">
        <v>18</v>
      </c>
      <c r="U162" s="6">
        <v>19</v>
      </c>
      <c r="V162" s="6">
        <v>20</v>
      </c>
    </row>
    <row r="163" spans="1:22" x14ac:dyDescent="0.25">
      <c r="A163" s="7"/>
      <c r="B163" s="41"/>
      <c r="C163" s="41"/>
      <c r="D163" s="41"/>
      <c r="E163" s="41"/>
      <c r="F163" s="41"/>
      <c r="G163" s="41"/>
      <c r="H163" s="41"/>
      <c r="I163" s="41"/>
      <c r="J163" s="41"/>
      <c r="K163" s="41"/>
      <c r="L163" s="41"/>
      <c r="M163" s="41"/>
      <c r="N163" s="41"/>
      <c r="O163" s="41"/>
      <c r="P163" s="41"/>
      <c r="Q163" s="41"/>
      <c r="R163" s="41"/>
      <c r="S163" s="41"/>
      <c r="T163" s="41"/>
      <c r="U163" s="41"/>
      <c r="V163" s="41"/>
    </row>
    <row r="164" spans="1:22" x14ac:dyDescent="0.25">
      <c r="A164" s="7"/>
      <c r="B164" s="42"/>
      <c r="C164" s="41"/>
      <c r="D164" s="41"/>
      <c r="E164" s="41"/>
      <c r="F164" s="41"/>
      <c r="G164" s="41"/>
      <c r="H164" s="41"/>
      <c r="I164" s="41"/>
      <c r="J164" s="41"/>
      <c r="K164" s="41"/>
      <c r="L164" s="41"/>
      <c r="M164" s="41"/>
      <c r="N164" s="41"/>
      <c r="O164" s="41"/>
      <c r="P164" s="41"/>
      <c r="Q164" s="41"/>
      <c r="R164" s="41"/>
      <c r="S164" s="41"/>
      <c r="T164" s="41"/>
      <c r="U164" s="41"/>
      <c r="V164" s="41"/>
    </row>
    <row r="165" spans="1:22" ht="15.75" thickBot="1" x14ac:dyDescent="0.3">
      <c r="A165" s="7" t="s">
        <v>4</v>
      </c>
      <c r="B165" s="55">
        <f>ROUND(SUM(B163:B164),0)</f>
        <v>0</v>
      </c>
      <c r="C165" s="55">
        <f t="shared" ref="C165" si="202">ROUND(SUM(C163:C164),0)</f>
        <v>0</v>
      </c>
      <c r="D165" s="55">
        <f t="shared" ref="D165" si="203">ROUND(SUM(D163:D164),0)</f>
        <v>0</v>
      </c>
      <c r="E165" s="55">
        <f t="shared" ref="E165" si="204">ROUND(SUM(E163:E164),0)</f>
        <v>0</v>
      </c>
      <c r="F165" s="55">
        <f t="shared" ref="F165" si="205">ROUND(SUM(F163:F164),0)</f>
        <v>0</v>
      </c>
      <c r="G165" s="55">
        <f t="shared" ref="G165" si="206">ROUND(SUM(G163:G164),0)</f>
        <v>0</v>
      </c>
      <c r="H165" s="55">
        <f t="shared" ref="H165" si="207">ROUND(SUM(H163:H164),0)</f>
        <v>0</v>
      </c>
      <c r="I165" s="55">
        <f t="shared" ref="I165" si="208">ROUND(SUM(I163:I164),0)</f>
        <v>0</v>
      </c>
      <c r="J165" s="55">
        <f t="shared" ref="J165" si="209">ROUND(SUM(J163:J164),0)</f>
        <v>0</v>
      </c>
      <c r="K165" s="55">
        <f t="shared" ref="K165" si="210">ROUND(SUM(K163:K164),0)</f>
        <v>0</v>
      </c>
      <c r="L165" s="55">
        <f t="shared" ref="L165" si="211">ROUND(SUM(L163:L164),0)</f>
        <v>0</v>
      </c>
      <c r="M165" s="55">
        <f t="shared" ref="M165" si="212">ROUND(SUM(M163:M164),0)</f>
        <v>0</v>
      </c>
      <c r="N165" s="55">
        <f t="shared" ref="N165" si="213">ROUND(SUM(N163:N164),0)</f>
        <v>0</v>
      </c>
      <c r="O165" s="55">
        <f t="shared" ref="O165" si="214">ROUND(SUM(O163:O164),0)</f>
        <v>0</v>
      </c>
      <c r="P165" s="55">
        <f t="shared" ref="P165" si="215">ROUND(SUM(P163:P164),0)</f>
        <v>0</v>
      </c>
      <c r="Q165" s="55">
        <f t="shared" ref="Q165" si="216">ROUND(SUM(Q163:Q164),0)</f>
        <v>0</v>
      </c>
      <c r="R165" s="55">
        <f t="shared" ref="R165" si="217">ROUND(SUM(R163:R164),0)</f>
        <v>0</v>
      </c>
      <c r="S165" s="55">
        <f t="shared" ref="S165" si="218">ROUND(SUM(S163:S164),0)</f>
        <v>0</v>
      </c>
      <c r="T165" s="55">
        <f t="shared" ref="T165" si="219">ROUND(SUM(T163:T164),0)</f>
        <v>0</v>
      </c>
      <c r="U165" s="55">
        <f t="shared" ref="U165" si="220">ROUND(SUM(U163:U164),0)</f>
        <v>0</v>
      </c>
      <c r="V165" s="55">
        <f t="shared" ref="V165" si="221">ROUND(SUM(V163:V164),0)</f>
        <v>0</v>
      </c>
    </row>
    <row r="166" spans="1:22" ht="15.75" thickTop="1" x14ac:dyDescent="0.25"/>
    <row r="171" spans="1:22" x14ac:dyDescent="0.25">
      <c r="A171" t="s">
        <v>42</v>
      </c>
      <c r="B171" s="44"/>
      <c r="E171" s="113" t="b">
        <v>0</v>
      </c>
      <c r="F171" t="s">
        <v>300</v>
      </c>
    </row>
    <row r="172" spans="1:22" x14ac:dyDescent="0.25">
      <c r="B172" s="45"/>
      <c r="C172" s="43"/>
    </row>
    <row r="173" spans="1:22" x14ac:dyDescent="0.25">
      <c r="A173" t="s">
        <v>41</v>
      </c>
      <c r="B173" s="46"/>
      <c r="C173" t="s">
        <v>5</v>
      </c>
    </row>
    <row r="174" spans="1:22" x14ac:dyDescent="0.25">
      <c r="A174" t="s">
        <v>44</v>
      </c>
      <c r="B174" s="11">
        <v>7000</v>
      </c>
    </row>
    <row r="175" spans="1:22" x14ac:dyDescent="0.25">
      <c r="B175" s="114" t="str">
        <f>"End of "&amp; One_Period_k &amp;" Year"</f>
        <v>End of  Year</v>
      </c>
      <c r="C175" s="114"/>
      <c r="D175" s="114"/>
      <c r="E175" s="114"/>
      <c r="F175" s="114"/>
      <c r="G175" s="114"/>
      <c r="H175" s="114"/>
      <c r="I175" s="114"/>
      <c r="J175" s="114"/>
      <c r="K175" s="114"/>
      <c r="L175" s="114"/>
      <c r="M175" s="114"/>
      <c r="N175" s="114"/>
      <c r="O175" s="114"/>
      <c r="P175" s="114"/>
      <c r="Q175" s="114"/>
      <c r="R175" s="114"/>
      <c r="S175" s="114"/>
      <c r="T175" s="114"/>
      <c r="U175" s="114"/>
      <c r="V175" s="114"/>
    </row>
    <row r="176" spans="1:22" ht="15.75" thickBot="1" x14ac:dyDescent="0.3">
      <c r="B176" s="6">
        <v>0</v>
      </c>
      <c r="C176" s="6">
        <v>1</v>
      </c>
      <c r="D176" s="6">
        <v>2</v>
      </c>
      <c r="E176" s="6">
        <v>3</v>
      </c>
      <c r="F176" s="6">
        <v>4</v>
      </c>
      <c r="G176" s="6">
        <v>5</v>
      </c>
      <c r="H176" s="6">
        <v>6</v>
      </c>
      <c r="I176" s="6">
        <v>7</v>
      </c>
      <c r="J176" s="6">
        <v>8</v>
      </c>
      <c r="K176" s="6">
        <v>9</v>
      </c>
      <c r="L176" s="6">
        <v>10</v>
      </c>
      <c r="M176" s="6">
        <v>11</v>
      </c>
      <c r="N176" s="6">
        <v>12</v>
      </c>
      <c r="O176" s="6">
        <v>13</v>
      </c>
      <c r="P176" s="6">
        <v>14</v>
      </c>
      <c r="Q176" s="6">
        <v>15</v>
      </c>
      <c r="R176" s="6">
        <v>16</v>
      </c>
      <c r="S176" s="6">
        <v>17</v>
      </c>
      <c r="T176" s="6">
        <v>18</v>
      </c>
      <c r="U176" s="6">
        <v>19</v>
      </c>
      <c r="V176" s="6">
        <v>20</v>
      </c>
    </row>
    <row r="177" spans="1:23" x14ac:dyDescent="0.25">
      <c r="A177" s="7"/>
      <c r="B177" s="41"/>
      <c r="C177" s="41"/>
      <c r="D177" s="41"/>
      <c r="E177" s="41"/>
      <c r="F177" s="41"/>
      <c r="G177" s="41"/>
      <c r="H177" s="41"/>
      <c r="I177" s="41"/>
      <c r="J177" s="41"/>
      <c r="K177" s="41"/>
      <c r="L177" s="41"/>
      <c r="M177" s="41"/>
      <c r="N177" s="41"/>
      <c r="O177" s="41"/>
      <c r="P177" s="41"/>
      <c r="Q177" s="41"/>
      <c r="R177" s="41"/>
      <c r="S177" s="41"/>
      <c r="T177" s="41"/>
      <c r="U177" s="41"/>
      <c r="V177" s="41"/>
    </row>
    <row r="178" spans="1:23" x14ac:dyDescent="0.25">
      <c r="A178" s="7"/>
      <c r="B178" s="42"/>
      <c r="C178" s="41"/>
      <c r="D178" s="41"/>
      <c r="E178" s="41"/>
      <c r="F178" s="41"/>
      <c r="G178" s="41"/>
      <c r="H178" s="41"/>
      <c r="I178" s="41"/>
      <c r="J178" s="41"/>
      <c r="K178" s="41"/>
      <c r="L178" s="41"/>
      <c r="M178" s="41"/>
      <c r="N178" s="41"/>
      <c r="O178" s="41"/>
      <c r="P178" s="41"/>
      <c r="Q178" s="41"/>
      <c r="R178" s="41"/>
      <c r="S178" s="41"/>
      <c r="T178" s="41"/>
      <c r="U178" s="41"/>
      <c r="V178" s="41"/>
    </row>
    <row r="179" spans="1:23" ht="15.75" thickBot="1" x14ac:dyDescent="0.3">
      <c r="A179" s="7" t="s">
        <v>4</v>
      </c>
      <c r="B179" s="55">
        <f>ROUND(SUM(B177:B178),0)</f>
        <v>0</v>
      </c>
      <c r="C179" s="55">
        <f t="shared" ref="C179" si="222">ROUND(SUM(C177:C178),0)</f>
        <v>0</v>
      </c>
      <c r="D179" s="55">
        <f t="shared" ref="D179" si="223">ROUND(SUM(D177:D178),0)</f>
        <v>0</v>
      </c>
      <c r="E179" s="55">
        <f t="shared" ref="E179" si="224">ROUND(SUM(E177:E178),0)</f>
        <v>0</v>
      </c>
      <c r="F179" s="55">
        <f t="shared" ref="F179" si="225">ROUND(SUM(F177:F178),0)</f>
        <v>0</v>
      </c>
      <c r="G179" s="55">
        <f t="shared" ref="G179" si="226">ROUND(SUM(G177:G178),0)</f>
        <v>0</v>
      </c>
      <c r="H179" s="55">
        <f t="shared" ref="H179" si="227">ROUND(SUM(H177:H178),0)</f>
        <v>0</v>
      </c>
      <c r="I179" s="55">
        <f t="shared" ref="I179" si="228">ROUND(SUM(I177:I178),0)</f>
        <v>0</v>
      </c>
      <c r="J179" s="55">
        <f t="shared" ref="J179" si="229">ROUND(SUM(J177:J178),0)</f>
        <v>0</v>
      </c>
      <c r="K179" s="55">
        <f t="shared" ref="K179" si="230">ROUND(SUM(K177:K178),0)</f>
        <v>0</v>
      </c>
      <c r="L179" s="55">
        <f t="shared" ref="L179" si="231">ROUND(SUM(L177:L178),0)</f>
        <v>0</v>
      </c>
      <c r="M179" s="55">
        <f t="shared" ref="M179" si="232">ROUND(SUM(M177:M178),0)</f>
        <v>0</v>
      </c>
      <c r="N179" s="55">
        <f t="shared" ref="N179" si="233">ROUND(SUM(N177:N178),0)</f>
        <v>0</v>
      </c>
      <c r="O179" s="55">
        <f t="shared" ref="O179" si="234">ROUND(SUM(O177:O178),0)</f>
        <v>0</v>
      </c>
      <c r="P179" s="55">
        <f t="shared" ref="P179" si="235">ROUND(SUM(P177:P178),0)</f>
        <v>0</v>
      </c>
      <c r="Q179" s="55">
        <f t="shared" ref="Q179" si="236">ROUND(SUM(Q177:Q178),0)</f>
        <v>0</v>
      </c>
      <c r="R179" s="55">
        <f t="shared" ref="R179" si="237">ROUND(SUM(R177:R178),0)</f>
        <v>0</v>
      </c>
      <c r="S179" s="55">
        <f t="shared" ref="S179" si="238">ROUND(SUM(S177:S178),0)</f>
        <v>0</v>
      </c>
      <c r="T179" s="55">
        <f t="shared" ref="T179" si="239">ROUND(SUM(T177:T178),0)</f>
        <v>0</v>
      </c>
      <c r="U179" s="55">
        <f t="shared" ref="U179" si="240">ROUND(SUM(U177:U178),0)</f>
        <v>0</v>
      </c>
      <c r="V179" s="55">
        <f t="shared" ref="V179" si="241">ROUND(SUM(V177:V178),0)</f>
        <v>0</v>
      </c>
    </row>
    <row r="180" spans="1:23" ht="15.75" thickTop="1" x14ac:dyDescent="0.25"/>
    <row r="184" spans="1:23" x14ac:dyDescent="0.25">
      <c r="A184" t="s">
        <v>47</v>
      </c>
      <c r="B184" s="44"/>
      <c r="E184" s="113" t="b">
        <v>0</v>
      </c>
      <c r="F184" t="s">
        <v>300</v>
      </c>
    </row>
    <row r="185" spans="1:23" x14ac:dyDescent="0.25">
      <c r="B185" s="45"/>
      <c r="C185" s="43"/>
    </row>
    <row r="186" spans="1:23" x14ac:dyDescent="0.25">
      <c r="A186" t="s">
        <v>43</v>
      </c>
      <c r="B186" s="46"/>
      <c r="C186" t="s">
        <v>5</v>
      </c>
    </row>
    <row r="188" spans="1:23" x14ac:dyDescent="0.25">
      <c r="B188" s="114" t="str">
        <f>"End of "&amp; One_Period_l &amp;" Year"</f>
        <v>End of  Year</v>
      </c>
      <c r="C188" s="114"/>
      <c r="D188" s="114"/>
      <c r="E188" s="114"/>
      <c r="F188" s="114"/>
      <c r="G188" s="114"/>
      <c r="H188" s="114"/>
      <c r="I188" s="114"/>
      <c r="J188" s="114"/>
      <c r="K188" s="114"/>
      <c r="L188" s="114"/>
      <c r="M188" s="114"/>
      <c r="N188" s="114"/>
      <c r="O188" s="114"/>
      <c r="P188" s="114"/>
      <c r="Q188" s="114"/>
      <c r="R188" s="114"/>
      <c r="S188" s="114"/>
      <c r="T188" s="114"/>
      <c r="U188" s="114"/>
      <c r="V188" s="114"/>
    </row>
    <row r="189" spans="1:23" ht="15.75" thickBot="1" x14ac:dyDescent="0.3">
      <c r="B189" s="6">
        <v>0</v>
      </c>
      <c r="C189" s="6">
        <v>1</v>
      </c>
      <c r="D189" s="6">
        <v>2</v>
      </c>
      <c r="E189" s="6">
        <v>3</v>
      </c>
      <c r="F189" s="6">
        <v>4</v>
      </c>
      <c r="G189" s="6">
        <v>5</v>
      </c>
      <c r="H189" s="6">
        <v>6</v>
      </c>
      <c r="I189" s="6">
        <v>7</v>
      </c>
      <c r="J189" s="6">
        <v>8</v>
      </c>
      <c r="K189" s="6">
        <v>9</v>
      </c>
      <c r="L189" s="6">
        <v>10</v>
      </c>
      <c r="M189" s="6">
        <v>11</v>
      </c>
      <c r="N189" s="6">
        <v>12</v>
      </c>
      <c r="O189" s="6">
        <v>13</v>
      </c>
      <c r="P189" s="6">
        <v>14</v>
      </c>
      <c r="Q189" s="6">
        <v>15</v>
      </c>
      <c r="R189" s="6">
        <v>16</v>
      </c>
      <c r="S189" s="6">
        <v>17</v>
      </c>
      <c r="T189" s="6">
        <v>18</v>
      </c>
      <c r="U189" s="6">
        <v>19</v>
      </c>
      <c r="V189" s="6">
        <v>20</v>
      </c>
      <c r="W189" s="40" t="s">
        <v>51</v>
      </c>
    </row>
    <row r="190" spans="1:23" x14ac:dyDescent="0.25">
      <c r="A190" s="7"/>
      <c r="B190" s="41"/>
      <c r="C190" s="41"/>
      <c r="D190" s="41"/>
      <c r="E190" s="41"/>
      <c r="F190" s="41"/>
      <c r="G190" s="41"/>
      <c r="H190" s="41"/>
      <c r="I190" s="41"/>
      <c r="J190" s="41"/>
      <c r="K190" s="41"/>
      <c r="L190" s="41"/>
      <c r="M190" s="41"/>
      <c r="N190" s="41"/>
      <c r="O190" s="41"/>
      <c r="P190" s="41"/>
      <c r="Q190" s="41"/>
      <c r="R190" s="41"/>
      <c r="S190" s="41"/>
      <c r="T190" s="41"/>
      <c r="U190" s="41"/>
      <c r="V190" s="41"/>
    </row>
    <row r="191" spans="1:23" x14ac:dyDescent="0.25">
      <c r="A191" s="7"/>
      <c r="B191" s="42"/>
      <c r="C191" s="41"/>
      <c r="D191" s="41"/>
      <c r="E191" s="41"/>
      <c r="F191" s="41"/>
      <c r="G191" s="41"/>
      <c r="H191" s="41"/>
      <c r="I191" s="41"/>
      <c r="J191" s="41"/>
      <c r="K191" s="41"/>
      <c r="L191" s="41"/>
      <c r="M191" s="41"/>
      <c r="N191" s="41"/>
      <c r="O191" s="41"/>
      <c r="P191" s="41"/>
      <c r="Q191" s="41"/>
      <c r="R191" s="41"/>
      <c r="S191" s="41"/>
      <c r="T191" s="41"/>
      <c r="U191" s="41"/>
      <c r="V191" s="41"/>
    </row>
    <row r="192" spans="1:23" ht="15.75" thickBot="1" x14ac:dyDescent="0.3">
      <c r="A192" s="7" t="s">
        <v>4</v>
      </c>
      <c r="B192" s="55">
        <f>ROUND(SUM(B190:B191),0)</f>
        <v>0</v>
      </c>
      <c r="C192" s="55">
        <f t="shared" ref="C192" si="242">ROUND(SUM(C190:C191),0)</f>
        <v>0</v>
      </c>
      <c r="D192" s="55">
        <f t="shared" ref="D192" si="243">ROUND(SUM(D190:D191),0)</f>
        <v>0</v>
      </c>
      <c r="E192" s="55">
        <f t="shared" ref="E192" si="244">ROUND(SUM(E190:E191),0)</f>
        <v>0</v>
      </c>
      <c r="F192" s="55">
        <f t="shared" ref="F192" si="245">ROUND(SUM(F190:F191),0)</f>
        <v>0</v>
      </c>
      <c r="G192" s="55">
        <f t="shared" ref="G192" si="246">ROUND(SUM(G190:G191),0)</f>
        <v>0</v>
      </c>
      <c r="H192" s="55">
        <f t="shared" ref="H192" si="247">ROUND(SUM(H190:H191),0)</f>
        <v>0</v>
      </c>
      <c r="I192" s="55">
        <f t="shared" ref="I192" si="248">ROUND(SUM(I190:I191),0)</f>
        <v>0</v>
      </c>
      <c r="J192" s="55">
        <f t="shared" ref="J192" si="249">ROUND(SUM(J190:J191),0)</f>
        <v>0</v>
      </c>
      <c r="K192" s="55">
        <f t="shared" ref="K192" si="250">ROUND(SUM(K190:K191),0)</f>
        <v>0</v>
      </c>
      <c r="L192" s="55">
        <f t="shared" ref="L192" si="251">ROUND(SUM(L190:L191),0)</f>
        <v>0</v>
      </c>
      <c r="M192" s="55">
        <f t="shared" ref="M192" si="252">ROUND(SUM(M190:M191),0)</f>
        <v>0</v>
      </c>
      <c r="N192" s="55">
        <f t="shared" ref="N192" si="253">ROUND(SUM(N190:N191),0)</f>
        <v>0</v>
      </c>
      <c r="O192" s="55">
        <f t="shared" ref="O192" si="254">ROUND(SUM(O190:O191),0)</f>
        <v>0</v>
      </c>
      <c r="P192" s="55">
        <f t="shared" ref="P192" si="255">ROUND(SUM(P190:P191),0)</f>
        <v>0</v>
      </c>
      <c r="Q192" s="55">
        <f t="shared" ref="Q192" si="256">ROUND(SUM(Q190:Q191),0)</f>
        <v>0</v>
      </c>
      <c r="R192" s="55">
        <f t="shared" ref="R192" si="257">ROUND(SUM(R190:R191),0)</f>
        <v>0</v>
      </c>
      <c r="S192" s="55">
        <f t="shared" ref="S192" si="258">ROUND(SUM(S190:S191),0)</f>
        <v>0</v>
      </c>
      <c r="T192" s="55">
        <f t="shared" ref="T192" si="259">ROUND(SUM(T190:T191),0)</f>
        <v>0</v>
      </c>
      <c r="U192" s="55">
        <f t="shared" ref="U192" si="260">ROUND(SUM(U190:U191),0)</f>
        <v>0</v>
      </c>
      <c r="V192" s="55">
        <f t="shared" ref="V192" si="261">ROUND(SUM(V190:V191),0)</f>
        <v>0</v>
      </c>
      <c r="W192" s="112"/>
    </row>
    <row r="193" spans="1:23" ht="15.75" thickTop="1" x14ac:dyDescent="0.25"/>
    <row r="197" spans="1:23" x14ac:dyDescent="0.25">
      <c r="A197" t="s">
        <v>49</v>
      </c>
      <c r="B197" s="44"/>
      <c r="E197" s="113" t="b">
        <v>0</v>
      </c>
      <c r="F197" t="s">
        <v>300</v>
      </c>
    </row>
    <row r="198" spans="1:23" x14ac:dyDescent="0.25">
      <c r="B198" s="45"/>
      <c r="C198" s="43"/>
    </row>
    <row r="199" spans="1:23" x14ac:dyDescent="0.25">
      <c r="A199" t="s">
        <v>48</v>
      </c>
      <c r="B199" s="46"/>
      <c r="C199" t="s">
        <v>5</v>
      </c>
    </row>
    <row r="200" spans="1:23" x14ac:dyDescent="0.25">
      <c r="A200" t="s">
        <v>50</v>
      </c>
      <c r="B200" s="111"/>
    </row>
    <row r="201" spans="1:23" x14ac:dyDescent="0.25">
      <c r="B201" s="114" t="str">
        <f>"End of "&amp; One_Period_m &amp;" Year"</f>
        <v>End of  Year</v>
      </c>
      <c r="C201" s="114"/>
      <c r="D201" s="114"/>
      <c r="E201" s="114"/>
      <c r="F201" s="114"/>
      <c r="G201" s="114"/>
      <c r="H201" s="114"/>
      <c r="I201" s="114"/>
      <c r="J201" s="114"/>
      <c r="K201" s="114"/>
      <c r="L201" s="114"/>
      <c r="M201" s="114"/>
      <c r="N201" s="114"/>
      <c r="O201" s="114"/>
      <c r="P201" s="114"/>
      <c r="Q201" s="114"/>
      <c r="R201" s="114"/>
      <c r="S201" s="114"/>
      <c r="T201" s="114"/>
      <c r="U201" s="114"/>
      <c r="V201" s="114"/>
    </row>
    <row r="202" spans="1:23" ht="15.75" thickBot="1" x14ac:dyDescent="0.3">
      <c r="B202" s="6">
        <v>0</v>
      </c>
      <c r="C202" s="6">
        <v>1</v>
      </c>
      <c r="D202" s="6">
        <v>2</v>
      </c>
      <c r="E202" s="6">
        <v>3</v>
      </c>
      <c r="F202" s="6">
        <v>4</v>
      </c>
      <c r="G202" s="6">
        <v>5</v>
      </c>
      <c r="H202" s="6">
        <v>6</v>
      </c>
      <c r="I202" s="6">
        <v>7</v>
      </c>
      <c r="J202" s="6">
        <v>8</v>
      </c>
      <c r="K202" s="6">
        <v>9</v>
      </c>
      <c r="L202" s="6">
        <v>10</v>
      </c>
      <c r="M202" s="6">
        <v>11</v>
      </c>
      <c r="N202" s="6">
        <v>12</v>
      </c>
      <c r="O202" s="6">
        <v>13</v>
      </c>
      <c r="P202" s="6">
        <v>14</v>
      </c>
      <c r="Q202" s="6">
        <v>15</v>
      </c>
      <c r="R202" s="6">
        <v>16</v>
      </c>
      <c r="S202" s="6">
        <v>17</v>
      </c>
      <c r="T202" s="6">
        <v>18</v>
      </c>
      <c r="U202" s="6">
        <v>19</v>
      </c>
      <c r="V202" s="6">
        <v>20</v>
      </c>
      <c r="W202" s="40" t="s">
        <v>51</v>
      </c>
    </row>
    <row r="203" spans="1:23" x14ac:dyDescent="0.25">
      <c r="A203" s="7"/>
      <c r="B203" s="41"/>
      <c r="C203" s="41"/>
      <c r="D203" s="41"/>
      <c r="E203" s="41"/>
      <c r="F203" s="41"/>
      <c r="G203" s="41"/>
      <c r="H203" s="41"/>
      <c r="I203" s="41"/>
      <c r="J203" s="41"/>
      <c r="K203" s="41"/>
      <c r="L203" s="41"/>
      <c r="M203" s="41"/>
      <c r="N203" s="41"/>
      <c r="O203" s="41"/>
      <c r="P203" s="41"/>
      <c r="Q203" s="41"/>
      <c r="R203" s="41"/>
      <c r="S203" s="41"/>
      <c r="T203" s="41"/>
      <c r="U203" s="41"/>
      <c r="V203" s="41"/>
    </row>
    <row r="204" spans="1:23" x14ac:dyDescent="0.25">
      <c r="A204" s="7"/>
      <c r="B204" s="42"/>
      <c r="C204" s="41"/>
      <c r="D204" s="41"/>
      <c r="E204" s="41"/>
      <c r="F204" s="41"/>
      <c r="G204" s="41"/>
      <c r="H204" s="41"/>
      <c r="I204" s="41"/>
      <c r="J204" s="41"/>
      <c r="K204" s="41"/>
      <c r="L204" s="41"/>
      <c r="M204" s="41"/>
      <c r="N204" s="41"/>
      <c r="O204" s="41"/>
      <c r="P204" s="41"/>
      <c r="Q204" s="41"/>
      <c r="R204" s="41"/>
      <c r="S204" s="41"/>
      <c r="T204" s="41"/>
      <c r="U204" s="41"/>
      <c r="V204" s="41"/>
    </row>
    <row r="205" spans="1:23" ht="15.75" thickBot="1" x14ac:dyDescent="0.3">
      <c r="A205" s="7" t="s">
        <v>4</v>
      </c>
      <c r="B205" s="55">
        <f>ROUND(SUM(B203:B204),0)</f>
        <v>0</v>
      </c>
      <c r="C205" s="55">
        <f t="shared" ref="C205" si="262">ROUND(SUM(C203:C204),0)</f>
        <v>0</v>
      </c>
      <c r="D205" s="55">
        <f t="shared" ref="D205" si="263">ROUND(SUM(D203:D204),0)</f>
        <v>0</v>
      </c>
      <c r="E205" s="55">
        <f t="shared" ref="E205" si="264">ROUND(SUM(E203:E204),0)</f>
        <v>0</v>
      </c>
      <c r="F205" s="55">
        <f t="shared" ref="F205" si="265">ROUND(SUM(F203:F204),0)</f>
        <v>0</v>
      </c>
      <c r="G205" s="55">
        <f t="shared" ref="G205" si="266">ROUND(SUM(G203:G204),0)</f>
        <v>0</v>
      </c>
      <c r="H205" s="55">
        <f t="shared" ref="H205" si="267">ROUND(SUM(H203:H204),0)</f>
        <v>0</v>
      </c>
      <c r="I205" s="55">
        <f t="shared" ref="I205" si="268">ROUND(SUM(I203:I204),0)</f>
        <v>0</v>
      </c>
      <c r="J205" s="55">
        <f t="shared" ref="J205" si="269">ROUND(SUM(J203:J204),0)</f>
        <v>0</v>
      </c>
      <c r="K205" s="55">
        <f t="shared" ref="K205" si="270">ROUND(SUM(K203:K204),0)</f>
        <v>0</v>
      </c>
      <c r="L205" s="55">
        <f t="shared" ref="L205" si="271">ROUND(SUM(L203:L204),0)</f>
        <v>0</v>
      </c>
      <c r="M205" s="55">
        <f t="shared" ref="M205" si="272">ROUND(SUM(M203:M204),0)</f>
        <v>0</v>
      </c>
      <c r="N205" s="55">
        <f t="shared" ref="N205" si="273">ROUND(SUM(N203:N204),0)</f>
        <v>0</v>
      </c>
      <c r="O205" s="55">
        <f t="shared" ref="O205" si="274">ROUND(SUM(O203:O204),0)</f>
        <v>0</v>
      </c>
      <c r="P205" s="55">
        <f t="shared" ref="P205" si="275">ROUND(SUM(P203:P204),0)</f>
        <v>0</v>
      </c>
      <c r="Q205" s="55">
        <f t="shared" ref="Q205" si="276">ROUND(SUM(Q203:Q204),0)</f>
        <v>0</v>
      </c>
      <c r="R205" s="55">
        <f t="shared" ref="R205" si="277">ROUND(SUM(R203:R204),0)</f>
        <v>0</v>
      </c>
      <c r="S205" s="55">
        <f t="shared" ref="S205" si="278">ROUND(SUM(S203:S204),0)</f>
        <v>0</v>
      </c>
      <c r="T205" s="55">
        <f t="shared" ref="T205" si="279">ROUND(SUM(T203:T204),0)</f>
        <v>0</v>
      </c>
      <c r="U205" s="55">
        <f t="shared" ref="U205" si="280">ROUND(SUM(U203:U204),0)</f>
        <v>0</v>
      </c>
      <c r="V205" s="55">
        <f t="shared" ref="V205" si="281">ROUND(SUM(V203:V204),0)</f>
        <v>0</v>
      </c>
      <c r="W205" s="44"/>
    </row>
    <row r="206" spans="1:23" ht="15.75" thickTop="1" x14ac:dyDescent="0.25"/>
  </sheetData>
  <sheetProtection algorithmName="SHA-512" hashValue="lZ3i3y+LJSXoHB4EJglWAJzavioUJaC3WTTJcFuwgnN6sFrV1L0yE2F1gCyCIuVZQQubPyHygaQyptVDM/BgZA==" saltValue="iwt69J8vORVbJsn+WrK4rg==" spinCount="100000" sheet="1"/>
  <mergeCells count="15">
    <mergeCell ref="B148:V148"/>
    <mergeCell ref="B161:V161"/>
    <mergeCell ref="B175:V175"/>
    <mergeCell ref="B188:V188"/>
    <mergeCell ref="B201:V201"/>
    <mergeCell ref="B13:V13"/>
    <mergeCell ref="B28:V28"/>
    <mergeCell ref="B44:V44"/>
    <mergeCell ref="B57:V57"/>
    <mergeCell ref="B70:V70"/>
    <mergeCell ref="B96:V96"/>
    <mergeCell ref="B109:V109"/>
    <mergeCell ref="B122:V122"/>
    <mergeCell ref="B135:V135"/>
    <mergeCell ref="B83:V83"/>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7" id="{0153DA75-67D4-4324-8C1F-BC7E626DBF3C}">
            <xm:f>AND($E$40,OR(AND((OR(ROUND('1Ans'!B40,1)=0,'1Ans'!B40="")),NOT(OR(ROUND(B40,1)=0,B40=""))),AND(ROUND('1Ans'!B40,2)&lt;&gt;0,ROUND(B40,2)&lt;&gt;ROUND('1Ans'!B40,2))))</xm:f>
            <x14:dxf>
              <fill>
                <patternFill>
                  <bgColor rgb="FFFFFF00"/>
                </patternFill>
              </fill>
            </x14:dxf>
          </x14:cfRule>
          <xm:sqref>B40:B42 C41 B46:V47 U48 W192</xm:sqref>
        </x14:conditionalFormatting>
        <x14:conditionalFormatting xmlns:xm="http://schemas.microsoft.com/office/excel/2006/main">
          <x14:cfRule type="expression" priority="16" id="{9A3F9648-E213-4004-B541-D6378BEE6559}">
            <xm:f>AND($E$53,OR(AND((OR(ROUND('1Ans'!B53,1)=0,'1Ans'!B53="")),NOT(OR(ROUND(B53,1)=0,B53=""))),AND(ROUND('1Ans'!B53,2)&lt;&gt;0,ROUND(B53,2)&lt;&gt;ROUND('1Ans'!B53,2))))</xm:f>
            <x14:dxf>
              <fill>
                <patternFill>
                  <bgColor rgb="FFFFFF00"/>
                </patternFill>
              </fill>
            </x14:dxf>
          </x14:cfRule>
          <xm:sqref>B53:B55 C54 B59:V60</xm:sqref>
        </x14:conditionalFormatting>
        <x14:conditionalFormatting xmlns:xm="http://schemas.microsoft.com/office/excel/2006/main">
          <x14:cfRule type="expression" priority="15" id="{1598F98E-1B5A-4EC6-BD7D-211310BF2D5E}">
            <xm:f>AND($E$66,OR(AND((OR(ROUND('1Ans'!B66,1)=0,'1Ans'!B66="")),NOT(OR(ROUND(B66,1)=0,B66=""))),AND(ROUND('1Ans'!B66,2)&lt;&gt;0,ROUND(B66,2)&lt;&gt;ROUND('1Ans'!B66,2))))</xm:f>
            <x14:dxf>
              <fill>
                <patternFill>
                  <bgColor rgb="FFFFFF00"/>
                </patternFill>
              </fill>
            </x14:dxf>
          </x14:cfRule>
          <xm:sqref>B66:B68 C67 B72:V73</xm:sqref>
        </x14:conditionalFormatting>
        <x14:conditionalFormatting xmlns:xm="http://schemas.microsoft.com/office/excel/2006/main">
          <x14:cfRule type="expression" priority="14" id="{BE7AEBA9-B6BF-4487-8DD8-67EEEDF58E45}">
            <xm:f>AND($E$79,OR(AND((OR(ROUND('1Ans'!B79,1)=0,'1Ans'!B79="")),NOT(OR(ROUND(B79,1)=0,B79=""))),AND(ROUND('1Ans'!B79,2)&lt;&gt;0,ROUND(B79,2)&lt;&gt;ROUND('1Ans'!B79,2))))</xm:f>
            <x14:dxf>
              <fill>
                <patternFill>
                  <bgColor rgb="FFFFFF00"/>
                </patternFill>
              </fill>
            </x14:dxf>
          </x14:cfRule>
          <xm:sqref>B79:B81 C80 B85:V86</xm:sqref>
        </x14:conditionalFormatting>
        <x14:conditionalFormatting xmlns:xm="http://schemas.microsoft.com/office/excel/2006/main">
          <x14:cfRule type="expression" priority="13" id="{7D02DFD3-7F65-4E52-B593-2525039EEFE7}">
            <xm:f>AND($E$92,OR(AND((OR(ROUND('1Ans'!B92,1)=0,'1Ans'!B92="")),NOT(OR(ROUND(B92,1)=0,B92=""))),AND(ROUND('1Ans'!B92,2)&lt;&gt;0,ROUND(B92,2)&lt;&gt;ROUND('1Ans'!B92,2))))</xm:f>
            <x14:dxf>
              <fill>
                <patternFill>
                  <bgColor rgb="FFFFFF00"/>
                </patternFill>
              </fill>
            </x14:dxf>
          </x14:cfRule>
          <xm:sqref>B92:B94 C93 B98:V99</xm:sqref>
        </x14:conditionalFormatting>
        <x14:conditionalFormatting xmlns:xm="http://schemas.microsoft.com/office/excel/2006/main">
          <x14:cfRule type="expression" priority="12" id="{8CB00AC6-958F-4396-A0CA-E01AABD41AFF}">
            <xm:f>AND($E$105,OR(AND((OR(ROUND('1Ans'!B105,1)=0,'1Ans'!B105="")),NOT(OR(ROUND(B105,1)=0,B105=""))),AND(ROUND('1Ans'!B105,2)&lt;&gt;0,ROUND(B105,2)&lt;&gt;ROUND('1Ans'!B105,2))))</xm:f>
            <x14:dxf>
              <fill>
                <patternFill>
                  <bgColor rgb="FFFFFF00"/>
                </patternFill>
              </fill>
            </x14:dxf>
          </x14:cfRule>
          <xm:sqref>B105:B107 C106 B111:V112</xm:sqref>
        </x14:conditionalFormatting>
        <x14:conditionalFormatting xmlns:xm="http://schemas.microsoft.com/office/excel/2006/main">
          <x14:cfRule type="expression" priority="11" id="{A636A8A0-AC3F-4B08-9301-AD67B56BE205}">
            <xm:f>AND($E$118,OR(AND((OR(ROUND('1Ans'!B118,1)=0,'1Ans'!B118="")),NOT(OR(ROUND(B118,1)=0,B118=""))),AND(ROUND('1Ans'!B118,2)&lt;&gt;0,ROUND(B118,2)&lt;&gt;ROUND('1Ans'!B118,2))))</xm:f>
            <x14:dxf>
              <fill>
                <patternFill>
                  <bgColor rgb="FFFFFF00"/>
                </patternFill>
              </fill>
            </x14:dxf>
          </x14:cfRule>
          <xm:sqref>B118:B120 C119 B124:V125</xm:sqref>
        </x14:conditionalFormatting>
        <x14:conditionalFormatting xmlns:xm="http://schemas.microsoft.com/office/excel/2006/main">
          <x14:cfRule type="expression" priority="10" id="{C5D03F99-4E5E-4360-A3B2-7CB2CB64114D}">
            <xm:f>AND($E$131,OR(AND((OR(ROUND('1Ans'!B131,1)=0,'1Ans'!B131="")),NOT(OR(ROUND(B131,1)=0,B131=""))),AND(ROUND('1Ans'!B131,2)&lt;&gt;0,ROUND(B131,2)&lt;&gt;ROUND('1Ans'!B131,2))))</xm:f>
            <x14:dxf>
              <fill>
                <patternFill>
                  <bgColor rgb="FFFFFF00"/>
                </patternFill>
              </fill>
            </x14:dxf>
          </x14:cfRule>
          <xm:sqref>B131:B133 C132 B137:V138</xm:sqref>
        </x14:conditionalFormatting>
        <x14:conditionalFormatting xmlns:xm="http://schemas.microsoft.com/office/excel/2006/main">
          <x14:cfRule type="expression" priority="9" id="{9CD89C41-4D52-441D-AF78-EF6351DC7089}">
            <xm:f>AND($E$144,OR(AND((OR(ROUND('1Ans'!B144,1)=0,'1Ans'!B144="")),NOT(OR(ROUND(B144,1)=0,B144=""))),AND(ROUND('1Ans'!B144,2)&lt;&gt;0,ROUND(B144,2)&lt;&gt;ROUND('1Ans'!B144,2))))</xm:f>
            <x14:dxf>
              <fill>
                <patternFill>
                  <bgColor rgb="FFFFFF00"/>
                </patternFill>
              </fill>
            </x14:dxf>
          </x14:cfRule>
          <xm:sqref>B144:B146 C145 B150:V151</xm:sqref>
        </x14:conditionalFormatting>
        <x14:conditionalFormatting xmlns:xm="http://schemas.microsoft.com/office/excel/2006/main">
          <x14:cfRule type="expression" priority="8" id="{1153D9A4-B0FE-4A51-9DA2-D7EB8A4629A8}">
            <xm:f>AND($E$157,OR(AND((OR(ROUND('1Ans'!B157,1)=0,'1Ans'!B157="")),NOT(OR(ROUND(B157,1)=0,B157=""))),AND(ROUND('1Ans'!B157,2)&lt;&gt;0,ROUND(B157,2)&lt;&gt;ROUND('1Ans'!B157,2))))</xm:f>
            <x14:dxf>
              <fill>
                <patternFill>
                  <bgColor rgb="FFFFFF00"/>
                </patternFill>
              </fill>
            </x14:dxf>
          </x14:cfRule>
          <xm:sqref>B157:B159 C158 B163:V164</xm:sqref>
        </x14:conditionalFormatting>
        <x14:conditionalFormatting xmlns:xm="http://schemas.microsoft.com/office/excel/2006/main">
          <x14:cfRule type="expression" priority="7" id="{CE445360-BA2C-4DFA-A315-33AC6932DBE1}">
            <xm:f>AND($E$171,OR(AND((OR(ROUND('1Ans'!B171,1)=0,'1Ans'!B171="")),NOT(OR(ROUND(B171,1)=0,B171=""))),AND(ROUND('1Ans'!B171,2)&lt;&gt;0,ROUND(B171,2)&lt;&gt;ROUND('1Ans'!B171,2))))</xm:f>
            <x14:dxf>
              <fill>
                <patternFill>
                  <bgColor rgb="FFFFFF00"/>
                </patternFill>
              </fill>
            </x14:dxf>
          </x14:cfRule>
          <xm:sqref>B171:B173 C172 B177:V178</xm:sqref>
        </x14:conditionalFormatting>
        <x14:conditionalFormatting xmlns:xm="http://schemas.microsoft.com/office/excel/2006/main">
          <x14:cfRule type="expression" priority="6" id="{2A60A12A-7826-4655-B948-5671BF9E555C}">
            <xm:f>AND($E$184,OR(AND((OR(ROUND('1Ans'!B184,1)=0,'1Ans'!B184="")),NOT(OR(ROUND(B184,1)=0,B184=""))),AND(ROUND('1Ans'!B184,2)&lt;&gt;0,ROUND(B184,2)&lt;&gt;ROUND('1Ans'!B184,2))))</xm:f>
            <x14:dxf>
              <fill>
                <patternFill>
                  <bgColor rgb="FFFFFF00"/>
                </patternFill>
              </fill>
            </x14:dxf>
          </x14:cfRule>
          <xm:sqref>B184:B186 C185 B190:V191</xm:sqref>
        </x14:conditionalFormatting>
        <x14:conditionalFormatting xmlns:xm="http://schemas.microsoft.com/office/excel/2006/main">
          <x14:cfRule type="expression" priority="4" id="{CB2C7A61-41CF-4A5A-B0DD-BC5AA20F41A3}">
            <xm:f>AND($E$197,OR(AND((OR(ROUND('1Ans'!B197,1)=0,'1Ans'!B197="")),NOT(OR(ROUND(B197,1)=0,B197=""))),AND(ROUND('1Ans'!B197,2)&lt;&gt;0,ROUND(B197,2)&lt;&gt;ROUND('1Ans'!B197,2))))</xm:f>
            <x14:dxf>
              <fill>
                <patternFill>
                  <bgColor rgb="FFFFFF00"/>
                </patternFill>
              </fill>
            </x14:dxf>
          </x14:cfRule>
          <xm:sqref>B197:B200 C198 B203:V204 W205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1A7DBE0-11B5-4722-BEA1-62F27AA30751}">
          <x14:formula1>
            <xm:f>'Names Choices Etc'!$A$1:$A$6</xm:f>
          </x14:formula1>
          <xm:sqref>C25 C41 C54 C67 C80 C93 C106 C119 C132 C145 C158 C172 C10 C198 C185</xm:sqref>
        </x14:dataValidation>
        <x14:dataValidation type="list" allowBlank="1" showInputMessage="1" showErrorMessage="1" xr:uid="{2CFA9789-B556-49DB-A566-B9BF8EA47B3C}">
          <x14:formula1>
            <xm:f>'Names Choices Etc'!$B$1:$B$6</xm:f>
          </x14:formula1>
          <xm:sqref>B11 B26 B42 B55 B68 B81 B94 B107 B120 B133 B146 B159 B173 B186 B199</xm:sqref>
        </x14:dataValidation>
        <x14:dataValidation type="list" allowBlank="1" showInputMessage="1" showErrorMessage="1" xr:uid="{9A5E3C83-0657-4AA7-B26A-122DC25986B6}">
          <x14:formula1>
            <xm:f>'Names Choices Etc'!$D$1:$D$2</xm:f>
          </x14:formula1>
          <xm:sqref>W205 W139 W192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7:G32"/>
  <sheetViews>
    <sheetView workbookViewId="0">
      <selection activeCell="H35" sqref="H35"/>
    </sheetView>
  </sheetViews>
  <sheetFormatPr defaultColWidth="8.85546875" defaultRowHeight="15" x14ac:dyDescent="0.25"/>
  <cols>
    <col min="1" max="1" width="28" bestFit="1" customWidth="1"/>
    <col min="2" max="3" width="12.42578125" bestFit="1" customWidth="1"/>
    <col min="4" max="4" width="20" bestFit="1" customWidth="1"/>
    <col min="5" max="5" width="24.85546875" bestFit="1" customWidth="1"/>
    <col min="7" max="7" width="10.5703125" bestFit="1" customWidth="1"/>
  </cols>
  <sheetData>
    <row r="7" spans="1:7" x14ac:dyDescent="0.25">
      <c r="A7" t="s">
        <v>54</v>
      </c>
      <c r="B7" s="8">
        <v>1000</v>
      </c>
      <c r="E7" s="113" t="b">
        <v>0</v>
      </c>
      <c r="F7" t="s">
        <v>300</v>
      </c>
    </row>
    <row r="8" spans="1:7" x14ac:dyDescent="0.25">
      <c r="A8" t="s">
        <v>55</v>
      </c>
      <c r="B8" s="9">
        <v>0.06</v>
      </c>
    </row>
    <row r="9" spans="1:7" x14ac:dyDescent="0.25">
      <c r="A9" t="s">
        <v>56</v>
      </c>
      <c r="B9" s="7">
        <f>1/52</f>
        <v>1.9230769230769232E-2</v>
      </c>
      <c r="C9" t="s">
        <v>5</v>
      </c>
      <c r="G9" s="7"/>
    </row>
    <row r="11" spans="1:7" x14ac:dyDescent="0.25">
      <c r="A11" t="s">
        <v>53</v>
      </c>
      <c r="B11" s="57">
        <f>P2_Amount_Ex1*((1+P2_Interest_Rate_Ex1*(P2_Compounding_Period_Ex1))^(8/P2_Compounding_Period_Ex1))</f>
        <v>1615.6272797163144</v>
      </c>
      <c r="G11" s="105"/>
    </row>
    <row r="16" spans="1:7" ht="15.75" thickBot="1" x14ac:dyDescent="0.3">
      <c r="B16" s="6" t="s">
        <v>57</v>
      </c>
      <c r="C16" s="6" t="s">
        <v>58</v>
      </c>
      <c r="D16" s="6" t="s">
        <v>59</v>
      </c>
      <c r="E16" s="6" t="s">
        <v>60</v>
      </c>
    </row>
    <row r="17" spans="2:7" x14ac:dyDescent="0.25">
      <c r="B17" s="3">
        <v>1000</v>
      </c>
      <c r="C17" s="4">
        <v>0.04</v>
      </c>
      <c r="D17" s="5" t="s">
        <v>61</v>
      </c>
      <c r="E17" s="58"/>
      <c r="G17" s="106"/>
    </row>
    <row r="18" spans="2:7" x14ac:dyDescent="0.25">
      <c r="B18" s="3">
        <v>1000</v>
      </c>
      <c r="C18" s="4">
        <v>0.04</v>
      </c>
      <c r="D18" s="5" t="s">
        <v>62</v>
      </c>
      <c r="E18" s="58"/>
      <c r="G18" s="106"/>
    </row>
    <row r="19" spans="2:7" x14ac:dyDescent="0.25">
      <c r="B19" s="3">
        <v>1000</v>
      </c>
      <c r="C19" s="4">
        <v>0.04</v>
      </c>
      <c r="D19" s="5" t="s">
        <v>64</v>
      </c>
      <c r="E19" s="58"/>
      <c r="G19" s="106"/>
    </row>
    <row r="20" spans="2:7" x14ac:dyDescent="0.25">
      <c r="B20" s="3">
        <v>1000</v>
      </c>
      <c r="C20" s="4">
        <v>0.04</v>
      </c>
      <c r="D20" s="5" t="s">
        <v>63</v>
      </c>
      <c r="E20" s="58"/>
      <c r="G20" s="106"/>
    </row>
    <row r="21" spans="2:7" x14ac:dyDescent="0.25">
      <c r="B21" s="3">
        <v>1000</v>
      </c>
      <c r="C21" s="4">
        <v>7.0000000000000007E-2</v>
      </c>
      <c r="D21" s="5" t="s">
        <v>61</v>
      </c>
      <c r="E21" s="58"/>
      <c r="G21" s="106"/>
    </row>
    <row r="22" spans="2:7" x14ac:dyDescent="0.25">
      <c r="B22" s="3">
        <v>1000</v>
      </c>
      <c r="C22" s="4">
        <v>7.0000000000000007E-2</v>
      </c>
      <c r="D22" s="5" t="s">
        <v>62</v>
      </c>
      <c r="E22" s="58"/>
      <c r="G22" s="106"/>
    </row>
    <row r="23" spans="2:7" x14ac:dyDescent="0.25">
      <c r="B23" s="3">
        <v>1000</v>
      </c>
      <c r="C23" s="4">
        <v>7.0000000000000007E-2</v>
      </c>
      <c r="D23" s="5" t="s">
        <v>64</v>
      </c>
      <c r="E23" s="58"/>
      <c r="G23" s="106"/>
    </row>
    <row r="24" spans="2:7" x14ac:dyDescent="0.25">
      <c r="B24" s="3">
        <v>1000</v>
      </c>
      <c r="C24" s="4">
        <v>7.0000000000000007E-2</v>
      </c>
      <c r="D24" s="5" t="s">
        <v>63</v>
      </c>
      <c r="E24" s="58"/>
      <c r="G24" s="106"/>
    </row>
    <row r="25" spans="2:7" x14ac:dyDescent="0.25">
      <c r="B25" s="3">
        <v>1000</v>
      </c>
      <c r="C25" s="4">
        <v>0.15</v>
      </c>
      <c r="D25" s="5" t="s">
        <v>61</v>
      </c>
      <c r="E25" s="58"/>
      <c r="G25" s="106"/>
    </row>
    <row r="26" spans="2:7" x14ac:dyDescent="0.25">
      <c r="B26" s="3">
        <v>1000</v>
      </c>
      <c r="C26" s="4">
        <v>0.15</v>
      </c>
      <c r="D26" s="5" t="s">
        <v>62</v>
      </c>
      <c r="E26" s="58"/>
      <c r="G26" s="106"/>
    </row>
    <row r="27" spans="2:7" x14ac:dyDescent="0.25">
      <c r="B27" s="3">
        <v>1000</v>
      </c>
      <c r="C27" s="4">
        <v>0.15</v>
      </c>
      <c r="D27" s="5" t="s">
        <v>64</v>
      </c>
      <c r="E27" s="58"/>
      <c r="G27" s="106"/>
    </row>
    <row r="28" spans="2:7" x14ac:dyDescent="0.25">
      <c r="B28" s="3">
        <v>1000</v>
      </c>
      <c r="C28" s="4">
        <v>0.15</v>
      </c>
      <c r="D28" s="5" t="s">
        <v>63</v>
      </c>
      <c r="E28" s="58"/>
      <c r="G28" s="106"/>
    </row>
    <row r="29" spans="2:7" x14ac:dyDescent="0.25">
      <c r="B29" s="3">
        <v>1000</v>
      </c>
      <c r="C29" s="4">
        <v>0.25</v>
      </c>
      <c r="D29" s="5" t="s">
        <v>61</v>
      </c>
      <c r="E29" s="58"/>
      <c r="G29" s="106"/>
    </row>
    <row r="30" spans="2:7" x14ac:dyDescent="0.25">
      <c r="B30" s="3">
        <v>1000</v>
      </c>
      <c r="C30" s="4">
        <v>0.25</v>
      </c>
      <c r="D30" s="5" t="s">
        <v>62</v>
      </c>
      <c r="E30" s="58"/>
      <c r="G30" s="106"/>
    </row>
    <row r="31" spans="2:7" x14ac:dyDescent="0.25">
      <c r="B31" s="3">
        <v>1000</v>
      </c>
      <c r="C31" s="4">
        <v>0.25</v>
      </c>
      <c r="D31" s="5" t="s">
        <v>64</v>
      </c>
      <c r="E31" s="58"/>
      <c r="G31" s="106"/>
    </row>
    <row r="32" spans="2:7" x14ac:dyDescent="0.25">
      <c r="B32" s="3">
        <v>1000</v>
      </c>
      <c r="C32" s="4">
        <v>0.25</v>
      </c>
      <c r="D32" s="5" t="s">
        <v>63</v>
      </c>
      <c r="E32" s="58"/>
      <c r="G32" s="106"/>
    </row>
  </sheetData>
  <sheetProtection algorithmName="SHA-512" hashValue="+Fd629qPmEtEhnoe7e0dghjyhn/BDdju45r955M1Bn7dcvpNbGDcGoT1CmJk9UV8vp5e9n5R/ILpsVNnUrDz1A==" saltValue="1E+pJB09G3xWL9RH39ubKQ==" spinCount="100000" sheet="1" objects="1" scenarios="1"/>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A7462390-6F38-47C3-8110-7C5FC8A2DC47}">
            <xm:f>AND($E$7,OR(AND((OR(ROUND('2Ans'!E17,1)=0,'2Ans'!E17="")),NOT(OR(ROUND(E17,1)=0,E17=""))),AND(ROUND('2Ans'!E17,2)&lt;&gt;0,ROUND(E17,2)&lt;&gt;ROUND('2Ans'!E17,2))))</xm:f>
            <x14:dxf>
              <fill>
                <patternFill>
                  <bgColor rgb="FFFFFF00"/>
                </patternFill>
              </fill>
            </x14:dxf>
          </x14:cfRule>
          <xm:sqref>E17:E32</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7:H38"/>
  <sheetViews>
    <sheetView workbookViewId="0">
      <selection activeCell="J39" sqref="J39"/>
    </sheetView>
  </sheetViews>
  <sheetFormatPr defaultColWidth="8.85546875" defaultRowHeight="15" x14ac:dyDescent="0.25"/>
  <cols>
    <col min="1" max="1" width="27" bestFit="1" customWidth="1"/>
    <col min="2" max="2" width="10.85546875" bestFit="1" customWidth="1"/>
    <col min="3" max="3" width="19.42578125" customWidth="1"/>
    <col min="5" max="5" width="19.28515625" bestFit="1" customWidth="1"/>
    <col min="8" max="8" width="11.42578125" bestFit="1" customWidth="1"/>
  </cols>
  <sheetData>
    <row r="7" spans="1:8" x14ac:dyDescent="0.25">
      <c r="B7" s="8"/>
    </row>
    <row r="8" spans="1:8" x14ac:dyDescent="0.25">
      <c r="A8" t="s">
        <v>70</v>
      </c>
      <c r="B8" s="47">
        <v>10000</v>
      </c>
    </row>
    <row r="9" spans="1:8" x14ac:dyDescent="0.25">
      <c r="A9" t="s">
        <v>71</v>
      </c>
      <c r="B9" s="48">
        <v>0.05</v>
      </c>
    </row>
    <row r="10" spans="1:8" x14ac:dyDescent="0.25">
      <c r="A10" t="s">
        <v>72</v>
      </c>
      <c r="B10" s="49">
        <v>1</v>
      </c>
      <c r="C10" t="s">
        <v>5</v>
      </c>
    </row>
    <row r="12" spans="1:8" ht="15.75" thickBot="1" x14ac:dyDescent="0.3">
      <c r="B12" s="10" t="s">
        <v>1</v>
      </c>
      <c r="C12" s="10" t="s">
        <v>68</v>
      </c>
      <c r="D12" s="5" t="s">
        <v>69</v>
      </c>
      <c r="E12" s="10" t="s">
        <v>68</v>
      </c>
      <c r="H12" s="7"/>
    </row>
    <row r="13" spans="1:8" x14ac:dyDescent="0.25">
      <c r="B13" s="5">
        <v>0</v>
      </c>
      <c r="C13" s="53">
        <f>P3_Amount_Ex*(1+P3_Interest_Rate_Ex)^B13</f>
        <v>10000</v>
      </c>
      <c r="E13" s="53">
        <f>P3_Amount_Ex</f>
        <v>10000</v>
      </c>
      <c r="H13" s="102"/>
    </row>
    <row r="14" spans="1:8" x14ac:dyDescent="0.25">
      <c r="B14" s="5">
        <v>1</v>
      </c>
      <c r="C14" s="53">
        <f>P3_Amount_Ex*(1+P3_Interest_Rate_Ex)^B14</f>
        <v>10500</v>
      </c>
      <c r="E14" s="53">
        <f>E13*(1+P3_Interest_Rate_Ex)</f>
        <v>10500</v>
      </c>
      <c r="H14" s="102"/>
    </row>
    <row r="15" spans="1:8" x14ac:dyDescent="0.25">
      <c r="B15" s="5">
        <v>2</v>
      </c>
      <c r="C15" s="53">
        <f>P3_Amount_Ex*(1+P3_Interest_Rate_Ex)^B15</f>
        <v>11025</v>
      </c>
      <c r="E15" s="53">
        <f>E14*(1+P3_Interest_Rate_Ex)</f>
        <v>11025</v>
      </c>
      <c r="H15" s="102"/>
    </row>
    <row r="16" spans="1:8" x14ac:dyDescent="0.25">
      <c r="B16" s="5">
        <v>3</v>
      </c>
      <c r="C16" s="53">
        <f>P3_Amount_Ex*(1+P3_Interest_Rate_Ex)^B16</f>
        <v>11576.250000000002</v>
      </c>
      <c r="E16" s="53">
        <f>E15*(1+P3_Interest_Rate_Ex)</f>
        <v>11576.25</v>
      </c>
      <c r="H16" s="102"/>
    </row>
    <row r="17" spans="1:8" x14ac:dyDescent="0.25">
      <c r="B17" s="5">
        <v>4</v>
      </c>
      <c r="C17" s="53">
        <f>P3_Amount_Ex*(1+P3_Interest_Rate_Ex)^B17</f>
        <v>12155.0625</v>
      </c>
      <c r="E17" s="53">
        <f>E16*(1+P3_Interest_Rate_Ex)</f>
        <v>12155.0625</v>
      </c>
      <c r="H17" s="102"/>
    </row>
    <row r="21" spans="1:8" ht="20.25" customHeight="1" x14ac:dyDescent="0.25"/>
    <row r="23" spans="1:8" x14ac:dyDescent="0.25">
      <c r="A23" t="s">
        <v>65</v>
      </c>
      <c r="B23" s="50"/>
      <c r="E23" s="113" t="b">
        <v>0</v>
      </c>
      <c r="F23" t="s">
        <v>300</v>
      </c>
    </row>
    <row r="24" spans="1:8" x14ac:dyDescent="0.25">
      <c r="A24" t="s">
        <v>66</v>
      </c>
      <c r="B24" s="51"/>
    </row>
    <row r="25" spans="1:8" x14ac:dyDescent="0.25">
      <c r="A25" t="s">
        <v>67</v>
      </c>
      <c r="B25" s="43"/>
      <c r="C25" t="s">
        <v>5</v>
      </c>
    </row>
    <row r="27" spans="1:8" ht="15.75" thickBot="1" x14ac:dyDescent="0.3">
      <c r="B27" s="10" t="s">
        <v>1</v>
      </c>
      <c r="C27" s="10" t="s">
        <v>68</v>
      </c>
      <c r="H27" s="7"/>
    </row>
    <row r="28" spans="1:8" x14ac:dyDescent="0.25">
      <c r="B28" s="5">
        <v>0</v>
      </c>
      <c r="C28" s="41"/>
      <c r="H28" s="102"/>
    </row>
    <row r="29" spans="1:8" x14ac:dyDescent="0.25">
      <c r="B29" s="5">
        <v>1</v>
      </c>
      <c r="C29" s="41"/>
      <c r="H29" s="102"/>
    </row>
    <row r="30" spans="1:8" x14ac:dyDescent="0.25">
      <c r="B30" s="5">
        <v>2</v>
      </c>
      <c r="C30" s="41"/>
      <c r="H30" s="102"/>
    </row>
    <row r="31" spans="1:8" x14ac:dyDescent="0.25">
      <c r="B31" s="5">
        <v>3</v>
      </c>
      <c r="C31" s="41"/>
      <c r="H31" s="102"/>
    </row>
    <row r="32" spans="1:8" x14ac:dyDescent="0.25">
      <c r="B32" s="5">
        <v>4</v>
      </c>
      <c r="C32" s="41"/>
      <c r="H32" s="102"/>
    </row>
    <row r="33" spans="2:8" x14ac:dyDescent="0.25">
      <c r="B33" s="5">
        <v>5</v>
      </c>
      <c r="C33" s="41"/>
      <c r="H33" s="102"/>
    </row>
    <row r="34" spans="2:8" x14ac:dyDescent="0.25">
      <c r="B34" s="5">
        <v>6</v>
      </c>
      <c r="C34" s="41"/>
      <c r="H34" s="102"/>
    </row>
    <row r="35" spans="2:8" x14ac:dyDescent="0.25">
      <c r="B35" s="5">
        <v>7</v>
      </c>
      <c r="C35" s="41"/>
      <c r="H35" s="102"/>
    </row>
    <row r="36" spans="2:8" x14ac:dyDescent="0.25">
      <c r="B36" s="5">
        <v>8</v>
      </c>
      <c r="C36" s="41"/>
      <c r="H36" s="102"/>
    </row>
    <row r="37" spans="2:8" x14ac:dyDescent="0.25">
      <c r="B37" s="5">
        <v>9</v>
      </c>
      <c r="C37" s="41"/>
      <c r="H37" s="102"/>
    </row>
    <row r="38" spans="2:8" x14ac:dyDescent="0.25">
      <c r="B38" s="5">
        <v>10</v>
      </c>
      <c r="C38" s="41"/>
      <c r="H38" s="102"/>
    </row>
  </sheetData>
  <sheetProtection algorithmName="SHA-512" hashValue="g86LG7Qw0qtUZsTCfwsJwqv29UrY9xvVk+fxz+v0PVN/CW8SCBaAZsOeGnBF6rpj8Zd26Mc6zXt8hpokZabccg==" saltValue="KJQX5FoSapeU9zEESRIIyg==" spinCount="100000" sheet="1" objects="1" scenarios="1"/>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69749E8E-EB98-45B0-A4C2-0ADBF20C1D11}">
            <xm:f>AND($E$23,OR(AND((OR(ROUND('3Ans'!B23,1)=0,'3Ans'!B23="")),NOT(OR(ROUND(B23,1)=0,B23=""))),AND(ROUND('3Ans'!B23,2)&lt;&gt;0,ROUND(B23,2)&lt;&gt;ROUND('3Ans'!B23,2))))</xm:f>
            <x14:dxf>
              <fill>
                <patternFill>
                  <bgColor rgb="FFFFFF00"/>
                </patternFill>
              </fill>
            </x14:dxf>
          </x14:cfRule>
          <xm:sqref>B23:B25 C28:C38</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7:O41"/>
  <sheetViews>
    <sheetView topLeftCell="A7" zoomScale="145" zoomScaleNormal="145" workbookViewId="0">
      <selection activeCell="H22" sqref="H22"/>
    </sheetView>
  </sheetViews>
  <sheetFormatPr defaultColWidth="8.85546875" defaultRowHeight="15" x14ac:dyDescent="0.25"/>
  <cols>
    <col min="1" max="1" width="33.42578125" bestFit="1" customWidth="1"/>
    <col min="2" max="2" width="6.85546875" customWidth="1"/>
  </cols>
  <sheetData>
    <row r="7" spans="1:8" x14ac:dyDescent="0.25">
      <c r="A7" t="s">
        <v>74</v>
      </c>
      <c r="B7" s="65">
        <v>0.12</v>
      </c>
    </row>
    <row r="9" spans="1:8" ht="15.75" thickBot="1" x14ac:dyDescent="0.3">
      <c r="A9" t="s">
        <v>0</v>
      </c>
      <c r="C9" s="6">
        <v>0</v>
      </c>
      <c r="D9" s="6">
        <v>1</v>
      </c>
      <c r="E9" s="6">
        <v>2</v>
      </c>
      <c r="F9" s="6">
        <v>3</v>
      </c>
      <c r="G9" s="6">
        <v>4</v>
      </c>
      <c r="H9" s="6">
        <v>5</v>
      </c>
    </row>
    <row r="10" spans="1:8" ht="15.75" thickBot="1" x14ac:dyDescent="0.3">
      <c r="A10" t="s">
        <v>73</v>
      </c>
      <c r="C10" s="12"/>
      <c r="D10" s="13">
        <v>100</v>
      </c>
      <c r="E10" s="13">
        <v>200</v>
      </c>
      <c r="F10" s="13">
        <v>300</v>
      </c>
      <c r="G10" s="13">
        <v>400</v>
      </c>
      <c r="H10" s="13">
        <v>500</v>
      </c>
    </row>
    <row r="11" spans="1:8" x14ac:dyDescent="0.25">
      <c r="A11" t="s">
        <v>166</v>
      </c>
      <c r="B11" s="33">
        <v>0</v>
      </c>
      <c r="C11" s="62">
        <f>ROUND(SUM(D11:H11),0)</f>
        <v>1000</v>
      </c>
      <c r="D11" s="61">
        <f>D$10/(1+P4_Interest_Rate_Ex)^(D$9-$B11)</f>
        <v>89.285714285714278</v>
      </c>
      <c r="E11" s="61">
        <f>E$10/(1+P4_Interest_Rate_Ex)^(E$9-$B11)</f>
        <v>159.43877551020407</v>
      </c>
      <c r="F11" s="61">
        <f>F$10/(1+P4_Interest_Rate_Ex)^(F$9-$B11)</f>
        <v>213.53407434402325</v>
      </c>
      <c r="G11" s="61">
        <f>G$10/(1+P4_Interest_Rate_Ex)^(G$9-$B11)</f>
        <v>254.20723136193246</v>
      </c>
      <c r="H11" s="61">
        <f>H$10/(1+P4_Interest_Rate_Ex)^(H$9-$B11)</f>
        <v>283.7134278592996</v>
      </c>
    </row>
    <row r="12" spans="1:8" x14ac:dyDescent="0.25">
      <c r="A12" t="s">
        <v>166</v>
      </c>
      <c r="B12" s="33">
        <v>1</v>
      </c>
      <c r="C12" s="11"/>
      <c r="D12" s="62">
        <f>ROUND(SUM(E12:H12),0)</f>
        <v>1020</v>
      </c>
      <c r="E12" s="61">
        <f>E$10/(1+P4_Interest_Rate_Ex)^(E$9-$B12)</f>
        <v>178.57142857142856</v>
      </c>
      <c r="F12" s="61">
        <f>F$10/(1+P4_Interest_Rate_Ex)^(F$9-$B12)</f>
        <v>239.15816326530609</v>
      </c>
      <c r="G12" s="61">
        <f>G$10/(1+P4_Interest_Rate_Ex)^(G$9-$B12)</f>
        <v>284.71209912536438</v>
      </c>
      <c r="H12" s="61">
        <f>H$10/(1+P4_Interest_Rate_Ex)^(H$9-$B12)</f>
        <v>317.75903920241558</v>
      </c>
    </row>
    <row r="13" spans="1:8" x14ac:dyDescent="0.25">
      <c r="A13" t="s">
        <v>166</v>
      </c>
      <c r="B13" s="33">
        <v>2</v>
      </c>
      <c r="C13" s="11"/>
      <c r="D13" s="11"/>
      <c r="E13" s="62">
        <f>ROUND(SUM(F13:H13),0)</f>
        <v>943</v>
      </c>
      <c r="F13" s="61">
        <f>F$10/(1+P4_Interest_Rate_Ex)^(F$9-$B13)</f>
        <v>267.85714285714283</v>
      </c>
      <c r="G13" s="61">
        <f>G$10/(1+P4_Interest_Rate_Ex)^(G$9-$B13)</f>
        <v>318.87755102040813</v>
      </c>
      <c r="H13" s="61">
        <f>H$10/(1+P4_Interest_Rate_Ex)^(H$9-$B13)</f>
        <v>355.89012390670541</v>
      </c>
    </row>
    <row r="14" spans="1:8" x14ac:dyDescent="0.25">
      <c r="A14" t="s">
        <v>166</v>
      </c>
      <c r="B14" s="33">
        <v>3</v>
      </c>
      <c r="C14" s="11"/>
      <c r="D14" s="11"/>
      <c r="E14" s="11"/>
      <c r="F14" s="62">
        <f>ROUND(SUM(G14:H14),0)</f>
        <v>756</v>
      </c>
      <c r="G14" s="61">
        <f>G$10/(1+P4_Interest_Rate_Ex)^(G$9-$B14)</f>
        <v>357.14285714285711</v>
      </c>
      <c r="H14" s="61">
        <f>H$10/(1+P4_Interest_Rate_Ex)^(H$9-$B14)</f>
        <v>398.59693877551013</v>
      </c>
    </row>
    <row r="15" spans="1:8" x14ac:dyDescent="0.25">
      <c r="A15" t="s">
        <v>166</v>
      </c>
      <c r="B15" s="33">
        <v>4</v>
      </c>
      <c r="C15" s="11"/>
      <c r="D15" s="11"/>
      <c r="E15" s="11"/>
      <c r="F15" s="11"/>
      <c r="G15" s="62">
        <f>ROUND(SUM(H15),0)</f>
        <v>446</v>
      </c>
      <c r="H15" s="61">
        <f>H$10/(1+P4_Interest_Rate_Ex)^(H$9-$B15)</f>
        <v>446.42857142857139</v>
      </c>
    </row>
    <row r="16" spans="1:8" x14ac:dyDescent="0.25">
      <c r="A16" t="s">
        <v>166</v>
      </c>
      <c r="B16" s="33">
        <v>5</v>
      </c>
      <c r="C16" s="11"/>
      <c r="D16" s="11"/>
      <c r="E16" s="11"/>
      <c r="F16" s="11"/>
      <c r="H16" s="62">
        <f>0</f>
        <v>0</v>
      </c>
    </row>
    <row r="22" spans="1:15" x14ac:dyDescent="0.25">
      <c r="A22" t="s">
        <v>75</v>
      </c>
      <c r="B22" s="104"/>
      <c r="E22" s="113" t="b">
        <v>0</v>
      </c>
      <c r="F22" t="s">
        <v>300</v>
      </c>
    </row>
    <row r="24" spans="1:15" ht="15.75" thickBot="1" x14ac:dyDescent="0.3">
      <c r="A24" t="s">
        <v>0</v>
      </c>
      <c r="C24" s="6">
        <v>0</v>
      </c>
      <c r="D24" s="6">
        <v>1</v>
      </c>
      <c r="E24" s="6">
        <v>2</v>
      </c>
      <c r="F24" s="6">
        <v>3</v>
      </c>
      <c r="G24" s="6">
        <v>4</v>
      </c>
      <c r="H24" s="6">
        <v>5</v>
      </c>
      <c r="I24" s="6">
        <v>6</v>
      </c>
      <c r="J24" s="6">
        <v>7</v>
      </c>
      <c r="K24" s="6">
        <v>8</v>
      </c>
      <c r="L24" s="6">
        <v>9</v>
      </c>
      <c r="M24" s="6">
        <v>10</v>
      </c>
      <c r="N24" s="6">
        <v>11</v>
      </c>
      <c r="O24" s="6">
        <v>12</v>
      </c>
    </row>
    <row r="25" spans="1:15" ht="15.75" thickBot="1" x14ac:dyDescent="0.3">
      <c r="A25" t="s">
        <v>73</v>
      </c>
      <c r="C25" s="12"/>
      <c r="D25" s="13">
        <v>400</v>
      </c>
      <c r="E25" s="13">
        <v>500</v>
      </c>
      <c r="F25" s="13">
        <v>600</v>
      </c>
      <c r="G25" s="13">
        <v>100</v>
      </c>
      <c r="H25" s="13">
        <v>200</v>
      </c>
      <c r="I25" s="13">
        <v>300</v>
      </c>
      <c r="J25" s="13">
        <v>400</v>
      </c>
      <c r="K25" s="13">
        <v>700</v>
      </c>
      <c r="L25" s="13">
        <v>900</v>
      </c>
      <c r="M25" s="13">
        <v>1000</v>
      </c>
      <c r="N25" s="13">
        <v>1100</v>
      </c>
      <c r="O25" s="13">
        <v>1200</v>
      </c>
    </row>
    <row r="26" spans="1:15" x14ac:dyDescent="0.25">
      <c r="A26" t="s">
        <v>166</v>
      </c>
      <c r="B26" s="33">
        <v>0</v>
      </c>
      <c r="C26" s="62">
        <f>ROUND(SUM(D26:O26),0)</f>
        <v>0</v>
      </c>
      <c r="D26" s="61"/>
      <c r="E26" s="61"/>
      <c r="F26" s="61"/>
      <c r="G26" s="61"/>
      <c r="H26" s="61"/>
      <c r="I26" s="61"/>
      <c r="J26" s="61"/>
      <c r="K26" s="61"/>
      <c r="L26" s="61"/>
      <c r="M26" s="61"/>
      <c r="N26" s="61"/>
      <c r="O26" s="61"/>
    </row>
    <row r="27" spans="1:15" x14ac:dyDescent="0.25">
      <c r="A27" t="s">
        <v>166</v>
      </c>
      <c r="B27" s="33">
        <v>1</v>
      </c>
      <c r="C27" s="35"/>
      <c r="D27" s="62">
        <f>ROUND(SUM(E27:O27),0)</f>
        <v>0</v>
      </c>
      <c r="E27" s="61"/>
      <c r="F27" s="61"/>
      <c r="G27" s="61"/>
      <c r="H27" s="61"/>
      <c r="I27" s="61"/>
      <c r="J27" s="61"/>
      <c r="K27" s="61"/>
      <c r="L27" s="61"/>
      <c r="M27" s="61"/>
      <c r="N27" s="61"/>
      <c r="O27" s="61"/>
    </row>
    <row r="28" spans="1:15" x14ac:dyDescent="0.25">
      <c r="A28" t="s">
        <v>166</v>
      </c>
      <c r="B28" s="33">
        <v>2</v>
      </c>
      <c r="C28" s="35"/>
      <c r="D28" s="35"/>
      <c r="E28" s="62">
        <f>ROUND(SUM(F28:O28),0)</f>
        <v>0</v>
      </c>
      <c r="F28" s="61"/>
      <c r="G28" s="61"/>
      <c r="H28" s="61"/>
      <c r="I28" s="61"/>
      <c r="J28" s="61"/>
      <c r="K28" s="61"/>
      <c r="L28" s="61"/>
      <c r="M28" s="61"/>
      <c r="N28" s="61"/>
      <c r="O28" s="61"/>
    </row>
    <row r="29" spans="1:15" x14ac:dyDescent="0.25">
      <c r="A29" t="s">
        <v>166</v>
      </c>
      <c r="B29" s="33">
        <v>3</v>
      </c>
      <c r="C29" s="35"/>
      <c r="D29" s="35"/>
      <c r="E29" s="35"/>
      <c r="F29" s="62">
        <f>ROUND(SUM(G29:O29),0)</f>
        <v>0</v>
      </c>
      <c r="G29" s="61"/>
      <c r="H29" s="61"/>
      <c r="I29" s="61"/>
      <c r="J29" s="61"/>
      <c r="K29" s="61"/>
      <c r="L29" s="61"/>
      <c r="M29" s="61"/>
      <c r="N29" s="61"/>
      <c r="O29" s="61"/>
    </row>
    <row r="30" spans="1:15" x14ac:dyDescent="0.25">
      <c r="A30" t="s">
        <v>166</v>
      </c>
      <c r="B30" s="33">
        <v>4</v>
      </c>
      <c r="C30" s="35"/>
      <c r="D30" s="35"/>
      <c r="E30" s="35"/>
      <c r="F30" s="35"/>
      <c r="G30" s="62">
        <f>ROUND(SUM(H30:O30),0)</f>
        <v>0</v>
      </c>
      <c r="H30" s="61"/>
      <c r="I30" s="61"/>
      <c r="J30" s="61"/>
      <c r="K30" s="61"/>
      <c r="L30" s="61"/>
      <c r="M30" s="61"/>
      <c r="N30" s="61"/>
      <c r="O30" s="61"/>
    </row>
    <row r="31" spans="1:15" x14ac:dyDescent="0.25">
      <c r="A31" t="s">
        <v>166</v>
      </c>
      <c r="B31" s="33">
        <v>5</v>
      </c>
      <c r="E31" s="35"/>
      <c r="F31" s="35"/>
      <c r="G31" s="35"/>
      <c r="H31" s="62">
        <f>ROUND(SUM(I31:O31),0)</f>
        <v>0</v>
      </c>
      <c r="I31" s="61"/>
      <c r="J31" s="61"/>
      <c r="K31" s="61"/>
      <c r="L31" s="61"/>
      <c r="M31" s="61"/>
      <c r="N31" s="61"/>
      <c r="O31" s="61"/>
    </row>
    <row r="32" spans="1:15" x14ac:dyDescent="0.25">
      <c r="A32" t="s">
        <v>166</v>
      </c>
      <c r="B32" s="33">
        <v>6</v>
      </c>
      <c r="F32" s="35"/>
      <c r="G32" s="35"/>
      <c r="H32" s="35"/>
      <c r="I32" s="62">
        <f>ROUND(SUM(J32:O32),0)</f>
        <v>0</v>
      </c>
      <c r="J32" s="61"/>
      <c r="K32" s="61"/>
      <c r="L32" s="61"/>
      <c r="M32" s="61"/>
      <c r="N32" s="61"/>
      <c r="O32" s="61"/>
    </row>
    <row r="33" spans="1:15" x14ac:dyDescent="0.25">
      <c r="A33" t="s">
        <v>166</v>
      </c>
      <c r="B33" s="33">
        <v>7</v>
      </c>
      <c r="G33" s="35"/>
      <c r="H33" s="35"/>
      <c r="I33" s="35"/>
      <c r="J33" s="62">
        <f>ROUND(SUM(K33:O33),0)</f>
        <v>0</v>
      </c>
      <c r="K33" s="61"/>
      <c r="L33" s="61"/>
      <c r="M33" s="61"/>
      <c r="N33" s="61"/>
      <c r="O33" s="61"/>
    </row>
    <row r="34" spans="1:15" x14ac:dyDescent="0.25">
      <c r="A34" t="s">
        <v>166</v>
      </c>
      <c r="B34" s="33">
        <v>8</v>
      </c>
      <c r="H34" s="35"/>
      <c r="I34" s="35"/>
      <c r="J34" s="35"/>
      <c r="K34" s="62">
        <f>ROUND(SUM(L34:O34),0)</f>
        <v>0</v>
      </c>
      <c r="L34" s="61"/>
      <c r="M34" s="61"/>
      <c r="N34" s="61"/>
      <c r="O34" s="61"/>
    </row>
    <row r="35" spans="1:15" x14ac:dyDescent="0.25">
      <c r="A35" t="s">
        <v>166</v>
      </c>
      <c r="B35" s="33">
        <v>9</v>
      </c>
      <c r="I35" s="35"/>
      <c r="J35" s="35"/>
      <c r="K35" s="35"/>
      <c r="L35" s="62">
        <f>ROUND(SUM(M35:O35),0)</f>
        <v>0</v>
      </c>
      <c r="M35" s="61"/>
      <c r="N35" s="61"/>
      <c r="O35" s="61"/>
    </row>
    <row r="36" spans="1:15" x14ac:dyDescent="0.25">
      <c r="A36" t="s">
        <v>166</v>
      </c>
      <c r="B36" s="33">
        <v>10</v>
      </c>
      <c r="J36" s="35"/>
      <c r="K36" s="35"/>
      <c r="L36" s="35"/>
      <c r="M36" s="62">
        <f>ROUND(SUM(N36:O36),0)</f>
        <v>0</v>
      </c>
      <c r="N36" s="61"/>
      <c r="O36" s="61"/>
    </row>
    <row r="37" spans="1:15" x14ac:dyDescent="0.25">
      <c r="A37" t="s">
        <v>166</v>
      </c>
      <c r="B37" s="33">
        <v>11</v>
      </c>
      <c r="K37" s="35"/>
      <c r="L37" s="35"/>
      <c r="M37" s="35"/>
      <c r="N37" s="62">
        <f>ROUND(SUM(O37),0)</f>
        <v>0</v>
      </c>
      <c r="O37" s="61"/>
    </row>
    <row r="38" spans="1:15" x14ac:dyDescent="0.25">
      <c r="A38" t="s">
        <v>166</v>
      </c>
      <c r="B38" s="33">
        <v>12</v>
      </c>
      <c r="L38" s="35"/>
      <c r="M38" s="35"/>
      <c r="N38" s="35"/>
      <c r="O38" s="63">
        <v>0</v>
      </c>
    </row>
    <row r="39" spans="1:15" x14ac:dyDescent="0.25">
      <c r="M39" s="35"/>
      <c r="N39" s="35"/>
      <c r="O39" s="35"/>
    </row>
    <row r="40" spans="1:15" x14ac:dyDescent="0.25">
      <c r="N40" s="35"/>
      <c r="O40" s="35"/>
    </row>
    <row r="41" spans="1:15" x14ac:dyDescent="0.25">
      <c r="O41" s="35"/>
    </row>
  </sheetData>
  <sheetProtection algorithmName="SHA-512" hashValue="P1OPY15OY8isWexue5k99Y+UQ/QQV63j1jJTGyZzRc+FmP62NxiZCZpt6lpQ9ub1oa1w6KJ32rwAmN27MJ2nJA==" saltValue="Z6XImDZEZUTC/6fhAfbxrQ==" spinCount="100000" sheet="1" objects="1" scenarios="1"/>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3" id="{91E173A0-6A27-488C-8FE7-EF1024ED95C4}">
            <xm:f>AND($E$22,OR(AND((OR(ROUND('4Ans'!B22,1)=0,'4Ans'!B22="")),NOT(OR(ROUND(B22,1)=0,B22=""))),AND(ROUND('4Ans'!B22,2)&lt;&gt;0,ROUND(B22,2)&lt;&gt;ROUND('4Ans'!B22,2))))</xm:f>
            <x14:dxf>
              <fill>
                <patternFill>
                  <bgColor rgb="FFFFFF00"/>
                </patternFill>
              </fill>
            </x14:dxf>
          </x14:cfRule>
          <xm:sqref>B22 D26:O26 E27:O27 F28:O28 G29:O29 H30:O30 I31:O31 J32:O32 K33:O33 L34:O34 M35:O35 N36:O36 O37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7:N83"/>
  <sheetViews>
    <sheetView workbookViewId="0">
      <selection activeCell="O10" sqref="O10"/>
    </sheetView>
  </sheetViews>
  <sheetFormatPr defaultColWidth="8.85546875" defaultRowHeight="15" x14ac:dyDescent="0.25"/>
  <cols>
    <col min="1" max="1" width="20.42578125" customWidth="1"/>
    <col min="2" max="2" width="10.42578125" bestFit="1" customWidth="1"/>
    <col min="14" max="14" width="10.42578125" bestFit="1" customWidth="1"/>
  </cols>
  <sheetData>
    <row r="7" spans="1:14" x14ac:dyDescent="0.25">
      <c r="A7" t="s">
        <v>76</v>
      </c>
      <c r="B7" s="47">
        <v>1000</v>
      </c>
    </row>
    <row r="8" spans="1:14" x14ac:dyDescent="0.25">
      <c r="A8" t="s">
        <v>77</v>
      </c>
      <c r="B8" s="71">
        <v>0.05</v>
      </c>
    </row>
    <row r="9" spans="1:14" x14ac:dyDescent="0.25">
      <c r="A9" t="s">
        <v>78</v>
      </c>
      <c r="B9" s="71">
        <v>6.5000000000000002E-2</v>
      </c>
    </row>
    <row r="10" spans="1:14" x14ac:dyDescent="0.25">
      <c r="A10" t="s">
        <v>79</v>
      </c>
      <c r="B10" s="49">
        <v>0.5</v>
      </c>
      <c r="C10" t="s">
        <v>5</v>
      </c>
    </row>
    <row r="12" spans="1:14" ht="15.75" thickBot="1" x14ac:dyDescent="0.3">
      <c r="A12" t="s">
        <v>0</v>
      </c>
      <c r="B12" s="6">
        <v>0</v>
      </c>
      <c r="C12" s="6">
        <v>1</v>
      </c>
      <c r="D12" s="6">
        <v>2</v>
      </c>
      <c r="E12" s="6">
        <v>3</v>
      </c>
      <c r="F12" s="6">
        <v>4</v>
      </c>
      <c r="G12" s="6">
        <v>5</v>
      </c>
      <c r="H12" s="6">
        <v>6</v>
      </c>
      <c r="I12" s="6">
        <v>7</v>
      </c>
      <c r="J12" s="6">
        <v>8</v>
      </c>
      <c r="K12" s="6">
        <v>9</v>
      </c>
      <c r="L12" s="6">
        <v>10</v>
      </c>
      <c r="M12" s="6">
        <v>11</v>
      </c>
      <c r="N12" s="6">
        <v>12</v>
      </c>
    </row>
    <row r="13" spans="1:14" x14ac:dyDescent="0.25">
      <c r="A13" t="s">
        <v>80</v>
      </c>
      <c r="B13" s="74"/>
      <c r="C13" s="74">
        <f t="shared" ref="C13:N13" si="0">P5_Face_Ex1*(P5_Coupon_Rate_Ex1*P5_One_Period_Ex1)</f>
        <v>25</v>
      </c>
      <c r="D13" s="74">
        <f t="shared" si="0"/>
        <v>25</v>
      </c>
      <c r="E13" s="74">
        <f t="shared" si="0"/>
        <v>25</v>
      </c>
      <c r="F13" s="74">
        <f t="shared" si="0"/>
        <v>25</v>
      </c>
      <c r="G13" s="74">
        <f t="shared" si="0"/>
        <v>25</v>
      </c>
      <c r="H13" s="74">
        <f t="shared" si="0"/>
        <v>25</v>
      </c>
      <c r="I13" s="74">
        <f t="shared" si="0"/>
        <v>25</v>
      </c>
      <c r="J13" s="74">
        <f t="shared" si="0"/>
        <v>25</v>
      </c>
      <c r="K13" s="74">
        <f t="shared" si="0"/>
        <v>25</v>
      </c>
      <c r="L13" s="74">
        <f t="shared" si="0"/>
        <v>25</v>
      </c>
      <c r="M13" s="74">
        <f t="shared" si="0"/>
        <v>25</v>
      </c>
      <c r="N13" s="74">
        <f t="shared" si="0"/>
        <v>25</v>
      </c>
    </row>
    <row r="14" spans="1:14" x14ac:dyDescent="0.25">
      <c r="A14" t="s">
        <v>81</v>
      </c>
      <c r="B14" s="75"/>
      <c r="C14" s="75"/>
      <c r="D14" s="75"/>
      <c r="E14" s="75"/>
      <c r="F14" s="75"/>
      <c r="G14" s="75"/>
      <c r="H14" s="75"/>
      <c r="I14" s="75"/>
      <c r="J14" s="75"/>
      <c r="K14" s="75"/>
      <c r="L14" s="75"/>
      <c r="M14" s="75"/>
      <c r="N14" s="74">
        <f>P5_Face_Ex1</f>
        <v>1000</v>
      </c>
    </row>
    <row r="15" spans="1:14" ht="15.75" thickBot="1" x14ac:dyDescent="0.3">
      <c r="A15" t="s">
        <v>4</v>
      </c>
      <c r="B15" s="52">
        <f>ROUND(SUM(B13:B14),2)</f>
        <v>0</v>
      </c>
      <c r="C15" s="52">
        <f>ROUND(SUM(C13:C14),2)</f>
        <v>25</v>
      </c>
      <c r="D15" s="52">
        <f t="shared" ref="D15" si="1">ROUND(SUM(D13:D14),2)</f>
        <v>25</v>
      </c>
      <c r="E15" s="52">
        <f t="shared" ref="E15" si="2">ROUND(SUM(E13:E14),2)</f>
        <v>25</v>
      </c>
      <c r="F15" s="52">
        <f t="shared" ref="F15" si="3">ROUND(SUM(F13:F14),2)</f>
        <v>25</v>
      </c>
      <c r="G15" s="52">
        <f t="shared" ref="G15" si="4">ROUND(SUM(G13:G14),2)</f>
        <v>25</v>
      </c>
      <c r="H15" s="52">
        <f t="shared" ref="H15" si="5">ROUND(SUM(H13:H14),2)</f>
        <v>25</v>
      </c>
      <c r="I15" s="52">
        <f t="shared" ref="I15" si="6">ROUND(SUM(I13:I14),2)</f>
        <v>25</v>
      </c>
      <c r="J15" s="52">
        <f t="shared" ref="J15" si="7">ROUND(SUM(J13:J14),2)</f>
        <v>25</v>
      </c>
      <c r="K15" s="52">
        <f t="shared" ref="K15" si="8">ROUND(SUM(K13:K14),2)</f>
        <v>25</v>
      </c>
      <c r="L15" s="52">
        <f t="shared" ref="L15" si="9">ROUND(SUM(L13:L14),2)</f>
        <v>25</v>
      </c>
      <c r="M15" s="52">
        <f t="shared" ref="M15" si="10">ROUND(SUM(M13:M14),2)</f>
        <v>25</v>
      </c>
      <c r="N15" s="52">
        <f t="shared" ref="N15" si="11">ROUND(SUM(N13:N14),2)</f>
        <v>1025</v>
      </c>
    </row>
    <row r="16" spans="1:14" ht="15.75" thickTop="1" x14ac:dyDescent="0.25"/>
    <row r="17" spans="1:14" x14ac:dyDescent="0.25">
      <c r="A17" t="s">
        <v>82</v>
      </c>
      <c r="B17" s="72">
        <f>ROUND(SUM(C17:N17),2)</f>
        <v>926.45</v>
      </c>
      <c r="C17" s="70">
        <f t="shared" ref="C17:N17" si="12">C15/(1+P5_Interest_Rate_Ex1*P5_One_Period_Ex1)^C12</f>
        <v>24.213075060532688</v>
      </c>
      <c r="D17" s="70">
        <f t="shared" si="12"/>
        <v>23.450920155479601</v>
      </c>
      <c r="E17" s="70">
        <f t="shared" si="12"/>
        <v>22.712755598527462</v>
      </c>
      <c r="F17" s="70">
        <f t="shared" si="12"/>
        <v>21.997826245547177</v>
      </c>
      <c r="G17" s="70">
        <f t="shared" si="12"/>
        <v>21.305400722079593</v>
      </c>
      <c r="H17" s="70">
        <f t="shared" si="12"/>
        <v>20.63477067513762</v>
      </c>
      <c r="I17" s="70">
        <f t="shared" si="12"/>
        <v>19.98525004855944</v>
      </c>
      <c r="J17" s="70">
        <f t="shared" si="12"/>
        <v>19.356174381171368</v>
      </c>
      <c r="K17" s="70">
        <f t="shared" si="12"/>
        <v>18.746900127042487</v>
      </c>
      <c r="L17" s="70">
        <f t="shared" si="12"/>
        <v>18.156803997135579</v>
      </c>
      <c r="M17" s="70">
        <f t="shared" si="12"/>
        <v>17.58528232168095</v>
      </c>
      <c r="N17" s="70">
        <f t="shared" si="12"/>
        <v>698.30176773745177</v>
      </c>
    </row>
    <row r="23" spans="1:14" x14ac:dyDescent="0.25">
      <c r="A23" t="s">
        <v>83</v>
      </c>
      <c r="B23" s="47">
        <v>1000</v>
      </c>
    </row>
    <row r="24" spans="1:14" x14ac:dyDescent="0.25">
      <c r="A24" t="s">
        <v>84</v>
      </c>
      <c r="B24" s="71">
        <v>6.5000000000000002E-2</v>
      </c>
    </row>
    <row r="25" spans="1:14" x14ac:dyDescent="0.25">
      <c r="A25" t="s">
        <v>85</v>
      </c>
      <c r="B25" s="71">
        <v>0.05</v>
      </c>
    </row>
    <row r="26" spans="1:14" x14ac:dyDescent="0.25">
      <c r="A26" t="s">
        <v>86</v>
      </c>
      <c r="B26" s="49">
        <v>0.5</v>
      </c>
      <c r="C26" t="s">
        <v>5</v>
      </c>
    </row>
    <row r="28" spans="1:14" ht="15.75" thickBot="1" x14ac:dyDescent="0.3">
      <c r="A28" t="s">
        <v>0</v>
      </c>
      <c r="B28" s="6">
        <v>0</v>
      </c>
      <c r="C28" s="6">
        <v>1</v>
      </c>
      <c r="D28" s="6">
        <v>2</v>
      </c>
      <c r="E28" s="6">
        <v>3</v>
      </c>
      <c r="F28" s="6">
        <v>4</v>
      </c>
      <c r="G28" s="6">
        <v>5</v>
      </c>
      <c r="H28" s="6">
        <v>6</v>
      </c>
      <c r="I28" s="6">
        <v>7</v>
      </c>
      <c r="J28" s="6">
        <v>8</v>
      </c>
      <c r="K28" s="6">
        <v>9</v>
      </c>
      <c r="L28" s="6">
        <v>10</v>
      </c>
      <c r="M28" s="6">
        <v>11</v>
      </c>
      <c r="N28" s="6">
        <v>12</v>
      </c>
    </row>
    <row r="29" spans="1:14" x14ac:dyDescent="0.25">
      <c r="A29" t="s">
        <v>80</v>
      </c>
      <c r="B29" s="11"/>
      <c r="C29" s="11">
        <f t="shared" ref="C29:N29" si="13">P5_Face_Ex1*(P5_Coupon_Rate_Ex2*P5_One_Period_Ex2)</f>
        <v>32.5</v>
      </c>
      <c r="D29" s="11">
        <f t="shared" si="13"/>
        <v>32.5</v>
      </c>
      <c r="E29" s="11">
        <f t="shared" si="13"/>
        <v>32.5</v>
      </c>
      <c r="F29" s="11">
        <f t="shared" si="13"/>
        <v>32.5</v>
      </c>
      <c r="G29" s="11">
        <f t="shared" si="13"/>
        <v>32.5</v>
      </c>
      <c r="H29" s="11">
        <f t="shared" si="13"/>
        <v>32.5</v>
      </c>
      <c r="I29" s="11">
        <f t="shared" si="13"/>
        <v>32.5</v>
      </c>
      <c r="J29" s="11">
        <f t="shared" si="13"/>
        <v>32.5</v>
      </c>
      <c r="K29" s="11">
        <f t="shared" si="13"/>
        <v>32.5</v>
      </c>
      <c r="L29" s="11">
        <f t="shared" si="13"/>
        <v>32.5</v>
      </c>
      <c r="M29" s="11">
        <f t="shared" si="13"/>
        <v>32.5</v>
      </c>
      <c r="N29" s="11">
        <f t="shared" si="13"/>
        <v>32.5</v>
      </c>
    </row>
    <row r="30" spans="1:14" x14ac:dyDescent="0.25">
      <c r="A30" t="s">
        <v>81</v>
      </c>
      <c r="N30" s="11">
        <f>P5_Face_Ex2</f>
        <v>1000</v>
      </c>
    </row>
    <row r="31" spans="1:14" ht="15.75" thickBot="1" x14ac:dyDescent="0.3">
      <c r="A31" t="s">
        <v>4</v>
      </c>
      <c r="B31" s="52">
        <f>ROUND(SUM(B29:B30),2)</f>
        <v>0</v>
      </c>
      <c r="C31" s="52">
        <f>ROUND(SUM(C29:C30),2)</f>
        <v>32.5</v>
      </c>
      <c r="D31" s="52">
        <f t="shared" ref="D31" si="14">ROUND(SUM(D29:D30),2)</f>
        <v>32.5</v>
      </c>
      <c r="E31" s="52">
        <f t="shared" ref="E31" si="15">ROUND(SUM(E29:E30),2)</f>
        <v>32.5</v>
      </c>
      <c r="F31" s="52">
        <f t="shared" ref="F31" si="16">ROUND(SUM(F29:F30),2)</f>
        <v>32.5</v>
      </c>
      <c r="G31" s="52">
        <f t="shared" ref="G31" si="17">ROUND(SUM(G29:G30),2)</f>
        <v>32.5</v>
      </c>
      <c r="H31" s="52">
        <f t="shared" ref="H31" si="18">ROUND(SUM(H29:H30),2)</f>
        <v>32.5</v>
      </c>
      <c r="I31" s="52">
        <f t="shared" ref="I31" si="19">ROUND(SUM(I29:I30),2)</f>
        <v>32.5</v>
      </c>
      <c r="J31" s="52">
        <f t="shared" ref="J31" si="20">ROUND(SUM(J29:J30),2)</f>
        <v>32.5</v>
      </c>
      <c r="K31" s="52">
        <f t="shared" ref="K31" si="21">ROUND(SUM(K29:K30),2)</f>
        <v>32.5</v>
      </c>
      <c r="L31" s="52">
        <f t="shared" ref="L31" si="22">ROUND(SUM(L29:L30),2)</f>
        <v>32.5</v>
      </c>
      <c r="M31" s="52">
        <f t="shared" ref="M31" si="23">ROUND(SUM(M29:M30),2)</f>
        <v>32.5</v>
      </c>
      <c r="N31" s="52">
        <f t="shared" ref="N31" si="24">ROUND(SUM(N29:N30),2)</f>
        <v>1032.5</v>
      </c>
    </row>
    <row r="32" spans="1:14" ht="15.75" thickTop="1" x14ac:dyDescent="0.25"/>
    <row r="33" spans="1:14" x14ac:dyDescent="0.25">
      <c r="A33" t="s">
        <v>82</v>
      </c>
      <c r="B33" s="72">
        <f>ROUND(SUM(C33:N33),2)</f>
        <v>1076.93</v>
      </c>
      <c r="C33" s="70">
        <f t="shared" ref="C33:N33" si="25">C31/(1+P5_Interest_Rate_Ex2*P5_One_Period_Ex2)^C28</f>
        <v>31.707317073170735</v>
      </c>
      <c r="D33" s="70">
        <f t="shared" si="25"/>
        <v>30.933967876264131</v>
      </c>
      <c r="E33" s="70">
        <f t="shared" si="25"/>
        <v>30.179480854891835</v>
      </c>
      <c r="F33" s="70">
        <f t="shared" si="25"/>
        <v>29.443395955992038</v>
      </c>
      <c r="G33" s="70">
        <f t="shared" si="25"/>
        <v>28.725264347309309</v>
      </c>
      <c r="H33" s="70">
        <f t="shared" si="25"/>
        <v>28.024648143716401</v>
      </c>
      <c r="I33" s="70">
        <f t="shared" si="25"/>
        <v>27.341120140211121</v>
      </c>
      <c r="J33" s="70">
        <f t="shared" si="25"/>
        <v>26.674263551425486</v>
      </c>
      <c r="K33" s="70">
        <f t="shared" si="25"/>
        <v>26.023671757488284</v>
      </c>
      <c r="L33" s="70">
        <f t="shared" si="25"/>
        <v>25.388948056086129</v>
      </c>
      <c r="M33" s="70">
        <f t="shared" si="25"/>
        <v>24.769705420571835</v>
      </c>
      <c r="N33" s="70">
        <f t="shared" si="25"/>
        <v>767.72145130928095</v>
      </c>
    </row>
    <row r="41" spans="1:14" x14ac:dyDescent="0.25">
      <c r="A41" t="s">
        <v>87</v>
      </c>
      <c r="B41" s="50"/>
      <c r="E41" s="113" t="b">
        <v>0</v>
      </c>
      <c r="F41" t="s">
        <v>300</v>
      </c>
    </row>
    <row r="42" spans="1:14" x14ac:dyDescent="0.25">
      <c r="A42" t="s">
        <v>88</v>
      </c>
      <c r="B42" s="73"/>
    </row>
    <row r="43" spans="1:14" x14ac:dyDescent="0.25">
      <c r="A43" t="s">
        <v>89</v>
      </c>
      <c r="B43" s="73"/>
    </row>
    <row r="44" spans="1:14" x14ac:dyDescent="0.25">
      <c r="A44" t="s">
        <v>90</v>
      </c>
      <c r="B44" s="43"/>
      <c r="C44" t="s">
        <v>5</v>
      </c>
    </row>
    <row r="46" spans="1:14" ht="15.75" thickBot="1" x14ac:dyDescent="0.3">
      <c r="A46" t="s">
        <v>0</v>
      </c>
      <c r="B46" s="6">
        <v>0</v>
      </c>
      <c r="C46" s="6">
        <v>1</v>
      </c>
      <c r="D46" s="6">
        <v>2</v>
      </c>
      <c r="E46" s="6">
        <v>3</v>
      </c>
      <c r="F46" s="6">
        <v>4</v>
      </c>
      <c r="G46" s="6">
        <v>5</v>
      </c>
      <c r="H46" s="6">
        <v>6</v>
      </c>
      <c r="I46" s="6">
        <v>7</v>
      </c>
      <c r="J46" s="6">
        <v>8</v>
      </c>
      <c r="K46" s="6">
        <v>9</v>
      </c>
      <c r="L46" s="6">
        <v>10</v>
      </c>
      <c r="M46" s="6">
        <v>11</v>
      </c>
      <c r="N46" s="6">
        <v>12</v>
      </c>
    </row>
    <row r="47" spans="1:14" x14ac:dyDescent="0.25">
      <c r="A47" t="s">
        <v>80</v>
      </c>
      <c r="B47" s="61"/>
      <c r="C47" s="61"/>
      <c r="D47" s="61"/>
      <c r="E47" s="61"/>
      <c r="F47" s="61"/>
      <c r="G47" s="61"/>
      <c r="H47" s="61"/>
      <c r="I47" s="61"/>
      <c r="J47" s="61"/>
      <c r="K47" s="61"/>
      <c r="L47" s="61"/>
      <c r="M47" s="61"/>
      <c r="N47" s="61"/>
    </row>
    <row r="48" spans="1:14" x14ac:dyDescent="0.25">
      <c r="A48" t="s">
        <v>81</v>
      </c>
      <c r="B48" s="68"/>
      <c r="C48" s="68"/>
      <c r="D48" s="68"/>
      <c r="E48" s="68"/>
      <c r="F48" s="68"/>
      <c r="G48" s="68"/>
      <c r="H48" s="68"/>
      <c r="I48" s="68"/>
      <c r="J48" s="68"/>
      <c r="K48" s="68"/>
      <c r="L48" s="69"/>
      <c r="M48" s="68"/>
      <c r="N48" s="61"/>
    </row>
    <row r="49" spans="1:14" ht="15.75" thickBot="1" x14ac:dyDescent="0.3">
      <c r="A49" t="s">
        <v>4</v>
      </c>
      <c r="B49" s="52">
        <f>ROUND(SUM(B47:B48),2)</f>
        <v>0</v>
      </c>
      <c r="C49" s="52">
        <f>ROUND(SUM(C47:C48),2)</f>
        <v>0</v>
      </c>
      <c r="D49" s="52">
        <f t="shared" ref="D49" si="26">ROUND(SUM(D47:D48),2)</f>
        <v>0</v>
      </c>
      <c r="E49" s="52">
        <f t="shared" ref="E49" si="27">ROUND(SUM(E47:E48),2)</f>
        <v>0</v>
      </c>
      <c r="F49" s="52">
        <f t="shared" ref="F49" si="28">ROUND(SUM(F47:F48),2)</f>
        <v>0</v>
      </c>
      <c r="G49" s="52">
        <f t="shared" ref="G49" si="29">ROUND(SUM(G47:G48),2)</f>
        <v>0</v>
      </c>
      <c r="H49" s="52">
        <f t="shared" ref="H49" si="30">ROUND(SUM(H47:H48),2)</f>
        <v>0</v>
      </c>
      <c r="I49" s="52">
        <f t="shared" ref="I49" si="31">ROUND(SUM(I47:I48),2)</f>
        <v>0</v>
      </c>
      <c r="J49" s="52">
        <f t="shared" ref="J49" si="32">ROUND(SUM(J47:J48),2)</f>
        <v>0</v>
      </c>
      <c r="K49" s="52">
        <f t="shared" ref="K49" si="33">ROUND(SUM(K47:K48),2)</f>
        <v>0</v>
      </c>
      <c r="L49" s="52">
        <f t="shared" ref="L49" si="34">ROUND(SUM(L47:L48),2)</f>
        <v>0</v>
      </c>
      <c r="M49" s="52">
        <f t="shared" ref="M49" si="35">ROUND(SUM(M47:M48),2)</f>
        <v>0</v>
      </c>
      <c r="N49" s="52">
        <f t="shared" ref="N49" si="36">ROUND(SUM(N47:N48),2)</f>
        <v>0</v>
      </c>
    </row>
    <row r="50" spans="1:14" ht="15.75" thickTop="1" x14ac:dyDescent="0.25"/>
    <row r="51" spans="1:14" x14ac:dyDescent="0.25">
      <c r="A51" t="s">
        <v>82</v>
      </c>
      <c r="B51" s="72">
        <f>ROUND(SUM(C51:N51),2)</f>
        <v>0</v>
      </c>
      <c r="C51" s="66"/>
      <c r="D51" s="66"/>
      <c r="E51" s="66"/>
      <c r="F51" s="66"/>
      <c r="G51" s="66"/>
      <c r="H51" s="66"/>
      <c r="I51" s="66"/>
      <c r="J51" s="66"/>
      <c r="K51" s="66"/>
      <c r="L51" s="66"/>
      <c r="M51" s="66"/>
      <c r="N51" s="66"/>
    </row>
    <row r="57" spans="1:14" x14ac:dyDescent="0.25">
      <c r="A57" t="s">
        <v>91</v>
      </c>
      <c r="B57" s="50"/>
      <c r="E57" s="113" t="b">
        <v>0</v>
      </c>
      <c r="F57" t="s">
        <v>300</v>
      </c>
    </row>
    <row r="58" spans="1:14" x14ac:dyDescent="0.25">
      <c r="A58" t="s">
        <v>92</v>
      </c>
      <c r="B58" s="73"/>
    </row>
    <row r="59" spans="1:14" x14ac:dyDescent="0.25">
      <c r="A59" t="s">
        <v>93</v>
      </c>
      <c r="B59" s="73"/>
    </row>
    <row r="60" spans="1:14" x14ac:dyDescent="0.25">
      <c r="A60" t="s">
        <v>94</v>
      </c>
      <c r="B60" s="43"/>
      <c r="C60" t="s">
        <v>5</v>
      </c>
    </row>
    <row r="62" spans="1:14" ht="15.75" thickBot="1" x14ac:dyDescent="0.3">
      <c r="A62" t="s">
        <v>0</v>
      </c>
      <c r="B62" s="6">
        <v>0</v>
      </c>
      <c r="C62" s="6">
        <v>1</v>
      </c>
      <c r="D62" s="6">
        <v>2</v>
      </c>
      <c r="E62" s="6">
        <v>3</v>
      </c>
      <c r="F62" s="6">
        <v>4</v>
      </c>
      <c r="G62" s="6">
        <v>5</v>
      </c>
      <c r="H62" s="6">
        <v>6</v>
      </c>
      <c r="I62" s="6">
        <v>7</v>
      </c>
      <c r="J62" s="6">
        <v>8</v>
      </c>
      <c r="K62" s="6">
        <v>9</v>
      </c>
      <c r="L62" s="6">
        <v>10</v>
      </c>
      <c r="M62" s="6">
        <v>11</v>
      </c>
      <c r="N62" s="6">
        <v>12</v>
      </c>
    </row>
    <row r="63" spans="1:14" x14ac:dyDescent="0.25">
      <c r="A63" t="s">
        <v>80</v>
      </c>
      <c r="B63" s="61"/>
      <c r="C63" s="61"/>
      <c r="D63" s="61"/>
      <c r="E63" s="61"/>
      <c r="F63" s="61"/>
      <c r="G63" s="61"/>
      <c r="H63" s="61"/>
      <c r="I63" s="61"/>
      <c r="J63" s="61"/>
      <c r="K63" s="61"/>
      <c r="L63" s="61"/>
      <c r="M63" s="61"/>
      <c r="N63" s="61"/>
    </row>
    <row r="64" spans="1:14" x14ac:dyDescent="0.25">
      <c r="A64" t="s">
        <v>81</v>
      </c>
      <c r="B64" s="68"/>
      <c r="C64" s="68"/>
      <c r="D64" s="68"/>
      <c r="E64" s="68"/>
      <c r="F64" s="68"/>
      <c r="G64" s="68"/>
      <c r="H64" s="68"/>
      <c r="I64" s="68"/>
      <c r="J64" s="68"/>
      <c r="K64" s="68"/>
      <c r="L64" s="69"/>
      <c r="M64" s="68"/>
      <c r="N64" s="61"/>
    </row>
    <row r="65" spans="1:14" ht="15.75" thickBot="1" x14ac:dyDescent="0.3">
      <c r="A65" t="s">
        <v>4</v>
      </c>
      <c r="B65" s="52">
        <f>ROUND(SUM(B63:B64),2)</f>
        <v>0</v>
      </c>
      <c r="C65" s="52">
        <f>ROUND(SUM(C63:C64),2)</f>
        <v>0</v>
      </c>
      <c r="D65" s="52">
        <f t="shared" ref="D65:N65" si="37">ROUND(SUM(D63:D64),2)</f>
        <v>0</v>
      </c>
      <c r="E65" s="52">
        <f t="shared" si="37"/>
        <v>0</v>
      </c>
      <c r="F65" s="52">
        <f t="shared" si="37"/>
        <v>0</v>
      </c>
      <c r="G65" s="52">
        <f t="shared" si="37"/>
        <v>0</v>
      </c>
      <c r="H65" s="52">
        <f t="shared" si="37"/>
        <v>0</v>
      </c>
      <c r="I65" s="52">
        <f t="shared" si="37"/>
        <v>0</v>
      </c>
      <c r="J65" s="52">
        <f t="shared" si="37"/>
        <v>0</v>
      </c>
      <c r="K65" s="52">
        <f t="shared" si="37"/>
        <v>0</v>
      </c>
      <c r="L65" s="52">
        <f t="shared" si="37"/>
        <v>0</v>
      </c>
      <c r="M65" s="52">
        <f t="shared" si="37"/>
        <v>0</v>
      </c>
      <c r="N65" s="52">
        <f t="shared" si="37"/>
        <v>0</v>
      </c>
    </row>
    <row r="66" spans="1:14" ht="15.75" thickTop="1" x14ac:dyDescent="0.25"/>
    <row r="67" spans="1:14" x14ac:dyDescent="0.25">
      <c r="A67" t="s">
        <v>82</v>
      </c>
      <c r="B67" s="72">
        <f>ROUND(SUM(C67:L67),2)</f>
        <v>0</v>
      </c>
      <c r="C67" s="66"/>
      <c r="D67" s="66"/>
      <c r="E67" s="66"/>
      <c r="F67" s="66"/>
      <c r="G67" s="66"/>
      <c r="H67" s="66"/>
      <c r="I67" s="66"/>
      <c r="J67" s="66"/>
      <c r="K67" s="66"/>
      <c r="L67" s="66"/>
      <c r="M67" s="66"/>
      <c r="N67" s="66"/>
    </row>
    <row r="73" spans="1:14" x14ac:dyDescent="0.25">
      <c r="A73" t="s">
        <v>95</v>
      </c>
      <c r="B73" s="50"/>
      <c r="E73" s="113" t="b">
        <v>0</v>
      </c>
      <c r="F73" t="s">
        <v>300</v>
      </c>
    </row>
    <row r="74" spans="1:14" x14ac:dyDescent="0.25">
      <c r="A74" t="s">
        <v>96</v>
      </c>
      <c r="B74" s="73"/>
    </row>
    <row r="75" spans="1:14" x14ac:dyDescent="0.25">
      <c r="A75" t="s">
        <v>97</v>
      </c>
      <c r="B75" s="73"/>
    </row>
    <row r="76" spans="1:14" x14ac:dyDescent="0.25">
      <c r="A76" t="s">
        <v>98</v>
      </c>
      <c r="B76" s="43"/>
      <c r="C76" t="s">
        <v>5</v>
      </c>
    </row>
    <row r="78" spans="1:14" ht="15.75" thickBot="1" x14ac:dyDescent="0.3">
      <c r="A78" t="s">
        <v>0</v>
      </c>
      <c r="B78" s="6">
        <v>0</v>
      </c>
      <c r="C78" s="6">
        <v>1</v>
      </c>
      <c r="D78" s="6">
        <v>2</v>
      </c>
      <c r="E78" s="6">
        <v>3</v>
      </c>
      <c r="F78" s="6">
        <v>4</v>
      </c>
      <c r="G78" s="6">
        <v>5</v>
      </c>
      <c r="H78" s="6">
        <v>6</v>
      </c>
      <c r="I78" s="6">
        <v>7</v>
      </c>
      <c r="J78" s="6">
        <v>8</v>
      </c>
      <c r="K78" s="6">
        <v>9</v>
      </c>
      <c r="L78" s="6">
        <v>10</v>
      </c>
      <c r="M78" s="6">
        <v>11</v>
      </c>
      <c r="N78" s="6">
        <v>12</v>
      </c>
    </row>
    <row r="79" spans="1:14" x14ac:dyDescent="0.25">
      <c r="A79" t="s">
        <v>80</v>
      </c>
      <c r="B79" s="61"/>
      <c r="C79" s="61"/>
      <c r="D79" s="61"/>
      <c r="E79" s="61"/>
      <c r="F79" s="61"/>
      <c r="G79" s="61"/>
      <c r="H79" s="61"/>
      <c r="I79" s="61"/>
      <c r="J79" s="61"/>
      <c r="K79" s="61"/>
      <c r="L79" s="61"/>
      <c r="M79" s="61"/>
      <c r="N79" s="61"/>
    </row>
    <row r="80" spans="1:14" x14ac:dyDescent="0.25">
      <c r="A80" t="s">
        <v>81</v>
      </c>
      <c r="B80" s="68"/>
      <c r="C80" s="68"/>
      <c r="D80" s="68"/>
      <c r="E80" s="68"/>
      <c r="F80" s="68"/>
      <c r="G80" s="68"/>
      <c r="H80" s="68"/>
      <c r="I80" s="68"/>
      <c r="J80" s="68"/>
      <c r="K80" s="68"/>
      <c r="L80" s="69"/>
      <c r="M80" s="68"/>
      <c r="N80" s="61"/>
    </row>
    <row r="81" spans="1:14" ht="15.75" thickBot="1" x14ac:dyDescent="0.3">
      <c r="A81" t="s">
        <v>4</v>
      </c>
      <c r="B81" s="52">
        <f>ROUND(SUM(B79:B80),2)</f>
        <v>0</v>
      </c>
      <c r="C81" s="52">
        <f>ROUND(SUM(C79:C80),2)</f>
        <v>0</v>
      </c>
      <c r="D81" s="52">
        <f t="shared" ref="D81" si="38">ROUND(SUM(D79:D80),2)</f>
        <v>0</v>
      </c>
      <c r="E81" s="52">
        <f t="shared" ref="E81" si="39">ROUND(SUM(E79:E80),2)</f>
        <v>0</v>
      </c>
      <c r="F81" s="52">
        <f t="shared" ref="F81" si="40">ROUND(SUM(F79:F80),2)</f>
        <v>0</v>
      </c>
      <c r="G81" s="52">
        <f t="shared" ref="G81" si="41">ROUND(SUM(G79:G80),2)</f>
        <v>0</v>
      </c>
      <c r="H81" s="52">
        <f t="shared" ref="H81" si="42">ROUND(SUM(H79:H80),2)</f>
        <v>0</v>
      </c>
      <c r="I81" s="52">
        <f t="shared" ref="I81" si="43">ROUND(SUM(I79:I80),2)</f>
        <v>0</v>
      </c>
      <c r="J81" s="52">
        <f t="shared" ref="J81" si="44">ROUND(SUM(J79:J80),2)</f>
        <v>0</v>
      </c>
      <c r="K81" s="52">
        <f t="shared" ref="K81" si="45">ROUND(SUM(K79:K80),2)</f>
        <v>0</v>
      </c>
      <c r="L81" s="52">
        <f t="shared" ref="L81" si="46">ROUND(SUM(L79:L80),2)</f>
        <v>0</v>
      </c>
      <c r="M81" s="52">
        <f t="shared" ref="M81" si="47">ROUND(SUM(M79:M80),2)</f>
        <v>0</v>
      </c>
      <c r="N81" s="52">
        <f t="shared" ref="N81" si="48">ROUND(SUM(N79:N80),2)</f>
        <v>0</v>
      </c>
    </row>
    <row r="82" spans="1:14" ht="15.75" thickTop="1" x14ac:dyDescent="0.25"/>
    <row r="83" spans="1:14" x14ac:dyDescent="0.25">
      <c r="A83" t="s">
        <v>82</v>
      </c>
      <c r="B83" s="72">
        <f>ROUND(SUM(C83:L83),2)</f>
        <v>0</v>
      </c>
      <c r="C83" s="66"/>
      <c r="D83" s="66"/>
      <c r="E83" s="66"/>
      <c r="F83" s="66"/>
      <c r="G83" s="66"/>
      <c r="H83" s="66"/>
      <c r="I83" s="66"/>
      <c r="J83" s="66"/>
      <c r="K83" s="66"/>
      <c r="L83" s="66"/>
      <c r="M83" s="66"/>
      <c r="N83" s="66"/>
    </row>
  </sheetData>
  <sheetProtection algorithmName="SHA-512" hashValue="1FluxC/7eg1JMsDkZAes2rC5eDkMFIGTxtBdY9JRszsOfQk64l+RWwNHavEgp26q4kc4l7PN+8QUZSKJFpz8iA==" saltValue="YIoM773ouqEI0FgRHxyEhg==" spinCount="100000" sheet="1" objects="1" scenarios="1"/>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9D291D55-8412-4D8A-8549-3A58A98E79FA}">
            <xm:f>AND($E$41,OR(AND((OR(ROUND('5Ans'!B41,1)=0,'5Ans'!B41="")),NOT(OR(ROUND(B41,1)=0,B41=""))),AND(ROUND('5Ans'!B41,2)&lt;&gt;0,ROUND(B41,2)&lt;&gt;ROUND('5Ans'!B41,2))))</xm:f>
            <x14:dxf>
              <fill>
                <patternFill>
                  <bgColor rgb="FFFFFF00"/>
                </patternFill>
              </fill>
            </x14:dxf>
          </x14:cfRule>
          <xm:sqref>B41:B44 B47:N48 C51:N51</xm:sqref>
        </x14:conditionalFormatting>
        <x14:conditionalFormatting xmlns:xm="http://schemas.microsoft.com/office/excel/2006/main">
          <x14:cfRule type="expression" priority="3" id="{0529409B-DE24-4F6C-8960-1E1139C08412}">
            <xm:f>AND($E$57,OR(AND((OR(ROUND('5Ans'!B57,1)=0,'5Ans'!B57="")),NOT(OR(ROUND(B57,1)=0,B57=""))),AND(ROUND('5Ans'!B57,2)&lt;&gt;0,ROUND(B57,2)&lt;&gt;ROUND('5Ans'!B57,2))))</xm:f>
            <x14:dxf>
              <fill>
                <patternFill>
                  <bgColor rgb="FFFFFF00"/>
                </patternFill>
              </fill>
            </x14:dxf>
          </x14:cfRule>
          <xm:sqref>B57:B60 B63:N64 C67:N67</xm:sqref>
        </x14:conditionalFormatting>
        <x14:conditionalFormatting xmlns:xm="http://schemas.microsoft.com/office/excel/2006/main">
          <x14:cfRule type="expression" priority="1" id="{E11791E3-D196-4947-A7EA-019213A94F89}">
            <xm:f>AND($E$73,OR(AND((OR(ROUND('5Ans'!B73,1)=0,'5Ans'!B73="")),NOT(OR(ROUND(B73,1)=0,B73=""))),AND(ROUND('5Ans'!B73,2)&lt;&gt;0,ROUND(B73,2)&lt;&gt;ROUND('5Ans'!B73,2))))</xm:f>
            <x14:dxf>
              <fill>
                <patternFill>
                  <bgColor rgb="FFFFFF00"/>
                </patternFill>
              </fill>
            </x14:dxf>
          </x14:cfRule>
          <xm:sqref>B73:B76 B79:N80 C83:N83</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B5AA5AD-7520-4E76-B45F-56E20D462D80}">
          <x14:formula1>
            <xm:f>'Names Choices Etc'!$B$1:$B$6</xm:f>
          </x14:formula1>
          <xm:sqref>B44 B60 B76</xm:sqref>
        </x14:dataValidation>
        <x14:dataValidation type="list" allowBlank="1" showInputMessage="1" showErrorMessage="1" xr:uid="{06A0AD41-8721-44A1-A4E8-FA64ADA97977}">
          <x14:formula1>
            <xm:f>'Names Choices Etc'!$C$1:$C$4</xm:f>
          </x14:formula1>
          <xm:sqref>B42:B43 B58:B59 B74:B75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6:J58"/>
  <sheetViews>
    <sheetView zoomScale="130" zoomScaleNormal="130" workbookViewId="0">
      <selection activeCell="E34" sqref="E34"/>
    </sheetView>
  </sheetViews>
  <sheetFormatPr defaultColWidth="8.85546875" defaultRowHeight="15" x14ac:dyDescent="0.25"/>
  <cols>
    <col min="1" max="1" width="20.28515625" customWidth="1"/>
    <col min="2" max="6" width="12.28515625" bestFit="1" customWidth="1"/>
    <col min="10" max="10" width="11.7109375" bestFit="1" customWidth="1"/>
    <col min="12" max="12" width="8.28515625" customWidth="1"/>
  </cols>
  <sheetData>
    <row r="6" spans="1:10" x14ac:dyDescent="0.25">
      <c r="A6" t="s">
        <v>99</v>
      </c>
      <c r="B6" s="47">
        <v>400</v>
      </c>
    </row>
    <row r="7" spans="1:10" x14ac:dyDescent="0.25">
      <c r="A7" t="s">
        <v>100</v>
      </c>
      <c r="B7" s="76">
        <v>2.5000000000000001E-2</v>
      </c>
    </row>
    <row r="8" spans="1:10" x14ac:dyDescent="0.25">
      <c r="A8" t="s">
        <v>101</v>
      </c>
      <c r="B8" s="48">
        <v>0</v>
      </c>
    </row>
    <row r="10" spans="1:10" x14ac:dyDescent="0.25">
      <c r="A10" t="s">
        <v>82</v>
      </c>
      <c r="B10" s="47">
        <f>P6_Amount_Ex1/(P6_Interest_Rate_Ex1-P6_Growth_Rate_Ex1)</f>
        <v>16000</v>
      </c>
      <c r="J10" s="110"/>
    </row>
    <row r="15" spans="1:10" x14ac:dyDescent="0.25">
      <c r="A15" t="s">
        <v>102</v>
      </c>
      <c r="B15" s="47">
        <v>400</v>
      </c>
    </row>
    <row r="16" spans="1:10" x14ac:dyDescent="0.25">
      <c r="A16" t="s">
        <v>103</v>
      </c>
      <c r="B16" s="76">
        <v>2.5000000000000001E-2</v>
      </c>
    </row>
    <row r="17" spans="1:10" x14ac:dyDescent="0.25">
      <c r="A17" t="s">
        <v>104</v>
      </c>
      <c r="B17" s="48">
        <v>0.01</v>
      </c>
    </row>
    <row r="19" spans="1:10" x14ac:dyDescent="0.25">
      <c r="A19" t="s">
        <v>82</v>
      </c>
      <c r="B19" s="47">
        <f>P6_Amount_Ex2/(P6_Interest_Rate_Ex2-P6_Growth_Rate_Ex2)</f>
        <v>26666.666666666664</v>
      </c>
      <c r="J19" s="110"/>
    </row>
    <row r="25" spans="1:10" x14ac:dyDescent="0.25">
      <c r="A25" t="s">
        <v>105</v>
      </c>
      <c r="B25" s="47">
        <v>400</v>
      </c>
    </row>
    <row r="26" spans="1:10" x14ac:dyDescent="0.25">
      <c r="A26" t="s">
        <v>106</v>
      </c>
      <c r="B26" s="76">
        <v>2.5000000000000001E-2</v>
      </c>
    </row>
    <row r="27" spans="1:10" x14ac:dyDescent="0.25">
      <c r="A27" t="s">
        <v>107</v>
      </c>
      <c r="B27" s="48">
        <v>0.01</v>
      </c>
    </row>
    <row r="29" spans="1:10" ht="15.75" thickBot="1" x14ac:dyDescent="0.3">
      <c r="A29" t="s">
        <v>0</v>
      </c>
      <c r="B29" s="6">
        <v>0</v>
      </c>
      <c r="C29" s="6">
        <v>1</v>
      </c>
      <c r="D29" s="6">
        <v>2</v>
      </c>
      <c r="E29" s="6">
        <v>3</v>
      </c>
    </row>
    <row r="30" spans="1:10" x14ac:dyDescent="0.25">
      <c r="A30" t="s">
        <v>82</v>
      </c>
      <c r="B30" s="57">
        <f>C30/(1+P6_Interest_Rate_Ex3)</f>
        <v>25381.717231806466</v>
      </c>
      <c r="C30" s="57">
        <f>D30/(1+P6_Interest_Rate_Ex3)</f>
        <v>26016.260162601626</v>
      </c>
      <c r="D30" s="57">
        <f>P6_Amount_Ex3/(P6_Interest_Rate_Ex3-P6_Growth_Rate_Ex3)</f>
        <v>26666.666666666664</v>
      </c>
      <c r="E30" s="57"/>
      <c r="J30" s="110"/>
    </row>
    <row r="34" spans="1:10" x14ac:dyDescent="0.25">
      <c r="A34" t="s">
        <v>108</v>
      </c>
      <c r="B34" s="50"/>
      <c r="E34" s="113" t="b">
        <v>0</v>
      </c>
      <c r="F34" t="s">
        <v>300</v>
      </c>
    </row>
    <row r="35" spans="1:10" x14ac:dyDescent="0.25">
      <c r="A35" t="s">
        <v>109</v>
      </c>
      <c r="B35" s="77"/>
    </row>
    <row r="36" spans="1:10" x14ac:dyDescent="0.25">
      <c r="A36" t="s">
        <v>110</v>
      </c>
      <c r="B36" s="77"/>
    </row>
    <row r="38" spans="1:10" x14ac:dyDescent="0.25">
      <c r="A38" t="s">
        <v>82</v>
      </c>
      <c r="B38" s="50"/>
      <c r="J38" s="110"/>
    </row>
    <row r="43" spans="1:10" x14ac:dyDescent="0.25">
      <c r="A43" t="s">
        <v>111</v>
      </c>
      <c r="B43" s="50"/>
      <c r="E43" s="113" t="b">
        <v>0</v>
      </c>
      <c r="F43" t="s">
        <v>300</v>
      </c>
    </row>
    <row r="44" spans="1:10" x14ac:dyDescent="0.25">
      <c r="A44" t="s">
        <v>112</v>
      </c>
      <c r="B44" s="77"/>
    </row>
    <row r="45" spans="1:10" x14ac:dyDescent="0.25">
      <c r="A45" t="s">
        <v>113</v>
      </c>
      <c r="B45" s="77"/>
    </row>
    <row r="47" spans="1:10" x14ac:dyDescent="0.25">
      <c r="A47" t="s">
        <v>82</v>
      </c>
      <c r="B47" s="50"/>
      <c r="J47" s="110"/>
    </row>
    <row r="53" spans="1:10" x14ac:dyDescent="0.25">
      <c r="A53" t="s">
        <v>158</v>
      </c>
      <c r="B53" s="50"/>
      <c r="E53" s="113" t="b">
        <v>0</v>
      </c>
      <c r="F53" t="s">
        <v>300</v>
      </c>
    </row>
    <row r="54" spans="1:10" x14ac:dyDescent="0.25">
      <c r="A54" t="s">
        <v>159</v>
      </c>
      <c r="B54" s="77"/>
    </row>
    <row r="55" spans="1:10" x14ac:dyDescent="0.25">
      <c r="A55" t="s">
        <v>160</v>
      </c>
      <c r="B55" s="77"/>
    </row>
    <row r="57" spans="1:10" ht="15.75" thickBot="1" x14ac:dyDescent="0.3">
      <c r="A57" t="s">
        <v>0</v>
      </c>
      <c r="B57" s="6">
        <v>0</v>
      </c>
      <c r="C57" s="6">
        <v>1</v>
      </c>
      <c r="D57" s="6">
        <v>2</v>
      </c>
      <c r="E57" s="6">
        <v>3</v>
      </c>
      <c r="F57" s="6">
        <v>4</v>
      </c>
      <c r="G57" s="6">
        <v>5</v>
      </c>
      <c r="H57" s="6">
        <v>6</v>
      </c>
      <c r="I57" s="6">
        <v>7</v>
      </c>
    </row>
    <row r="58" spans="1:10" x14ac:dyDescent="0.25">
      <c r="A58" t="s">
        <v>82</v>
      </c>
      <c r="B58" s="58"/>
      <c r="C58" s="58"/>
      <c r="D58" s="58"/>
      <c r="E58" s="58"/>
      <c r="F58" s="58"/>
      <c r="G58" s="58"/>
      <c r="H58" s="58"/>
      <c r="I58" s="58"/>
      <c r="J58" s="110"/>
    </row>
  </sheetData>
  <sheetProtection algorithmName="SHA-512" hashValue="I1PIKvBTZ/ZWNnmYvHb1MD7jz2tPKmex6uPoMDNrRrpRbei+dXm6p7AKDiyKBiOSyR2lHUQlBaGF+kRuL2a+7A==" saltValue="k+CDihHa4I8gMuLqhtwPgg==" spinCount="100000" sheet="1" objects="1" scenarios="1"/>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 id="{60C851BB-FE58-44E2-ABC8-8B557BFD2C8C}">
            <xm:f>AND($E$34,OR(AND((OR(ROUND('6Ans'!B34,1)=0,'6Ans'!B34="")),NOT(OR(ROUND(B34,1)=0,B34=""))),AND(ROUND('6Ans'!B34,2)&lt;&gt;0,ROUND(B34,2)&lt;&gt;ROUND('6Ans'!B34,2))))</xm:f>
            <x14:dxf>
              <fill>
                <patternFill>
                  <bgColor rgb="FFFFFF00"/>
                </patternFill>
              </fill>
            </x14:dxf>
          </x14:cfRule>
          <xm:sqref>B34:B36 B38</xm:sqref>
        </x14:conditionalFormatting>
        <x14:conditionalFormatting xmlns:xm="http://schemas.microsoft.com/office/excel/2006/main">
          <x14:cfRule type="expression" priority="3" id="{9341361A-E082-45D9-8AE7-5FB6905DCC73}">
            <xm:f>AND($E$43,OR(AND((OR(ROUND('6Ans'!B43,1)=0,'6Ans'!B43="")),NOT(OR(ROUND(B43,1)=0,B43=""))),AND(ROUND('6Ans'!B43,2)&lt;&gt;0,ROUND(B43,2)&lt;&gt;ROUND('6Ans'!B43,2))))</xm:f>
            <x14:dxf>
              <fill>
                <patternFill>
                  <bgColor rgb="FFFFFF00"/>
                </patternFill>
              </fill>
            </x14:dxf>
          </x14:cfRule>
          <xm:sqref>B43:B45 B47</xm:sqref>
        </x14:conditionalFormatting>
        <x14:conditionalFormatting xmlns:xm="http://schemas.microsoft.com/office/excel/2006/main">
          <x14:cfRule type="expression" priority="2" id="{4B50CD0C-E8B5-4D57-8D7E-4D5143282E1D}">
            <xm:f>AND($E$53,OR(AND((OR(ROUND('6Ans'!B53,1)=0,'6Ans'!B53="")),NOT(OR(ROUND(B53,1)=0,B53=""))),AND(ROUND('6Ans'!B53,2)&lt;&gt;0,ROUND(B53,2)&lt;&gt;ROUND('6Ans'!B53,2))))</xm:f>
            <x14:dxf>
              <fill>
                <patternFill>
                  <bgColor rgb="FFFFFF00"/>
                </patternFill>
              </fill>
            </x14:dxf>
          </x14:cfRule>
          <xm:sqref>B53:B55 B58:I58</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sheetPr>
  <dimension ref="A6:N532"/>
  <sheetViews>
    <sheetView topLeftCell="A47" zoomScaleNormal="100" workbookViewId="0">
      <selection activeCell="E74" sqref="E74"/>
    </sheetView>
  </sheetViews>
  <sheetFormatPr defaultColWidth="8.85546875" defaultRowHeight="15" x14ac:dyDescent="0.25"/>
  <cols>
    <col min="1" max="1" width="27.85546875" customWidth="1"/>
    <col min="2" max="2" width="11.42578125" bestFit="1" customWidth="1"/>
    <col min="12" max="12" width="10.42578125" bestFit="1" customWidth="1"/>
    <col min="14" max="14" width="10.42578125" bestFit="1" customWidth="1"/>
  </cols>
  <sheetData>
    <row r="6" spans="1:2" x14ac:dyDescent="0.25">
      <c r="A6" t="s">
        <v>114</v>
      </c>
      <c r="B6" s="57">
        <v>1000</v>
      </c>
    </row>
    <row r="7" spans="1:2" x14ac:dyDescent="0.25">
      <c r="A7" t="s">
        <v>115</v>
      </c>
      <c r="B7" s="57">
        <v>15384.62</v>
      </c>
    </row>
    <row r="8" spans="1:2" x14ac:dyDescent="0.25">
      <c r="A8" t="s">
        <v>116</v>
      </c>
      <c r="B8" s="80">
        <f>P7_Amount_Ex1/P7_PV_Ex1</f>
        <v>6.4999980500005841E-2</v>
      </c>
    </row>
    <row r="15" spans="1:2" x14ac:dyDescent="0.25">
      <c r="A15" t="s">
        <v>117</v>
      </c>
      <c r="B15" s="57">
        <v>1000</v>
      </c>
    </row>
    <row r="16" spans="1:2" x14ac:dyDescent="0.25">
      <c r="A16" t="s">
        <v>118</v>
      </c>
      <c r="B16" s="57">
        <f>P7_Face_Ex2/(1+P7_Implicit_Interest_Rate_Ex2)^P7_Maturity_Ex2</f>
        <v>385.54000389223336</v>
      </c>
    </row>
    <row r="17" spans="1:14" x14ac:dyDescent="0.25">
      <c r="A17" t="s">
        <v>119</v>
      </c>
      <c r="B17" s="81">
        <v>10</v>
      </c>
    </row>
    <row r="19" spans="1:14" x14ac:dyDescent="0.25">
      <c r="A19" t="s">
        <v>130</v>
      </c>
      <c r="B19" s="80">
        <v>0.10000093740652907</v>
      </c>
    </row>
    <row r="26" spans="1:14" x14ac:dyDescent="0.25">
      <c r="A26" t="s">
        <v>120</v>
      </c>
      <c r="B26" s="47">
        <v>1000</v>
      </c>
    </row>
    <row r="27" spans="1:14" x14ac:dyDescent="0.25">
      <c r="A27" t="s">
        <v>121</v>
      </c>
      <c r="B27" s="71">
        <v>6.5000000000000002E-2</v>
      </c>
    </row>
    <row r="28" spans="1:14" x14ac:dyDescent="0.25">
      <c r="A28" t="s">
        <v>122</v>
      </c>
      <c r="B28" s="76">
        <v>8.821350586550683E-2</v>
      </c>
    </row>
    <row r="29" spans="1:14" x14ac:dyDescent="0.25">
      <c r="A29" t="s">
        <v>123</v>
      </c>
      <c r="B29" s="49">
        <v>0.5</v>
      </c>
      <c r="C29" t="s">
        <v>5</v>
      </c>
    </row>
    <row r="31" spans="1:14" ht="15.75" thickBot="1" x14ac:dyDescent="0.3">
      <c r="A31" t="s">
        <v>0</v>
      </c>
      <c r="B31" s="6">
        <v>0</v>
      </c>
      <c r="C31" s="6">
        <v>1</v>
      </c>
      <c r="D31" s="6">
        <v>2</v>
      </c>
      <c r="E31" s="6">
        <v>3</v>
      </c>
      <c r="F31" s="6">
        <v>4</v>
      </c>
      <c r="G31" s="6">
        <v>5</v>
      </c>
      <c r="H31" s="6">
        <v>6</v>
      </c>
      <c r="I31" s="6">
        <v>7</v>
      </c>
      <c r="J31" s="6">
        <v>8</v>
      </c>
      <c r="K31" s="6">
        <v>9</v>
      </c>
      <c r="L31" s="6">
        <v>10</v>
      </c>
      <c r="M31" s="6">
        <v>11</v>
      </c>
      <c r="N31" s="6">
        <v>12</v>
      </c>
    </row>
    <row r="32" spans="1:14" x14ac:dyDescent="0.25">
      <c r="A32" t="s">
        <v>80</v>
      </c>
      <c r="B32" s="70"/>
      <c r="C32" s="70">
        <f t="shared" ref="C32:N32" si="0">P7_Face_Ex3*(P7_Coupon_Rate_Ex3*P7_One_Period_Ex3)</f>
        <v>32.5</v>
      </c>
      <c r="D32" s="70">
        <f t="shared" si="0"/>
        <v>32.5</v>
      </c>
      <c r="E32" s="70">
        <f t="shared" si="0"/>
        <v>32.5</v>
      </c>
      <c r="F32" s="70">
        <f t="shared" si="0"/>
        <v>32.5</v>
      </c>
      <c r="G32" s="70">
        <f t="shared" si="0"/>
        <v>32.5</v>
      </c>
      <c r="H32" s="70">
        <f t="shared" si="0"/>
        <v>32.5</v>
      </c>
      <c r="I32" s="70">
        <f t="shared" si="0"/>
        <v>32.5</v>
      </c>
      <c r="J32" s="70">
        <f t="shared" si="0"/>
        <v>32.5</v>
      </c>
      <c r="K32" s="70">
        <f t="shared" si="0"/>
        <v>32.5</v>
      </c>
      <c r="L32" s="70">
        <f t="shared" si="0"/>
        <v>32.5</v>
      </c>
      <c r="M32" s="70">
        <f t="shared" si="0"/>
        <v>32.5</v>
      </c>
      <c r="N32" s="70">
        <f t="shared" si="0"/>
        <v>32.5</v>
      </c>
    </row>
    <row r="33" spans="1:14" x14ac:dyDescent="0.25">
      <c r="A33" t="s">
        <v>81</v>
      </c>
      <c r="B33" s="83"/>
      <c r="C33" s="83"/>
      <c r="D33" s="83"/>
      <c r="E33" s="83"/>
      <c r="F33" s="83"/>
      <c r="G33" s="83"/>
      <c r="H33" s="83"/>
      <c r="I33" s="83"/>
      <c r="J33" s="83"/>
      <c r="K33" s="83"/>
      <c r="L33" s="83"/>
      <c r="M33" s="83"/>
      <c r="N33" s="70">
        <f>P7_Face_Ex3</f>
        <v>1000</v>
      </c>
    </row>
    <row r="34" spans="1:14" ht="15.75" thickBot="1" x14ac:dyDescent="0.3">
      <c r="A34" t="s">
        <v>4</v>
      </c>
      <c r="B34" s="82">
        <f>ROUND(SUM(B32:B33),2)</f>
        <v>0</v>
      </c>
      <c r="C34" s="82">
        <f t="shared" ref="C34:N34" si="1">ROUND(SUM(C32:C33),2)</f>
        <v>32.5</v>
      </c>
      <c r="D34" s="82">
        <f t="shared" si="1"/>
        <v>32.5</v>
      </c>
      <c r="E34" s="82">
        <f t="shared" si="1"/>
        <v>32.5</v>
      </c>
      <c r="F34" s="82">
        <f t="shared" si="1"/>
        <v>32.5</v>
      </c>
      <c r="G34" s="82">
        <f t="shared" si="1"/>
        <v>32.5</v>
      </c>
      <c r="H34" s="82">
        <f t="shared" si="1"/>
        <v>32.5</v>
      </c>
      <c r="I34" s="82">
        <f t="shared" si="1"/>
        <v>32.5</v>
      </c>
      <c r="J34" s="82">
        <f t="shared" si="1"/>
        <v>32.5</v>
      </c>
      <c r="K34" s="82">
        <f t="shared" si="1"/>
        <v>32.5</v>
      </c>
      <c r="L34" s="82">
        <f t="shared" si="1"/>
        <v>32.5</v>
      </c>
      <c r="M34" s="82">
        <f t="shared" si="1"/>
        <v>32.5</v>
      </c>
      <c r="N34" s="82">
        <f t="shared" si="1"/>
        <v>1032.5</v>
      </c>
    </row>
    <row r="35" spans="1:14" ht="15.75" thickTop="1" x14ac:dyDescent="0.25"/>
    <row r="36" spans="1:14" x14ac:dyDescent="0.25">
      <c r="A36" t="s">
        <v>82</v>
      </c>
      <c r="B36" s="84">
        <f>SUM(C36:N36)</f>
        <v>893.62000507554581</v>
      </c>
      <c r="C36" s="70">
        <f t="shared" ref="C36:N36" si="2">C34/(1+P7_Interest_Rate_Ex3*P7_One_Period_Ex3)^C31</f>
        <v>31.127085337502063</v>
      </c>
      <c r="D36" s="70">
        <f t="shared" si="2"/>
        <v>29.812167434096491</v>
      </c>
      <c r="E36" s="70">
        <f t="shared" si="2"/>
        <v>28.552796302062198</v>
      </c>
      <c r="F36" s="70">
        <f t="shared" si="2"/>
        <v>27.346625449803181</v>
      </c>
      <c r="G36" s="70">
        <f t="shared" si="2"/>
        <v>26.191407509807057</v>
      </c>
      <c r="H36" s="70">
        <f t="shared" si="2"/>
        <v>25.084990051294056</v>
      </c>
      <c r="I36" s="70">
        <f t="shared" si="2"/>
        <v>24.025311569754471</v>
      </c>
      <c r="J36" s="70">
        <f t="shared" si="2"/>
        <v>23.010397645902248</v>
      </c>
      <c r="K36" s="70">
        <f t="shared" si="2"/>
        <v>22.038357266887875</v>
      </c>
      <c r="L36" s="70">
        <f t="shared" si="2"/>
        <v>21.107379302916236</v>
      </c>
      <c r="M36" s="70">
        <f t="shared" si="2"/>
        <v>20.215729132704571</v>
      </c>
      <c r="N36" s="70">
        <f t="shared" si="2"/>
        <v>615.10775807281527</v>
      </c>
    </row>
    <row r="37" spans="1:14" x14ac:dyDescent="0.25">
      <c r="B37" s="95"/>
      <c r="C37" s="95"/>
      <c r="D37" s="95"/>
      <c r="E37" s="95"/>
      <c r="F37" s="95"/>
      <c r="G37" s="95"/>
      <c r="H37" s="95"/>
      <c r="I37" s="95"/>
      <c r="J37" s="95"/>
      <c r="K37" s="95"/>
      <c r="L37" s="95"/>
      <c r="M37" s="95"/>
      <c r="N37" s="95"/>
    </row>
    <row r="41" spans="1:14" x14ac:dyDescent="0.25">
      <c r="A41" t="s">
        <v>124</v>
      </c>
      <c r="B41" s="78"/>
      <c r="E41" s="113" t="b">
        <v>0</v>
      </c>
      <c r="F41" t="s">
        <v>300</v>
      </c>
    </row>
    <row r="42" spans="1:14" x14ac:dyDescent="0.25">
      <c r="A42" t="s">
        <v>125</v>
      </c>
      <c r="B42" s="78"/>
    </row>
    <row r="43" spans="1:14" x14ac:dyDescent="0.25">
      <c r="A43" t="s">
        <v>116</v>
      </c>
      <c r="B43" s="85"/>
    </row>
    <row r="44" spans="1:14" x14ac:dyDescent="0.25">
      <c r="B44" s="109"/>
    </row>
    <row r="50" spans="1:6" x14ac:dyDescent="0.25">
      <c r="A50" t="s">
        <v>126</v>
      </c>
      <c r="B50" s="78"/>
      <c r="E50" s="113" t="b">
        <v>0</v>
      </c>
      <c r="F50" t="s">
        <v>300</v>
      </c>
    </row>
    <row r="51" spans="1:6" x14ac:dyDescent="0.25">
      <c r="A51" t="s">
        <v>127</v>
      </c>
      <c r="B51" s="78"/>
    </row>
    <row r="52" spans="1:6" x14ac:dyDescent="0.25">
      <c r="A52" t="s">
        <v>128</v>
      </c>
      <c r="B52" s="86"/>
      <c r="C52" t="s">
        <v>5</v>
      </c>
    </row>
    <row r="54" spans="1:6" x14ac:dyDescent="0.25">
      <c r="A54" t="s">
        <v>129</v>
      </c>
      <c r="B54" s="85"/>
    </row>
    <row r="55" spans="1:6" x14ac:dyDescent="0.25">
      <c r="B55" s="109"/>
    </row>
    <row r="61" spans="1:6" x14ac:dyDescent="0.25">
      <c r="A61" t="s">
        <v>131</v>
      </c>
      <c r="B61" s="50">
        <v>1000</v>
      </c>
      <c r="E61" s="113" t="b">
        <v>0</v>
      </c>
      <c r="F61" t="s">
        <v>300</v>
      </c>
    </row>
    <row r="62" spans="1:6" x14ac:dyDescent="0.25">
      <c r="A62" t="s">
        <v>132</v>
      </c>
      <c r="B62" s="73">
        <v>0.05</v>
      </c>
    </row>
    <row r="63" spans="1:6" x14ac:dyDescent="0.25">
      <c r="A63" t="s">
        <v>133</v>
      </c>
      <c r="B63" s="77">
        <v>6.6694000000000003E-2</v>
      </c>
    </row>
    <row r="64" spans="1:6" x14ac:dyDescent="0.25">
      <c r="A64" t="s">
        <v>134</v>
      </c>
      <c r="B64" s="43">
        <v>0.5</v>
      </c>
      <c r="C64" t="s">
        <v>5</v>
      </c>
    </row>
    <row r="66" spans="1:14" ht="15.75" thickBot="1" x14ac:dyDescent="0.3">
      <c r="A66" t="s">
        <v>0</v>
      </c>
      <c r="B66" s="6">
        <v>0</v>
      </c>
      <c r="C66" s="6">
        <v>1</v>
      </c>
      <c r="D66" s="6">
        <v>2</v>
      </c>
      <c r="E66" s="6">
        <v>3</v>
      </c>
      <c r="F66" s="6">
        <v>4</v>
      </c>
      <c r="G66" s="6">
        <v>5</v>
      </c>
      <c r="H66" s="6">
        <v>6</v>
      </c>
      <c r="I66" s="6">
        <v>7</v>
      </c>
      <c r="J66" s="6">
        <v>8</v>
      </c>
      <c r="K66" s="6">
        <v>9</v>
      </c>
      <c r="L66" s="6">
        <v>10</v>
      </c>
      <c r="M66" s="6">
        <v>11</v>
      </c>
      <c r="N66" s="6">
        <v>12</v>
      </c>
    </row>
    <row r="67" spans="1:14" x14ac:dyDescent="0.25">
      <c r="A67" t="s">
        <v>80</v>
      </c>
      <c r="B67" s="66"/>
      <c r="C67" s="66"/>
      <c r="D67" s="66"/>
      <c r="E67" s="66"/>
      <c r="F67" s="66"/>
      <c r="G67" s="66"/>
      <c r="H67" s="66"/>
      <c r="I67" s="66"/>
      <c r="J67" s="66"/>
      <c r="K67" s="66"/>
      <c r="L67" s="66"/>
      <c r="M67" s="66"/>
      <c r="N67" s="66"/>
    </row>
    <row r="68" spans="1:14" x14ac:dyDescent="0.25">
      <c r="A68" t="s">
        <v>81</v>
      </c>
      <c r="B68" s="87"/>
      <c r="C68" s="87"/>
      <c r="D68" s="87"/>
      <c r="E68" s="87"/>
      <c r="F68" s="87"/>
      <c r="G68" s="87"/>
      <c r="H68" s="87"/>
      <c r="I68" s="87"/>
      <c r="J68" s="87"/>
      <c r="K68" s="87"/>
      <c r="L68" s="87"/>
      <c r="M68" s="87"/>
      <c r="N68" s="66"/>
    </row>
    <row r="69" spans="1:14" ht="15.75" thickBot="1" x14ac:dyDescent="0.3">
      <c r="A69" t="s">
        <v>4</v>
      </c>
      <c r="B69" s="82">
        <f>ROUND(SUM(B67:B68),2)</f>
        <v>0</v>
      </c>
      <c r="C69" s="82">
        <f t="shared" ref="C69" si="3">ROUND(SUM(C67:C68),2)</f>
        <v>0</v>
      </c>
      <c r="D69" s="82">
        <f t="shared" ref="D69" si="4">ROUND(SUM(D67:D68),2)</f>
        <v>0</v>
      </c>
      <c r="E69" s="82">
        <f t="shared" ref="E69" si="5">ROUND(SUM(E67:E68),2)</f>
        <v>0</v>
      </c>
      <c r="F69" s="82">
        <f t="shared" ref="F69" si="6">ROUND(SUM(F67:F68),2)</f>
        <v>0</v>
      </c>
      <c r="G69" s="82">
        <f t="shared" ref="G69" si="7">ROUND(SUM(G67:G68),2)</f>
        <v>0</v>
      </c>
      <c r="H69" s="82">
        <f t="shared" ref="H69" si="8">ROUND(SUM(H67:H68),2)</f>
        <v>0</v>
      </c>
      <c r="I69" s="82">
        <f t="shared" ref="I69" si="9">ROUND(SUM(I67:I68),2)</f>
        <v>0</v>
      </c>
      <c r="J69" s="82">
        <f t="shared" ref="J69" si="10">ROUND(SUM(J67:J68),2)</f>
        <v>0</v>
      </c>
      <c r="K69" s="82">
        <f t="shared" ref="K69" si="11">ROUND(SUM(K67:K68),2)</f>
        <v>0</v>
      </c>
      <c r="L69" s="82">
        <f t="shared" ref="L69" si="12">ROUND(SUM(L67:L68),2)</f>
        <v>0</v>
      </c>
      <c r="M69" s="82">
        <f t="shared" ref="M69" si="13">ROUND(SUM(M67:M68),2)</f>
        <v>0</v>
      </c>
      <c r="N69" s="82">
        <f t="shared" ref="N69" si="14">ROUND(SUM(N67:N68),2)</f>
        <v>0</v>
      </c>
    </row>
    <row r="70" spans="1:14" ht="15.75" thickTop="1" x14ac:dyDescent="0.25"/>
    <row r="71" spans="1:14" x14ac:dyDescent="0.25">
      <c r="A71" t="s">
        <v>82</v>
      </c>
      <c r="B71" s="78"/>
      <c r="C71" s="66"/>
      <c r="D71" s="66"/>
      <c r="E71" s="66"/>
      <c r="F71" s="66"/>
      <c r="G71" s="66"/>
      <c r="H71" s="66"/>
      <c r="I71" s="66"/>
      <c r="J71" s="66"/>
      <c r="K71" s="66"/>
      <c r="L71" s="66"/>
      <c r="M71" s="66"/>
      <c r="N71" s="66"/>
    </row>
    <row r="72" spans="1:14" x14ac:dyDescent="0.25">
      <c r="B72" s="95"/>
      <c r="C72" s="95"/>
      <c r="D72" s="95"/>
      <c r="E72" s="95"/>
      <c r="F72" s="95"/>
      <c r="G72" s="95"/>
      <c r="H72" s="95"/>
      <c r="I72" s="95"/>
      <c r="J72" s="95"/>
      <c r="K72" s="95"/>
      <c r="L72" s="95"/>
      <c r="M72" s="95"/>
      <c r="N72" s="95"/>
    </row>
    <row r="73" spans="1:14" x14ac:dyDescent="0.25">
      <c r="B73" s="109"/>
    </row>
    <row r="532" spans="2:2" x14ac:dyDescent="0.25">
      <c r="B532">
        <v>0</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6" id="{2F6CE21B-9ACD-4F58-A05B-29C8BC04ACE4}">
            <xm:f>AND($E$41,OR(AND((OR(ROUND('7Ans'!B41,1)=0,'7Ans'!B41="")),NOT(OR(ROUND(B41,1)=0,B41=""))),AND(ROUND('7Ans'!B41,2)&lt;&gt;0,ROUND(B41,2)&lt;&gt;ROUND('7Ans'!B41,2))))</xm:f>
            <x14:dxf>
              <fill>
                <patternFill>
                  <bgColor rgb="FFFFFF00"/>
                </patternFill>
              </fill>
            </x14:dxf>
          </x14:cfRule>
          <xm:sqref>B41:B43</xm:sqref>
        </x14:conditionalFormatting>
        <x14:conditionalFormatting xmlns:xm="http://schemas.microsoft.com/office/excel/2006/main">
          <x14:cfRule type="expression" priority="5" id="{54A79D8A-3653-4621-B0D0-F74C76C0D72A}">
            <xm:f>AND($E$50,OR(AND((OR(ROUND('7Ans'!B50,1)=0,'7Ans'!B50="")),NOT(OR(ROUND(B50,1)=0,B50=""))),AND(ROUND('7Ans'!B50,2)&lt;&gt;0,ROUND(B50,2)&lt;&gt;ROUND('7Ans'!B50,2))))</xm:f>
            <x14:dxf>
              <fill>
                <patternFill>
                  <bgColor rgb="FFFFFF00"/>
                </patternFill>
              </fill>
            </x14:dxf>
          </x14:cfRule>
          <xm:sqref>B50:B52 B54</xm:sqref>
        </x14:conditionalFormatting>
        <x14:conditionalFormatting xmlns:xm="http://schemas.microsoft.com/office/excel/2006/main">
          <x14:cfRule type="expression" priority="3" id="{14142318-22D8-4748-A089-7ED69E201811}">
            <xm:f>AND($E$61,OR(AND((OR(ROUND('7Ans'!B61,1)=0,'7Ans'!B61="")),NOT(OR(ROUND(B61,1)=0,B61=""))),AND(ROUND('7Ans'!B61,2)&lt;&gt;0,ROUND(B61,2)&lt;&gt;ROUND('7Ans'!B61,2))))</xm:f>
            <x14:dxf>
              <fill>
                <patternFill>
                  <bgColor rgb="FFFFFF00"/>
                </patternFill>
              </fill>
            </x14:dxf>
          </x14:cfRule>
          <xm:sqref>B61:B64 B67:N68 B71:N71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95CC151E-64C9-466C-A8B6-B488C9860DD7}">
          <x14:formula1>
            <xm:f>'Names Choices Etc'!$C$1:$C$4</xm:f>
          </x14:formula1>
          <xm:sqref>B62</xm:sqref>
        </x14:dataValidation>
        <x14:dataValidation type="list" allowBlank="1" showInputMessage="1" showErrorMessage="1" xr:uid="{9EB9385C-A181-4E18-ADFA-74A2EFA707DA}">
          <x14:formula1>
            <xm:f>'Names Choices Etc'!$B$1:$B$6</xm:f>
          </x14:formula1>
          <xm:sqref>B64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9:N47"/>
  <sheetViews>
    <sheetView topLeftCell="A10" zoomScale="115" zoomScaleNormal="115" workbookViewId="0">
      <selection activeCell="E47" sqref="E47"/>
    </sheetView>
  </sheetViews>
  <sheetFormatPr defaultColWidth="8.85546875" defaultRowHeight="15" x14ac:dyDescent="0.25"/>
  <cols>
    <col min="1" max="1" width="17.28515625" customWidth="1"/>
    <col min="2" max="2" width="13.28515625" customWidth="1"/>
    <col min="6" max="6" width="12.5703125" bestFit="1" customWidth="1"/>
    <col min="8" max="8" width="12.5703125" bestFit="1" customWidth="1"/>
    <col min="10" max="10" width="12.5703125" bestFit="1" customWidth="1"/>
    <col min="12" max="14" width="12.28515625" bestFit="1" customWidth="1"/>
  </cols>
  <sheetData>
    <row r="9" spans="1:10" ht="15.75" thickBot="1" x14ac:dyDescent="0.3"/>
    <row r="10" spans="1:10" ht="48" thickBot="1" x14ac:dyDescent="0.3">
      <c r="D10" s="20" t="s">
        <v>1</v>
      </c>
      <c r="E10" s="21" t="s">
        <v>135</v>
      </c>
      <c r="F10" s="22" t="s">
        <v>141</v>
      </c>
      <c r="G10" s="21" t="s">
        <v>137</v>
      </c>
      <c r="H10" s="22" t="s">
        <v>142</v>
      </c>
      <c r="I10" s="21" t="s">
        <v>138</v>
      </c>
      <c r="J10" s="15" t="s">
        <v>252</v>
      </c>
    </row>
    <row r="11" spans="1:10" ht="15.75" x14ac:dyDescent="0.25">
      <c r="A11" t="s">
        <v>139</v>
      </c>
      <c r="B11" s="57">
        <v>1000</v>
      </c>
      <c r="D11" s="17">
        <v>0</v>
      </c>
      <c r="E11" s="16">
        <v>0.05</v>
      </c>
      <c r="F11" s="91">
        <f t="shared" ref="F11:F21" si="0">P8_Face_Value_Ex/(1+E11)^($D$21-$D11)</f>
        <v>613.91325354075934</v>
      </c>
      <c r="G11" s="16">
        <v>0.05</v>
      </c>
      <c r="H11" s="91">
        <f t="shared" ref="H11:H21" si="1">P8_Face_Value_Ex/(1+G11)^($D$21-$D11)</f>
        <v>613.91325354075934</v>
      </c>
      <c r="I11" s="16">
        <v>0.05</v>
      </c>
      <c r="J11" s="91">
        <f t="shared" ref="J11:J21" si="2">P8_Face_Value_Ex/(1+I11)^($D$21-$D11)</f>
        <v>613.91325354075934</v>
      </c>
    </row>
    <row r="12" spans="1:10" ht="15.75" x14ac:dyDescent="0.25">
      <c r="D12" s="17">
        <v>1</v>
      </c>
      <c r="E12" s="16">
        <v>0.05</v>
      </c>
      <c r="F12" s="91">
        <f t="shared" si="0"/>
        <v>644.60891621779729</v>
      </c>
      <c r="G12" s="16">
        <v>0.05</v>
      </c>
      <c r="H12" s="91">
        <f t="shared" si="1"/>
        <v>644.60891621779729</v>
      </c>
      <c r="I12" s="16">
        <v>0.1</v>
      </c>
      <c r="J12" s="91">
        <f t="shared" si="2"/>
        <v>424.09761837248465</v>
      </c>
    </row>
    <row r="13" spans="1:10" ht="15.75" x14ac:dyDescent="0.25">
      <c r="D13" s="17">
        <v>2</v>
      </c>
      <c r="E13" s="16">
        <v>0.05</v>
      </c>
      <c r="F13" s="91">
        <f t="shared" si="0"/>
        <v>676.83936202868722</v>
      </c>
      <c r="G13" s="16">
        <v>0.05</v>
      </c>
      <c r="H13" s="91">
        <f t="shared" si="1"/>
        <v>676.83936202868722</v>
      </c>
      <c r="I13" s="16">
        <v>0.1</v>
      </c>
      <c r="J13" s="91">
        <f t="shared" si="2"/>
        <v>466.50738020973318</v>
      </c>
    </row>
    <row r="14" spans="1:10" ht="15.75" x14ac:dyDescent="0.25">
      <c r="D14" s="17">
        <v>3</v>
      </c>
      <c r="E14" s="16">
        <v>0.05</v>
      </c>
      <c r="F14" s="91">
        <f t="shared" si="0"/>
        <v>710.68133013012141</v>
      </c>
      <c r="G14" s="16">
        <v>0.05</v>
      </c>
      <c r="H14" s="91">
        <f t="shared" si="1"/>
        <v>710.68133013012141</v>
      </c>
      <c r="I14" s="16">
        <v>0.04</v>
      </c>
      <c r="J14" s="91">
        <f t="shared" si="2"/>
        <v>759.91781320206326</v>
      </c>
    </row>
    <row r="15" spans="1:10" ht="15.75" x14ac:dyDescent="0.25">
      <c r="D15" s="17">
        <v>4</v>
      </c>
      <c r="E15" s="16">
        <v>0.05</v>
      </c>
      <c r="F15" s="91">
        <f t="shared" si="0"/>
        <v>746.2153966366277</v>
      </c>
      <c r="G15" s="16">
        <v>0.05</v>
      </c>
      <c r="H15" s="91">
        <f t="shared" si="1"/>
        <v>746.2153966366277</v>
      </c>
      <c r="I15" s="16">
        <v>0.04</v>
      </c>
      <c r="J15" s="91">
        <f t="shared" si="2"/>
        <v>790.31452573014576</v>
      </c>
    </row>
    <row r="16" spans="1:10" ht="15.75" x14ac:dyDescent="0.25">
      <c r="D16" s="17">
        <v>5</v>
      </c>
      <c r="E16" s="16">
        <v>0.05</v>
      </c>
      <c r="F16" s="91">
        <f t="shared" si="0"/>
        <v>783.526166468459</v>
      </c>
      <c r="G16" s="16">
        <v>0.2</v>
      </c>
      <c r="H16" s="91">
        <f t="shared" si="1"/>
        <v>401.87757201646093</v>
      </c>
      <c r="I16" s="16">
        <v>0.04</v>
      </c>
      <c r="J16" s="91">
        <f t="shared" si="2"/>
        <v>821.92710675935155</v>
      </c>
    </row>
    <row r="17" spans="1:14" ht="15.75" x14ac:dyDescent="0.25">
      <c r="D17" s="17">
        <v>6</v>
      </c>
      <c r="E17" s="16">
        <v>0.05</v>
      </c>
      <c r="F17" s="91">
        <f t="shared" si="0"/>
        <v>822.70247479188197</v>
      </c>
      <c r="G17" s="16">
        <v>0.2</v>
      </c>
      <c r="H17" s="91">
        <f t="shared" si="1"/>
        <v>482.25308641975312</v>
      </c>
      <c r="I17" s="16">
        <v>0.03</v>
      </c>
      <c r="J17" s="91">
        <f t="shared" si="2"/>
        <v>888.487047915689</v>
      </c>
    </row>
    <row r="18" spans="1:14" ht="15.75" x14ac:dyDescent="0.25">
      <c r="D18" s="17">
        <v>7</v>
      </c>
      <c r="E18" s="16">
        <v>0.05</v>
      </c>
      <c r="F18" s="91">
        <f t="shared" si="0"/>
        <v>863.83759853147603</v>
      </c>
      <c r="G18" s="16">
        <v>0.2</v>
      </c>
      <c r="H18" s="91">
        <f t="shared" si="1"/>
        <v>578.7037037037037</v>
      </c>
      <c r="I18" s="16">
        <v>0.03</v>
      </c>
      <c r="J18" s="91">
        <f t="shared" si="2"/>
        <v>915.14165935315953</v>
      </c>
    </row>
    <row r="19" spans="1:14" ht="15.75" x14ac:dyDescent="0.25">
      <c r="D19" s="17">
        <v>8</v>
      </c>
      <c r="E19" s="16">
        <v>0.05</v>
      </c>
      <c r="F19" s="91">
        <f t="shared" si="0"/>
        <v>907.02947845804988</v>
      </c>
      <c r="G19" s="16">
        <v>0.2</v>
      </c>
      <c r="H19" s="91">
        <f t="shared" si="1"/>
        <v>694.44444444444446</v>
      </c>
      <c r="I19" s="16">
        <v>0.03</v>
      </c>
      <c r="J19" s="91">
        <f t="shared" si="2"/>
        <v>942.59590913375439</v>
      </c>
    </row>
    <row r="20" spans="1:14" ht="15.75" x14ac:dyDescent="0.25">
      <c r="D20" s="17">
        <v>9</v>
      </c>
      <c r="E20" s="16">
        <v>0.05</v>
      </c>
      <c r="F20" s="91">
        <f t="shared" si="0"/>
        <v>952.38095238095229</v>
      </c>
      <c r="G20" s="16">
        <v>0.2</v>
      </c>
      <c r="H20" s="91">
        <f t="shared" si="1"/>
        <v>833.33333333333337</v>
      </c>
      <c r="I20" s="16">
        <v>0.03</v>
      </c>
      <c r="J20" s="91">
        <f t="shared" si="2"/>
        <v>970.87378640776694</v>
      </c>
    </row>
    <row r="21" spans="1:14" ht="16.5" thickBot="1" x14ac:dyDescent="0.3">
      <c r="D21" s="18">
        <v>10</v>
      </c>
      <c r="E21" s="19"/>
      <c r="F21" s="92">
        <f t="shared" si="0"/>
        <v>1000</v>
      </c>
      <c r="G21" s="19"/>
      <c r="H21" s="92">
        <f t="shared" si="1"/>
        <v>1000</v>
      </c>
      <c r="I21" s="19"/>
      <c r="J21" s="92">
        <f t="shared" si="2"/>
        <v>1000</v>
      </c>
    </row>
    <row r="28" spans="1:14" ht="15.75" thickBot="1" x14ac:dyDescent="0.3"/>
    <row r="29" spans="1:14" ht="48" thickBot="1" x14ac:dyDescent="0.3">
      <c r="D29" s="20" t="s">
        <v>1</v>
      </c>
      <c r="E29" s="21" t="s">
        <v>135</v>
      </c>
      <c r="F29" s="22" t="s">
        <v>136</v>
      </c>
      <c r="G29" s="21" t="s">
        <v>137</v>
      </c>
      <c r="H29" s="22" t="s">
        <v>136</v>
      </c>
      <c r="I29" s="21" t="s">
        <v>138</v>
      </c>
      <c r="J29" s="15" t="s">
        <v>136</v>
      </c>
      <c r="L29" s="90"/>
      <c r="M29" s="90"/>
      <c r="N29" s="90"/>
    </row>
    <row r="30" spans="1:14" ht="15.75" x14ac:dyDescent="0.25">
      <c r="A30" t="s">
        <v>140</v>
      </c>
      <c r="B30" s="78"/>
      <c r="D30" s="17">
        <v>0</v>
      </c>
      <c r="E30" s="16">
        <v>0.1</v>
      </c>
      <c r="F30" s="93"/>
      <c r="G30" s="16">
        <v>0.1</v>
      </c>
      <c r="H30" s="93"/>
      <c r="I30" s="16">
        <v>0.1</v>
      </c>
      <c r="J30" s="93"/>
      <c r="L30" s="95"/>
      <c r="M30" s="95"/>
      <c r="N30" s="95"/>
    </row>
    <row r="31" spans="1:14" ht="15.75" x14ac:dyDescent="0.25">
      <c r="D31" s="17">
        <v>1</v>
      </c>
      <c r="E31" s="16">
        <v>0.1</v>
      </c>
      <c r="F31" s="93"/>
      <c r="G31" s="16">
        <v>0.1</v>
      </c>
      <c r="H31" s="93"/>
      <c r="I31" s="16">
        <v>0.1</v>
      </c>
      <c r="J31" s="93"/>
      <c r="L31" s="95"/>
      <c r="M31" s="95"/>
      <c r="N31" s="95"/>
    </row>
    <row r="32" spans="1:14" ht="15.75" x14ac:dyDescent="0.25">
      <c r="D32" s="17">
        <v>2</v>
      </c>
      <c r="E32" s="16">
        <v>0.1</v>
      </c>
      <c r="F32" s="93"/>
      <c r="G32" s="16">
        <v>0.1</v>
      </c>
      <c r="H32" s="93"/>
      <c r="I32" s="16">
        <v>0.1</v>
      </c>
      <c r="J32" s="93"/>
      <c r="L32" s="95"/>
      <c r="M32" s="95"/>
      <c r="N32" s="95"/>
    </row>
    <row r="33" spans="4:14" ht="15.75" x14ac:dyDescent="0.25">
      <c r="D33" s="17">
        <v>3</v>
      </c>
      <c r="E33" s="16">
        <v>0.1</v>
      </c>
      <c r="F33" s="93"/>
      <c r="G33" s="16">
        <v>0.1</v>
      </c>
      <c r="H33" s="93"/>
      <c r="I33" s="16">
        <v>0.15</v>
      </c>
      <c r="J33" s="93"/>
      <c r="L33" s="95"/>
      <c r="M33" s="95"/>
      <c r="N33" s="95"/>
    </row>
    <row r="34" spans="4:14" ht="15.75" x14ac:dyDescent="0.25">
      <c r="D34" s="17">
        <v>4</v>
      </c>
      <c r="E34" s="16">
        <v>0.1</v>
      </c>
      <c r="F34" s="93"/>
      <c r="G34" s="16">
        <v>0.1</v>
      </c>
      <c r="H34" s="93"/>
      <c r="I34" s="16">
        <v>0.15</v>
      </c>
      <c r="J34" s="93"/>
      <c r="L34" s="95"/>
      <c r="M34" s="95"/>
      <c r="N34" s="95"/>
    </row>
    <row r="35" spans="4:14" ht="15.75" x14ac:dyDescent="0.25">
      <c r="D35" s="17">
        <v>5</v>
      </c>
      <c r="E35" s="16">
        <v>0.1</v>
      </c>
      <c r="F35" s="93"/>
      <c r="G35" s="16">
        <v>0.1</v>
      </c>
      <c r="H35" s="93"/>
      <c r="I35" s="16">
        <v>0.15</v>
      </c>
      <c r="J35" s="93"/>
      <c r="L35" s="95"/>
      <c r="M35" s="95"/>
      <c r="N35" s="95"/>
    </row>
    <row r="36" spans="4:14" ht="15.75" x14ac:dyDescent="0.25">
      <c r="D36" s="17">
        <v>6</v>
      </c>
      <c r="E36" s="16">
        <v>0.1</v>
      </c>
      <c r="F36" s="93"/>
      <c r="G36" s="16">
        <v>0.15</v>
      </c>
      <c r="H36" s="93"/>
      <c r="I36" s="16">
        <v>0.15</v>
      </c>
      <c r="J36" s="93"/>
      <c r="L36" s="95"/>
      <c r="M36" s="95"/>
      <c r="N36" s="95"/>
    </row>
    <row r="37" spans="4:14" ht="15.75" x14ac:dyDescent="0.25">
      <c r="D37" s="17">
        <v>7</v>
      </c>
      <c r="E37" s="16">
        <v>0.1</v>
      </c>
      <c r="F37" s="93"/>
      <c r="G37" s="16">
        <v>0.15</v>
      </c>
      <c r="H37" s="93"/>
      <c r="I37" s="16">
        <v>0.03</v>
      </c>
      <c r="J37" s="93"/>
      <c r="L37" s="95"/>
      <c r="M37" s="95"/>
      <c r="N37" s="95"/>
    </row>
    <row r="38" spans="4:14" ht="15.75" x14ac:dyDescent="0.25">
      <c r="D38" s="17">
        <v>8</v>
      </c>
      <c r="E38" s="16">
        <v>0.1</v>
      </c>
      <c r="F38" s="93"/>
      <c r="G38" s="16">
        <v>0.15</v>
      </c>
      <c r="H38" s="93"/>
      <c r="I38" s="16">
        <v>0.03</v>
      </c>
      <c r="J38" s="93"/>
      <c r="L38" s="95"/>
      <c r="M38" s="95"/>
      <c r="N38" s="95"/>
    </row>
    <row r="39" spans="4:14" ht="15.75" x14ac:dyDescent="0.25">
      <c r="D39" s="17">
        <v>9</v>
      </c>
      <c r="E39" s="16">
        <v>0.1</v>
      </c>
      <c r="F39" s="93"/>
      <c r="G39" s="16">
        <v>0.15</v>
      </c>
      <c r="H39" s="93"/>
      <c r="I39" s="16">
        <v>0.03</v>
      </c>
      <c r="J39" s="93"/>
      <c r="L39" s="95"/>
      <c r="M39" s="95"/>
      <c r="N39" s="95"/>
    </row>
    <row r="40" spans="4:14" ht="15.75" x14ac:dyDescent="0.25">
      <c r="D40" s="17">
        <v>10</v>
      </c>
      <c r="E40" s="16">
        <v>0.1</v>
      </c>
      <c r="F40" s="93"/>
      <c r="G40" s="16">
        <v>0.15</v>
      </c>
      <c r="H40" s="93"/>
      <c r="I40" s="16">
        <v>0.03</v>
      </c>
      <c r="J40" s="93"/>
      <c r="L40" s="95"/>
      <c r="M40" s="95"/>
      <c r="N40" s="95"/>
    </row>
    <row r="41" spans="4:14" ht="15.75" x14ac:dyDescent="0.25">
      <c r="D41" s="17">
        <v>11</v>
      </c>
      <c r="E41" s="16">
        <v>0.1</v>
      </c>
      <c r="F41" s="93"/>
      <c r="G41" s="16">
        <v>0.15</v>
      </c>
      <c r="H41" s="93"/>
      <c r="I41" s="16">
        <v>0.1</v>
      </c>
      <c r="J41" s="93"/>
      <c r="L41" s="95"/>
      <c r="M41" s="95"/>
      <c r="N41" s="95"/>
    </row>
    <row r="42" spans="4:14" ht="15.75" x14ac:dyDescent="0.25">
      <c r="D42" s="17">
        <v>12</v>
      </c>
      <c r="E42" s="16">
        <v>0.1</v>
      </c>
      <c r="F42" s="93"/>
      <c r="G42" s="16">
        <v>0.1</v>
      </c>
      <c r="H42" s="93"/>
      <c r="I42" s="16">
        <v>0.1</v>
      </c>
      <c r="J42" s="93"/>
      <c r="L42" s="95"/>
      <c r="M42" s="95"/>
      <c r="N42" s="95"/>
    </row>
    <row r="43" spans="4:14" ht="15.75" x14ac:dyDescent="0.25">
      <c r="D43" s="17">
        <v>13</v>
      </c>
      <c r="E43" s="16">
        <v>0.1</v>
      </c>
      <c r="F43" s="93"/>
      <c r="G43" s="16">
        <v>0.1</v>
      </c>
      <c r="H43" s="93"/>
      <c r="I43" s="16">
        <v>0.1</v>
      </c>
      <c r="J43" s="93"/>
      <c r="L43" s="95"/>
      <c r="M43" s="95"/>
      <c r="N43" s="95"/>
    </row>
    <row r="44" spans="4:14" ht="15.75" x14ac:dyDescent="0.25">
      <c r="D44" s="17">
        <v>14</v>
      </c>
      <c r="E44" s="16">
        <v>0.1</v>
      </c>
      <c r="F44" s="93"/>
      <c r="G44" s="16">
        <v>0.1</v>
      </c>
      <c r="H44" s="93"/>
      <c r="I44" s="16">
        <v>0.1</v>
      </c>
      <c r="J44" s="93"/>
      <c r="L44" s="95"/>
      <c r="M44" s="95"/>
      <c r="N44" s="95"/>
    </row>
    <row r="45" spans="4:14" ht="16.5" thickBot="1" x14ac:dyDescent="0.3">
      <c r="D45" s="18">
        <v>15</v>
      </c>
      <c r="E45" s="19"/>
      <c r="F45" s="94"/>
      <c r="G45" s="19"/>
      <c r="H45" s="94"/>
      <c r="I45" s="19"/>
      <c r="J45" s="94"/>
      <c r="L45" s="95"/>
      <c r="M45" s="95"/>
      <c r="N45" s="95"/>
    </row>
    <row r="47" spans="4:14" ht="15.75" x14ac:dyDescent="0.25">
      <c r="D47" s="90"/>
      <c r="E47" s="113" t="b">
        <v>0</v>
      </c>
      <c r="F47" t="s">
        <v>300</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7FB54A59-24E8-45F4-A114-0FDDD2A75593}">
            <xm:f>AND($E$47,OR(AND((OR(ROUND('8Ans'!B30,1)=0,'8Ans'!B30="")),NOT(OR(ROUND(B30,1)=0,B30=""))),AND(ROUND('8Ans'!B30,2)&lt;&gt;0,ROUND(B30,2)&lt;&gt;ROUND('8Ans'!B30,2))))</xm:f>
            <x14:dxf>
              <fill>
                <patternFill>
                  <bgColor rgb="FFFFFF00"/>
                </patternFill>
              </fill>
            </x14:dxf>
          </x14:cfRule>
          <xm:sqref>B30 F30:F45 H30:H45 J30:J45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4A92-5681-43A0-81CD-9226734C6A93}">
  <dimension ref="A1"/>
  <sheetViews>
    <sheetView workbookViewId="0">
      <selection activeCell="O38" sqref="O38"/>
    </sheetView>
  </sheetViews>
  <sheetFormatPr defaultRowHeight="15" x14ac:dyDescent="0.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6:O65"/>
  <sheetViews>
    <sheetView topLeftCell="A37" zoomScale="145" zoomScaleNormal="145" workbookViewId="0">
      <selection activeCell="E54" sqref="E54:F54"/>
    </sheetView>
  </sheetViews>
  <sheetFormatPr defaultColWidth="8.85546875" defaultRowHeight="15" x14ac:dyDescent="0.25"/>
  <cols>
    <col min="1" max="1" width="19.140625" customWidth="1"/>
    <col min="2" max="2" width="15" customWidth="1"/>
    <col min="3" max="3" width="9.140625" bestFit="1" customWidth="1"/>
    <col min="4" max="5" width="10.7109375" bestFit="1" customWidth="1"/>
    <col min="6" max="6" width="12" bestFit="1" customWidth="1"/>
    <col min="7" max="7" width="11" bestFit="1" customWidth="1"/>
    <col min="8" max="8" width="12" bestFit="1" customWidth="1"/>
  </cols>
  <sheetData>
    <row r="6" spans="1:14" ht="15.75" thickBot="1" x14ac:dyDescent="0.3"/>
    <row r="7" spans="1:14" ht="32.25" thickBot="1" x14ac:dyDescent="0.3">
      <c r="B7" s="20"/>
      <c r="C7" s="21" t="s">
        <v>143</v>
      </c>
      <c r="D7" s="21" t="s">
        <v>144</v>
      </c>
      <c r="E7" s="21" t="s">
        <v>145</v>
      </c>
      <c r="F7" s="21" t="s">
        <v>146</v>
      </c>
      <c r="G7" s="21" t="s">
        <v>147</v>
      </c>
      <c r="H7" s="15" t="s">
        <v>148</v>
      </c>
    </row>
    <row r="8" spans="1:14" ht="31.5" x14ac:dyDescent="0.25">
      <c r="B8" s="24" t="s">
        <v>149</v>
      </c>
      <c r="C8" s="23">
        <v>150</v>
      </c>
      <c r="D8" s="23">
        <v>250</v>
      </c>
      <c r="E8" s="23">
        <v>350</v>
      </c>
      <c r="F8" s="23">
        <v>450</v>
      </c>
      <c r="G8" s="23">
        <v>530</v>
      </c>
      <c r="H8" s="25">
        <v>550</v>
      </c>
    </row>
    <row r="9" spans="1:14" ht="32.25" thickBot="1" x14ac:dyDescent="0.3">
      <c r="B9" s="24" t="s">
        <v>150</v>
      </c>
      <c r="C9" s="27">
        <v>-90</v>
      </c>
      <c r="D9" s="27">
        <v>-130</v>
      </c>
      <c r="E9" s="27">
        <v>-170</v>
      </c>
      <c r="F9" s="27">
        <v>-210</v>
      </c>
      <c r="G9" s="27">
        <v>-250</v>
      </c>
      <c r="H9" s="28">
        <v>-250</v>
      </c>
    </row>
    <row r="10" spans="1:14" ht="32.25" thickBot="1" x14ac:dyDescent="0.3">
      <c r="B10" s="26" t="s">
        <v>151</v>
      </c>
      <c r="C10" s="27">
        <f>C8+C9</f>
        <v>60</v>
      </c>
      <c r="D10" s="27">
        <f t="shared" ref="D10:H10" si="0">D8+D9</f>
        <v>120</v>
      </c>
      <c r="E10" s="27">
        <f t="shared" si="0"/>
        <v>180</v>
      </c>
      <c r="F10" s="27">
        <f t="shared" si="0"/>
        <v>240</v>
      </c>
      <c r="G10" s="27">
        <f t="shared" si="0"/>
        <v>280</v>
      </c>
      <c r="H10" s="99">
        <f t="shared" si="0"/>
        <v>300</v>
      </c>
    </row>
    <row r="11" spans="1:14" ht="15.75" x14ac:dyDescent="0.25">
      <c r="B11" s="31"/>
      <c r="C11" s="23"/>
      <c r="D11" s="23"/>
      <c r="E11" s="23"/>
      <c r="F11" s="23"/>
      <c r="G11" s="23"/>
      <c r="H11" s="23"/>
    </row>
    <row r="12" spans="1:14" ht="15.75" x14ac:dyDescent="0.25">
      <c r="B12" s="31"/>
      <c r="C12" s="23"/>
      <c r="D12" s="23"/>
      <c r="E12" s="23"/>
      <c r="F12" s="23"/>
      <c r="G12" s="23"/>
      <c r="H12" s="23"/>
    </row>
    <row r="13" spans="1:14" ht="15.75" x14ac:dyDescent="0.25">
      <c r="B13" s="31"/>
      <c r="C13" s="23"/>
      <c r="D13" s="23"/>
      <c r="E13" s="23"/>
      <c r="F13" s="23"/>
      <c r="G13" s="23"/>
      <c r="H13" s="23"/>
    </row>
    <row r="15" spans="1:14" x14ac:dyDescent="0.25">
      <c r="A15" t="s">
        <v>152</v>
      </c>
      <c r="B15" s="48">
        <v>0.08</v>
      </c>
    </row>
    <row r="16" spans="1:14" ht="15.75" thickBot="1" x14ac:dyDescent="0.3">
      <c r="A16" t="s">
        <v>0</v>
      </c>
      <c r="B16" s="6">
        <v>0</v>
      </c>
      <c r="C16" s="6">
        <v>1</v>
      </c>
      <c r="D16" s="6">
        <v>2</v>
      </c>
      <c r="E16" s="6">
        <v>3</v>
      </c>
      <c r="F16" s="6">
        <v>4</v>
      </c>
      <c r="G16" s="6">
        <v>5</v>
      </c>
      <c r="H16" s="6">
        <v>6</v>
      </c>
      <c r="I16" s="6">
        <v>7</v>
      </c>
      <c r="J16" s="6">
        <v>8</v>
      </c>
      <c r="K16" s="6">
        <v>9</v>
      </c>
      <c r="L16" s="6">
        <v>10</v>
      </c>
      <c r="M16" s="6">
        <v>11</v>
      </c>
      <c r="N16" s="6">
        <v>12</v>
      </c>
    </row>
    <row r="17" spans="1:15" x14ac:dyDescent="0.25">
      <c r="A17" t="s">
        <v>153</v>
      </c>
      <c r="C17" s="54">
        <f>C10</f>
        <v>60</v>
      </c>
      <c r="D17" s="54">
        <f t="shared" ref="D17:F17" si="1">D10</f>
        <v>120</v>
      </c>
      <c r="E17" s="54">
        <f t="shared" si="1"/>
        <v>180</v>
      </c>
      <c r="F17" s="54">
        <f t="shared" si="1"/>
        <v>240</v>
      </c>
      <c r="G17" s="54">
        <f>G10</f>
        <v>280</v>
      </c>
      <c r="H17" s="49">
        <v>300</v>
      </c>
      <c r="I17" s="49">
        <v>300</v>
      </c>
      <c r="J17" s="49">
        <v>300</v>
      </c>
      <c r="K17" s="49">
        <v>300</v>
      </c>
      <c r="L17" s="49">
        <v>300</v>
      </c>
      <c r="M17" s="49">
        <v>300</v>
      </c>
      <c r="N17" s="49">
        <v>300</v>
      </c>
      <c r="O17" t="s">
        <v>154</v>
      </c>
    </row>
    <row r="18" spans="1:15" ht="30" x14ac:dyDescent="0.25">
      <c r="A18" s="29" t="s">
        <v>155</v>
      </c>
      <c r="C18" s="96"/>
      <c r="D18" s="96"/>
      <c r="E18" s="96"/>
      <c r="F18" s="96"/>
      <c r="G18" s="97">
        <f>ROUND(H17/P9_Interest_Rate_Ex,0)</f>
        <v>3750</v>
      </c>
      <c r="H18" s="7"/>
      <c r="I18" s="7"/>
      <c r="J18" s="7"/>
      <c r="K18" s="7"/>
      <c r="L18" s="7"/>
      <c r="M18" s="7"/>
      <c r="N18" s="7"/>
    </row>
    <row r="19" spans="1:15" x14ac:dyDescent="0.25">
      <c r="A19" s="29" t="s">
        <v>261</v>
      </c>
      <c r="C19" s="64">
        <f>ROUND(SUM(C17:C18),0)</f>
        <v>60</v>
      </c>
      <c r="D19" s="64">
        <f t="shared" ref="D19:G19" si="2">ROUND(SUM(D17:D18),0)</f>
        <v>120</v>
      </c>
      <c r="E19" s="64">
        <f t="shared" si="2"/>
        <v>180</v>
      </c>
      <c r="F19" s="64">
        <f t="shared" si="2"/>
        <v>240</v>
      </c>
      <c r="G19" s="64">
        <f t="shared" si="2"/>
        <v>4030</v>
      </c>
      <c r="H19" s="7"/>
      <c r="I19" s="7"/>
      <c r="J19" s="7"/>
      <c r="K19" s="7"/>
      <c r="L19" s="7"/>
      <c r="M19" s="7"/>
      <c r="N19" s="7"/>
    </row>
    <row r="20" spans="1:15" x14ac:dyDescent="0.25">
      <c r="A20" s="29" t="s">
        <v>82</v>
      </c>
      <c r="B20" s="72">
        <f>ROUND(SUM(C20:G20),2)</f>
        <v>3220.48</v>
      </c>
      <c r="C20" s="70">
        <f>C19/(1+P9_Interest_Rate_Ex)^C16</f>
        <v>55.55555555555555</v>
      </c>
      <c r="D20" s="70">
        <f>D19/(1+P9_Interest_Rate_Ex)^D16</f>
        <v>102.88065843621398</v>
      </c>
      <c r="E20" s="70">
        <f>E19/(1+P9_Interest_Rate_Ex)^E16</f>
        <v>142.88980338363052</v>
      </c>
      <c r="F20" s="70">
        <f>F19/(1+P9_Interest_Rate_Ex)^F16</f>
        <v>176.40716467114879</v>
      </c>
      <c r="G20" s="70">
        <f>G19/(1+P9_Interest_Rate_Ex)^G16</f>
        <v>2742.7502840460247</v>
      </c>
    </row>
    <row r="22" spans="1:15" ht="30" x14ac:dyDescent="0.25">
      <c r="A22" s="29" t="s">
        <v>262</v>
      </c>
      <c r="B22" s="98">
        <f>B20</f>
        <v>3220.48</v>
      </c>
    </row>
    <row r="23" spans="1:15" x14ac:dyDescent="0.25">
      <c r="B23" s="95"/>
    </row>
    <row r="24" spans="1:15" x14ac:dyDescent="0.25">
      <c r="B24" s="95"/>
    </row>
    <row r="25" spans="1:15" x14ac:dyDescent="0.25">
      <c r="B25" s="95"/>
    </row>
    <row r="26" spans="1:15" x14ac:dyDescent="0.25">
      <c r="B26" s="95"/>
    </row>
    <row r="27" spans="1:15" x14ac:dyDescent="0.25">
      <c r="B27" s="95"/>
    </row>
    <row r="28" spans="1:15" ht="15.75" thickBot="1" x14ac:dyDescent="0.3">
      <c r="B28" s="95"/>
      <c r="E28" s="6">
        <v>3</v>
      </c>
      <c r="F28" s="6">
        <v>4</v>
      </c>
      <c r="G28" s="6">
        <v>5</v>
      </c>
      <c r="H28" s="6">
        <v>6</v>
      </c>
      <c r="I28" s="6">
        <v>7</v>
      </c>
      <c r="J28" s="6">
        <v>8</v>
      </c>
      <c r="K28" s="6">
        <v>9</v>
      </c>
      <c r="L28" s="6">
        <v>10</v>
      </c>
      <c r="M28" s="6">
        <v>11</v>
      </c>
      <c r="N28" s="6">
        <v>12</v>
      </c>
    </row>
    <row r="29" spans="1:15" x14ac:dyDescent="0.25">
      <c r="A29" t="s">
        <v>260</v>
      </c>
      <c r="B29" s="95"/>
      <c r="F29" s="54">
        <f>F17</f>
        <v>240</v>
      </c>
      <c r="G29" s="54">
        <f t="shared" ref="G29:N29" si="3">G17</f>
        <v>280</v>
      </c>
      <c r="H29" s="54">
        <f t="shared" si="3"/>
        <v>300</v>
      </c>
      <c r="I29" s="54">
        <f t="shared" si="3"/>
        <v>300</v>
      </c>
      <c r="J29" s="54">
        <f t="shared" si="3"/>
        <v>300</v>
      </c>
      <c r="K29" s="54">
        <f t="shared" si="3"/>
        <v>300</v>
      </c>
      <c r="L29" s="54">
        <f t="shared" si="3"/>
        <v>300</v>
      </c>
      <c r="M29" s="54">
        <f t="shared" si="3"/>
        <v>300</v>
      </c>
      <c r="N29" s="54">
        <f t="shared" si="3"/>
        <v>300</v>
      </c>
      <c r="O29" t="s">
        <v>154</v>
      </c>
    </row>
    <row r="30" spans="1:15" ht="30" x14ac:dyDescent="0.25">
      <c r="A30" s="29" t="s">
        <v>155</v>
      </c>
      <c r="B30" s="95"/>
      <c r="F30" s="100"/>
      <c r="G30" s="97">
        <f>G18</f>
        <v>3750</v>
      </c>
    </row>
    <row r="31" spans="1:15" x14ac:dyDescent="0.25">
      <c r="A31" s="29" t="s">
        <v>261</v>
      </c>
      <c r="B31" s="95"/>
      <c r="F31" s="64">
        <f>ROUND(SUM(F29:F30),0)</f>
        <v>240</v>
      </c>
      <c r="G31" s="64">
        <f>ROUND(SUM(G29:G30),0)</f>
        <v>4030</v>
      </c>
    </row>
    <row r="32" spans="1:15" x14ac:dyDescent="0.25">
      <c r="A32" s="29" t="s">
        <v>82</v>
      </c>
      <c r="B32" s="95"/>
      <c r="E32" s="72">
        <f>ROUND(SUM(F32:G32),2)</f>
        <v>3677.3</v>
      </c>
      <c r="F32" s="83">
        <f>F31/(1+P9_Interest_Rate_Ex)^(F28-3)</f>
        <v>222.2222222222222</v>
      </c>
      <c r="G32" s="83">
        <f>G31/(1+P9_Interest_Rate_Ex)^(G28-3)</f>
        <v>3455.0754458161864</v>
      </c>
    </row>
    <row r="33" spans="1:14" x14ac:dyDescent="0.25">
      <c r="B33" s="95"/>
    </row>
    <row r="34" spans="1:14" ht="30" x14ac:dyDescent="0.25">
      <c r="A34" s="29" t="s">
        <v>263</v>
      </c>
      <c r="B34" s="72">
        <f>E32</f>
        <v>3677.3</v>
      </c>
    </row>
    <row r="35" spans="1:14" x14ac:dyDescent="0.25">
      <c r="B35" s="95"/>
    </row>
    <row r="38" spans="1:14" ht="15.75" thickBot="1" x14ac:dyDescent="0.3"/>
    <row r="39" spans="1:14" ht="46.5" customHeight="1" thickBot="1" x14ac:dyDescent="0.3">
      <c r="B39" s="20"/>
      <c r="C39" s="21" t="s">
        <v>143</v>
      </c>
      <c r="D39" s="21" t="s">
        <v>144</v>
      </c>
      <c r="E39" s="21" t="s">
        <v>145</v>
      </c>
      <c r="F39" s="15" t="s">
        <v>148</v>
      </c>
    </row>
    <row r="40" spans="1:14" ht="31.5" x14ac:dyDescent="0.25">
      <c r="B40" s="24" t="s">
        <v>156</v>
      </c>
      <c r="C40" s="23">
        <v>200</v>
      </c>
      <c r="D40" s="23">
        <v>350</v>
      </c>
      <c r="E40" s="23">
        <v>450</v>
      </c>
      <c r="F40" s="25">
        <v>600</v>
      </c>
    </row>
    <row r="41" spans="1:14" ht="32.25" thickBot="1" x14ac:dyDescent="0.3">
      <c r="B41" s="24" t="s">
        <v>157</v>
      </c>
      <c r="C41" s="27">
        <v>-75</v>
      </c>
      <c r="D41" s="27">
        <v>-150</v>
      </c>
      <c r="E41" s="27">
        <v>-200</v>
      </c>
      <c r="F41" s="28">
        <v>-250</v>
      </c>
    </row>
    <row r="42" spans="1:14" ht="32.25" thickBot="1" x14ac:dyDescent="0.3">
      <c r="B42" s="26" t="s">
        <v>151</v>
      </c>
      <c r="C42" s="27">
        <f>C40+C41</f>
        <v>125</v>
      </c>
      <c r="D42" s="27">
        <f t="shared" ref="D42:F42" si="4">D40+D41</f>
        <v>200</v>
      </c>
      <c r="E42" s="27">
        <f t="shared" si="4"/>
        <v>250</v>
      </c>
      <c r="F42" s="28">
        <f t="shared" si="4"/>
        <v>350</v>
      </c>
    </row>
    <row r="43" spans="1:14" ht="15.75" x14ac:dyDescent="0.25">
      <c r="B43" s="31"/>
      <c r="C43" s="23"/>
      <c r="D43" s="23"/>
      <c r="E43" s="23"/>
      <c r="F43" s="23"/>
    </row>
    <row r="44" spans="1:14" ht="15.75" x14ac:dyDescent="0.25">
      <c r="B44" s="31"/>
      <c r="C44" s="23"/>
      <c r="D44" s="23"/>
      <c r="E44" s="23"/>
      <c r="F44" s="23"/>
    </row>
    <row r="45" spans="1:14" ht="15.75" x14ac:dyDescent="0.25">
      <c r="B45" s="31"/>
      <c r="C45" s="23"/>
      <c r="D45" s="23"/>
      <c r="E45" s="23"/>
      <c r="F45" s="23"/>
    </row>
    <row r="46" spans="1:14" ht="15.75" x14ac:dyDescent="0.25">
      <c r="B46" s="31"/>
      <c r="C46" s="23"/>
      <c r="D46" s="23"/>
      <c r="E46" s="23"/>
      <c r="F46" s="23"/>
    </row>
    <row r="47" spans="1:14" x14ac:dyDescent="0.25">
      <c r="A47" t="s">
        <v>161</v>
      </c>
      <c r="B47" s="51"/>
    </row>
    <row r="48" spans="1:14" ht="15.75" thickBot="1" x14ac:dyDescent="0.3">
      <c r="A48" t="s">
        <v>0</v>
      </c>
      <c r="B48" s="6">
        <v>0</v>
      </c>
      <c r="C48" s="6">
        <v>1</v>
      </c>
      <c r="D48" s="6">
        <v>2</v>
      </c>
      <c r="E48" s="6">
        <v>3</v>
      </c>
      <c r="F48" s="6">
        <v>4</v>
      </c>
      <c r="G48" s="6">
        <v>5</v>
      </c>
      <c r="H48" s="6">
        <v>6</v>
      </c>
      <c r="I48" s="6">
        <v>7</v>
      </c>
      <c r="J48" s="6">
        <v>8</v>
      </c>
      <c r="K48" s="6">
        <v>9</v>
      </c>
      <c r="L48" s="6">
        <v>10</v>
      </c>
      <c r="M48" s="6">
        <v>11</v>
      </c>
      <c r="N48" s="6">
        <v>12</v>
      </c>
    </row>
    <row r="49" spans="1:15" x14ac:dyDescent="0.25">
      <c r="A49" t="s">
        <v>153</v>
      </c>
      <c r="C49" s="42"/>
      <c r="D49" s="42"/>
      <c r="E49" s="42"/>
      <c r="F49" s="42"/>
      <c r="G49" s="42"/>
      <c r="H49" s="42"/>
      <c r="I49" s="42"/>
      <c r="J49" s="42"/>
      <c r="K49" s="42"/>
      <c r="L49" s="42"/>
      <c r="M49" s="42"/>
      <c r="N49" s="42"/>
      <c r="O49" t="s">
        <v>154</v>
      </c>
    </row>
    <row r="50" spans="1:15" ht="30" x14ac:dyDescent="0.25">
      <c r="A50" s="29" t="s">
        <v>264</v>
      </c>
      <c r="E50" s="108"/>
      <c r="F50" s="102"/>
      <c r="H50" s="7"/>
      <c r="I50" s="7"/>
      <c r="J50" s="7"/>
      <c r="K50" s="7"/>
      <c r="L50" s="7"/>
      <c r="M50" s="7"/>
      <c r="N50" s="7"/>
    </row>
    <row r="51" spans="1:15" x14ac:dyDescent="0.25">
      <c r="A51" s="29" t="s">
        <v>261</v>
      </c>
      <c r="C51" s="64">
        <f>ROUND(SUM(C49:C50),0)</f>
        <v>0</v>
      </c>
      <c r="D51" s="64">
        <f t="shared" ref="D51" si="5">ROUND(SUM(D49:D50),0)</f>
        <v>0</v>
      </c>
      <c r="E51" s="64">
        <f>ROUND(SUM(E49:E50),0)</f>
        <v>0</v>
      </c>
      <c r="F51" s="102"/>
      <c r="G51" s="102"/>
      <c r="H51" s="7"/>
      <c r="I51" s="7"/>
      <c r="J51" s="7"/>
      <c r="K51" s="7"/>
      <c r="L51" s="7"/>
      <c r="M51" s="7"/>
      <c r="N51" s="7"/>
    </row>
    <row r="52" spans="1:15" x14ac:dyDescent="0.25">
      <c r="A52" s="29" t="s">
        <v>82</v>
      </c>
      <c r="B52" s="72">
        <f>ROUND(SUM(C52:G52),2)</f>
        <v>0</v>
      </c>
      <c r="C52" s="66"/>
      <c r="D52" s="66"/>
      <c r="E52" s="66"/>
      <c r="F52" s="30"/>
      <c r="G52" s="30"/>
    </row>
    <row r="54" spans="1:15" ht="30" x14ac:dyDescent="0.25">
      <c r="A54" s="29" t="s">
        <v>262</v>
      </c>
      <c r="B54" s="98">
        <f>B52</f>
        <v>0</v>
      </c>
      <c r="E54" s="113" t="b">
        <v>0</v>
      </c>
      <c r="F54" t="s">
        <v>300</v>
      </c>
    </row>
    <row r="55" spans="1:15" x14ac:dyDescent="0.25">
      <c r="A55" s="29"/>
    </row>
    <row r="59" spans="1:15" ht="15.75" thickBot="1" x14ac:dyDescent="0.3">
      <c r="A59" t="s">
        <v>0</v>
      </c>
      <c r="B59" s="5"/>
      <c r="C59" s="5"/>
      <c r="D59" s="6">
        <v>2</v>
      </c>
      <c r="E59" s="6">
        <v>3</v>
      </c>
      <c r="F59" s="6">
        <v>4</v>
      </c>
      <c r="G59" s="6">
        <v>5</v>
      </c>
      <c r="H59" s="6">
        <v>6</v>
      </c>
      <c r="I59" s="6">
        <v>7</v>
      </c>
      <c r="J59" s="6">
        <v>8</v>
      </c>
      <c r="K59" s="6">
        <v>9</v>
      </c>
      <c r="L59" s="6">
        <v>10</v>
      </c>
      <c r="M59" s="6">
        <v>11</v>
      </c>
      <c r="N59" s="6">
        <v>12</v>
      </c>
    </row>
    <row r="60" spans="1:15" x14ac:dyDescent="0.25">
      <c r="A60" t="s">
        <v>153</v>
      </c>
      <c r="C60" s="102"/>
      <c r="D60" s="102"/>
      <c r="E60" s="42"/>
      <c r="F60" s="42"/>
      <c r="G60" s="42"/>
      <c r="H60" s="42"/>
      <c r="I60" s="42"/>
      <c r="J60" s="42"/>
      <c r="K60" s="42"/>
      <c r="L60" s="42"/>
      <c r="M60" s="42"/>
      <c r="N60" s="42"/>
      <c r="O60" t="s">
        <v>154</v>
      </c>
    </row>
    <row r="61" spans="1:15" ht="30" x14ac:dyDescent="0.25">
      <c r="A61" s="29" t="s">
        <v>264</v>
      </c>
      <c r="C61" s="102"/>
      <c r="D61" s="102"/>
      <c r="E61" s="108"/>
      <c r="F61" s="102"/>
      <c r="H61" s="7"/>
      <c r="I61" s="7"/>
      <c r="J61" s="7"/>
      <c r="K61" s="7"/>
      <c r="L61" s="7"/>
      <c r="M61" s="7"/>
      <c r="N61" s="7"/>
    </row>
    <row r="62" spans="1:15" x14ac:dyDescent="0.25">
      <c r="A62" s="29" t="s">
        <v>261</v>
      </c>
      <c r="C62" s="102"/>
      <c r="D62" s="102"/>
      <c r="E62" s="64">
        <f>ROUND(SUM(E60:E61),0)</f>
        <v>0</v>
      </c>
      <c r="F62" s="102"/>
      <c r="G62" s="102"/>
      <c r="H62" s="7"/>
      <c r="I62" s="7"/>
      <c r="J62" s="7"/>
      <c r="K62" s="7"/>
      <c r="L62" s="7"/>
      <c r="M62" s="7"/>
      <c r="N62" s="7"/>
    </row>
    <row r="63" spans="1:15" x14ac:dyDescent="0.25">
      <c r="A63" s="29" t="s">
        <v>82</v>
      </c>
      <c r="C63" s="30"/>
      <c r="D63" s="72">
        <f>ROUND(SUM(E63),2)</f>
        <v>0</v>
      </c>
      <c r="E63" s="66"/>
      <c r="F63" s="30"/>
      <c r="G63" s="30"/>
    </row>
    <row r="65" spans="1:6" ht="30" x14ac:dyDescent="0.25">
      <c r="A65" s="29" t="s">
        <v>265</v>
      </c>
      <c r="B65" s="98">
        <f>D63</f>
        <v>0</v>
      </c>
      <c r="E65" s="113" t="b">
        <v>0</v>
      </c>
      <c r="F65" t="s">
        <v>300</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7" id="{BA2B531D-DF63-46F9-BD45-CBA514213E8D}">
            <xm:f>AND($E$54,OR(AND((OR(ROUND('9Ans'!B47,1)=0,'9Ans'!B47="")),NOT(OR(ROUND(B47,1)=0,B47=""))),AND(ROUND('9Ans'!B47,2)&lt;&gt;0,ROUND(B47,2)&lt;&gt;ROUND('9Ans'!B47,2))))</xm:f>
            <x14:dxf>
              <fill>
                <patternFill>
                  <bgColor rgb="FFFFFF00"/>
                </patternFill>
              </fill>
            </x14:dxf>
          </x14:cfRule>
          <xm:sqref>B47 C49:N49 E50</xm:sqref>
        </x14:conditionalFormatting>
        <x14:conditionalFormatting xmlns:xm="http://schemas.microsoft.com/office/excel/2006/main">
          <x14:cfRule type="expression" priority="4" id="{28661EC2-2B67-4A96-BD5B-763D8BBD433B}">
            <xm:f>AND($E$54,OR(AND((OR(ROUND('9Ans'!C52,1)=0,'9Ans'!C52="""")),NOT(OR(ROUND(C52,1)=0,C52=""""))),AND(ROUND('9Ans'!C52,2)&lt;&gt;0,ROUND(C52,2)&lt;&gt;ROUND('9Ans'!C52,2))))</xm:f>
            <x14:dxf>
              <fill>
                <patternFill>
                  <bgColor rgb="FFFFFF00"/>
                </patternFill>
              </fill>
            </x14:dxf>
          </x14:cfRule>
          <xm:sqref>C52:E52</xm:sqref>
        </x14:conditionalFormatting>
        <x14:conditionalFormatting xmlns:xm="http://schemas.microsoft.com/office/excel/2006/main">
          <x14:cfRule type="expression" priority="1" id="{40D07C3B-BA29-475D-9B7A-9B7832BA5E26}">
            <xm:f>AND($E$65,OR(AND((OR(ROUND('9Ans'!E63,1)=0,'9Ans'!E63="""")),NOT(OR(ROUND(E63,1)=0,E63=""""))),AND(ROUND('9Ans'!E63,2)&lt;&gt;0,ROUND(E63,2)&lt;&gt;ROUND('9Ans'!E63,2))))</xm:f>
            <x14:dxf>
              <fill>
                <patternFill>
                  <bgColor rgb="FFFFFF00"/>
                </patternFill>
              </fill>
            </x14:dxf>
          </x14:cfRule>
          <xm:sqref>E63</xm:sqref>
        </x14:conditionalFormatting>
        <x14:conditionalFormatting xmlns:xm="http://schemas.microsoft.com/office/excel/2006/main">
          <x14:cfRule type="expression" priority="2" id="{0D08752D-2F81-4610-AC9A-913AECA0CF3E}">
            <xm:f>AND($E$65,OR(AND((OR(ROUND('9Ans'!E60,1)=0,'9Ans'!E60="")),NOT(OR(ROUND(E60,1)=0,E60=""))),AND(ROUND('9Ans'!E60,2)&lt;&gt;0,ROUND(E60,2)&lt;&gt;ROUND('9Ans'!E60,2))))</xm:f>
            <x14:dxf>
              <fill>
                <patternFill>
                  <bgColor rgb="FFFFFF00"/>
                </patternFill>
              </fill>
            </x14:dxf>
          </x14:cfRule>
          <xm:sqref>E60:N60 E61</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47:F47"/>
  <sheetViews>
    <sheetView zoomScale="130" zoomScaleNormal="130" workbookViewId="0">
      <selection activeCell="S9" sqref="S9"/>
    </sheetView>
  </sheetViews>
  <sheetFormatPr defaultColWidth="8.85546875" defaultRowHeight="15" x14ac:dyDescent="0.25"/>
  <cols>
    <col min="2" max="2" width="14" customWidth="1"/>
  </cols>
  <sheetData>
    <row r="47" spans="2:6" x14ac:dyDescent="0.25">
      <c r="B47" s="103"/>
      <c r="C47" t="s">
        <v>255</v>
      </c>
      <c r="E47" s="113" t="b">
        <v>0</v>
      </c>
      <c r="F47" t="s">
        <v>300</v>
      </c>
    </row>
  </sheetData>
  <sheetProtection algorithmName="SHA-512" hashValue="QDP0jm3kNC6KWfxxGDoCFbAKJX74R1X7gblsyjtoT1YeXS4RQJJsLoMoJGSU07Iu8zydYfC8izcPdFT2HJMoIA==" saltValue="rVU8OORobvwAmogdoivgpQ==" spinCount="100000" sheet="1" objects="1" scenarios="1"/>
  <conditionalFormatting sqref="B47">
    <cfRule type="expression" dxfId="0" priority="1">
      <formula>AND($E$47,ROUND($B$47,2)&lt;&gt;28.03)</formula>
    </cfRule>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D1868-9EB7-4345-BCE0-B9286711E346}">
  <dimension ref="A1:G96"/>
  <sheetViews>
    <sheetView zoomScale="115" zoomScaleNormal="115" workbookViewId="0">
      <selection activeCell="C74" sqref="C74"/>
    </sheetView>
  </sheetViews>
  <sheetFormatPr defaultColWidth="8.85546875" defaultRowHeight="15" x14ac:dyDescent="0.25"/>
  <cols>
    <col min="1" max="1" width="20" customWidth="1"/>
    <col min="2" max="2" width="29" bestFit="1" customWidth="1"/>
    <col min="3" max="4" width="20" customWidth="1"/>
    <col min="5" max="5" width="6.5703125" bestFit="1" customWidth="1"/>
    <col min="6" max="6" width="25" bestFit="1" customWidth="1"/>
    <col min="7" max="7" width="20" customWidth="1"/>
  </cols>
  <sheetData>
    <row r="1" spans="1:7" ht="15.75" thickBot="1" x14ac:dyDescent="0.3">
      <c r="A1" s="39" t="s">
        <v>170</v>
      </c>
      <c r="B1" s="39" t="s">
        <v>171</v>
      </c>
      <c r="C1" s="39" t="s">
        <v>172</v>
      </c>
      <c r="D1" s="39" t="s">
        <v>173</v>
      </c>
      <c r="E1" s="39" t="s">
        <v>174</v>
      </c>
      <c r="F1" s="39" t="s">
        <v>175</v>
      </c>
      <c r="G1" s="39" t="s">
        <v>176</v>
      </c>
    </row>
    <row r="2" spans="1:7" x14ac:dyDescent="0.25">
      <c r="A2" t="s">
        <v>177</v>
      </c>
      <c r="B2" t="s">
        <v>178</v>
      </c>
      <c r="C2" t="s">
        <v>179</v>
      </c>
      <c r="D2" t="s">
        <v>6</v>
      </c>
      <c r="E2">
        <v>0</v>
      </c>
      <c r="F2" t="s">
        <v>188</v>
      </c>
      <c r="G2" t="s">
        <v>298</v>
      </c>
    </row>
    <row r="3" spans="1:7" x14ac:dyDescent="0.25">
      <c r="A3" t="s">
        <v>177</v>
      </c>
      <c r="B3" t="s">
        <v>178</v>
      </c>
      <c r="C3" t="s">
        <v>180</v>
      </c>
      <c r="D3" t="s">
        <v>6</v>
      </c>
      <c r="E3">
        <v>0</v>
      </c>
      <c r="F3" t="s">
        <v>188</v>
      </c>
      <c r="G3" t="s">
        <v>298</v>
      </c>
    </row>
    <row r="4" spans="1:7" x14ac:dyDescent="0.25">
      <c r="A4" t="s">
        <v>177</v>
      </c>
      <c r="B4" t="s">
        <v>178</v>
      </c>
      <c r="C4" t="s">
        <v>181</v>
      </c>
      <c r="D4" t="s">
        <v>201</v>
      </c>
      <c r="E4">
        <v>0</v>
      </c>
      <c r="F4" t="s">
        <v>202</v>
      </c>
      <c r="G4" t="s">
        <v>298</v>
      </c>
    </row>
    <row r="5" spans="1:7" x14ac:dyDescent="0.25">
      <c r="A5" t="s">
        <v>177</v>
      </c>
      <c r="B5" t="s">
        <v>178</v>
      </c>
      <c r="C5" t="s">
        <v>185</v>
      </c>
      <c r="D5" t="s">
        <v>6</v>
      </c>
      <c r="E5">
        <v>0</v>
      </c>
      <c r="F5" t="s">
        <v>188</v>
      </c>
      <c r="G5" t="s">
        <v>298</v>
      </c>
    </row>
    <row r="6" spans="1:7" x14ac:dyDescent="0.25">
      <c r="A6" t="s">
        <v>177</v>
      </c>
      <c r="B6" t="s">
        <v>178</v>
      </c>
      <c r="C6" t="s">
        <v>186</v>
      </c>
      <c r="D6" t="s">
        <v>6</v>
      </c>
      <c r="E6">
        <v>0</v>
      </c>
      <c r="F6" t="s">
        <v>188</v>
      </c>
      <c r="G6" t="s">
        <v>298</v>
      </c>
    </row>
    <row r="7" spans="1:7" x14ac:dyDescent="0.25">
      <c r="A7" t="s">
        <v>177</v>
      </c>
      <c r="B7" t="s">
        <v>178</v>
      </c>
      <c r="C7" t="s">
        <v>187</v>
      </c>
      <c r="D7" t="s">
        <v>201</v>
      </c>
      <c r="E7">
        <v>0</v>
      </c>
      <c r="F7" t="s">
        <v>202</v>
      </c>
      <c r="G7" t="s">
        <v>298</v>
      </c>
    </row>
    <row r="8" spans="1:7" x14ac:dyDescent="0.25">
      <c r="A8" t="s">
        <v>177</v>
      </c>
      <c r="B8" t="s">
        <v>178</v>
      </c>
      <c r="C8" t="s">
        <v>182</v>
      </c>
      <c r="D8" t="s">
        <v>6</v>
      </c>
      <c r="E8">
        <v>0</v>
      </c>
      <c r="F8" t="s">
        <v>188</v>
      </c>
      <c r="G8" t="s">
        <v>298</v>
      </c>
    </row>
    <row r="9" spans="1:7" x14ac:dyDescent="0.25">
      <c r="A9" t="s">
        <v>177</v>
      </c>
      <c r="B9" t="s">
        <v>178</v>
      </c>
      <c r="C9" t="s">
        <v>183</v>
      </c>
      <c r="D9" t="s">
        <v>6</v>
      </c>
      <c r="E9">
        <v>0</v>
      </c>
      <c r="F9" t="s">
        <v>188</v>
      </c>
      <c r="G9" t="s">
        <v>298</v>
      </c>
    </row>
    <row r="10" spans="1:7" x14ac:dyDescent="0.25">
      <c r="A10" t="s">
        <v>177</v>
      </c>
      <c r="B10" t="s">
        <v>178</v>
      </c>
      <c r="C10" t="s">
        <v>184</v>
      </c>
      <c r="D10" t="s">
        <v>201</v>
      </c>
      <c r="E10">
        <v>0</v>
      </c>
      <c r="F10" t="s">
        <v>202</v>
      </c>
      <c r="G10" t="s">
        <v>298</v>
      </c>
    </row>
    <row r="11" spans="1:7" x14ac:dyDescent="0.25">
      <c r="A11" t="s">
        <v>177</v>
      </c>
      <c r="B11" t="s">
        <v>178</v>
      </c>
      <c r="C11" t="s">
        <v>189</v>
      </c>
      <c r="D11" t="s">
        <v>6</v>
      </c>
      <c r="E11">
        <v>0</v>
      </c>
      <c r="F11" t="s">
        <v>188</v>
      </c>
      <c r="G11" t="s">
        <v>298</v>
      </c>
    </row>
    <row r="12" spans="1:7" x14ac:dyDescent="0.25">
      <c r="A12" t="s">
        <v>177</v>
      </c>
      <c r="B12" t="s">
        <v>178</v>
      </c>
      <c r="C12" t="s">
        <v>190</v>
      </c>
      <c r="D12" t="s">
        <v>6</v>
      </c>
      <c r="E12">
        <v>0</v>
      </c>
      <c r="F12" t="s">
        <v>188</v>
      </c>
      <c r="G12" t="s">
        <v>298</v>
      </c>
    </row>
    <row r="13" spans="1:7" x14ac:dyDescent="0.25">
      <c r="A13" t="s">
        <v>177</v>
      </c>
      <c r="B13" t="s">
        <v>178</v>
      </c>
      <c r="C13" t="s">
        <v>191</v>
      </c>
      <c r="D13" t="s">
        <v>201</v>
      </c>
      <c r="E13">
        <v>0</v>
      </c>
      <c r="F13" t="s">
        <v>202</v>
      </c>
      <c r="G13" t="s">
        <v>298</v>
      </c>
    </row>
    <row r="14" spans="1:7" x14ac:dyDescent="0.25">
      <c r="A14" t="s">
        <v>177</v>
      </c>
      <c r="B14" t="s">
        <v>178</v>
      </c>
      <c r="C14" t="s">
        <v>203</v>
      </c>
      <c r="D14" t="s">
        <v>6</v>
      </c>
      <c r="E14">
        <v>0</v>
      </c>
      <c r="F14" t="s">
        <v>188</v>
      </c>
      <c r="G14" t="s">
        <v>298</v>
      </c>
    </row>
    <row r="15" spans="1:7" x14ac:dyDescent="0.25">
      <c r="A15" t="s">
        <v>177</v>
      </c>
      <c r="B15" t="s">
        <v>178</v>
      </c>
      <c r="C15" t="s">
        <v>204</v>
      </c>
      <c r="D15" t="s">
        <v>6</v>
      </c>
      <c r="E15">
        <v>0</v>
      </c>
      <c r="F15" t="s">
        <v>188</v>
      </c>
      <c r="G15" t="s">
        <v>298</v>
      </c>
    </row>
    <row r="16" spans="1:7" x14ac:dyDescent="0.25">
      <c r="A16" t="s">
        <v>177</v>
      </c>
      <c r="B16" t="s">
        <v>178</v>
      </c>
      <c r="C16" t="s">
        <v>192</v>
      </c>
      <c r="D16" t="s">
        <v>201</v>
      </c>
      <c r="E16">
        <v>0</v>
      </c>
      <c r="F16" t="s">
        <v>202</v>
      </c>
      <c r="G16" t="s">
        <v>298</v>
      </c>
    </row>
    <row r="17" spans="1:7" x14ac:dyDescent="0.25">
      <c r="A17" t="s">
        <v>177</v>
      </c>
      <c r="B17" t="s">
        <v>178</v>
      </c>
      <c r="C17" t="s">
        <v>210</v>
      </c>
      <c r="D17" t="s">
        <v>6</v>
      </c>
      <c r="E17">
        <v>0</v>
      </c>
      <c r="F17" t="s">
        <v>188</v>
      </c>
      <c r="G17" t="s">
        <v>298</v>
      </c>
    </row>
    <row r="18" spans="1:7" x14ac:dyDescent="0.25">
      <c r="A18" t="s">
        <v>177</v>
      </c>
      <c r="B18" t="s">
        <v>178</v>
      </c>
      <c r="C18" t="s">
        <v>211</v>
      </c>
      <c r="D18" t="s">
        <v>6</v>
      </c>
      <c r="E18">
        <v>0</v>
      </c>
      <c r="F18" t="s">
        <v>188</v>
      </c>
      <c r="G18" t="s">
        <v>298</v>
      </c>
    </row>
    <row r="19" spans="1:7" x14ac:dyDescent="0.25">
      <c r="A19" t="s">
        <v>177</v>
      </c>
      <c r="B19" t="s">
        <v>178</v>
      </c>
      <c r="C19" t="s">
        <v>193</v>
      </c>
      <c r="D19" t="s">
        <v>201</v>
      </c>
      <c r="E19">
        <v>0</v>
      </c>
      <c r="F19" t="s">
        <v>202</v>
      </c>
      <c r="G19" t="s">
        <v>298</v>
      </c>
    </row>
    <row r="20" spans="1:7" x14ac:dyDescent="0.25">
      <c r="A20" t="s">
        <v>177</v>
      </c>
      <c r="B20" t="s">
        <v>178</v>
      </c>
      <c r="C20" t="s">
        <v>212</v>
      </c>
      <c r="D20" t="s">
        <v>6</v>
      </c>
      <c r="E20">
        <v>0</v>
      </c>
      <c r="F20" t="s">
        <v>188</v>
      </c>
      <c r="G20" t="s">
        <v>298</v>
      </c>
    </row>
    <row r="21" spans="1:7" x14ac:dyDescent="0.25">
      <c r="A21" t="s">
        <v>177</v>
      </c>
      <c r="B21" t="s">
        <v>178</v>
      </c>
      <c r="C21" t="s">
        <v>213</v>
      </c>
      <c r="D21" t="s">
        <v>6</v>
      </c>
      <c r="E21">
        <v>0</v>
      </c>
      <c r="F21" t="s">
        <v>188</v>
      </c>
      <c r="G21" t="s">
        <v>298</v>
      </c>
    </row>
    <row r="22" spans="1:7" x14ac:dyDescent="0.25">
      <c r="A22" t="s">
        <v>177</v>
      </c>
      <c r="B22" t="s">
        <v>178</v>
      </c>
      <c r="C22" t="s">
        <v>194</v>
      </c>
      <c r="D22" t="s">
        <v>201</v>
      </c>
      <c r="E22">
        <v>0</v>
      </c>
      <c r="F22" t="s">
        <v>202</v>
      </c>
      <c r="G22" t="s">
        <v>298</v>
      </c>
    </row>
    <row r="23" spans="1:7" x14ac:dyDescent="0.25">
      <c r="A23" t="s">
        <v>177</v>
      </c>
      <c r="B23" t="s">
        <v>178</v>
      </c>
      <c r="C23" t="s">
        <v>214</v>
      </c>
      <c r="D23" t="s">
        <v>6</v>
      </c>
      <c r="E23">
        <v>0</v>
      </c>
      <c r="F23" t="s">
        <v>188</v>
      </c>
      <c r="G23" t="s">
        <v>298</v>
      </c>
    </row>
    <row r="24" spans="1:7" x14ac:dyDescent="0.25">
      <c r="A24" t="s">
        <v>177</v>
      </c>
      <c r="B24" t="s">
        <v>178</v>
      </c>
      <c r="C24" t="s">
        <v>215</v>
      </c>
      <c r="D24" t="s">
        <v>6</v>
      </c>
      <c r="E24">
        <v>0</v>
      </c>
      <c r="F24" t="s">
        <v>188</v>
      </c>
      <c r="G24" t="s">
        <v>298</v>
      </c>
    </row>
    <row r="25" spans="1:7" x14ac:dyDescent="0.25">
      <c r="A25" t="s">
        <v>177</v>
      </c>
      <c r="B25" t="s">
        <v>178</v>
      </c>
      <c r="C25" t="s">
        <v>195</v>
      </c>
      <c r="D25" t="s">
        <v>201</v>
      </c>
      <c r="E25">
        <v>0</v>
      </c>
      <c r="F25" t="s">
        <v>202</v>
      </c>
      <c r="G25" t="s">
        <v>298</v>
      </c>
    </row>
    <row r="26" spans="1:7" x14ac:dyDescent="0.25">
      <c r="A26" t="s">
        <v>177</v>
      </c>
      <c r="B26" t="s">
        <v>178</v>
      </c>
      <c r="C26" t="s">
        <v>225</v>
      </c>
      <c r="D26" t="s">
        <v>6</v>
      </c>
      <c r="E26">
        <v>0</v>
      </c>
      <c r="F26" t="s">
        <v>188</v>
      </c>
      <c r="G26" t="s">
        <v>298</v>
      </c>
    </row>
    <row r="27" spans="1:7" x14ac:dyDescent="0.25">
      <c r="A27" t="s">
        <v>177</v>
      </c>
      <c r="B27" t="s">
        <v>178</v>
      </c>
      <c r="C27" t="s">
        <v>216</v>
      </c>
      <c r="D27" t="s">
        <v>6</v>
      </c>
      <c r="E27">
        <v>0</v>
      </c>
      <c r="F27" t="s">
        <v>188</v>
      </c>
      <c r="G27" t="s">
        <v>298</v>
      </c>
    </row>
    <row r="28" spans="1:7" x14ac:dyDescent="0.25">
      <c r="A28" t="s">
        <v>177</v>
      </c>
      <c r="B28" t="s">
        <v>178</v>
      </c>
      <c r="C28" t="s">
        <v>217</v>
      </c>
      <c r="D28" t="s">
        <v>6</v>
      </c>
      <c r="E28">
        <v>0</v>
      </c>
      <c r="F28" t="s">
        <v>188</v>
      </c>
      <c r="G28" t="s">
        <v>298</v>
      </c>
    </row>
    <row r="29" spans="1:7" x14ac:dyDescent="0.25">
      <c r="A29" t="s">
        <v>177</v>
      </c>
      <c r="B29" t="s">
        <v>178</v>
      </c>
      <c r="C29" t="s">
        <v>196</v>
      </c>
      <c r="D29" t="s">
        <v>201</v>
      </c>
      <c r="E29">
        <v>0</v>
      </c>
      <c r="F29" t="s">
        <v>202</v>
      </c>
      <c r="G29" t="s">
        <v>298</v>
      </c>
    </row>
    <row r="30" spans="1:7" x14ac:dyDescent="0.25">
      <c r="A30" t="s">
        <v>177</v>
      </c>
      <c r="B30" t="s">
        <v>178</v>
      </c>
      <c r="C30" t="s">
        <v>218</v>
      </c>
      <c r="D30" t="s">
        <v>6</v>
      </c>
      <c r="E30">
        <v>0</v>
      </c>
      <c r="F30" t="s">
        <v>188</v>
      </c>
      <c r="G30" t="s">
        <v>298</v>
      </c>
    </row>
    <row r="31" spans="1:7" x14ac:dyDescent="0.25">
      <c r="A31" t="s">
        <v>177</v>
      </c>
      <c r="B31" t="s">
        <v>178</v>
      </c>
      <c r="C31" t="s">
        <v>219</v>
      </c>
      <c r="D31" t="s">
        <v>6</v>
      </c>
      <c r="E31">
        <v>0</v>
      </c>
      <c r="F31" t="s">
        <v>188</v>
      </c>
      <c r="G31" t="s">
        <v>298</v>
      </c>
    </row>
    <row r="32" spans="1:7" x14ac:dyDescent="0.25">
      <c r="A32" t="s">
        <v>177</v>
      </c>
      <c r="B32" t="s">
        <v>178</v>
      </c>
      <c r="C32" t="s">
        <v>197</v>
      </c>
      <c r="D32" t="s">
        <v>201</v>
      </c>
      <c r="E32">
        <v>0</v>
      </c>
      <c r="F32" t="s">
        <v>202</v>
      </c>
      <c r="G32" t="s">
        <v>298</v>
      </c>
    </row>
    <row r="33" spans="1:7" x14ac:dyDescent="0.25">
      <c r="A33" t="s">
        <v>177</v>
      </c>
      <c r="B33" t="s">
        <v>178</v>
      </c>
      <c r="C33" t="s">
        <v>208</v>
      </c>
      <c r="D33" t="s">
        <v>6</v>
      </c>
      <c r="E33">
        <v>0</v>
      </c>
      <c r="F33" t="s">
        <v>188</v>
      </c>
      <c r="G33" t="s">
        <v>298</v>
      </c>
    </row>
    <row r="34" spans="1:7" x14ac:dyDescent="0.25">
      <c r="A34" t="s">
        <v>177</v>
      </c>
      <c r="B34" t="s">
        <v>178</v>
      </c>
      <c r="C34" t="s">
        <v>209</v>
      </c>
      <c r="D34" t="s">
        <v>6</v>
      </c>
      <c r="E34">
        <v>0</v>
      </c>
      <c r="F34" t="s">
        <v>188</v>
      </c>
      <c r="G34" t="s">
        <v>298</v>
      </c>
    </row>
    <row r="35" spans="1:7" x14ac:dyDescent="0.25">
      <c r="A35" t="s">
        <v>177</v>
      </c>
      <c r="B35" t="s">
        <v>178</v>
      </c>
      <c r="C35" t="s">
        <v>198</v>
      </c>
      <c r="D35" t="s">
        <v>201</v>
      </c>
      <c r="E35">
        <v>0</v>
      </c>
      <c r="F35" t="s">
        <v>202</v>
      </c>
      <c r="G35" t="s">
        <v>298</v>
      </c>
    </row>
    <row r="36" spans="1:7" x14ac:dyDescent="0.25">
      <c r="A36" t="s">
        <v>177</v>
      </c>
      <c r="B36" t="s">
        <v>178</v>
      </c>
      <c r="C36" t="s">
        <v>207</v>
      </c>
      <c r="D36" t="s">
        <v>6</v>
      </c>
      <c r="E36">
        <v>0</v>
      </c>
      <c r="F36" t="s">
        <v>188</v>
      </c>
      <c r="G36" t="s">
        <v>298</v>
      </c>
    </row>
    <row r="37" spans="1:7" x14ac:dyDescent="0.25">
      <c r="A37" t="s">
        <v>177</v>
      </c>
      <c r="B37" t="s">
        <v>178</v>
      </c>
      <c r="C37" t="s">
        <v>199</v>
      </c>
      <c r="D37" t="s">
        <v>201</v>
      </c>
      <c r="E37">
        <v>0</v>
      </c>
      <c r="F37" t="s">
        <v>202</v>
      </c>
      <c r="G37" t="s">
        <v>298</v>
      </c>
    </row>
    <row r="38" spans="1:7" x14ac:dyDescent="0.25">
      <c r="A38" t="s">
        <v>177</v>
      </c>
      <c r="B38" t="s">
        <v>178</v>
      </c>
      <c r="C38" t="s">
        <v>226</v>
      </c>
      <c r="D38" t="s">
        <v>6</v>
      </c>
      <c r="E38">
        <v>0</v>
      </c>
      <c r="F38" t="s">
        <v>188</v>
      </c>
      <c r="G38" t="s">
        <v>298</v>
      </c>
    </row>
    <row r="39" spans="1:7" x14ac:dyDescent="0.25">
      <c r="A39" t="s">
        <v>177</v>
      </c>
      <c r="B39" t="s">
        <v>178</v>
      </c>
      <c r="C39" t="s">
        <v>205</v>
      </c>
      <c r="D39" t="s">
        <v>6</v>
      </c>
      <c r="E39">
        <v>0</v>
      </c>
      <c r="F39" t="s">
        <v>188</v>
      </c>
      <c r="G39" t="s">
        <v>298</v>
      </c>
    </row>
    <row r="40" spans="1:7" x14ac:dyDescent="0.25">
      <c r="A40" t="s">
        <v>177</v>
      </c>
      <c r="B40" t="s">
        <v>178</v>
      </c>
      <c r="C40" t="s">
        <v>206</v>
      </c>
      <c r="D40" t="s">
        <v>6</v>
      </c>
      <c r="E40">
        <v>0</v>
      </c>
      <c r="F40" t="s">
        <v>188</v>
      </c>
      <c r="G40" t="s">
        <v>298</v>
      </c>
    </row>
    <row r="41" spans="1:7" x14ac:dyDescent="0.25">
      <c r="A41" t="s">
        <v>177</v>
      </c>
      <c r="B41" t="s">
        <v>178</v>
      </c>
      <c r="C41" t="s">
        <v>200</v>
      </c>
      <c r="D41" t="s">
        <v>201</v>
      </c>
      <c r="E41">
        <v>0</v>
      </c>
      <c r="F41" t="s">
        <v>202</v>
      </c>
      <c r="G41" t="s">
        <v>298</v>
      </c>
    </row>
    <row r="42" spans="1:7" x14ac:dyDescent="0.25">
      <c r="A42" t="s">
        <v>177</v>
      </c>
      <c r="B42" t="s">
        <v>220</v>
      </c>
      <c r="C42" t="s">
        <v>266</v>
      </c>
      <c r="D42" t="s">
        <v>201</v>
      </c>
      <c r="E42">
        <v>0</v>
      </c>
      <c r="F42" t="s">
        <v>221</v>
      </c>
      <c r="G42" t="s">
        <v>298</v>
      </c>
    </row>
    <row r="43" spans="1:7" x14ac:dyDescent="0.25">
      <c r="A43" t="s">
        <v>177</v>
      </c>
      <c r="B43" t="s">
        <v>222</v>
      </c>
      <c r="C43" t="s">
        <v>223</v>
      </c>
      <c r="D43" t="s">
        <v>6</v>
      </c>
      <c r="E43">
        <v>0</v>
      </c>
      <c r="F43" t="s">
        <v>188</v>
      </c>
      <c r="G43" t="s">
        <v>298</v>
      </c>
    </row>
    <row r="44" spans="1:7" x14ac:dyDescent="0.25">
      <c r="A44" t="s">
        <v>177</v>
      </c>
      <c r="B44" t="s">
        <v>222</v>
      </c>
      <c r="C44" t="s">
        <v>267</v>
      </c>
      <c r="D44" t="s">
        <v>201</v>
      </c>
      <c r="E44">
        <v>0</v>
      </c>
      <c r="F44" t="s">
        <v>221</v>
      </c>
      <c r="G44" t="s">
        <v>298</v>
      </c>
    </row>
    <row r="45" spans="1:7" x14ac:dyDescent="0.25">
      <c r="A45" t="s">
        <v>177</v>
      </c>
      <c r="B45" t="s">
        <v>224</v>
      </c>
      <c r="C45" t="s">
        <v>227</v>
      </c>
      <c r="D45" t="s">
        <v>201</v>
      </c>
      <c r="E45">
        <v>0</v>
      </c>
      <c r="F45" t="s">
        <v>221</v>
      </c>
      <c r="G45" t="s">
        <v>298</v>
      </c>
    </row>
    <row r="46" spans="1:7" x14ac:dyDescent="0.25">
      <c r="A46" t="s">
        <v>177</v>
      </c>
      <c r="B46" t="s">
        <v>224</v>
      </c>
      <c r="C46" t="s">
        <v>233</v>
      </c>
      <c r="D46" t="s">
        <v>201</v>
      </c>
      <c r="E46">
        <v>0</v>
      </c>
      <c r="F46" t="s">
        <v>221</v>
      </c>
      <c r="G46" t="s">
        <v>298</v>
      </c>
    </row>
    <row r="47" spans="1:7" x14ac:dyDescent="0.25">
      <c r="A47" t="s">
        <v>177</v>
      </c>
      <c r="B47" t="s">
        <v>224</v>
      </c>
      <c r="C47" t="s">
        <v>239</v>
      </c>
      <c r="D47" t="s">
        <v>201</v>
      </c>
      <c r="E47">
        <v>0</v>
      </c>
      <c r="F47" t="s">
        <v>221</v>
      </c>
      <c r="G47" t="s">
        <v>298</v>
      </c>
    </row>
    <row r="48" spans="1:7" x14ac:dyDescent="0.25">
      <c r="A48" t="s">
        <v>177</v>
      </c>
      <c r="B48" t="s">
        <v>224</v>
      </c>
      <c r="C48" t="s">
        <v>238</v>
      </c>
      <c r="D48" t="s">
        <v>201</v>
      </c>
      <c r="E48">
        <v>0</v>
      </c>
      <c r="F48" t="s">
        <v>221</v>
      </c>
      <c r="G48" t="s">
        <v>298</v>
      </c>
    </row>
    <row r="49" spans="1:7" x14ac:dyDescent="0.25">
      <c r="A49" t="s">
        <v>177</v>
      </c>
      <c r="B49" t="s">
        <v>224</v>
      </c>
      <c r="C49" t="s">
        <v>237</v>
      </c>
      <c r="D49" t="s">
        <v>201</v>
      </c>
      <c r="E49">
        <v>0</v>
      </c>
      <c r="F49" t="s">
        <v>221</v>
      </c>
      <c r="G49" t="s">
        <v>298</v>
      </c>
    </row>
    <row r="50" spans="1:7" x14ac:dyDescent="0.25">
      <c r="A50" t="s">
        <v>177</v>
      </c>
      <c r="B50" t="s">
        <v>224</v>
      </c>
      <c r="C50" t="s">
        <v>236</v>
      </c>
      <c r="D50" t="s">
        <v>201</v>
      </c>
      <c r="E50">
        <v>0</v>
      </c>
      <c r="F50" t="s">
        <v>221</v>
      </c>
      <c r="G50" t="s">
        <v>298</v>
      </c>
    </row>
    <row r="51" spans="1:7" x14ac:dyDescent="0.25">
      <c r="A51" t="s">
        <v>177</v>
      </c>
      <c r="B51" t="s">
        <v>224</v>
      </c>
      <c r="C51" t="s">
        <v>235</v>
      </c>
      <c r="D51" t="s">
        <v>201</v>
      </c>
      <c r="E51">
        <v>0</v>
      </c>
      <c r="F51" t="s">
        <v>221</v>
      </c>
      <c r="G51" t="s">
        <v>298</v>
      </c>
    </row>
    <row r="52" spans="1:7" x14ac:dyDescent="0.25">
      <c r="A52" t="s">
        <v>177</v>
      </c>
      <c r="B52" t="s">
        <v>224</v>
      </c>
      <c r="C52" t="s">
        <v>234</v>
      </c>
      <c r="D52" t="s">
        <v>201</v>
      </c>
      <c r="E52">
        <v>0</v>
      </c>
      <c r="F52" t="s">
        <v>221</v>
      </c>
      <c r="G52" t="s">
        <v>298</v>
      </c>
    </row>
    <row r="53" spans="1:7" x14ac:dyDescent="0.25">
      <c r="A53" t="s">
        <v>177</v>
      </c>
      <c r="B53" t="s">
        <v>224</v>
      </c>
      <c r="C53" t="s">
        <v>232</v>
      </c>
      <c r="D53" t="s">
        <v>201</v>
      </c>
      <c r="E53">
        <v>0</v>
      </c>
      <c r="F53" t="s">
        <v>221</v>
      </c>
      <c r="G53" t="s">
        <v>298</v>
      </c>
    </row>
    <row r="54" spans="1:7" x14ac:dyDescent="0.25">
      <c r="A54" t="s">
        <v>177</v>
      </c>
      <c r="B54" t="s">
        <v>224</v>
      </c>
      <c r="C54" t="s">
        <v>231</v>
      </c>
      <c r="D54" t="s">
        <v>201</v>
      </c>
      <c r="E54">
        <v>0</v>
      </c>
      <c r="F54" t="s">
        <v>221</v>
      </c>
      <c r="G54" t="s">
        <v>298</v>
      </c>
    </row>
    <row r="55" spans="1:7" x14ac:dyDescent="0.25">
      <c r="A55" t="s">
        <v>177</v>
      </c>
      <c r="B55" t="s">
        <v>224</v>
      </c>
      <c r="C55" t="s">
        <v>230</v>
      </c>
      <c r="D55" t="s">
        <v>201</v>
      </c>
      <c r="E55">
        <v>0</v>
      </c>
      <c r="F55" t="s">
        <v>221</v>
      </c>
      <c r="G55" t="s">
        <v>298</v>
      </c>
    </row>
    <row r="56" spans="1:7" x14ac:dyDescent="0.25">
      <c r="A56" t="s">
        <v>177</v>
      </c>
      <c r="B56" t="s">
        <v>224</v>
      </c>
      <c r="C56" t="s">
        <v>229</v>
      </c>
      <c r="D56" t="s">
        <v>201</v>
      </c>
      <c r="E56">
        <v>0</v>
      </c>
      <c r="F56" t="s">
        <v>221</v>
      </c>
      <c r="G56" t="s">
        <v>298</v>
      </c>
    </row>
    <row r="57" spans="1:7" x14ac:dyDescent="0.25">
      <c r="A57" t="s">
        <v>177</v>
      </c>
      <c r="B57" t="s">
        <v>224</v>
      </c>
      <c r="C57" t="s">
        <v>228</v>
      </c>
      <c r="D57" t="s">
        <v>201</v>
      </c>
      <c r="E57">
        <v>0</v>
      </c>
      <c r="F57" t="s">
        <v>221</v>
      </c>
      <c r="G57" t="s">
        <v>298</v>
      </c>
    </row>
    <row r="58" spans="1:7" x14ac:dyDescent="0.25">
      <c r="A58" t="s">
        <v>177</v>
      </c>
      <c r="B58" t="s">
        <v>240</v>
      </c>
      <c r="C58" t="s">
        <v>241</v>
      </c>
      <c r="D58" t="s">
        <v>6</v>
      </c>
      <c r="E58">
        <v>0</v>
      </c>
      <c r="F58" t="s">
        <v>188</v>
      </c>
      <c r="G58" t="s">
        <v>298</v>
      </c>
    </row>
    <row r="59" spans="1:7" x14ac:dyDescent="0.25">
      <c r="A59" t="s">
        <v>177</v>
      </c>
      <c r="B59" t="s">
        <v>240</v>
      </c>
      <c r="C59" t="s">
        <v>242</v>
      </c>
      <c r="D59" t="s">
        <v>201</v>
      </c>
      <c r="E59">
        <v>0</v>
      </c>
      <c r="F59" t="s">
        <v>221</v>
      </c>
      <c r="G59" t="s">
        <v>298</v>
      </c>
    </row>
    <row r="60" spans="1:7" x14ac:dyDescent="0.25">
      <c r="A60" t="s">
        <v>177</v>
      </c>
      <c r="B60" t="s">
        <v>240</v>
      </c>
      <c r="C60" t="s">
        <v>268</v>
      </c>
      <c r="D60" t="s">
        <v>201</v>
      </c>
      <c r="E60">
        <v>0</v>
      </c>
      <c r="F60" t="s">
        <v>269</v>
      </c>
      <c r="G60" t="s">
        <v>298</v>
      </c>
    </row>
    <row r="61" spans="1:7" x14ac:dyDescent="0.25">
      <c r="A61" t="s">
        <v>177</v>
      </c>
      <c r="B61" t="s">
        <v>240</v>
      </c>
      <c r="C61" t="s">
        <v>243</v>
      </c>
      <c r="D61" t="s">
        <v>6</v>
      </c>
      <c r="E61">
        <v>0</v>
      </c>
      <c r="F61" t="s">
        <v>188</v>
      </c>
      <c r="G61" t="s">
        <v>298</v>
      </c>
    </row>
    <row r="62" spans="1:7" x14ac:dyDescent="0.25">
      <c r="A62" t="s">
        <v>177</v>
      </c>
      <c r="B62" t="s">
        <v>240</v>
      </c>
      <c r="C62" t="s">
        <v>244</v>
      </c>
      <c r="D62" t="s">
        <v>201</v>
      </c>
      <c r="E62">
        <v>0</v>
      </c>
      <c r="F62" t="s">
        <v>221</v>
      </c>
      <c r="G62" t="s">
        <v>298</v>
      </c>
    </row>
    <row r="63" spans="1:7" x14ac:dyDescent="0.25">
      <c r="A63" t="s">
        <v>177</v>
      </c>
      <c r="B63" t="s">
        <v>240</v>
      </c>
      <c r="C63" t="s">
        <v>270</v>
      </c>
      <c r="D63" t="s">
        <v>201</v>
      </c>
      <c r="E63">
        <v>0</v>
      </c>
      <c r="F63" t="s">
        <v>269</v>
      </c>
      <c r="G63" t="s">
        <v>298</v>
      </c>
    </row>
    <row r="64" spans="1:7" x14ac:dyDescent="0.25">
      <c r="A64" t="s">
        <v>177</v>
      </c>
      <c r="B64" t="s">
        <v>240</v>
      </c>
      <c r="C64" t="s">
        <v>245</v>
      </c>
      <c r="D64" t="s">
        <v>6</v>
      </c>
      <c r="E64">
        <v>0</v>
      </c>
      <c r="F64" t="s">
        <v>188</v>
      </c>
      <c r="G64" t="s">
        <v>298</v>
      </c>
    </row>
    <row r="65" spans="1:7" x14ac:dyDescent="0.25">
      <c r="A65" t="s">
        <v>177</v>
      </c>
      <c r="B65" t="s">
        <v>240</v>
      </c>
      <c r="C65" t="s">
        <v>246</v>
      </c>
      <c r="D65" t="s">
        <v>201</v>
      </c>
      <c r="E65">
        <v>0</v>
      </c>
      <c r="F65" t="s">
        <v>221</v>
      </c>
      <c r="G65" t="s">
        <v>298</v>
      </c>
    </row>
    <row r="66" spans="1:7" x14ac:dyDescent="0.25">
      <c r="A66" t="s">
        <v>177</v>
      </c>
      <c r="B66" t="s">
        <v>240</v>
      </c>
      <c r="C66" t="s">
        <v>271</v>
      </c>
      <c r="D66" t="s">
        <v>201</v>
      </c>
      <c r="E66">
        <v>0</v>
      </c>
      <c r="F66" t="s">
        <v>221</v>
      </c>
      <c r="G66" t="s">
        <v>298</v>
      </c>
    </row>
    <row r="67" spans="1:7" x14ac:dyDescent="0.25">
      <c r="A67" t="s">
        <v>177</v>
      </c>
      <c r="B67" t="s">
        <v>247</v>
      </c>
      <c r="C67" t="s">
        <v>248</v>
      </c>
      <c r="D67" t="s">
        <v>6</v>
      </c>
      <c r="E67">
        <v>0</v>
      </c>
      <c r="F67" t="s">
        <v>188</v>
      </c>
      <c r="G67" t="s">
        <v>298</v>
      </c>
    </row>
    <row r="68" spans="1:7" x14ac:dyDescent="0.25">
      <c r="A68" t="s">
        <v>177</v>
      </c>
      <c r="B68" t="s">
        <v>247</v>
      </c>
      <c r="C68" t="s">
        <v>272</v>
      </c>
      <c r="D68" t="s">
        <v>201</v>
      </c>
      <c r="E68">
        <v>0</v>
      </c>
      <c r="F68" t="s">
        <v>221</v>
      </c>
      <c r="G68" t="s">
        <v>298</v>
      </c>
    </row>
    <row r="69" spans="1:7" x14ac:dyDescent="0.25">
      <c r="A69" t="s">
        <v>177</v>
      </c>
      <c r="B69" t="s">
        <v>247</v>
      </c>
      <c r="C69" t="s">
        <v>249</v>
      </c>
      <c r="D69" t="s">
        <v>6</v>
      </c>
      <c r="E69">
        <v>0</v>
      </c>
      <c r="F69" t="s">
        <v>188</v>
      </c>
      <c r="G69" t="s">
        <v>298</v>
      </c>
    </row>
    <row r="70" spans="1:7" x14ac:dyDescent="0.25">
      <c r="A70" t="s">
        <v>177</v>
      </c>
      <c r="B70" t="s">
        <v>247</v>
      </c>
      <c r="C70" t="s">
        <v>273</v>
      </c>
      <c r="D70" t="s">
        <v>257</v>
      </c>
      <c r="E70">
        <v>0</v>
      </c>
      <c r="F70" t="s">
        <v>221</v>
      </c>
      <c r="G70" t="s">
        <v>298</v>
      </c>
    </row>
    <row r="71" spans="1:7" x14ac:dyDescent="0.25">
      <c r="A71" t="s">
        <v>177</v>
      </c>
      <c r="B71" t="s">
        <v>247</v>
      </c>
      <c r="C71" t="s">
        <v>185</v>
      </c>
      <c r="D71" t="s">
        <v>6</v>
      </c>
      <c r="E71">
        <v>0</v>
      </c>
      <c r="F71" t="s">
        <v>188</v>
      </c>
      <c r="G71" t="s">
        <v>298</v>
      </c>
    </row>
    <row r="72" spans="1:7" x14ac:dyDescent="0.25">
      <c r="A72" t="s">
        <v>177</v>
      </c>
      <c r="B72" t="s">
        <v>247</v>
      </c>
      <c r="C72" t="s">
        <v>274</v>
      </c>
      <c r="D72" t="s">
        <v>257</v>
      </c>
      <c r="E72">
        <v>0</v>
      </c>
      <c r="F72" t="s">
        <v>221</v>
      </c>
      <c r="G72" t="s">
        <v>298</v>
      </c>
    </row>
    <row r="73" spans="1:7" x14ac:dyDescent="0.25">
      <c r="A73" t="s">
        <v>177</v>
      </c>
      <c r="B73" t="s">
        <v>251</v>
      </c>
      <c r="C73" t="s">
        <v>275</v>
      </c>
      <c r="D73" t="s">
        <v>6</v>
      </c>
      <c r="E73">
        <v>0</v>
      </c>
      <c r="F73" t="s">
        <v>188</v>
      </c>
      <c r="G73" t="s">
        <v>298</v>
      </c>
    </row>
    <row r="74" spans="1:7" x14ac:dyDescent="0.25">
      <c r="A74" t="s">
        <v>177</v>
      </c>
      <c r="B74" t="s">
        <v>251</v>
      </c>
      <c r="C74" t="s">
        <v>276</v>
      </c>
      <c r="D74" t="s">
        <v>201</v>
      </c>
      <c r="E74">
        <v>0</v>
      </c>
      <c r="F74" t="s">
        <v>221</v>
      </c>
      <c r="G74" t="s">
        <v>298</v>
      </c>
    </row>
    <row r="75" spans="1:7" x14ac:dyDescent="0.25">
      <c r="A75" t="s">
        <v>177</v>
      </c>
      <c r="B75" t="s">
        <v>251</v>
      </c>
      <c r="C75" t="s">
        <v>277</v>
      </c>
      <c r="D75" t="s">
        <v>201</v>
      </c>
      <c r="E75">
        <v>0</v>
      </c>
      <c r="F75" t="s">
        <v>188</v>
      </c>
      <c r="G75" t="s">
        <v>298</v>
      </c>
    </row>
    <row r="76" spans="1:7" x14ac:dyDescent="0.25">
      <c r="A76" t="s">
        <v>177</v>
      </c>
      <c r="B76" t="s">
        <v>251</v>
      </c>
      <c r="C76" t="s">
        <v>278</v>
      </c>
      <c r="D76" t="s">
        <v>201</v>
      </c>
      <c r="E76">
        <v>0</v>
      </c>
      <c r="F76" t="s">
        <v>221</v>
      </c>
      <c r="G76" t="s">
        <v>298</v>
      </c>
    </row>
    <row r="77" spans="1:7" x14ac:dyDescent="0.25">
      <c r="A77" t="s">
        <v>177</v>
      </c>
      <c r="B77" t="s">
        <v>251</v>
      </c>
      <c r="C77" t="s">
        <v>279</v>
      </c>
      <c r="D77" t="s">
        <v>6</v>
      </c>
      <c r="E77">
        <v>0</v>
      </c>
      <c r="F77" t="s">
        <v>188</v>
      </c>
      <c r="G77" t="s">
        <v>298</v>
      </c>
    </row>
    <row r="78" spans="1:7" x14ac:dyDescent="0.25">
      <c r="A78" t="s">
        <v>177</v>
      </c>
      <c r="B78" t="s">
        <v>251</v>
      </c>
      <c r="C78" t="s">
        <v>280</v>
      </c>
      <c r="D78" t="s">
        <v>6</v>
      </c>
      <c r="E78">
        <v>0</v>
      </c>
      <c r="F78" t="s">
        <v>188</v>
      </c>
      <c r="G78" t="s">
        <v>298</v>
      </c>
    </row>
    <row r="79" spans="1:7" x14ac:dyDescent="0.25">
      <c r="A79" t="s">
        <v>177</v>
      </c>
      <c r="B79" t="s">
        <v>251</v>
      </c>
      <c r="C79" t="s">
        <v>281</v>
      </c>
      <c r="D79" t="s">
        <v>201</v>
      </c>
      <c r="E79">
        <v>0</v>
      </c>
      <c r="F79" t="s">
        <v>221</v>
      </c>
      <c r="G79" t="s">
        <v>298</v>
      </c>
    </row>
    <row r="80" spans="1:7" x14ac:dyDescent="0.25">
      <c r="A80" t="s">
        <v>177</v>
      </c>
      <c r="B80" t="s">
        <v>251</v>
      </c>
      <c r="C80" t="s">
        <v>282</v>
      </c>
      <c r="D80" t="s">
        <v>201</v>
      </c>
      <c r="E80">
        <v>0</v>
      </c>
      <c r="F80" t="s">
        <v>221</v>
      </c>
      <c r="G80" t="s">
        <v>298</v>
      </c>
    </row>
    <row r="81" spans="1:7" x14ac:dyDescent="0.25">
      <c r="A81" t="s">
        <v>177</v>
      </c>
      <c r="B81" t="s">
        <v>251</v>
      </c>
      <c r="C81" t="s">
        <v>283</v>
      </c>
      <c r="D81" t="s">
        <v>201</v>
      </c>
      <c r="E81">
        <v>0</v>
      </c>
      <c r="F81" t="s">
        <v>221</v>
      </c>
      <c r="G81" t="s">
        <v>298</v>
      </c>
    </row>
    <row r="82" spans="1:7" x14ac:dyDescent="0.25">
      <c r="A82" t="s">
        <v>177</v>
      </c>
      <c r="B82" t="s">
        <v>253</v>
      </c>
      <c r="C82" t="s">
        <v>284</v>
      </c>
      <c r="D82" t="s">
        <v>201</v>
      </c>
      <c r="E82">
        <v>0</v>
      </c>
      <c r="F82" t="s">
        <v>221</v>
      </c>
      <c r="G82" t="s">
        <v>298</v>
      </c>
    </row>
    <row r="83" spans="1:7" x14ac:dyDescent="0.25">
      <c r="A83" t="s">
        <v>177</v>
      </c>
      <c r="B83" t="s">
        <v>253</v>
      </c>
      <c r="C83" t="s">
        <v>285</v>
      </c>
      <c r="D83" t="s">
        <v>201</v>
      </c>
      <c r="E83">
        <v>0</v>
      </c>
      <c r="F83" t="s">
        <v>221</v>
      </c>
      <c r="G83" t="s">
        <v>298</v>
      </c>
    </row>
    <row r="84" spans="1:7" x14ac:dyDescent="0.25">
      <c r="A84" t="s">
        <v>177</v>
      </c>
      <c r="B84" t="s">
        <v>253</v>
      </c>
      <c r="C84" t="s">
        <v>286</v>
      </c>
      <c r="D84" t="s">
        <v>201</v>
      </c>
      <c r="E84">
        <v>0</v>
      </c>
      <c r="F84" t="s">
        <v>221</v>
      </c>
      <c r="G84" t="s">
        <v>298</v>
      </c>
    </row>
    <row r="85" spans="1:7" x14ac:dyDescent="0.25">
      <c r="A85" t="s">
        <v>177</v>
      </c>
      <c r="B85" t="s">
        <v>254</v>
      </c>
      <c r="C85" t="s">
        <v>250</v>
      </c>
      <c r="D85" t="s">
        <v>6</v>
      </c>
      <c r="E85">
        <v>0</v>
      </c>
      <c r="F85" t="s">
        <v>188</v>
      </c>
      <c r="G85" t="s">
        <v>298</v>
      </c>
    </row>
    <row r="86" spans="1:7" x14ac:dyDescent="0.25">
      <c r="A86" t="s">
        <v>177</v>
      </c>
      <c r="B86" t="s">
        <v>254</v>
      </c>
      <c r="C86" t="s">
        <v>287</v>
      </c>
      <c r="D86" t="s">
        <v>201</v>
      </c>
      <c r="E86">
        <v>0</v>
      </c>
      <c r="F86" t="s">
        <v>221</v>
      </c>
      <c r="G86" t="s">
        <v>298</v>
      </c>
    </row>
    <row r="87" spans="1:7" x14ac:dyDescent="0.25">
      <c r="A87" t="s">
        <v>177</v>
      </c>
      <c r="B87" t="s">
        <v>254</v>
      </c>
      <c r="C87" t="s">
        <v>288</v>
      </c>
      <c r="D87" t="s">
        <v>201</v>
      </c>
      <c r="E87">
        <v>0</v>
      </c>
      <c r="F87" t="s">
        <v>221</v>
      </c>
      <c r="G87" t="s">
        <v>298</v>
      </c>
    </row>
    <row r="88" spans="1:7" x14ac:dyDescent="0.25">
      <c r="A88" t="s">
        <v>177</v>
      </c>
      <c r="B88" t="s">
        <v>254</v>
      </c>
      <c r="C88" t="s">
        <v>290</v>
      </c>
      <c r="D88" t="s">
        <v>201</v>
      </c>
      <c r="E88">
        <v>0</v>
      </c>
      <c r="F88" t="s">
        <v>221</v>
      </c>
      <c r="G88" t="s">
        <v>298</v>
      </c>
    </row>
    <row r="89" spans="1:7" x14ac:dyDescent="0.25">
      <c r="A89" t="s">
        <v>177</v>
      </c>
      <c r="B89" t="s">
        <v>254</v>
      </c>
      <c r="C89" t="s">
        <v>289</v>
      </c>
      <c r="D89" t="s">
        <v>201</v>
      </c>
      <c r="E89">
        <v>0</v>
      </c>
      <c r="F89" t="s">
        <v>291</v>
      </c>
      <c r="G89" t="s">
        <v>298</v>
      </c>
    </row>
    <row r="90" spans="1:7" x14ac:dyDescent="0.25">
      <c r="A90" t="s">
        <v>177</v>
      </c>
      <c r="B90" t="s">
        <v>254</v>
      </c>
      <c r="C90" t="s">
        <v>292</v>
      </c>
      <c r="D90" t="s">
        <v>201</v>
      </c>
      <c r="E90">
        <v>0</v>
      </c>
      <c r="F90" t="s">
        <v>221</v>
      </c>
      <c r="G90" t="s">
        <v>298</v>
      </c>
    </row>
    <row r="91" spans="1:7" x14ac:dyDescent="0.25">
      <c r="A91" t="s">
        <v>177</v>
      </c>
      <c r="B91" t="s">
        <v>254</v>
      </c>
      <c r="C91" t="s">
        <v>293</v>
      </c>
      <c r="D91" t="s">
        <v>201</v>
      </c>
      <c r="E91">
        <v>0</v>
      </c>
      <c r="F91" t="s">
        <v>221</v>
      </c>
      <c r="G91" t="s">
        <v>298</v>
      </c>
    </row>
    <row r="92" spans="1:7" x14ac:dyDescent="0.25">
      <c r="A92" t="s">
        <v>177</v>
      </c>
      <c r="B92" t="s">
        <v>254</v>
      </c>
      <c r="C92" t="s">
        <v>294</v>
      </c>
      <c r="D92" t="s">
        <v>201</v>
      </c>
      <c r="E92">
        <v>0</v>
      </c>
      <c r="F92" t="s">
        <v>221</v>
      </c>
      <c r="G92" t="s">
        <v>298</v>
      </c>
    </row>
    <row r="93" spans="1:7" x14ac:dyDescent="0.25">
      <c r="A93" t="s">
        <v>177</v>
      </c>
      <c r="B93" t="s">
        <v>254</v>
      </c>
      <c r="C93" t="s">
        <v>295</v>
      </c>
      <c r="D93" t="s">
        <v>201</v>
      </c>
      <c r="E93">
        <v>0</v>
      </c>
      <c r="F93" t="s">
        <v>221</v>
      </c>
      <c r="G93" t="s">
        <v>298</v>
      </c>
    </row>
    <row r="94" spans="1:7" x14ac:dyDescent="0.25">
      <c r="A94" t="s">
        <v>177</v>
      </c>
      <c r="B94" t="s">
        <v>254</v>
      </c>
      <c r="C94" t="s">
        <v>296</v>
      </c>
      <c r="D94" t="s">
        <v>201</v>
      </c>
      <c r="E94">
        <v>0</v>
      </c>
      <c r="F94" t="s">
        <v>291</v>
      </c>
      <c r="G94" t="s">
        <v>298</v>
      </c>
    </row>
    <row r="95" spans="1:7" x14ac:dyDescent="0.25">
      <c r="A95" t="s">
        <v>177</v>
      </c>
      <c r="B95" t="s">
        <v>254</v>
      </c>
      <c r="C95" t="s">
        <v>250</v>
      </c>
      <c r="D95" t="s">
        <v>201</v>
      </c>
      <c r="E95">
        <v>0</v>
      </c>
      <c r="F95" t="s">
        <v>221</v>
      </c>
      <c r="G95" t="s">
        <v>298</v>
      </c>
    </row>
    <row r="96" spans="1:7" x14ac:dyDescent="0.25">
      <c r="A96" t="s">
        <v>177</v>
      </c>
      <c r="B96" t="s">
        <v>256</v>
      </c>
      <c r="C96" t="s">
        <v>250</v>
      </c>
      <c r="D96" t="s">
        <v>201</v>
      </c>
      <c r="E96">
        <v>0</v>
      </c>
      <c r="F96" t="s">
        <v>297</v>
      </c>
      <c r="G96" t="s">
        <v>298</v>
      </c>
    </row>
  </sheetData>
  <phoneticPr fontId="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BC72-72A3-4FF5-9348-18ACE76918D2}">
  <dimension ref="A1:D6"/>
  <sheetViews>
    <sheetView workbookViewId="0"/>
  </sheetViews>
  <sheetFormatPr defaultColWidth="8.85546875" defaultRowHeight="15" x14ac:dyDescent="0.25"/>
  <cols>
    <col min="1" max="1" width="11.7109375" customWidth="1"/>
  </cols>
  <sheetData>
    <row r="1" spans="1:4" x14ac:dyDescent="0.25">
      <c r="A1" t="s">
        <v>61</v>
      </c>
      <c r="B1">
        <v>1</v>
      </c>
      <c r="C1" s="4">
        <v>0</v>
      </c>
      <c r="D1" t="s">
        <v>168</v>
      </c>
    </row>
    <row r="2" spans="1:4" x14ac:dyDescent="0.25">
      <c r="A2" t="s">
        <v>62</v>
      </c>
      <c r="B2">
        <v>0.5</v>
      </c>
      <c r="C2" s="4">
        <v>0.05</v>
      </c>
      <c r="D2" t="s">
        <v>169</v>
      </c>
    </row>
    <row r="3" spans="1:4" x14ac:dyDescent="0.25">
      <c r="A3" t="s">
        <v>162</v>
      </c>
      <c r="B3">
        <v>0.25</v>
      </c>
      <c r="C3" s="4">
        <v>7.0000000000000007E-2</v>
      </c>
    </row>
    <row r="4" spans="1:4" x14ac:dyDescent="0.25">
      <c r="A4" t="s">
        <v>163</v>
      </c>
      <c r="B4">
        <f>1/12</f>
        <v>8.3333333333333329E-2</v>
      </c>
      <c r="C4" s="36">
        <v>8.5000000000000006E-2</v>
      </c>
    </row>
    <row r="5" spans="1:4" x14ac:dyDescent="0.25">
      <c r="A5" t="s">
        <v>164</v>
      </c>
      <c r="B5">
        <f>1/52</f>
        <v>1.9230769230769232E-2</v>
      </c>
    </row>
    <row r="6" spans="1:4" x14ac:dyDescent="0.25">
      <c r="A6" t="s">
        <v>165</v>
      </c>
      <c r="B6" s="32">
        <f>1/365</f>
        <v>2.7397260273972603E-3</v>
      </c>
    </row>
  </sheetData>
  <pageMargins left="0.7" right="0.7" top="0.75" bottom="0.75" header="0.3" footer="0.3"/>
</worksheet>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188</vt:i4>
      </vt:variant>
    </vt:vector>
  </HeadingPairs>
  <TitlesOfParts>
    <vt:vector size="213" baseType="lpstr">
      <vt:lpstr>General Instructions</vt:lpstr>
      <vt:lpstr>1Ans</vt:lpstr>
      <vt:lpstr>2Ans</vt:lpstr>
      <vt:lpstr>3Ans</vt:lpstr>
      <vt:lpstr>4Ans</vt:lpstr>
      <vt:lpstr>5Ans</vt:lpstr>
      <vt:lpstr>6Ans</vt:lpstr>
      <vt:lpstr>7Ans</vt:lpstr>
      <vt:lpstr>8Ans</vt:lpstr>
      <vt:lpstr>8aAns</vt:lpstr>
      <vt:lpstr>9Ans</vt:lpstr>
      <vt:lpstr>10Ans</vt:lpstr>
      <vt:lpstr>1 Cash Flow Diagrams</vt:lpstr>
      <vt:lpstr>2 Future Values</vt:lpstr>
      <vt:lpstr>3 Values at End of Each Year</vt:lpstr>
      <vt:lpstr>4 Present Values</vt:lpstr>
      <vt:lpstr>5 Bonds</vt:lpstr>
      <vt:lpstr>6 Perpetuities</vt:lpstr>
      <vt:lpstr>7 Effective Interest Rates</vt:lpstr>
      <vt:lpstr>8 Unexpected Chs in Int Rates</vt:lpstr>
      <vt:lpstr>8a Graphs</vt:lpstr>
      <vt:lpstr>9 Valuing a Business</vt:lpstr>
      <vt:lpstr>10 Verizon Buyout of Vodafone</vt:lpstr>
      <vt:lpstr>Grading</vt:lpstr>
      <vt:lpstr>Names Choices Etc</vt:lpstr>
      <vt:lpstr>'1Ans'!Amount_f</vt:lpstr>
      <vt:lpstr>Amount_f</vt:lpstr>
      <vt:lpstr>'1Ans'!Amount_g</vt:lpstr>
      <vt:lpstr>Amount_g</vt:lpstr>
      <vt:lpstr>'1Ans'!Amount_h</vt:lpstr>
      <vt:lpstr>Amount_h</vt:lpstr>
      <vt:lpstr>'1Ans'!Amount_i</vt:lpstr>
      <vt:lpstr>Amount_i</vt:lpstr>
      <vt:lpstr>'1Ans'!Amount_j</vt:lpstr>
      <vt:lpstr>Amount_j</vt:lpstr>
      <vt:lpstr>'1Ans'!Amount_k</vt:lpstr>
      <vt:lpstr>Amount_k</vt:lpstr>
      <vt:lpstr>'1Ans'!Amount_l</vt:lpstr>
      <vt:lpstr>Amount_l</vt:lpstr>
      <vt:lpstr>'1Ans'!Amount_m</vt:lpstr>
      <vt:lpstr>Amount_m</vt:lpstr>
      <vt:lpstr>'1Ans'!Coupon_rate_a</vt:lpstr>
      <vt:lpstr>Coupon_rate_a</vt:lpstr>
      <vt:lpstr>'1Ans'!Coupon_rate_b</vt:lpstr>
      <vt:lpstr>Coupon_rate_b</vt:lpstr>
      <vt:lpstr>'1Ans'!Coupon_rate_c</vt:lpstr>
      <vt:lpstr>Coupon_rate_c</vt:lpstr>
      <vt:lpstr>'1Ans'!Coupon_rate_d</vt:lpstr>
      <vt:lpstr>Coupon_rate_d</vt:lpstr>
      <vt:lpstr>'1Ans'!Coupon_rate_e</vt:lpstr>
      <vt:lpstr>Coupon_rate_e</vt:lpstr>
      <vt:lpstr>'1Ans'!Coupon_rate_Ex1</vt:lpstr>
      <vt:lpstr>Coupon_rate_Ex1</vt:lpstr>
      <vt:lpstr>'1Ans'!Coupon_rate_Ex2</vt:lpstr>
      <vt:lpstr>Coupon_rate_Ex2</vt:lpstr>
      <vt:lpstr>'1Ans'!Face_a</vt:lpstr>
      <vt:lpstr>Face_a</vt:lpstr>
      <vt:lpstr>'1Ans'!Face_b</vt:lpstr>
      <vt:lpstr>Face_b</vt:lpstr>
      <vt:lpstr>'1Ans'!Face_c</vt:lpstr>
      <vt:lpstr>Face_c</vt:lpstr>
      <vt:lpstr>'1Ans'!Face_d</vt:lpstr>
      <vt:lpstr>Face_d</vt:lpstr>
      <vt:lpstr>'1Ans'!Face_e</vt:lpstr>
      <vt:lpstr>Face_e</vt:lpstr>
      <vt:lpstr>'1Ans'!Face_Ex1</vt:lpstr>
      <vt:lpstr>Face_Ex1</vt:lpstr>
      <vt:lpstr>'1Ans'!Face_Ex2</vt:lpstr>
      <vt:lpstr>Face_Ex2</vt:lpstr>
      <vt:lpstr>'1Ans'!Growth_rate___m</vt:lpstr>
      <vt:lpstr>Growth_rate___m</vt:lpstr>
      <vt:lpstr>'7Ans'!Implicit_interest_rate</vt:lpstr>
      <vt:lpstr>Implicit_interest_rate</vt:lpstr>
      <vt:lpstr>'1Ans'!One_Period_a</vt:lpstr>
      <vt:lpstr>One_Period_a</vt:lpstr>
      <vt:lpstr>'1Ans'!One_Period_b</vt:lpstr>
      <vt:lpstr>One_Period_b</vt:lpstr>
      <vt:lpstr>'1Ans'!One_Period_c</vt:lpstr>
      <vt:lpstr>One_Period_c</vt:lpstr>
      <vt:lpstr>'1Ans'!One_Period_d</vt:lpstr>
      <vt:lpstr>One_Period_d</vt:lpstr>
      <vt:lpstr>'1Ans'!One_Period_e</vt:lpstr>
      <vt:lpstr>One_Period_e</vt:lpstr>
      <vt:lpstr>'1Ans'!One_Period_Ex1</vt:lpstr>
      <vt:lpstr>One_Period_Ex1</vt:lpstr>
      <vt:lpstr>'1Ans'!One_Period_Ex2</vt:lpstr>
      <vt:lpstr>One_Period_Ex2</vt:lpstr>
      <vt:lpstr>'1Ans'!One_Period_f</vt:lpstr>
      <vt:lpstr>One_Period_f</vt:lpstr>
      <vt:lpstr>'1Ans'!One_Period_g</vt:lpstr>
      <vt:lpstr>One_Period_g</vt:lpstr>
      <vt:lpstr>'1Ans'!One_Period_h</vt:lpstr>
      <vt:lpstr>One_Period_h</vt:lpstr>
      <vt:lpstr>'1Ans'!One_Period_i</vt:lpstr>
      <vt:lpstr>One_Period_i</vt:lpstr>
      <vt:lpstr>'1Ans'!One_Period_j</vt:lpstr>
      <vt:lpstr>One_Period_j</vt:lpstr>
      <vt:lpstr>'1Ans'!One_Period_k</vt:lpstr>
      <vt:lpstr>One_Period_k</vt:lpstr>
      <vt:lpstr>'1Ans'!One_Period_l</vt:lpstr>
      <vt:lpstr>One_Period_l</vt:lpstr>
      <vt:lpstr>'1Ans'!One_Period_m</vt:lpstr>
      <vt:lpstr>One_Period_m</vt:lpstr>
      <vt:lpstr>'2Ans'!P2_Amount_Ex1</vt:lpstr>
      <vt:lpstr>P2_Amount_Ex1</vt:lpstr>
      <vt:lpstr>'2Ans'!P2_Compounding_Period_Ex1</vt:lpstr>
      <vt:lpstr>P2_Compounding_Period_Ex1</vt:lpstr>
      <vt:lpstr>'2Ans'!P2_Interest_Rate_Ex1</vt:lpstr>
      <vt:lpstr>P2_Interest_Rate_Ex1</vt:lpstr>
      <vt:lpstr>'3Ans'!P3_Amount_Ex</vt:lpstr>
      <vt:lpstr>P3_Amount_Ex</vt:lpstr>
      <vt:lpstr>'3Ans'!P3_Compounding_Period_Ex</vt:lpstr>
      <vt:lpstr>P3_Compounding_Period_Ex</vt:lpstr>
      <vt:lpstr>'3Ans'!P3_Interest_Rate_Ex</vt:lpstr>
      <vt:lpstr>P3_Interest_Rate_Ex</vt:lpstr>
      <vt:lpstr>'4Ans'!P4_Interest_Rate</vt:lpstr>
      <vt:lpstr>P4_Interest_Rate</vt:lpstr>
      <vt:lpstr>'4Ans'!P4_Interest_Rate_Ex</vt:lpstr>
      <vt:lpstr>P4_Interest_Rate_Ex</vt:lpstr>
      <vt:lpstr>'5Ans'!P5_Coupon_Rate_Ex1</vt:lpstr>
      <vt:lpstr>P5_Coupon_Rate_Ex1</vt:lpstr>
      <vt:lpstr>'5Ans'!P5_Coupon_Rate_Ex2</vt:lpstr>
      <vt:lpstr>P5_Coupon_Rate_Ex2</vt:lpstr>
      <vt:lpstr>'5Ans'!P5_Face_Ex1</vt:lpstr>
      <vt:lpstr>P5_Face_Ex1</vt:lpstr>
      <vt:lpstr>'5Ans'!P5_Face_Ex2</vt:lpstr>
      <vt:lpstr>P5_Face_Ex2</vt:lpstr>
      <vt:lpstr>'5Ans'!P5_Interest_Rate_Ex1</vt:lpstr>
      <vt:lpstr>P5_Interest_Rate_Ex1</vt:lpstr>
      <vt:lpstr>'5Ans'!P5_Interest_Rate_Ex2</vt:lpstr>
      <vt:lpstr>P5_Interest_Rate_Ex2</vt:lpstr>
      <vt:lpstr>'5Ans'!P5_One_Period_Ex1</vt:lpstr>
      <vt:lpstr>P5_One_Period_Ex1</vt:lpstr>
      <vt:lpstr>'5Ans'!P5_One_Period_Ex2</vt:lpstr>
      <vt:lpstr>P5_One_Period_Ex2</vt:lpstr>
      <vt:lpstr>'6Ans'!P6_Amount_Ex1</vt:lpstr>
      <vt:lpstr>P6_Amount_Ex1</vt:lpstr>
      <vt:lpstr>'6Ans'!P6_Amount_Ex2</vt:lpstr>
      <vt:lpstr>P6_Amount_Ex2</vt:lpstr>
      <vt:lpstr>'6Ans'!P6_Amount_Ex3</vt:lpstr>
      <vt:lpstr>P6_Amount_Ex3</vt:lpstr>
      <vt:lpstr>'6Ans'!P6_Growth_Rate_Ex1</vt:lpstr>
      <vt:lpstr>P6_Growth_Rate_Ex1</vt:lpstr>
      <vt:lpstr>'6Ans'!P6_Growth_Rate_Ex2</vt:lpstr>
      <vt:lpstr>P6_Growth_Rate_Ex2</vt:lpstr>
      <vt:lpstr>'6Ans'!P6_Growth_Rate_Ex3</vt:lpstr>
      <vt:lpstr>P6_Growth_Rate_Ex3</vt:lpstr>
      <vt:lpstr>'6Ans'!P6_Interest_Rate_Ex1</vt:lpstr>
      <vt:lpstr>P6_Interest_Rate_Ex1</vt:lpstr>
      <vt:lpstr>'6Ans'!P6_Interest_Rate_Ex2</vt:lpstr>
      <vt:lpstr>P6_Interest_Rate_Ex2</vt:lpstr>
      <vt:lpstr>'6Ans'!P6_Interest_Rate_Ex3</vt:lpstr>
      <vt:lpstr>P6_Interest_Rate_Ex3</vt:lpstr>
      <vt:lpstr>'7Ans'!P7_Amount_1</vt:lpstr>
      <vt:lpstr>P7_Amount_1</vt:lpstr>
      <vt:lpstr>'7Ans'!P7_Amount_Ex1</vt:lpstr>
      <vt:lpstr>P7_Amount_Ex1</vt:lpstr>
      <vt:lpstr>'7Ans'!P7_Coupon_Rate_3</vt:lpstr>
      <vt:lpstr>P7_Coupon_Rate_3</vt:lpstr>
      <vt:lpstr>'7Ans'!P7_Coupon_Rate_Ex3</vt:lpstr>
      <vt:lpstr>P7_Coupon_Rate_Ex3</vt:lpstr>
      <vt:lpstr>'7Ans'!P7_Face_2</vt:lpstr>
      <vt:lpstr>P7_Face_2</vt:lpstr>
      <vt:lpstr>'7Ans'!P7_Face_3</vt:lpstr>
      <vt:lpstr>P7_Face_3</vt:lpstr>
      <vt:lpstr>'7Ans'!P7_Face_Ex2</vt:lpstr>
      <vt:lpstr>P7_Face_Ex2</vt:lpstr>
      <vt:lpstr>'7Ans'!P7_Face_Ex3</vt:lpstr>
      <vt:lpstr>P7_Face_Ex3</vt:lpstr>
      <vt:lpstr>'7Ans'!P7_Implicit_interest_rate_2</vt:lpstr>
      <vt:lpstr>P7_Implicit_interest_rate_2</vt:lpstr>
      <vt:lpstr>'7Ans'!P7_Implicit_Interest_Rate_Ex2</vt:lpstr>
      <vt:lpstr>P7_Implicit_Interest_Rate_Ex2</vt:lpstr>
      <vt:lpstr>'7Ans'!P7_Interest_Rate_3</vt:lpstr>
      <vt:lpstr>P7_Interest_Rate_3</vt:lpstr>
      <vt:lpstr>'7Ans'!P7_Interest_Rate_Ex3</vt:lpstr>
      <vt:lpstr>P7_Interest_Rate_Ex3</vt:lpstr>
      <vt:lpstr>'7Ans'!P7_Maturity_2</vt:lpstr>
      <vt:lpstr>P7_Maturity_2</vt:lpstr>
      <vt:lpstr>'7Ans'!P7_Maturity_Ex2</vt:lpstr>
      <vt:lpstr>P7_Maturity_Ex2</vt:lpstr>
      <vt:lpstr>'7Ans'!P7_One_Period_3</vt:lpstr>
      <vt:lpstr>P7_One_Period_3</vt:lpstr>
      <vt:lpstr>'7Ans'!P7_One_Period_Ex3</vt:lpstr>
      <vt:lpstr>P7_One_Period_Ex3</vt:lpstr>
      <vt:lpstr>'7Ans'!P7_PV_1</vt:lpstr>
      <vt:lpstr>P7_PV_1</vt:lpstr>
      <vt:lpstr>'7Ans'!P7_PV_2</vt:lpstr>
      <vt:lpstr>P7_PV_2</vt:lpstr>
      <vt:lpstr>'7Ans'!P7_PV_Ex1</vt:lpstr>
      <vt:lpstr>P7_PV_Ex1</vt:lpstr>
      <vt:lpstr>'7Ans'!P7_PV_Ex2</vt:lpstr>
      <vt:lpstr>P7_PV_Ex2</vt:lpstr>
      <vt:lpstr>'8Ans'!P8_Face_Value_1</vt:lpstr>
      <vt:lpstr>P8_Face_Value_1</vt:lpstr>
      <vt:lpstr>'8Ans'!P8_Face_Value_Ex</vt:lpstr>
      <vt:lpstr>P8_Face_Value_Ex</vt:lpstr>
      <vt:lpstr>'9Ans'!P9_Interest_Rate</vt:lpstr>
      <vt:lpstr>P9_Interest_Rate</vt:lpstr>
      <vt:lpstr>'9Ans'!P9_Interest_Rate_Ex</vt:lpstr>
      <vt:lpstr>P9_Interest_Rate_Ex</vt:lpstr>
      <vt:lpstr>'1Ans'!Paid_Every_f</vt:lpstr>
      <vt:lpstr>Paid_Every_f</vt:lpstr>
      <vt:lpstr>'1Ans'!Paid_Every_g</vt:lpstr>
      <vt:lpstr>Paid_Every_g</vt:lpstr>
      <vt:lpstr>'1Ans'!Paid_Every_h</vt:lpstr>
      <vt:lpstr>Paid_Every_h</vt:lpstr>
      <vt:lpstr>'1Ans'!Paid_Every_i</vt:lpstr>
      <vt:lpstr>Paid_Every_i</vt:lpstr>
      <vt:lpstr>'1Ans'!Paid_Every_j</vt:lpstr>
      <vt:lpstr>Paid_Every_j</vt:lpstr>
      <vt:lpstr>'1Ans'!Security_Deposit_k</vt:lpstr>
      <vt:lpstr>Security_Deposit_k</vt:lpstr>
    </vt:vector>
  </TitlesOfParts>
  <Company>Yale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Antle, Rick</dc:creator>
  <cp:lastModifiedBy>Antle, Rick</cp:lastModifiedBy>
  <dcterms:created xsi:type="dcterms:W3CDTF">2019-01-02T20:11:38Z</dcterms:created>
  <dcterms:modified xsi:type="dcterms:W3CDTF">2026-02-09T20:04:16Z</dcterms:modified>
</cp:coreProperties>
</file>