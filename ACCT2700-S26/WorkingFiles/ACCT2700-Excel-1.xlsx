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04-Compounding-Period-Perpetuities-Growth/"/>
    </mc:Choice>
  </mc:AlternateContent>
  <xr:revisionPtr revIDLastSave="560" documentId="13_ncr:1_{AE1E5DCA-519C-4DED-8B42-EEFD32ED1BF9}" xr6:coauthVersionLast="47" xr6:coauthVersionMax="47" xr10:uidLastSave="{3D16C8A2-24DD-48E5-907F-BA5A8DA183DC}"/>
  <bookViews>
    <workbookView xWindow="552" yWindow="2436" windowWidth="25572" windowHeight="13560" activeTab="3" xr2:uid="{D5EF8163-5A8A-4DC7-94FA-2C503656CE4C}"/>
  </bookViews>
  <sheets>
    <sheet name="Instructions" sheetId="6" r:id="rId1"/>
    <sheet name="Cash Flow Maps" sheetId="2" r:id="rId2"/>
    <sheet name="CFMA" sheetId="4" state="hidden" r:id="rId3"/>
    <sheet name="Discounting" sheetId="7" r:id="rId4"/>
    <sheet name="DA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" l="1"/>
  <c r="E14" i="7"/>
  <c r="F14" i="7"/>
  <c r="G14" i="7"/>
  <c r="H14" i="7"/>
  <c r="C14" i="7"/>
  <c r="H8" i="2"/>
  <c r="G8" i="2"/>
  <c r="F8" i="2"/>
  <c r="E8" i="2"/>
  <c r="D8" i="2"/>
  <c r="C8" i="2"/>
  <c r="C57" i="7"/>
  <c r="D57" i="7"/>
  <c r="E57" i="7"/>
  <c r="F57" i="7"/>
  <c r="G57" i="7"/>
  <c r="H57" i="7"/>
  <c r="I57" i="7"/>
  <c r="J57" i="7"/>
  <c r="K57" i="7"/>
  <c r="L57" i="7"/>
  <c r="B57" i="7"/>
  <c r="C41" i="7"/>
  <c r="D41" i="7"/>
  <c r="E41" i="7"/>
  <c r="F41" i="7"/>
  <c r="G41" i="7"/>
  <c r="H41" i="7"/>
  <c r="I41" i="7"/>
  <c r="J41" i="7"/>
  <c r="K41" i="7"/>
  <c r="L41" i="7"/>
  <c r="B41" i="7"/>
  <c r="H25" i="7"/>
  <c r="I25" i="7"/>
  <c r="J25" i="7"/>
  <c r="L25" i="7"/>
  <c r="B64" i="7"/>
  <c r="B53" i="7"/>
  <c r="B52" i="7"/>
  <c r="B37" i="7"/>
  <c r="B36" i="7"/>
  <c r="B21" i="7"/>
  <c r="B20" i="7"/>
  <c r="B19" i="7"/>
  <c r="B15" i="7"/>
  <c r="B5" i="7"/>
  <c r="B4" i="7"/>
  <c r="B3" i="7"/>
  <c r="L57" i="5"/>
  <c r="K57" i="5"/>
  <c r="J57" i="5"/>
  <c r="I57" i="5"/>
  <c r="H57" i="5"/>
  <c r="G57" i="5"/>
  <c r="B53" i="5"/>
  <c r="B52" i="5"/>
  <c r="L41" i="5"/>
  <c r="K41" i="5"/>
  <c r="J41" i="5"/>
  <c r="I41" i="5"/>
  <c r="I47" i="5"/>
  <c r="H41" i="5"/>
  <c r="H47" i="5"/>
  <c r="B41" i="5"/>
  <c r="B37" i="5"/>
  <c r="B36" i="5"/>
  <c r="B21" i="5"/>
  <c r="B20" i="5"/>
  <c r="B19" i="5"/>
  <c r="B5" i="5"/>
  <c r="B4" i="5"/>
  <c r="B3" i="5"/>
  <c r="F41" i="4"/>
  <c r="F57" i="5"/>
  <c r="F63" i="5"/>
  <c r="E41" i="4"/>
  <c r="E57" i="5"/>
  <c r="E63" i="5"/>
  <c r="D41" i="4"/>
  <c r="D57" i="5"/>
  <c r="D63" i="5"/>
  <c r="C41" i="4"/>
  <c r="C57" i="5"/>
  <c r="C63" i="5"/>
  <c r="B41" i="4"/>
  <c r="B57" i="5"/>
  <c r="B63" i="5"/>
  <c r="B64" i="5"/>
  <c r="I31" i="4"/>
  <c r="H31" i="4"/>
  <c r="G31" i="4"/>
  <c r="G41" i="5"/>
  <c r="G47" i="5"/>
  <c r="F31" i="4"/>
  <c r="F41" i="5"/>
  <c r="F47" i="5"/>
  <c r="E31" i="4"/>
  <c r="E41" i="5"/>
  <c r="E47" i="5"/>
  <c r="D31" i="4"/>
  <c r="D41" i="5"/>
  <c r="D47" i="5"/>
  <c r="C31" i="4"/>
  <c r="C41" i="5"/>
  <c r="C47" i="5"/>
  <c r="L22" i="4"/>
  <c r="L25" i="5"/>
  <c r="K22" i="4"/>
  <c r="K25" i="5"/>
  <c r="K31" i="5"/>
  <c r="B32" i="5"/>
  <c r="J22" i="4"/>
  <c r="J25" i="5"/>
  <c r="I22" i="4"/>
  <c r="I25" i="5"/>
  <c r="H22" i="4"/>
  <c r="H25" i="5"/>
  <c r="G22" i="4"/>
  <c r="G25" i="5"/>
  <c r="F22" i="4"/>
  <c r="F25" i="5"/>
  <c r="B22" i="4"/>
  <c r="B25" i="5"/>
  <c r="K21" i="4"/>
  <c r="K20" i="4"/>
  <c r="J20" i="4"/>
  <c r="I20" i="4"/>
  <c r="H20" i="4"/>
  <c r="G20" i="4"/>
  <c r="F20" i="4"/>
  <c r="E20" i="4"/>
  <c r="E22" i="4"/>
  <c r="E25" i="5"/>
  <c r="D20" i="4"/>
  <c r="D22" i="4"/>
  <c r="D25" i="5"/>
  <c r="C20" i="4"/>
  <c r="C22" i="4"/>
  <c r="C25" i="5"/>
  <c r="L10" i="4"/>
  <c r="L8" i="5"/>
  <c r="K10" i="4"/>
  <c r="K8" i="5"/>
  <c r="J10" i="4"/>
  <c r="J8" i="5"/>
  <c r="I10" i="4"/>
  <c r="I8" i="5"/>
  <c r="B10" i="4"/>
  <c r="B8" i="5"/>
  <c r="H9" i="4"/>
  <c r="H8" i="4"/>
  <c r="H10" i="4"/>
  <c r="H8" i="5"/>
  <c r="H14" i="5"/>
  <c r="G8" i="4"/>
  <c r="G10" i="4"/>
  <c r="G8" i="5"/>
  <c r="G14" i="5"/>
  <c r="F8" i="4"/>
  <c r="F10" i="4"/>
  <c r="F8" i="5"/>
  <c r="F14" i="5"/>
  <c r="E8" i="4"/>
  <c r="E10" i="4"/>
  <c r="E8" i="5"/>
  <c r="E14" i="5"/>
  <c r="D8" i="4"/>
  <c r="D10" i="4"/>
  <c r="D8" i="5"/>
  <c r="D14" i="5"/>
  <c r="C8" i="4"/>
  <c r="C10" i="4"/>
  <c r="C8" i="5"/>
  <c r="C14" i="5"/>
  <c r="K22" i="2"/>
  <c r="K25" i="7" s="1"/>
  <c r="K31" i="7" s="1"/>
  <c r="B32" i="7" s="1"/>
  <c r="C22" i="2"/>
  <c r="C25" i="7"/>
  <c r="H10" i="2"/>
  <c r="H8" i="7"/>
  <c r="C10" i="2"/>
  <c r="C8" i="7"/>
  <c r="L22" i="2"/>
  <c r="J22" i="2"/>
  <c r="I22" i="2"/>
  <c r="H22" i="2"/>
  <c r="G22" i="2"/>
  <c r="G25" i="7"/>
  <c r="F22" i="2"/>
  <c r="F25" i="7"/>
  <c r="E22" i="2"/>
  <c r="E25" i="7"/>
  <c r="D22" i="2"/>
  <c r="D25" i="7"/>
  <c r="B22" i="2"/>
  <c r="B25" i="7"/>
  <c r="D10" i="2"/>
  <c r="D8" i="7"/>
  <c r="E10" i="2"/>
  <c r="E8" i="7"/>
  <c r="F10" i="2"/>
  <c r="F8" i="7"/>
  <c r="G10" i="2"/>
  <c r="G8" i="7"/>
  <c r="I10" i="2"/>
  <c r="I8" i="7"/>
  <c r="J10" i="2"/>
  <c r="J8" i="7"/>
  <c r="K10" i="2"/>
  <c r="K8" i="7"/>
  <c r="L10" i="2"/>
  <c r="L8" i="7"/>
  <c r="B10" i="2"/>
  <c r="B8" i="7"/>
  <c r="B48" i="7"/>
  <c r="B48" i="5"/>
  <c r="B15" i="5"/>
</calcChain>
</file>

<file path=xl/sharedStrings.xml><?xml version="1.0" encoding="utf-8"?>
<sst xmlns="http://schemas.openxmlformats.org/spreadsheetml/2006/main" count="154" uniqueCount="18">
  <si>
    <t>Coupon Bond</t>
  </si>
  <si>
    <t>check your answer</t>
  </si>
  <si>
    <t>Face Value</t>
  </si>
  <si>
    <t>Coupon Rate</t>
  </si>
  <si>
    <t>per period</t>
  </si>
  <si>
    <t>Life</t>
  </si>
  <si>
    <t>periods</t>
  </si>
  <si>
    <t>End of Period</t>
  </si>
  <si>
    <t>Coupon Payments</t>
  </si>
  <si>
    <t>Face Payment</t>
  </si>
  <si>
    <t>Total</t>
  </si>
  <si>
    <t>Zero Coupon Bond</t>
  </si>
  <si>
    <t>Annuity in Arrears</t>
  </si>
  <si>
    <t>Amount</t>
  </si>
  <si>
    <t>Annuity in Advance</t>
  </si>
  <si>
    <t>Interest Rate</t>
  </si>
  <si>
    <t>Value at Time 0 of Cash Flow at End of Period</t>
  </si>
  <si>
    <t>Total Present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</si>
</sst>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;;;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164" fontId="0" fillId="0" borderId="0" xfId="0" applyNumberFormat="1"/>
    <xf numFmtId="0" fontId="2" fillId="0" borderId="2" xfId="0" applyFont="1" applyBorder="1"/>
    <xf numFmtId="164" fontId="0" fillId="0" borderId="4" xfId="0" applyNumberFormat="1" applyBorder="1"/>
    <xf numFmtId="164" fontId="0" fillId="3" borderId="3" xfId="0" applyNumberFormat="1" applyFill="1" applyBorder="1"/>
    <xf numFmtId="0" fontId="0" fillId="0" borderId="0" xfId="0" applyAlignment="1">
      <alignment horizontal="center"/>
    </xf>
    <xf numFmtId="164" fontId="0" fillId="0" borderId="0" xfId="1" applyNumberFormat="1" applyFont="1" applyFill="1"/>
    <xf numFmtId="9" fontId="0" fillId="0" borderId="0" xfId="2" applyFont="1" applyFill="1"/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0" fontId="2" fillId="4" borderId="0" xfId="0" applyFont="1" applyFill="1"/>
    <xf numFmtId="164" fontId="0" fillId="3" borderId="3" xfId="1" applyNumberFormat="1" applyFont="1" applyFill="1" applyBorder="1"/>
    <xf numFmtId="164" fontId="0" fillId="0" borderId="4" xfId="1" applyNumberFormat="1" applyFont="1" applyBorder="1"/>
    <xf numFmtId="164" fontId="0" fillId="2" borderId="5" xfId="1" applyNumberFormat="1" applyFont="1" applyFill="1" applyBorder="1" applyProtection="1">
      <protection locked="0"/>
    </xf>
    <xf numFmtId="164" fontId="0" fillId="0" borderId="3" xfId="1" applyNumberFormat="1" applyFont="1" applyBorder="1"/>
    <xf numFmtId="164" fontId="0" fillId="2" borderId="0" xfId="1" applyNumberFormat="1" applyFont="1" applyFill="1" applyProtection="1">
      <protection locked="0"/>
    </xf>
    <xf numFmtId="164" fontId="3" fillId="2" borderId="4" xfId="1" applyNumberFormat="1" applyFont="1" applyFill="1" applyBorder="1" applyProtection="1">
      <protection locked="0"/>
    </xf>
    <xf numFmtId="164" fontId="0" fillId="2" borderId="4" xfId="1" applyNumberFormat="1" applyFont="1" applyFill="1" applyBorder="1" applyProtection="1">
      <protection locked="0"/>
    </xf>
    <xf numFmtId="9" fontId="0" fillId="0" borderId="0" xfId="0" applyNumberFormat="1"/>
    <xf numFmtId="164" fontId="0" fillId="5" borderId="0" xfId="1" applyNumberFormat="1" applyFont="1" applyFill="1"/>
    <xf numFmtId="9" fontId="0" fillId="5" borderId="0" xfId="0" applyNumberFormat="1" applyFill="1"/>
    <xf numFmtId="0" fontId="0" fillId="5" borderId="0" xfId="0" applyFill="1"/>
    <xf numFmtId="9" fontId="0" fillId="5" borderId="0" xfId="2" applyFont="1" applyFill="1"/>
    <xf numFmtId="165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0" fontId="2" fillId="0" borderId="1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288073</xdr:colOff>
      <xdr:row>1</xdr:row>
      <xdr:rowOff>27878</xdr:rowOff>
    </xdr:from>
    <xdr:ext cx="4701159" cy="233127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8073" y="210758"/>
          <a:ext cx="4701159" cy="233127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Yale College</a:t>
          </a:r>
        </a:p>
        <a:p>
          <a:r>
            <a:rPr lang="en-US" sz="1100" b="1"/>
            <a:t>Cash</a:t>
          </a:r>
          <a:r>
            <a:rPr lang="en-US" sz="1100" b="1" baseline="0"/>
            <a:t> Flow Maps and Discounting Calculations</a:t>
          </a:r>
        </a:p>
        <a:p>
          <a:endParaRPr lang="en-US" sz="1100" b="0" baseline="0"/>
        </a:p>
        <a:p>
          <a:r>
            <a:rPr lang="en-US" sz="1100" b="0" baseline="0"/>
            <a:t>1. You may discuss this assignment with anyone you want.</a:t>
          </a:r>
        </a:p>
        <a:p>
          <a:r>
            <a:rPr lang="en-US" sz="1100" b="0" baseline="0"/>
            <a:t>2. There is a separate tab for each of the two exercises.</a:t>
          </a:r>
        </a:p>
        <a:p>
          <a:r>
            <a:rPr lang="en-US" sz="1100" b="0" baseline="0"/>
            <a:t>3. Your input goes in the light blue cells.</a:t>
          </a:r>
        </a:p>
        <a:p>
          <a:r>
            <a:rPr lang="en-US" sz="1100" b="0" baseline="0"/>
            <a:t>4. Do not use any built-in financial functions.</a:t>
          </a:r>
        </a:p>
        <a:p>
          <a:r>
            <a:rPr lang="en-US" sz="1100" b="0" baseline="0"/>
            <a:t>5. Your cash flows from the Cash Flow Maps tab are automatically transferred</a:t>
          </a:r>
        </a:p>
        <a:p>
          <a:r>
            <a:rPr lang="en-US" sz="1100" b="0" baseline="0"/>
            <a:t>	to the Discounting tab.</a:t>
          </a:r>
        </a:p>
        <a:p>
          <a:r>
            <a:rPr lang="en-US" sz="1100" b="0" baseline="0"/>
            <a:t>6. Save this file with the name: YourNameHere_ACCT270_Excel_1</a:t>
          </a:r>
        </a:p>
        <a:p>
          <a:r>
            <a:rPr lang="en-US" sz="1100" b="0" baseline="0"/>
            <a:t>7. Check your answers by clicking the indicated box. Answers that do not agree</a:t>
          </a:r>
        </a:p>
        <a:p>
          <a:r>
            <a:rPr lang="en-US" sz="1100" b="0" baseline="0"/>
            <a:t>	mine will be highlighted in yellow.</a:t>
          </a:r>
        </a:p>
        <a:p>
          <a:r>
            <a:rPr lang="en-US" sz="1100" b="0" baseline="0"/>
            <a:t>8. Submit your final work into Canvas.</a:t>
          </a:r>
          <a:endParaRPr lang="en-US" sz="1100" b="0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523F-C24D-4DAB-B166-CC3C6C34F782}">
  <dimension ref="A1"/>
  <sheetViews>
    <sheetView zoomScale="205" zoomScaleNormal="205" workbookViewId="0"/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7579-FE12-4843-AC22-159766AD6141}">
  <dimension ref="A1:L41"/>
  <sheetViews>
    <sheetView zoomScale="205" zoomScaleNormal="205" workbookViewId="0">
      <selection activeCell="H36" sqref="H36"/>
    </sheetView>
  </sheetViews>
  <sheetFormatPr defaultRowHeight="14.45"/>
  <cols>
    <col min="1" max="1" width="18.42578125" bestFit="1" customWidth="1"/>
    <col min="2" max="7" width="9.28515625" bestFit="1" customWidth="1"/>
    <col min="8" max="8" width="9" customWidth="1"/>
    <col min="9" max="10" width="9.28515625" bestFit="1" customWidth="1"/>
    <col min="11" max="11" width="10.5703125" bestFit="1" customWidth="1"/>
    <col min="12" max="12" width="9.28515625" bestFit="1" customWidth="1"/>
  </cols>
  <sheetData>
    <row r="1" spans="1:12">
      <c r="A1" s="12" t="s">
        <v>0</v>
      </c>
      <c r="B1" s="25" t="b">
        <v>1</v>
      </c>
      <c r="C1" s="26" t="s">
        <v>1</v>
      </c>
    </row>
    <row r="3" spans="1:12">
      <c r="A3" t="s">
        <v>2</v>
      </c>
      <c r="B3" s="21">
        <v>5000</v>
      </c>
    </row>
    <row r="4" spans="1:12">
      <c r="A4" t="s">
        <v>3</v>
      </c>
      <c r="B4" s="22">
        <v>7.0000000000000007E-2</v>
      </c>
      <c r="C4" t="s">
        <v>4</v>
      </c>
    </row>
    <row r="5" spans="1:12">
      <c r="A5" t="s">
        <v>5</v>
      </c>
      <c r="B5" s="23">
        <v>6</v>
      </c>
      <c r="C5" t="s">
        <v>6</v>
      </c>
    </row>
    <row r="6" spans="1:12" ht="15" thickBot="1">
      <c r="B6" s="27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ht="15" thickBot="1">
      <c r="B7" s="2">
        <v>0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</row>
    <row r="8" spans="1:12">
      <c r="A8" t="s">
        <v>8</v>
      </c>
      <c r="B8" s="10"/>
      <c r="C8" s="11">
        <f>$B$4*$B$3</f>
        <v>350.00000000000006</v>
      </c>
      <c r="D8" s="11">
        <f t="shared" ref="D8:H9" si="0">$B$4*$B$3</f>
        <v>350.00000000000006</v>
      </c>
      <c r="E8" s="11">
        <f t="shared" si="0"/>
        <v>350.00000000000006</v>
      </c>
      <c r="F8" s="11">
        <f t="shared" si="0"/>
        <v>350.00000000000006</v>
      </c>
      <c r="G8" s="11">
        <f t="shared" si="0"/>
        <v>350.00000000000006</v>
      </c>
      <c r="H8" s="11">
        <f t="shared" si="0"/>
        <v>350.00000000000006</v>
      </c>
      <c r="I8" s="10"/>
      <c r="J8" s="10"/>
      <c r="K8" s="10"/>
      <c r="L8" s="10"/>
    </row>
    <row r="9" spans="1:12">
      <c r="A9" t="s">
        <v>9</v>
      </c>
      <c r="B9" s="10"/>
      <c r="C9" s="11"/>
      <c r="D9" s="11"/>
      <c r="E9" s="11"/>
      <c r="F9" s="11"/>
      <c r="G9" s="11"/>
      <c r="H9" s="11">
        <v>5000</v>
      </c>
      <c r="I9" s="10"/>
      <c r="J9" s="10"/>
      <c r="K9" s="10"/>
      <c r="L9" s="10"/>
    </row>
    <row r="10" spans="1:12" ht="15" thickBot="1">
      <c r="A10" t="s">
        <v>10</v>
      </c>
      <c r="B10" s="13">
        <f>SUM(B8:B9)</f>
        <v>0</v>
      </c>
      <c r="C10" s="13">
        <f t="shared" ref="C10:L10" si="1">SUM(C8:C9)</f>
        <v>350.00000000000006</v>
      </c>
      <c r="D10" s="13">
        <f t="shared" si="1"/>
        <v>350.00000000000006</v>
      </c>
      <c r="E10" s="13">
        <f t="shared" si="1"/>
        <v>350.00000000000006</v>
      </c>
      <c r="F10" s="13">
        <f t="shared" si="1"/>
        <v>350.00000000000006</v>
      </c>
      <c r="G10" s="13">
        <f t="shared" si="1"/>
        <v>350.00000000000006</v>
      </c>
      <c r="H10" s="13">
        <f t="shared" si="1"/>
        <v>5350</v>
      </c>
      <c r="I10" s="13">
        <f t="shared" si="1"/>
        <v>0</v>
      </c>
      <c r="J10" s="13">
        <f t="shared" si="1"/>
        <v>0</v>
      </c>
      <c r="K10" s="13">
        <f t="shared" si="1"/>
        <v>0</v>
      </c>
      <c r="L10" s="13">
        <f t="shared" si="1"/>
        <v>0</v>
      </c>
    </row>
    <row r="11" spans="1:12" ht="15" thickTop="1"/>
    <row r="12" spans="1:12">
      <c r="A12" s="12" t="s">
        <v>11</v>
      </c>
      <c r="B12" s="25" t="b">
        <v>0</v>
      </c>
      <c r="C12" s="26" t="s">
        <v>1</v>
      </c>
    </row>
    <row r="14" spans="1:12">
      <c r="A14" t="s">
        <v>2</v>
      </c>
      <c r="B14" s="21">
        <v>10000</v>
      </c>
    </row>
    <row r="15" spans="1:12">
      <c r="A15" t="s">
        <v>3</v>
      </c>
      <c r="B15" s="22">
        <v>0</v>
      </c>
      <c r="C15" t="s">
        <v>4</v>
      </c>
    </row>
    <row r="16" spans="1:12">
      <c r="A16" t="s">
        <v>5</v>
      </c>
      <c r="B16" s="23">
        <v>9</v>
      </c>
      <c r="C16" t="s">
        <v>6</v>
      </c>
    </row>
    <row r="18" spans="1:12" ht="15" thickBot="1">
      <c r="B18" s="27" t="s">
        <v>7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ht="15" thickBot="1">
      <c r="B19" s="4">
        <v>0</v>
      </c>
      <c r="C19" s="4">
        <v>1</v>
      </c>
      <c r="D19" s="4">
        <v>2</v>
      </c>
      <c r="E19" s="4">
        <v>3</v>
      </c>
      <c r="F19" s="4">
        <v>4</v>
      </c>
      <c r="G19" s="4">
        <v>5</v>
      </c>
      <c r="H19" s="4">
        <v>6</v>
      </c>
      <c r="I19" s="4">
        <v>7</v>
      </c>
      <c r="J19" s="4">
        <v>8</v>
      </c>
      <c r="K19" s="4">
        <v>9</v>
      </c>
      <c r="L19" s="4">
        <v>10</v>
      </c>
    </row>
    <row r="20" spans="1:12">
      <c r="A20" t="s">
        <v>8</v>
      </c>
      <c r="B20" s="10"/>
      <c r="C20" s="10"/>
      <c r="D20" s="10"/>
      <c r="E20" s="10"/>
      <c r="F20" s="10"/>
      <c r="G20" s="10"/>
      <c r="H20" s="10"/>
      <c r="I20" s="10"/>
      <c r="J20" s="10"/>
      <c r="K20" s="10">
        <v>0</v>
      </c>
      <c r="L20" s="10"/>
    </row>
    <row r="21" spans="1:12">
      <c r="A21" t="s">
        <v>9</v>
      </c>
      <c r="B21" s="10"/>
      <c r="C21" s="10"/>
      <c r="D21" s="10"/>
      <c r="E21" s="10"/>
      <c r="F21" s="10"/>
      <c r="G21" s="10"/>
      <c r="H21" s="10"/>
      <c r="I21" s="10"/>
      <c r="J21" s="10"/>
      <c r="K21" s="10">
        <v>10000</v>
      </c>
      <c r="L21" s="10"/>
    </row>
    <row r="22" spans="1:12" ht="15" thickBot="1">
      <c r="A22" t="s">
        <v>10</v>
      </c>
      <c r="B22" s="13">
        <f>SUM(B20:B21)</f>
        <v>0</v>
      </c>
      <c r="C22" s="13">
        <f t="shared" ref="C22" si="2">SUM(C20:C21)</f>
        <v>0</v>
      </c>
      <c r="D22" s="13">
        <f t="shared" ref="D22" si="3">SUM(D20:D21)</f>
        <v>0</v>
      </c>
      <c r="E22" s="13">
        <f t="shared" ref="E22" si="4">SUM(E20:E21)</f>
        <v>0</v>
      </c>
      <c r="F22" s="13">
        <f t="shared" ref="F22" si="5">SUM(F20:F21)</f>
        <v>0</v>
      </c>
      <c r="G22" s="13">
        <f t="shared" ref="G22" si="6">SUM(G20:G21)</f>
        <v>0</v>
      </c>
      <c r="H22" s="13">
        <f t="shared" ref="H22" si="7">SUM(H20:H21)</f>
        <v>0</v>
      </c>
      <c r="I22" s="13">
        <f t="shared" ref="I22" si="8">SUM(I20:I21)</f>
        <v>0</v>
      </c>
      <c r="J22" s="13">
        <f t="shared" ref="J22" si="9">SUM(J20:J21)</f>
        <v>0</v>
      </c>
      <c r="K22" s="13">
        <f t="shared" ref="K22" si="10">SUM(K20:K21)</f>
        <v>10000</v>
      </c>
      <c r="L22" s="13">
        <f t="shared" ref="L22" si="11">SUM(L20:L21)</f>
        <v>0</v>
      </c>
    </row>
    <row r="23" spans="1:12" ht="15" thickTop="1"/>
    <row r="24" spans="1:12">
      <c r="A24" s="12" t="s">
        <v>12</v>
      </c>
      <c r="B24" s="25" t="b">
        <v>0</v>
      </c>
      <c r="C24" s="26" t="s">
        <v>1</v>
      </c>
    </row>
    <row r="26" spans="1:12">
      <c r="A26" t="s">
        <v>13</v>
      </c>
      <c r="B26" s="21">
        <v>500</v>
      </c>
      <c r="C26" t="s">
        <v>4</v>
      </c>
    </row>
    <row r="27" spans="1:12">
      <c r="A27" t="s">
        <v>5</v>
      </c>
      <c r="B27" s="23">
        <v>7</v>
      </c>
    </row>
    <row r="29" spans="1:12" ht="15" thickBot="1">
      <c r="B29" s="27" t="s">
        <v>7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ht="15" thickBot="1">
      <c r="B30" s="4">
        <v>0</v>
      </c>
      <c r="C30" s="4">
        <v>1</v>
      </c>
      <c r="D30" s="4">
        <v>2</v>
      </c>
      <c r="E30" s="4">
        <v>3</v>
      </c>
      <c r="F30" s="4">
        <v>4</v>
      </c>
      <c r="G30" s="4">
        <v>5</v>
      </c>
      <c r="H30" s="4">
        <v>6</v>
      </c>
      <c r="I30" s="4">
        <v>7</v>
      </c>
      <c r="J30" s="4">
        <v>8</v>
      </c>
      <c r="K30" s="4">
        <v>9</v>
      </c>
      <c r="L30" s="4">
        <v>10</v>
      </c>
    </row>
    <row r="31" spans="1:12">
      <c r="A31" t="s">
        <v>10</v>
      </c>
      <c r="B31" s="10"/>
      <c r="C31" s="10">
        <v>500</v>
      </c>
      <c r="D31" s="10">
        <v>500</v>
      </c>
      <c r="E31" s="10">
        <v>500</v>
      </c>
      <c r="F31" s="10">
        <v>500</v>
      </c>
      <c r="G31" s="10">
        <v>500</v>
      </c>
      <c r="H31" s="10">
        <v>500</v>
      </c>
      <c r="I31" s="10">
        <v>500</v>
      </c>
      <c r="J31" s="10"/>
      <c r="K31" s="10"/>
      <c r="L31" s="10"/>
    </row>
    <row r="34" spans="1:12">
      <c r="A34" s="12" t="s">
        <v>14</v>
      </c>
      <c r="B34" s="25" t="b">
        <v>0</v>
      </c>
      <c r="C34" s="26" t="s">
        <v>1</v>
      </c>
    </row>
    <row r="36" spans="1:12">
      <c r="A36" t="s">
        <v>13</v>
      </c>
      <c r="B36" s="21">
        <v>600</v>
      </c>
      <c r="C36" t="s">
        <v>4</v>
      </c>
    </row>
    <row r="37" spans="1:12">
      <c r="A37" t="s">
        <v>5</v>
      </c>
      <c r="B37" s="23">
        <v>5</v>
      </c>
      <c r="C37" t="s">
        <v>6</v>
      </c>
    </row>
    <row r="39" spans="1:12" ht="15" thickBot="1">
      <c r="B39" s="27" t="s">
        <v>7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ht="15" thickBot="1">
      <c r="B40" s="4">
        <v>0</v>
      </c>
      <c r="C40" s="4">
        <v>1</v>
      </c>
      <c r="D40" s="4">
        <v>2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10</v>
      </c>
    </row>
    <row r="41" spans="1:12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</sheetData>
  <mergeCells count="4">
    <mergeCell ref="B6:L6"/>
    <mergeCell ref="B18:L18"/>
    <mergeCell ref="B29:L29"/>
    <mergeCell ref="B39:L39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D4AAFC7F-42B6-4209-ADEC-568723540915}">
            <xm:f>AND($B$1,OR(AND((OR(CFMA!B8=0,CFMA!B8="")),NOT(OR(B8=0,B8=""))),AND(CFMA!B8&lt;&gt;0,B8&lt;&gt;CFMA!B8)))</xm:f>
            <x14:dxf>
              <fill>
                <patternFill>
                  <bgColor rgb="FFFFFF00"/>
                </patternFill>
              </fill>
            </x14:dxf>
          </x14:cfRule>
          <xm:sqref>B8:L9</xm:sqref>
        </x14:conditionalFormatting>
        <x14:conditionalFormatting xmlns:xm="http://schemas.microsoft.com/office/excel/2006/main">
          <x14:cfRule type="expression" priority="3" id="{5B6CFE5D-A40B-4ABB-9025-AF3116B372ED}">
            <xm:f>AND($B$12,OR(AND((OR(CFMA!B20=0,CFMA!B20="")),NOT(OR(B20=0,B20=""))),AND(CFMA!B20&lt;&gt;0,B20&lt;&gt;CFMA!B20)))</xm:f>
            <x14:dxf>
              <fill>
                <patternFill>
                  <bgColor rgb="FFFFFF00"/>
                </patternFill>
              </fill>
            </x14:dxf>
          </x14:cfRule>
          <xm:sqref>B20:L21</xm:sqref>
        </x14:conditionalFormatting>
        <x14:conditionalFormatting xmlns:xm="http://schemas.microsoft.com/office/excel/2006/main">
          <x14:cfRule type="expression" priority="2" id="{0BB5004D-2320-43B5-8335-1794E6BD368A}">
            <xm:f>AND($B$24,OR(AND((OR(CFMA!B31=0,CFMA!B31="")),NOT(OR(B31=0,B31=""))),AND(CFMA!B31&lt;&gt;0,B31&lt;&gt;CFMA!B31)))</xm:f>
            <x14:dxf>
              <fill>
                <patternFill>
                  <bgColor rgb="FFFFFF00"/>
                </patternFill>
              </fill>
            </x14:dxf>
          </x14:cfRule>
          <xm:sqref>B31:L31</xm:sqref>
        </x14:conditionalFormatting>
        <x14:conditionalFormatting xmlns:xm="http://schemas.microsoft.com/office/excel/2006/main">
          <x14:cfRule type="expression" priority="1" id="{13F227B0-D2B3-43CD-8312-93BB27E48B92}">
            <xm:f>AND($B$34,OR(AND((OR(CFMA!B41=0,CFMA!B41="")),NOT(OR(B41=0,B41=""))),AND(CFMA!B41&lt;&gt;0,B41&lt;&gt;CFMA!B41)))</xm:f>
            <x14:dxf>
              <fill>
                <patternFill>
                  <bgColor rgb="FFFFFF00"/>
                </patternFill>
              </fill>
            </x14:dxf>
          </x14:cfRule>
          <xm:sqref>B41:L41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7EB3-D449-4F32-B32B-B823B44D81C6}">
  <dimension ref="A1:L42"/>
  <sheetViews>
    <sheetView zoomScale="205" zoomScaleNormal="205" workbookViewId="0">
      <selection activeCell="E2" sqref="E2"/>
    </sheetView>
  </sheetViews>
  <sheetFormatPr defaultRowHeight="14.45"/>
  <cols>
    <col min="1" max="1" width="18.42578125" bestFit="1" customWidth="1"/>
    <col min="2" max="7" width="9.28515625" bestFit="1" customWidth="1"/>
    <col min="8" max="8" width="9" customWidth="1"/>
    <col min="9" max="10" width="9.28515625" bestFit="1" customWidth="1"/>
    <col min="11" max="11" width="10.5703125" bestFit="1" customWidth="1"/>
    <col min="12" max="12" width="9.28515625" bestFit="1" customWidth="1"/>
  </cols>
  <sheetData>
    <row r="1" spans="1:12">
      <c r="A1" s="12" t="s">
        <v>0</v>
      </c>
    </row>
    <row r="3" spans="1:12">
      <c r="A3" t="s">
        <v>2</v>
      </c>
      <c r="B3" s="21">
        <v>5000</v>
      </c>
    </row>
    <row r="4" spans="1:12">
      <c r="A4" t="s">
        <v>3</v>
      </c>
      <c r="B4" s="22">
        <v>7.0000000000000007E-2</v>
      </c>
      <c r="C4" t="s">
        <v>4</v>
      </c>
    </row>
    <row r="5" spans="1:12">
      <c r="A5" t="s">
        <v>5</v>
      </c>
      <c r="B5" s="23">
        <v>6</v>
      </c>
      <c r="C5" t="s">
        <v>6</v>
      </c>
    </row>
    <row r="6" spans="1:12" ht="15" thickBot="1">
      <c r="B6" s="27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ht="15" thickBot="1">
      <c r="B7" s="2">
        <v>0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</row>
    <row r="8" spans="1:12">
      <c r="A8" t="s">
        <v>8</v>
      </c>
      <c r="B8" s="10"/>
      <c r="C8" s="11">
        <f>$B$3*$B$4</f>
        <v>350.00000000000006</v>
      </c>
      <c r="D8" s="11">
        <f t="shared" ref="D8:H8" si="0">$B$3*$B$4</f>
        <v>350.00000000000006</v>
      </c>
      <c r="E8" s="11">
        <f t="shared" si="0"/>
        <v>350.00000000000006</v>
      </c>
      <c r="F8" s="11">
        <f t="shared" si="0"/>
        <v>350.00000000000006</v>
      </c>
      <c r="G8" s="11">
        <f t="shared" si="0"/>
        <v>350.00000000000006</v>
      </c>
      <c r="H8" s="11">
        <f t="shared" si="0"/>
        <v>350.00000000000006</v>
      </c>
      <c r="I8" s="10"/>
      <c r="J8" s="10"/>
      <c r="K8" s="10"/>
      <c r="L8" s="10"/>
    </row>
    <row r="9" spans="1:12">
      <c r="A9" t="s">
        <v>9</v>
      </c>
      <c r="B9" s="10"/>
      <c r="C9" s="10"/>
      <c r="D9" s="10"/>
      <c r="E9" s="10"/>
      <c r="F9" s="11"/>
      <c r="G9" s="10"/>
      <c r="H9" s="11">
        <f>$B$3</f>
        <v>5000</v>
      </c>
      <c r="I9" s="10"/>
      <c r="J9" s="10"/>
      <c r="K9" s="10"/>
      <c r="L9" s="10"/>
    </row>
    <row r="10" spans="1:12" ht="15" thickBot="1">
      <c r="A10" t="s">
        <v>10</v>
      </c>
      <c r="B10" s="13">
        <f>SUM(B8:B9)</f>
        <v>0</v>
      </c>
      <c r="C10" s="13">
        <f t="shared" ref="C10:L10" si="1">SUM(C8:C9)</f>
        <v>350.00000000000006</v>
      </c>
      <c r="D10" s="13">
        <f t="shared" si="1"/>
        <v>350.00000000000006</v>
      </c>
      <c r="E10" s="13">
        <f t="shared" si="1"/>
        <v>350.00000000000006</v>
      </c>
      <c r="F10" s="13">
        <f t="shared" si="1"/>
        <v>350.00000000000006</v>
      </c>
      <c r="G10" s="13">
        <f t="shared" si="1"/>
        <v>350.00000000000006</v>
      </c>
      <c r="H10" s="13">
        <f t="shared" si="1"/>
        <v>5350</v>
      </c>
      <c r="I10" s="13">
        <f t="shared" si="1"/>
        <v>0</v>
      </c>
      <c r="J10" s="13">
        <f t="shared" si="1"/>
        <v>0</v>
      </c>
      <c r="K10" s="13">
        <f t="shared" si="1"/>
        <v>0</v>
      </c>
      <c r="L10" s="13">
        <f t="shared" si="1"/>
        <v>0</v>
      </c>
    </row>
    <row r="11" spans="1:12" ht="15" thickTop="1"/>
    <row r="12" spans="1:12">
      <c r="A12" s="12" t="s">
        <v>11</v>
      </c>
    </row>
    <row r="14" spans="1:12">
      <c r="A14" t="s">
        <v>2</v>
      </c>
      <c r="B14" s="21">
        <v>10000</v>
      </c>
    </row>
    <row r="15" spans="1:12">
      <c r="A15" t="s">
        <v>3</v>
      </c>
      <c r="B15" s="22">
        <v>0</v>
      </c>
      <c r="C15" t="s">
        <v>4</v>
      </c>
    </row>
    <row r="16" spans="1:12">
      <c r="A16" t="s">
        <v>5</v>
      </c>
      <c r="B16" s="23">
        <v>9</v>
      </c>
      <c r="C16" t="s">
        <v>6</v>
      </c>
    </row>
    <row r="18" spans="1:12" ht="15" thickBot="1">
      <c r="B18" s="27" t="s">
        <v>7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ht="15" thickBot="1">
      <c r="B19" s="4">
        <v>0</v>
      </c>
      <c r="C19" s="4">
        <v>1</v>
      </c>
      <c r="D19" s="4">
        <v>2</v>
      </c>
      <c r="E19" s="4">
        <v>3</v>
      </c>
      <c r="F19" s="4">
        <v>4</v>
      </c>
      <c r="G19" s="4">
        <v>5</v>
      </c>
      <c r="H19" s="4">
        <v>6</v>
      </c>
      <c r="I19" s="4">
        <v>7</v>
      </c>
      <c r="J19" s="4">
        <v>8</v>
      </c>
      <c r="K19" s="4">
        <v>9</v>
      </c>
      <c r="L19" s="4">
        <v>10</v>
      </c>
    </row>
    <row r="20" spans="1:12">
      <c r="A20" t="s">
        <v>8</v>
      </c>
      <c r="B20" s="10"/>
      <c r="C20" s="11">
        <f>$B$14*$B$15</f>
        <v>0</v>
      </c>
      <c r="D20" s="11">
        <f t="shared" ref="D20:K20" si="2">$B$14*$B$15</f>
        <v>0</v>
      </c>
      <c r="E20" s="11">
        <f t="shared" si="2"/>
        <v>0</v>
      </c>
      <c r="F20" s="11">
        <f t="shared" si="2"/>
        <v>0</v>
      </c>
      <c r="G20" s="11">
        <f t="shared" si="2"/>
        <v>0</v>
      </c>
      <c r="H20" s="11">
        <f t="shared" si="2"/>
        <v>0</v>
      </c>
      <c r="I20" s="11">
        <f t="shared" si="2"/>
        <v>0</v>
      </c>
      <c r="J20" s="11">
        <f t="shared" si="2"/>
        <v>0</v>
      </c>
      <c r="K20" s="11">
        <f t="shared" si="2"/>
        <v>0</v>
      </c>
      <c r="L20" s="10"/>
    </row>
    <row r="21" spans="1:12">
      <c r="A21" t="s">
        <v>9</v>
      </c>
      <c r="B21" s="10"/>
      <c r="C21" s="10"/>
      <c r="D21" s="10"/>
      <c r="E21" s="10"/>
      <c r="F21" s="11"/>
      <c r="G21" s="10"/>
      <c r="H21" s="10"/>
      <c r="I21" s="10"/>
      <c r="J21" s="10"/>
      <c r="K21" s="11">
        <f>$B$14</f>
        <v>10000</v>
      </c>
      <c r="L21" s="10"/>
    </row>
    <row r="22" spans="1:12" ht="15" thickBot="1">
      <c r="A22" t="s">
        <v>10</v>
      </c>
      <c r="B22" s="13">
        <f>SUM(B20:B21)</f>
        <v>0</v>
      </c>
      <c r="C22" s="13">
        <f t="shared" ref="C22:L22" si="3">SUM(C20:C21)</f>
        <v>0</v>
      </c>
      <c r="D22" s="13">
        <f t="shared" si="3"/>
        <v>0</v>
      </c>
      <c r="E22" s="13">
        <f t="shared" si="3"/>
        <v>0</v>
      </c>
      <c r="F22" s="13">
        <f t="shared" si="3"/>
        <v>0</v>
      </c>
      <c r="G22" s="13">
        <f t="shared" si="3"/>
        <v>0</v>
      </c>
      <c r="H22" s="13">
        <f t="shared" si="3"/>
        <v>0</v>
      </c>
      <c r="I22" s="13">
        <f t="shared" si="3"/>
        <v>0</v>
      </c>
      <c r="J22" s="13">
        <f t="shared" si="3"/>
        <v>0</v>
      </c>
      <c r="K22" s="13">
        <f t="shared" si="3"/>
        <v>10000</v>
      </c>
      <c r="L22" s="13">
        <f t="shared" si="3"/>
        <v>0</v>
      </c>
    </row>
    <row r="23" spans="1:12" ht="15" thickTop="1"/>
    <row r="24" spans="1:12">
      <c r="A24" s="12" t="s">
        <v>12</v>
      </c>
    </row>
    <row r="26" spans="1:12">
      <c r="A26" t="s">
        <v>13</v>
      </c>
      <c r="B26" s="21">
        <v>500</v>
      </c>
      <c r="C26" t="s">
        <v>4</v>
      </c>
    </row>
    <row r="27" spans="1:12">
      <c r="A27" t="s">
        <v>5</v>
      </c>
      <c r="B27" s="23">
        <v>7</v>
      </c>
    </row>
    <row r="29" spans="1:12" ht="15" thickBot="1">
      <c r="B29" s="27" t="s">
        <v>7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ht="15" thickBot="1">
      <c r="B30" s="4">
        <v>0</v>
      </c>
      <c r="C30" s="4">
        <v>1</v>
      </c>
      <c r="D30" s="4">
        <v>2</v>
      </c>
      <c r="E30" s="4">
        <v>3</v>
      </c>
      <c r="F30" s="4">
        <v>4</v>
      </c>
      <c r="G30" s="4">
        <v>5</v>
      </c>
      <c r="H30" s="4">
        <v>6</v>
      </c>
      <c r="I30" s="4">
        <v>7</v>
      </c>
      <c r="J30" s="4">
        <v>8</v>
      </c>
      <c r="K30" s="4">
        <v>9</v>
      </c>
      <c r="L30" s="4">
        <v>10</v>
      </c>
    </row>
    <row r="31" spans="1:12" ht="15" thickBot="1">
      <c r="A31" t="s">
        <v>10</v>
      </c>
      <c r="B31" s="18"/>
      <c r="C31" s="18">
        <f>$B$26</f>
        <v>500</v>
      </c>
      <c r="D31" s="18">
        <f t="shared" ref="D31:I31" si="4">$B$26</f>
        <v>500</v>
      </c>
      <c r="E31" s="18">
        <f t="shared" si="4"/>
        <v>500</v>
      </c>
      <c r="F31" s="18">
        <f t="shared" si="4"/>
        <v>500</v>
      </c>
      <c r="G31" s="18">
        <f t="shared" si="4"/>
        <v>500</v>
      </c>
      <c r="H31" s="18">
        <f t="shared" si="4"/>
        <v>500</v>
      </c>
      <c r="I31" s="18">
        <f t="shared" si="4"/>
        <v>500</v>
      </c>
      <c r="J31" s="18">
        <v>0</v>
      </c>
      <c r="K31" s="18">
        <v>0</v>
      </c>
      <c r="L31" s="18">
        <v>0</v>
      </c>
    </row>
    <row r="32" spans="1:12" ht="15" thickTop="1"/>
    <row r="34" spans="1:12">
      <c r="A34" s="12" t="s">
        <v>14</v>
      </c>
    </row>
    <row r="36" spans="1:12">
      <c r="A36" t="s">
        <v>13</v>
      </c>
      <c r="B36" s="21">
        <v>600</v>
      </c>
      <c r="C36" t="s">
        <v>4</v>
      </c>
    </row>
    <row r="37" spans="1:12">
      <c r="A37" t="s">
        <v>5</v>
      </c>
      <c r="B37" s="23">
        <v>5</v>
      </c>
      <c r="C37" t="s">
        <v>6</v>
      </c>
    </row>
    <row r="39" spans="1:12" ht="15" thickBot="1">
      <c r="B39" s="27" t="s">
        <v>7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ht="15" thickBot="1">
      <c r="B40" s="4">
        <v>0</v>
      </c>
      <c r="C40" s="4">
        <v>1</v>
      </c>
      <c r="D40" s="4">
        <v>2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10</v>
      </c>
    </row>
    <row r="41" spans="1:12" ht="15" thickBot="1">
      <c r="B41" s="19">
        <f>$B$36</f>
        <v>600</v>
      </c>
      <c r="C41" s="19">
        <f t="shared" ref="C41:F41" si="5">$B$36</f>
        <v>600</v>
      </c>
      <c r="D41" s="19">
        <f t="shared" si="5"/>
        <v>600</v>
      </c>
      <c r="E41" s="19">
        <f t="shared" si="5"/>
        <v>600</v>
      </c>
      <c r="F41" s="19">
        <f t="shared" si="5"/>
        <v>600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</row>
    <row r="42" spans="1:12" ht="15" thickTop="1"/>
  </sheetData>
  <mergeCells count="4">
    <mergeCell ref="B6:L6"/>
    <mergeCell ref="B18:L18"/>
    <mergeCell ref="B29:L29"/>
    <mergeCell ref="B39:L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823A-D0E9-4D7C-8C3D-01950106D6C2}">
  <dimension ref="A1:L65"/>
  <sheetViews>
    <sheetView tabSelected="1" zoomScale="160" zoomScaleNormal="160" workbookViewId="0">
      <selection activeCell="B11" sqref="B11"/>
    </sheetView>
  </sheetViews>
  <sheetFormatPr defaultRowHeight="14.45"/>
  <cols>
    <col min="1" max="1" width="18.42578125" bestFit="1" customWidth="1"/>
    <col min="2" max="2" width="17.7109375" bestFit="1" customWidth="1"/>
    <col min="3" max="3" width="9.7109375" customWidth="1"/>
    <col min="4" max="7" width="9.28515625" bestFit="1" customWidth="1"/>
    <col min="8" max="8" width="9.5703125" bestFit="1" customWidth="1"/>
    <col min="9" max="12" width="9.28515625" bestFit="1" customWidth="1"/>
  </cols>
  <sheetData>
    <row r="1" spans="1:12" ht="15">
      <c r="A1" s="12" t="s">
        <v>0</v>
      </c>
      <c r="B1" s="25" t="b">
        <v>1</v>
      </c>
      <c r="C1" s="26" t="s">
        <v>1</v>
      </c>
    </row>
    <row r="3" spans="1:12">
      <c r="A3" t="s">
        <v>2</v>
      </c>
      <c r="B3" s="21">
        <f>CFMA!B3</f>
        <v>5000</v>
      </c>
    </row>
    <row r="4" spans="1:12">
      <c r="A4" t="s">
        <v>3</v>
      </c>
      <c r="B4" s="24">
        <f>CFMA!B4</f>
        <v>7.0000000000000007E-2</v>
      </c>
      <c r="C4" t="s">
        <v>4</v>
      </c>
    </row>
    <row r="5" spans="1:12">
      <c r="A5" t="s">
        <v>5</v>
      </c>
      <c r="B5" s="21">
        <f>CFMA!B5</f>
        <v>6</v>
      </c>
      <c r="C5" t="s">
        <v>6</v>
      </c>
    </row>
    <row r="6" spans="1:12" ht="15" thickBot="1">
      <c r="B6" s="27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ht="15" thickBot="1">
      <c r="B7" s="2">
        <v>0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</row>
    <row r="8" spans="1:12" ht="15" thickBot="1">
      <c r="A8" t="s">
        <v>10</v>
      </c>
      <c r="B8" s="14">
        <f>'Cash Flow Maps'!B10</f>
        <v>0</v>
      </c>
      <c r="C8" s="14">
        <f>'Cash Flow Maps'!C10</f>
        <v>350.00000000000006</v>
      </c>
      <c r="D8" s="14">
        <f>'Cash Flow Maps'!D10</f>
        <v>350.00000000000006</v>
      </c>
      <c r="E8" s="14">
        <f>'Cash Flow Maps'!E10</f>
        <v>350.00000000000006</v>
      </c>
      <c r="F8" s="14">
        <f>'Cash Flow Maps'!F10</f>
        <v>350.00000000000006</v>
      </c>
      <c r="G8" s="14">
        <f>'Cash Flow Maps'!G10</f>
        <v>350.00000000000006</v>
      </c>
      <c r="H8" s="14">
        <f>'Cash Flow Maps'!H10</f>
        <v>5350</v>
      </c>
      <c r="I8" s="14">
        <f>'Cash Flow Maps'!I10</f>
        <v>0</v>
      </c>
      <c r="J8" s="14">
        <f>'Cash Flow Maps'!J10</f>
        <v>0</v>
      </c>
      <c r="K8" s="14">
        <f>'Cash Flow Maps'!K10</f>
        <v>0</v>
      </c>
      <c r="L8" s="14">
        <f>'Cash Flow Maps'!L10</f>
        <v>0</v>
      </c>
    </row>
    <row r="9" spans="1:12" ht="15" thickTop="1">
      <c r="C9" s="3"/>
      <c r="D9" s="3"/>
      <c r="E9" s="3"/>
      <c r="F9" s="3"/>
    </row>
    <row r="10" spans="1:12">
      <c r="A10" t="s">
        <v>15</v>
      </c>
      <c r="B10" s="22">
        <v>7.0000000000000007E-2</v>
      </c>
      <c r="C10" s="3"/>
      <c r="D10" s="3"/>
      <c r="E10" s="3"/>
      <c r="F10" s="3"/>
    </row>
    <row r="11" spans="1:12">
      <c r="C11" s="3"/>
      <c r="D11" s="3"/>
      <c r="E11" s="3"/>
      <c r="F11" s="3"/>
    </row>
    <row r="12" spans="1:12" ht="15" thickBot="1">
      <c r="B12" s="27" t="s">
        <v>16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15" thickBot="1">
      <c r="B13" s="2">
        <v>0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</row>
    <row r="14" spans="1:12">
      <c r="B14" s="15"/>
      <c r="C14" s="15">
        <f>C8/(1+$B$10)^C13</f>
        <v>327.10280373831779</v>
      </c>
      <c r="D14" s="15">
        <f t="shared" ref="D14:H14" si="0">D8/(1+$B$10)^D13</f>
        <v>305.70355489562411</v>
      </c>
      <c r="E14" s="15">
        <f t="shared" si="0"/>
        <v>285.70425691179821</v>
      </c>
      <c r="F14" s="15">
        <f t="shared" si="0"/>
        <v>267.01332421663386</v>
      </c>
      <c r="G14" s="15">
        <f t="shared" si="0"/>
        <v>249.54516281928397</v>
      </c>
      <c r="H14" s="15">
        <f t="shared" si="0"/>
        <v>3564.9308974183423</v>
      </c>
      <c r="I14" s="15"/>
      <c r="J14" s="15"/>
      <c r="K14" s="15"/>
      <c r="L14" s="15"/>
    </row>
    <row r="15" spans="1:12" ht="15" thickBot="1">
      <c r="A15" t="s">
        <v>17</v>
      </c>
      <c r="B15" s="6">
        <f>SUM(B14:L14)</f>
        <v>5000</v>
      </c>
      <c r="C15" s="3"/>
      <c r="D15" s="3"/>
      <c r="E15" s="3"/>
      <c r="F15" s="3"/>
    </row>
    <row r="16" spans="1:12" ht="15" thickTop="1"/>
    <row r="17" spans="1:12" ht="15">
      <c r="A17" s="12" t="s">
        <v>11</v>
      </c>
      <c r="B17" s="25" t="b">
        <v>1</v>
      </c>
      <c r="C17" s="26" t="s">
        <v>1</v>
      </c>
    </row>
    <row r="19" spans="1:12">
      <c r="A19" t="s">
        <v>2</v>
      </c>
      <c r="B19" s="21">
        <f>CFMA!B14</f>
        <v>10000</v>
      </c>
    </row>
    <row r="20" spans="1:12">
      <c r="A20" t="s">
        <v>3</v>
      </c>
      <c r="B20" s="22">
        <f>CFMA!B15</f>
        <v>0</v>
      </c>
      <c r="C20" t="s">
        <v>4</v>
      </c>
    </row>
    <row r="21" spans="1:12">
      <c r="A21" t="s">
        <v>5</v>
      </c>
      <c r="B21" s="23">
        <f>CFMA!B16</f>
        <v>9</v>
      </c>
      <c r="C21" t="s">
        <v>6</v>
      </c>
    </row>
    <row r="23" spans="1:12" ht="15" thickBot="1">
      <c r="B23" s="27" t="s">
        <v>7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 ht="15" thickBot="1">
      <c r="B24" s="4">
        <v>0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4">
        <v>7</v>
      </c>
      <c r="J24" s="4">
        <v>8</v>
      </c>
      <c r="K24" s="4">
        <v>9</v>
      </c>
      <c r="L24" s="4">
        <v>10</v>
      </c>
    </row>
    <row r="25" spans="1:12" ht="15" thickBot="1">
      <c r="A25" t="s">
        <v>10</v>
      </c>
      <c r="B25" s="16">
        <f>'Cash Flow Maps'!B22</f>
        <v>0</v>
      </c>
      <c r="C25" s="16">
        <f>'Cash Flow Maps'!C22</f>
        <v>0</v>
      </c>
      <c r="D25" s="16">
        <f>'Cash Flow Maps'!D22</f>
        <v>0</v>
      </c>
      <c r="E25" s="16">
        <f>'Cash Flow Maps'!E22</f>
        <v>0</v>
      </c>
      <c r="F25" s="16">
        <f>'Cash Flow Maps'!F22</f>
        <v>0</v>
      </c>
      <c r="G25" s="16">
        <f>'Cash Flow Maps'!G22</f>
        <v>0</v>
      </c>
      <c r="H25" s="16">
        <f>'Cash Flow Maps'!H22</f>
        <v>0</v>
      </c>
      <c r="I25" s="16">
        <f>'Cash Flow Maps'!I22</f>
        <v>0</v>
      </c>
      <c r="J25" s="16">
        <f>'Cash Flow Maps'!J22</f>
        <v>0</v>
      </c>
      <c r="K25" s="16">
        <f>'Cash Flow Maps'!K22</f>
        <v>10000</v>
      </c>
      <c r="L25" s="16">
        <f>'Cash Flow Maps'!L22</f>
        <v>0</v>
      </c>
    </row>
    <row r="26" spans="1:12" ht="15" thickTop="1">
      <c r="C26" s="3"/>
      <c r="D26" s="3"/>
      <c r="E26" s="3"/>
      <c r="F26" s="3"/>
    </row>
    <row r="27" spans="1:12">
      <c r="A27" t="s">
        <v>15</v>
      </c>
      <c r="B27" s="22">
        <v>0.04</v>
      </c>
      <c r="C27" s="3"/>
      <c r="D27" s="3"/>
      <c r="E27" s="3"/>
      <c r="F27" s="3"/>
    </row>
    <row r="28" spans="1:12">
      <c r="C28" s="3"/>
      <c r="D28" s="3"/>
      <c r="E28" s="3"/>
      <c r="F28" s="3"/>
    </row>
    <row r="29" spans="1:12" ht="15" thickBot="1">
      <c r="B29" s="27" t="s">
        <v>16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ht="15" thickBot="1">
      <c r="B30" s="2">
        <v>0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</row>
    <row r="31" spans="1:12">
      <c r="B31" s="15"/>
      <c r="C31" s="15"/>
      <c r="D31" s="15"/>
      <c r="E31" s="15"/>
      <c r="F31" s="15"/>
      <c r="G31" s="15"/>
      <c r="H31" s="15"/>
      <c r="I31" s="15"/>
      <c r="J31" s="15"/>
      <c r="K31" s="15">
        <f>K25/(1+$B$27)^K30</f>
        <v>7025.8673557883048</v>
      </c>
      <c r="L31" s="15"/>
    </row>
    <row r="32" spans="1:12" ht="15" thickBot="1">
      <c r="A32" t="s">
        <v>17</v>
      </c>
      <c r="B32" s="6">
        <f>SUM(B31:L31)</f>
        <v>7025.8673557883048</v>
      </c>
      <c r="C32" s="3"/>
      <c r="D32" s="3"/>
      <c r="E32" s="3"/>
      <c r="F32" s="3"/>
    </row>
    <row r="33" spans="1:12" ht="15" thickTop="1"/>
    <row r="34" spans="1:12" ht="15">
      <c r="A34" s="12" t="s">
        <v>12</v>
      </c>
      <c r="B34" s="25" t="b">
        <v>0</v>
      </c>
      <c r="C34" s="26" t="s">
        <v>1</v>
      </c>
    </row>
    <row r="35" spans="1:12">
      <c r="A35" s="1"/>
    </row>
    <row r="36" spans="1:12">
      <c r="A36" t="s">
        <v>13</v>
      </c>
      <c r="B36" s="21">
        <f>CFMA!B26</f>
        <v>500</v>
      </c>
      <c r="C36" t="s">
        <v>4</v>
      </c>
    </row>
    <row r="37" spans="1:12">
      <c r="A37" t="s">
        <v>5</v>
      </c>
      <c r="B37" s="23">
        <f>CFMA!B27</f>
        <v>7</v>
      </c>
      <c r="C37" t="s">
        <v>6</v>
      </c>
    </row>
    <row r="39" spans="1:12" ht="15" thickBot="1">
      <c r="B39" s="27" t="s">
        <v>7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s="7" customFormat="1" ht="15" thickBot="1">
      <c r="B40" s="2">
        <v>0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</row>
    <row r="41" spans="1:12" ht="15" thickBot="1">
      <c r="A41" t="s">
        <v>10</v>
      </c>
      <c r="B41" s="14">
        <f>'Cash Flow Maps'!B31</f>
        <v>0</v>
      </c>
      <c r="C41" s="14">
        <f>'Cash Flow Maps'!C31</f>
        <v>500</v>
      </c>
      <c r="D41" s="14">
        <f>'Cash Flow Maps'!D31</f>
        <v>500</v>
      </c>
      <c r="E41" s="14">
        <f>'Cash Flow Maps'!E31</f>
        <v>500</v>
      </c>
      <c r="F41" s="14">
        <f>'Cash Flow Maps'!F31</f>
        <v>500</v>
      </c>
      <c r="G41" s="14">
        <f>'Cash Flow Maps'!G31</f>
        <v>500</v>
      </c>
      <c r="H41" s="14">
        <f>'Cash Flow Maps'!H31</f>
        <v>500</v>
      </c>
      <c r="I41" s="14">
        <f>'Cash Flow Maps'!I31</f>
        <v>500</v>
      </c>
      <c r="J41" s="14">
        <f>'Cash Flow Maps'!J31</f>
        <v>0</v>
      </c>
      <c r="K41" s="14">
        <f>'Cash Flow Maps'!K31</f>
        <v>0</v>
      </c>
      <c r="L41" s="14">
        <f>'Cash Flow Maps'!L31</f>
        <v>0</v>
      </c>
    </row>
    <row r="42" spans="1:12" ht="15" thickTop="1">
      <c r="C42" s="3"/>
      <c r="D42" s="3"/>
      <c r="E42" s="3"/>
      <c r="F42" s="3"/>
    </row>
    <row r="43" spans="1:12">
      <c r="A43" t="s">
        <v>15</v>
      </c>
      <c r="B43" s="22">
        <v>0.06</v>
      </c>
      <c r="C43" s="3"/>
      <c r="D43" s="3"/>
      <c r="E43" s="3"/>
      <c r="F43" s="3"/>
    </row>
    <row r="44" spans="1:12">
      <c r="C44" s="3"/>
      <c r="D44" s="3"/>
      <c r="E44" s="3"/>
      <c r="F44" s="3"/>
    </row>
    <row r="45" spans="1:12" ht="15" thickBot="1">
      <c r="B45" s="27" t="s">
        <v>16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 ht="15" thickBot="1">
      <c r="B46" s="2">
        <v>0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</row>
    <row r="47" spans="1:12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 ht="15" thickBot="1">
      <c r="A48" t="s">
        <v>17</v>
      </c>
      <c r="B48" s="6">
        <f>SUM(B47:L47)</f>
        <v>0</v>
      </c>
      <c r="C48" s="3"/>
      <c r="D48" s="3"/>
      <c r="E48" s="3"/>
      <c r="F48" s="3"/>
    </row>
    <row r="49" spans="1:12" ht="15" thickTop="1"/>
    <row r="50" spans="1:12" ht="15">
      <c r="A50" s="12" t="s">
        <v>14</v>
      </c>
      <c r="B50" s="25" t="b">
        <v>0</v>
      </c>
      <c r="C50" s="26" t="s">
        <v>1</v>
      </c>
    </row>
    <row r="51" spans="1:12">
      <c r="A51" s="1"/>
    </row>
    <row r="52" spans="1:12">
      <c r="A52" t="s">
        <v>13</v>
      </c>
      <c r="B52" s="21">
        <f>CFMA!B36</f>
        <v>600</v>
      </c>
      <c r="C52" t="s">
        <v>4</v>
      </c>
    </row>
    <row r="53" spans="1:12">
      <c r="A53" t="s">
        <v>5</v>
      </c>
      <c r="B53" s="23">
        <f>CFMA!B37</f>
        <v>5</v>
      </c>
      <c r="C53" t="s">
        <v>6</v>
      </c>
    </row>
    <row r="55" spans="1:12" ht="15" thickBot="1">
      <c r="B55" s="27" t="s">
        <v>7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</row>
    <row r="56" spans="1:12" ht="15" thickBot="1">
      <c r="B56" s="4">
        <v>0</v>
      </c>
      <c r="C56" s="4">
        <v>1</v>
      </c>
      <c r="D56" s="4">
        <v>2</v>
      </c>
      <c r="E56" s="4">
        <v>3</v>
      </c>
      <c r="F56" s="4">
        <v>4</v>
      </c>
      <c r="G56" s="4">
        <v>5</v>
      </c>
      <c r="H56" s="4">
        <v>6</v>
      </c>
      <c r="I56" s="4">
        <v>7</v>
      </c>
      <c r="J56" s="4">
        <v>8</v>
      </c>
      <c r="K56" s="4">
        <v>9</v>
      </c>
      <c r="L56" s="4">
        <v>10</v>
      </c>
    </row>
    <row r="57" spans="1:12" ht="15" thickBot="1">
      <c r="B57" s="5">
        <f>'Cash Flow Maps'!B41</f>
        <v>0</v>
      </c>
      <c r="C57" s="5">
        <f>'Cash Flow Maps'!C41</f>
        <v>0</v>
      </c>
      <c r="D57" s="5">
        <f>'Cash Flow Maps'!D41</f>
        <v>0</v>
      </c>
      <c r="E57" s="5">
        <f>'Cash Flow Maps'!E41</f>
        <v>0</v>
      </c>
      <c r="F57" s="5">
        <f>'Cash Flow Maps'!F41</f>
        <v>0</v>
      </c>
      <c r="G57" s="5">
        <f>'Cash Flow Maps'!G41</f>
        <v>0</v>
      </c>
      <c r="H57" s="5">
        <f>'Cash Flow Maps'!H41</f>
        <v>0</v>
      </c>
      <c r="I57" s="5">
        <f>'Cash Flow Maps'!I41</f>
        <v>0</v>
      </c>
      <c r="J57" s="5">
        <f>'Cash Flow Maps'!J41</f>
        <v>0</v>
      </c>
      <c r="K57" s="5">
        <f>'Cash Flow Maps'!K41</f>
        <v>0</v>
      </c>
      <c r="L57" s="5">
        <f>'Cash Flow Maps'!L41</f>
        <v>0</v>
      </c>
    </row>
    <row r="58" spans="1:12" ht="15" thickTop="1">
      <c r="C58" s="3"/>
      <c r="D58" s="3"/>
      <c r="E58" s="3"/>
      <c r="F58" s="3"/>
    </row>
    <row r="59" spans="1:12">
      <c r="A59" t="s">
        <v>15</v>
      </c>
      <c r="B59" s="22">
        <v>0.22</v>
      </c>
      <c r="C59" s="3"/>
      <c r="D59" s="3"/>
      <c r="E59" s="3"/>
      <c r="F59" s="3"/>
    </row>
    <row r="60" spans="1:12">
      <c r="C60" s="3"/>
      <c r="D60" s="3"/>
      <c r="E60" s="3"/>
      <c r="F60" s="3"/>
    </row>
    <row r="61" spans="1:12" ht="15" thickBot="1">
      <c r="B61" s="27" t="s">
        <v>16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 ht="15" thickBot="1">
      <c r="B62" s="2">
        <v>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</row>
    <row r="63" spans="1:12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spans="1:12" ht="15" thickBot="1">
      <c r="A64" t="s">
        <v>17</v>
      </c>
      <c r="B64" s="6">
        <f>SUM(B63:L63)</f>
        <v>0</v>
      </c>
      <c r="C64" s="3"/>
      <c r="D64" s="3"/>
      <c r="E64" s="3"/>
      <c r="F64" s="3"/>
    </row>
    <row r="65" ht="15" thickTop="1"/>
  </sheetData>
  <mergeCells count="8">
    <mergeCell ref="B55:L55"/>
    <mergeCell ref="B61:L61"/>
    <mergeCell ref="B6:L6"/>
    <mergeCell ref="B12:L12"/>
    <mergeCell ref="B23:L23"/>
    <mergeCell ref="B29:L29"/>
    <mergeCell ref="B39:L39"/>
    <mergeCell ref="B45:L4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388455C2-86FB-4A58-AE70-2FEB34529448}">
            <xm:f>AND($B$1,ROUND($B$15,0)&lt;&gt;ROUND(DA!$B$15,0))</xm:f>
            <x14:dxf>
              <fill>
                <patternFill>
                  <bgColor rgb="FFFFFF0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7" id="{03E568A0-D894-4DBD-8ED5-769B05BB506D}">
            <xm:f>AND($B$17,ROUND($B$15,0)&lt;&gt;ROUND(DA!$B$15,0))</xm:f>
            <x14:dxf>
              <fill>
                <patternFill>
                  <bgColor rgb="FFFFFF00"/>
                </patternFill>
              </fill>
            </x14:dxf>
          </x14:cfRule>
          <xm:sqref>B32</xm:sqref>
        </x14:conditionalFormatting>
        <x14:conditionalFormatting xmlns:xm="http://schemas.microsoft.com/office/excel/2006/main">
          <x14:cfRule type="expression" priority="6" id="{903583C5-AA3E-450F-9FAA-04403695017A}">
            <xm:f>AND($B$34,ROUND($B$15,0)&lt;&gt;ROUND(DA!$B$15,0))</xm:f>
            <x14:dxf>
              <fill>
                <patternFill>
                  <bgColor rgb="FFFFFF00"/>
                </patternFill>
              </fill>
            </x14:dxf>
          </x14:cfRule>
          <xm:sqref>B48</xm:sqref>
        </x14:conditionalFormatting>
        <x14:conditionalFormatting xmlns:xm="http://schemas.microsoft.com/office/excel/2006/main">
          <x14:cfRule type="expression" priority="5" id="{FB941E89-29DD-43BB-A175-BEADC6C3D593}">
            <xm:f>AND($B$50,ROUND($B$64,0)&lt;&gt;ROUND(DA!$B$64,0))</xm:f>
            <x14:dxf>
              <fill>
                <patternFill>
                  <bgColor rgb="FFFFFF00"/>
                </patternFill>
              </fill>
            </x14:dxf>
          </x14:cfRule>
          <xm:sqref>B64</xm:sqref>
        </x14:conditionalFormatting>
        <x14:conditionalFormatting xmlns:xm="http://schemas.microsoft.com/office/excel/2006/main">
          <x14:cfRule type="expression" priority="4" id="{1FB1E170-2D11-49C7-B084-A6BE109FE23E}">
            <xm:f>AND($B$1,ROUND(B$14,0)&lt;&gt;ROUND(DA!B$14,0))</xm:f>
            <x14:dxf>
              <fill>
                <patternFill>
                  <bgColor rgb="FFFFFF00"/>
                </patternFill>
              </fill>
            </x14:dxf>
          </x14:cfRule>
          <xm:sqref>B14:L14</xm:sqref>
        </x14:conditionalFormatting>
        <x14:conditionalFormatting xmlns:xm="http://schemas.microsoft.com/office/excel/2006/main">
          <x14:cfRule type="expression" priority="3" id="{BB92D337-8FF0-48D3-9C02-8993044CDBA5}">
            <xm:f>AND($B$17,ROUND(B$31,0)&lt;&gt;ROUND(DA!B$31,0))</xm:f>
            <x14:dxf>
              <fill>
                <patternFill>
                  <bgColor rgb="FFFFFF00"/>
                </patternFill>
              </fill>
            </x14:dxf>
          </x14:cfRule>
          <xm:sqref>B31:L31</xm:sqref>
        </x14:conditionalFormatting>
        <x14:conditionalFormatting xmlns:xm="http://schemas.microsoft.com/office/excel/2006/main">
          <x14:cfRule type="expression" priority="2" id="{443A43BF-3AD3-49EF-BE9E-DF325D40E4EA}">
            <xm:f>AND($B$34,ROUND(B$47,0)&lt;&gt;ROUND(DA!B$47,0))</xm:f>
            <x14:dxf>
              <fill>
                <patternFill>
                  <bgColor rgb="FFFFFF00"/>
                </patternFill>
              </fill>
            </x14:dxf>
          </x14:cfRule>
          <xm:sqref>B47:L47</xm:sqref>
        </x14:conditionalFormatting>
        <x14:conditionalFormatting xmlns:xm="http://schemas.microsoft.com/office/excel/2006/main">
          <x14:cfRule type="expression" priority="1" id="{14D97303-86AA-47C8-ADDE-E8D855CB8FB8}">
            <xm:f>AND($B$50,ROUND(B$63,0)&lt;&gt;ROUND(DA!B$63,0))</xm:f>
            <x14:dxf>
              <fill>
                <patternFill>
                  <bgColor rgb="FFFFFF00"/>
                </patternFill>
              </fill>
            </x14:dxf>
          </x14:cfRule>
          <xm:sqref>B63:L63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6DF0-85E6-495E-B742-35BFD78D0EEB}">
  <dimension ref="A1:L65"/>
  <sheetViews>
    <sheetView topLeftCell="A19" zoomScale="205" zoomScaleNormal="205" workbookViewId="0">
      <selection activeCell="B31" sqref="B31"/>
    </sheetView>
  </sheetViews>
  <sheetFormatPr defaultRowHeight="14.45"/>
  <cols>
    <col min="1" max="1" width="18.42578125" bestFit="1" customWidth="1"/>
    <col min="2" max="2" width="17.7109375" bestFit="1" customWidth="1"/>
    <col min="3" max="3" width="9.7109375" customWidth="1"/>
    <col min="4" max="7" width="9.28515625" bestFit="1" customWidth="1"/>
    <col min="8" max="8" width="9.5703125" bestFit="1" customWidth="1"/>
    <col min="9" max="12" width="9.28515625" bestFit="1" customWidth="1"/>
  </cols>
  <sheetData>
    <row r="1" spans="1:12">
      <c r="A1" s="12" t="s">
        <v>0</v>
      </c>
    </row>
    <row r="3" spans="1:12">
      <c r="A3" t="s">
        <v>2</v>
      </c>
      <c r="B3" s="8">
        <f>CFMA!B3</f>
        <v>5000</v>
      </c>
    </row>
    <row r="4" spans="1:12">
      <c r="A4" t="s">
        <v>3</v>
      </c>
      <c r="B4" s="9">
        <f>CFMA!B4</f>
        <v>7.0000000000000007E-2</v>
      </c>
      <c r="C4" t="s">
        <v>4</v>
      </c>
    </row>
    <row r="5" spans="1:12">
      <c r="A5" t="s">
        <v>5</v>
      </c>
      <c r="B5" s="8">
        <f>CFMA!B5</f>
        <v>6</v>
      </c>
      <c r="C5" t="s">
        <v>6</v>
      </c>
    </row>
    <row r="6" spans="1:12" ht="15" thickBot="1">
      <c r="B6" s="27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ht="15" thickBot="1">
      <c r="B7" s="2">
        <v>0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</row>
    <row r="8" spans="1:12" ht="15" thickBot="1">
      <c r="A8" t="s">
        <v>10</v>
      </c>
      <c r="B8" s="14">
        <f>CFMA!B10</f>
        <v>0</v>
      </c>
      <c r="C8" s="14">
        <f>CFMA!C10</f>
        <v>350.00000000000006</v>
      </c>
      <c r="D8" s="14">
        <f>CFMA!D10</f>
        <v>350.00000000000006</v>
      </c>
      <c r="E8" s="14">
        <f>CFMA!E10</f>
        <v>350.00000000000006</v>
      </c>
      <c r="F8" s="14">
        <f>CFMA!F10</f>
        <v>350.00000000000006</v>
      </c>
      <c r="G8" s="14">
        <f>CFMA!G10</f>
        <v>350.00000000000006</v>
      </c>
      <c r="H8" s="14">
        <f>CFMA!H10</f>
        <v>5350</v>
      </c>
      <c r="I8" s="14">
        <f>CFMA!I10</f>
        <v>0</v>
      </c>
      <c r="J8" s="14">
        <f>CFMA!J10</f>
        <v>0</v>
      </c>
      <c r="K8" s="14">
        <f>CFMA!K10</f>
        <v>0</v>
      </c>
      <c r="L8" s="14">
        <f>CFMA!L10</f>
        <v>0</v>
      </c>
    </row>
    <row r="9" spans="1:12" ht="15" thickTop="1">
      <c r="C9" s="3"/>
      <c r="D9" s="3"/>
      <c r="E9" s="3"/>
      <c r="F9" s="3"/>
    </row>
    <row r="10" spans="1:12">
      <c r="A10" t="s">
        <v>15</v>
      </c>
      <c r="B10" s="22">
        <v>0.08</v>
      </c>
      <c r="C10" s="3"/>
      <c r="D10" s="3"/>
      <c r="E10" s="3"/>
      <c r="F10" s="3"/>
    </row>
    <row r="11" spans="1:12">
      <c r="C11" s="3"/>
      <c r="D11" s="3"/>
      <c r="E11" s="3"/>
      <c r="F11" s="3"/>
    </row>
    <row r="12" spans="1:12" ht="15" thickBot="1">
      <c r="B12" s="27" t="s">
        <v>16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15" thickBot="1">
      <c r="B13" s="2">
        <v>0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</row>
    <row r="14" spans="1:12">
      <c r="B14" s="15"/>
      <c r="C14" s="15">
        <f>C8/(1+$B$10)^C13</f>
        <v>324.07407407407413</v>
      </c>
      <c r="D14" s="15">
        <f t="shared" ref="D14:H14" si="0">D8/(1+$B$10)^D13</f>
        <v>300.06858710562415</v>
      </c>
      <c r="E14" s="15">
        <f t="shared" si="0"/>
        <v>277.84128435705941</v>
      </c>
      <c r="F14" s="15">
        <f t="shared" si="0"/>
        <v>257.26044847875869</v>
      </c>
      <c r="G14" s="15">
        <f t="shared" si="0"/>
        <v>238.20411896181361</v>
      </c>
      <c r="H14" s="15">
        <f t="shared" si="0"/>
        <v>3371.4075038246092</v>
      </c>
      <c r="I14" s="15"/>
      <c r="J14" s="15"/>
      <c r="K14" s="15"/>
      <c r="L14" s="15"/>
    </row>
    <row r="15" spans="1:12" ht="15" thickBot="1">
      <c r="A15" t="s">
        <v>17</v>
      </c>
      <c r="B15" s="6">
        <f>SUM(B14:L14)</f>
        <v>4768.8560168019394</v>
      </c>
      <c r="C15" s="3"/>
      <c r="D15" s="3"/>
      <c r="E15" s="3"/>
      <c r="F15" s="3"/>
    </row>
    <row r="16" spans="1:12" ht="15" thickTop="1"/>
    <row r="17" spans="1:12">
      <c r="A17" s="12" t="s">
        <v>11</v>
      </c>
    </row>
    <row r="19" spans="1:12">
      <c r="A19" t="s">
        <v>2</v>
      </c>
      <c r="B19" s="8">
        <f>CFMA!B14</f>
        <v>10000</v>
      </c>
    </row>
    <row r="20" spans="1:12">
      <c r="A20" t="s">
        <v>3</v>
      </c>
      <c r="B20" s="20">
        <f>CFMA!B15</f>
        <v>0</v>
      </c>
      <c r="C20" t="s">
        <v>4</v>
      </c>
    </row>
    <row r="21" spans="1:12">
      <c r="A21" t="s">
        <v>5</v>
      </c>
      <c r="B21">
        <f>CFMA!B16</f>
        <v>9</v>
      </c>
      <c r="C21" t="s">
        <v>6</v>
      </c>
    </row>
    <row r="23" spans="1:12" ht="15" thickBot="1">
      <c r="B23" s="27" t="s">
        <v>7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 ht="15" thickBot="1">
      <c r="B24" s="4">
        <v>0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4">
        <v>7</v>
      </c>
      <c r="J24" s="4">
        <v>8</v>
      </c>
      <c r="K24" s="4">
        <v>9</v>
      </c>
      <c r="L24" s="4">
        <v>10</v>
      </c>
    </row>
    <row r="25" spans="1:12" ht="15" thickBot="1">
      <c r="A25" t="s">
        <v>10</v>
      </c>
      <c r="B25" s="16">
        <f>CFMA!B22</f>
        <v>0</v>
      </c>
      <c r="C25" s="16">
        <f>CFMA!C22</f>
        <v>0</v>
      </c>
      <c r="D25" s="16">
        <f>CFMA!D22</f>
        <v>0</v>
      </c>
      <c r="E25" s="16">
        <f>CFMA!E22</f>
        <v>0</v>
      </c>
      <c r="F25" s="16">
        <f>CFMA!F22</f>
        <v>0</v>
      </c>
      <c r="G25" s="16">
        <f>CFMA!G22</f>
        <v>0</v>
      </c>
      <c r="H25" s="16">
        <f>CFMA!H22</f>
        <v>0</v>
      </c>
      <c r="I25" s="16">
        <f>CFMA!I22</f>
        <v>0</v>
      </c>
      <c r="J25" s="16">
        <f>CFMA!J22</f>
        <v>0</v>
      </c>
      <c r="K25" s="16">
        <f>CFMA!K22</f>
        <v>10000</v>
      </c>
      <c r="L25" s="16">
        <f>CFMA!L22</f>
        <v>0</v>
      </c>
    </row>
    <row r="26" spans="1:12" ht="15" thickTop="1">
      <c r="C26" s="3"/>
      <c r="D26" s="3"/>
      <c r="E26" s="3"/>
      <c r="F26" s="3"/>
    </row>
    <row r="27" spans="1:12">
      <c r="A27" t="s">
        <v>15</v>
      </c>
      <c r="B27" s="22">
        <v>0.04</v>
      </c>
      <c r="C27" s="3"/>
      <c r="D27" s="3"/>
      <c r="E27" s="3"/>
      <c r="F27" s="3"/>
    </row>
    <row r="28" spans="1:12">
      <c r="C28" s="3"/>
      <c r="D28" s="3"/>
      <c r="E28" s="3"/>
      <c r="F28" s="3"/>
    </row>
    <row r="29" spans="1:12" ht="15" thickBot="1">
      <c r="B29" s="27" t="s">
        <v>16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ht="15" thickBot="1">
      <c r="B30" s="2">
        <v>0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</row>
    <row r="31" spans="1:12">
      <c r="B31" s="17"/>
      <c r="C31" s="17"/>
      <c r="D31" s="17"/>
      <c r="E31" s="17"/>
      <c r="F31" s="17"/>
      <c r="G31" s="17"/>
      <c r="H31" s="17"/>
      <c r="I31" s="17"/>
      <c r="J31" s="17"/>
      <c r="K31" s="17">
        <f>K25/(1+$B$27)^K30</f>
        <v>7025.8673557883048</v>
      </c>
      <c r="L31" s="17"/>
    </row>
    <row r="32" spans="1:12" ht="15" thickBot="1">
      <c r="A32" t="s">
        <v>17</v>
      </c>
      <c r="B32" s="6">
        <f>SUM(B31:L31)</f>
        <v>7025.8673557883048</v>
      </c>
      <c r="C32" s="3"/>
      <c r="D32" s="3"/>
      <c r="E32" s="3"/>
      <c r="F32" s="3"/>
    </row>
    <row r="33" spans="1:12" ht="15" thickTop="1"/>
    <row r="34" spans="1:12">
      <c r="A34" s="12" t="s">
        <v>12</v>
      </c>
    </row>
    <row r="35" spans="1:12">
      <c r="A35" s="1"/>
    </row>
    <row r="36" spans="1:12">
      <c r="A36" t="s">
        <v>13</v>
      </c>
      <c r="B36" s="8">
        <f>CFMA!B26</f>
        <v>500</v>
      </c>
      <c r="C36" t="s">
        <v>4</v>
      </c>
    </row>
    <row r="37" spans="1:12">
      <c r="A37" t="s">
        <v>5</v>
      </c>
      <c r="B37">
        <f>CFMA!B27</f>
        <v>7</v>
      </c>
      <c r="C37" t="s">
        <v>6</v>
      </c>
    </row>
    <row r="39" spans="1:12" ht="15" thickBot="1">
      <c r="B39" s="27" t="s">
        <v>7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s="7" customFormat="1" ht="15" thickBot="1">
      <c r="B40" s="2">
        <v>0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</row>
    <row r="41" spans="1:12" ht="15" thickBot="1">
      <c r="A41" t="s">
        <v>10</v>
      </c>
      <c r="B41" s="14">
        <f>CFMA!B31</f>
        <v>0</v>
      </c>
      <c r="C41" s="14">
        <f>CFMA!C31</f>
        <v>500</v>
      </c>
      <c r="D41" s="14">
        <f>CFMA!D31</f>
        <v>500</v>
      </c>
      <c r="E41" s="14">
        <f>CFMA!E31</f>
        <v>500</v>
      </c>
      <c r="F41" s="14">
        <f>CFMA!F31</f>
        <v>500</v>
      </c>
      <c r="G41" s="14">
        <f>CFMA!G31</f>
        <v>500</v>
      </c>
      <c r="H41" s="14">
        <f>CFMA!H31</f>
        <v>500</v>
      </c>
      <c r="I41" s="14">
        <f>CFMA!I31</f>
        <v>500</v>
      </c>
      <c r="J41" s="14">
        <f>CFMA!J31</f>
        <v>0</v>
      </c>
      <c r="K41" s="14">
        <f>CFMA!K31</f>
        <v>0</v>
      </c>
      <c r="L41" s="14">
        <f>CFMA!L31</f>
        <v>0</v>
      </c>
    </row>
    <row r="42" spans="1:12" ht="15" thickTop="1">
      <c r="C42" s="3"/>
      <c r="D42" s="3"/>
      <c r="E42" s="3"/>
      <c r="F42" s="3"/>
    </row>
    <row r="43" spans="1:12">
      <c r="A43" t="s">
        <v>15</v>
      </c>
      <c r="B43" s="22">
        <v>0.06</v>
      </c>
      <c r="C43" s="3"/>
      <c r="D43" s="3"/>
      <c r="E43" s="3"/>
      <c r="F43" s="3"/>
    </row>
    <row r="44" spans="1:12">
      <c r="C44" s="3"/>
      <c r="D44" s="3"/>
      <c r="E44" s="3"/>
      <c r="F44" s="3"/>
    </row>
    <row r="45" spans="1:12" ht="15" thickBot="1">
      <c r="B45" s="27" t="s">
        <v>16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 ht="15" thickBot="1">
      <c r="B46" s="2">
        <v>0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</row>
    <row r="47" spans="1:12">
      <c r="B47" s="17"/>
      <c r="C47" s="15">
        <f>C41/(1+$B$43)^C46</f>
        <v>471.69811320754712</v>
      </c>
      <c r="D47" s="15">
        <f t="shared" ref="D47:I47" si="1">D41/(1+$B$43)^D46</f>
        <v>444.99822000711993</v>
      </c>
      <c r="E47" s="15">
        <f t="shared" si="1"/>
        <v>419.8096415161508</v>
      </c>
      <c r="F47" s="15">
        <f t="shared" si="1"/>
        <v>396.04683161901022</v>
      </c>
      <c r="G47" s="15">
        <f t="shared" si="1"/>
        <v>373.62908643302842</v>
      </c>
      <c r="H47" s="15">
        <f t="shared" si="1"/>
        <v>352.48027021983813</v>
      </c>
      <c r="I47" s="15">
        <f t="shared" si="1"/>
        <v>332.52855681116802</v>
      </c>
      <c r="J47" s="15"/>
      <c r="K47" s="15"/>
      <c r="L47" s="15"/>
    </row>
    <row r="48" spans="1:12" ht="15" thickBot="1">
      <c r="A48" t="s">
        <v>17</v>
      </c>
      <c r="B48" s="6">
        <f>SUM(B47:L47)</f>
        <v>2791.1907198138624</v>
      </c>
      <c r="C48" s="3"/>
      <c r="D48" s="3"/>
      <c r="E48" s="3"/>
      <c r="F48" s="3"/>
    </row>
    <row r="49" spans="1:12" ht="15" thickTop="1"/>
    <row r="50" spans="1:12">
      <c r="A50" s="12" t="s">
        <v>14</v>
      </c>
    </row>
    <row r="51" spans="1:12">
      <c r="A51" s="1"/>
    </row>
    <row r="52" spans="1:12">
      <c r="A52" t="s">
        <v>13</v>
      </c>
      <c r="B52" s="8">
        <f>CFMA!B36</f>
        <v>600</v>
      </c>
      <c r="C52" t="s">
        <v>4</v>
      </c>
    </row>
    <row r="53" spans="1:12">
      <c r="A53" t="s">
        <v>5</v>
      </c>
      <c r="B53">
        <f>CFMA!B37</f>
        <v>5</v>
      </c>
      <c r="C53" t="s">
        <v>6</v>
      </c>
    </row>
    <row r="55" spans="1:12" ht="15" thickBot="1">
      <c r="B55" s="27" t="s">
        <v>7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</row>
    <row r="56" spans="1:12" ht="15" thickBot="1">
      <c r="B56" s="4">
        <v>0</v>
      </c>
      <c r="C56" s="4">
        <v>1</v>
      </c>
      <c r="D56" s="4">
        <v>2</v>
      </c>
      <c r="E56" s="4">
        <v>3</v>
      </c>
      <c r="F56" s="4">
        <v>4</v>
      </c>
      <c r="G56" s="4">
        <v>5</v>
      </c>
      <c r="H56" s="4">
        <v>6</v>
      </c>
      <c r="I56" s="4">
        <v>7</v>
      </c>
      <c r="J56" s="4">
        <v>8</v>
      </c>
      <c r="K56" s="4">
        <v>9</v>
      </c>
      <c r="L56" s="4">
        <v>10</v>
      </c>
    </row>
    <row r="57" spans="1:12" ht="15" thickBot="1">
      <c r="B57" s="5">
        <f>CFMA!B41</f>
        <v>600</v>
      </c>
      <c r="C57" s="5">
        <f>CFMA!C41</f>
        <v>600</v>
      </c>
      <c r="D57" s="5">
        <f>CFMA!D41</f>
        <v>600</v>
      </c>
      <c r="E57" s="5">
        <f>CFMA!E41</f>
        <v>600</v>
      </c>
      <c r="F57" s="5">
        <f>CFMA!F41</f>
        <v>600</v>
      </c>
      <c r="G57" s="5">
        <f>CFMA!G41</f>
        <v>0</v>
      </c>
      <c r="H57" s="5">
        <f>CFMA!H41</f>
        <v>0</v>
      </c>
      <c r="I57" s="5">
        <f>CFMA!I41</f>
        <v>0</v>
      </c>
      <c r="J57" s="5">
        <f>CFMA!J41</f>
        <v>0</v>
      </c>
      <c r="K57" s="5">
        <f>CFMA!K41</f>
        <v>0</v>
      </c>
      <c r="L57" s="5">
        <f>CFMA!L41</f>
        <v>0</v>
      </c>
    </row>
    <row r="58" spans="1:12" ht="15" thickTop="1">
      <c r="C58" s="3"/>
      <c r="D58" s="3"/>
      <c r="E58" s="3"/>
      <c r="F58" s="3"/>
    </row>
    <row r="59" spans="1:12">
      <c r="A59" t="s">
        <v>15</v>
      </c>
      <c r="B59" s="22">
        <v>0.22</v>
      </c>
      <c r="C59" s="3"/>
      <c r="D59" s="3"/>
      <c r="E59" s="3"/>
      <c r="F59" s="3"/>
    </row>
    <row r="60" spans="1:12">
      <c r="C60" s="3"/>
      <c r="D60" s="3"/>
      <c r="E60" s="3"/>
      <c r="F60" s="3"/>
    </row>
    <row r="61" spans="1:12" ht="15" thickBot="1">
      <c r="B61" s="27" t="s">
        <v>16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 ht="15" thickBot="1">
      <c r="B62" s="2">
        <v>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</row>
    <row r="63" spans="1:12">
      <c r="B63" s="15">
        <f>B57/(1+$B$59)^B56</f>
        <v>600</v>
      </c>
      <c r="C63" s="15">
        <f t="shared" ref="C63:F63" si="2">C57/(1+$B$59)^C56</f>
        <v>491.80327868852459</v>
      </c>
      <c r="D63" s="15">
        <f t="shared" si="2"/>
        <v>403.117441547971</v>
      </c>
      <c r="E63" s="15">
        <f t="shared" si="2"/>
        <v>330.42413241636967</v>
      </c>
      <c r="F63" s="15">
        <f t="shared" si="2"/>
        <v>270.83945280030304</v>
      </c>
      <c r="G63" s="15"/>
      <c r="H63" s="15"/>
      <c r="I63" s="15"/>
      <c r="J63" s="15"/>
      <c r="K63" s="15"/>
      <c r="L63" s="15"/>
    </row>
    <row r="64" spans="1:12" ht="15" thickBot="1">
      <c r="A64" t="s">
        <v>17</v>
      </c>
      <c r="B64" s="6">
        <f>SUM(B63:L63)</f>
        <v>2096.1843054531682</v>
      </c>
      <c r="C64" s="3"/>
      <c r="D64" s="3"/>
      <c r="E64" s="3"/>
      <c r="F64" s="3"/>
    </row>
    <row r="65" ht="15" thickTop="1"/>
  </sheetData>
  <mergeCells count="8">
    <mergeCell ref="B55:L55"/>
    <mergeCell ref="B61:L61"/>
    <mergeCell ref="B6:L6"/>
    <mergeCell ref="B12:L12"/>
    <mergeCell ref="B23:L23"/>
    <mergeCell ref="B29:L29"/>
    <mergeCell ref="B39:L39"/>
    <mergeCell ref="B45:L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Antle, Rick</dc:creator>
  <cp:keywords/>
  <dc:description/>
  <cp:lastModifiedBy>Antle, Rick</cp:lastModifiedBy>
  <cp:revision/>
  <dcterms:created xsi:type="dcterms:W3CDTF">2019-09-08T19:06:55Z</dcterms:created>
  <dcterms:modified xsi:type="dcterms:W3CDTF">2026-01-23T14:32:42Z</dcterms:modified>
  <cp:category/>
  <cp:contentStatus/>
</cp:coreProperties>
</file>