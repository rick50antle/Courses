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04-Compounding-Period-Perpetuities-Growth/"/>
    </mc:Choice>
  </mc:AlternateContent>
  <xr:revisionPtr revIDLastSave="157" documentId="8_{A3AEBC00-8504-45BC-9D3D-5C4F1DC7BA05}" xr6:coauthVersionLast="47" xr6:coauthVersionMax="47" xr10:uidLastSave="{A9E57A80-6A3F-4CB9-BFC4-81CAD4FE9989}"/>
  <bookViews>
    <workbookView xWindow="6252" yWindow="2556" windowWidth="25572" windowHeight="13560" tabRatio="500" activeTab="1" xr2:uid="{00000000-000D-0000-FFFF-FFFF00000000}"/>
  </bookViews>
  <sheets>
    <sheet name="For Class" sheetId="6" r:id="rId1"/>
    <sheet name="Yield Eg" sheetId="10" r:id="rId2"/>
    <sheet name="Yield Eg Safety Net" sheetId="9" state="hidden" r:id="rId3"/>
    <sheet name="Growth" sheetId="2" r:id="rId4"/>
    <sheet name="Compounding Period" sheetId="3" r:id="rId5"/>
    <sheet name="Sheet1" sheetId="4" state="hidden" r:id="rId6"/>
    <sheet name="Sheet2" sheetId="5" state="hidden" r:id="rId7"/>
    <sheet name="Compounding within 1 year" sheetId="7" state="hidden" r:id="rId8"/>
    <sheet name="Chart1" sheetId="8" state="hidden" r:id="rId9"/>
  </sheets>
  <definedNames>
    <definedName name="Amount">Growth!$B$1</definedName>
    <definedName name="Coupon_Rate" localSheetId="2">'Yield Eg Safety Net'!$B$2</definedName>
    <definedName name="End_of_Period" localSheetId="2">'Yield Eg Safety Net'!$C$7:$G$7</definedName>
    <definedName name="Face_Value" localSheetId="2">'Yield Eg Safety Net'!$B$1</definedName>
    <definedName name="Growth_Rate">Growth!$B$2</definedName>
    <definedName name="Interest_Rate">Growth!$B$3</definedName>
    <definedName name="Total_Cash_Flows" localSheetId="2">'Yield Eg Safety Net'!$C$10:$G$10</definedName>
    <definedName name="Yield_Rate" localSheetId="2">'Yield Eg Safety Net'!$B$17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9" i="10" l="1"/>
  <c r="C19" i="10"/>
  <c r="D19" i="10"/>
  <c r="E19" i="10"/>
  <c r="F19" i="10"/>
  <c r="G8" i="10"/>
  <c r="D7" i="10"/>
  <c r="E7" i="10"/>
  <c r="F7" i="10"/>
  <c r="G7" i="10"/>
  <c r="G9" i="10" s="1"/>
  <c r="C7" i="10"/>
  <c r="G14" i="3"/>
  <c r="D6" i="3"/>
  <c r="D7" i="3"/>
  <c r="D8" i="3"/>
  <c r="D9" i="3"/>
  <c r="E17" i="3"/>
  <c r="E7" i="3"/>
  <c r="E6" i="3"/>
  <c r="D10" i="3"/>
  <c r="E19" i="3" s="1"/>
  <c r="D5" i="3"/>
  <c r="C9" i="3"/>
  <c r="C8" i="3"/>
  <c r="C7" i="3"/>
  <c r="C6" i="3"/>
  <c r="C5" i="3"/>
  <c r="C10" i="3"/>
  <c r="C26" i="3"/>
  <c r="D9" i="10"/>
  <c r="E9" i="10"/>
  <c r="F9" i="10"/>
  <c r="C9" i="10"/>
  <c r="D8" i="9"/>
  <c r="D10" i="9"/>
  <c r="D22" i="9"/>
  <c r="E8" i="9"/>
  <c r="E10" i="9"/>
  <c r="E22" i="9"/>
  <c r="F8" i="9"/>
  <c r="F10" i="9"/>
  <c r="F22" i="9"/>
  <c r="G8" i="9"/>
  <c r="G9" i="9"/>
  <c r="G10" i="9"/>
  <c r="G22" i="9"/>
  <c r="C8" i="9"/>
  <c r="C10" i="9"/>
  <c r="C22" i="9"/>
  <c r="B22" i="9"/>
  <c r="G54" i="7"/>
  <c r="H54" i="7"/>
  <c r="I54" i="7"/>
  <c r="J54" i="7"/>
  <c r="K54" i="7"/>
  <c r="L54" i="7"/>
  <c r="M54" i="7"/>
  <c r="G55" i="7"/>
  <c r="H55" i="7"/>
  <c r="I55" i="7"/>
  <c r="J55" i="7"/>
  <c r="K55" i="7"/>
  <c r="L55" i="7"/>
  <c r="M55" i="7"/>
  <c r="G56" i="7"/>
  <c r="H56" i="7"/>
  <c r="I56" i="7"/>
  <c r="J56" i="7"/>
  <c r="K56" i="7"/>
  <c r="L56" i="7"/>
  <c r="M56" i="7"/>
  <c r="G57" i="7"/>
  <c r="H57" i="7"/>
  <c r="I57" i="7"/>
  <c r="J57" i="7"/>
  <c r="K57" i="7"/>
  <c r="L57" i="7"/>
  <c r="M57" i="7"/>
  <c r="G58" i="7"/>
  <c r="H58" i="7"/>
  <c r="I58" i="7"/>
  <c r="J58" i="7"/>
  <c r="K58" i="7"/>
  <c r="L58" i="7"/>
  <c r="M58" i="7"/>
  <c r="G59" i="7"/>
  <c r="H59" i="7"/>
  <c r="I59" i="7"/>
  <c r="J59" i="7"/>
  <c r="K59" i="7"/>
  <c r="L59" i="7"/>
  <c r="M59" i="7"/>
  <c r="G60" i="7"/>
  <c r="H60" i="7"/>
  <c r="I60" i="7"/>
  <c r="J60" i="7"/>
  <c r="K60" i="7"/>
  <c r="L60" i="7"/>
  <c r="M60" i="7"/>
  <c r="G61" i="7"/>
  <c r="H61" i="7"/>
  <c r="I61" i="7"/>
  <c r="J61" i="7"/>
  <c r="K61" i="7"/>
  <c r="L61" i="7"/>
  <c r="M61" i="7"/>
  <c r="G62" i="7"/>
  <c r="H62" i="7"/>
  <c r="I62" i="7"/>
  <c r="J62" i="7"/>
  <c r="K62" i="7"/>
  <c r="L62" i="7"/>
  <c r="M62" i="7"/>
  <c r="G63" i="7"/>
  <c r="H63" i="7"/>
  <c r="I63" i="7"/>
  <c r="J63" i="7"/>
  <c r="K63" i="7"/>
  <c r="L63" i="7"/>
  <c r="M63" i="7"/>
  <c r="G64" i="7"/>
  <c r="H64" i="7"/>
  <c r="I64" i="7"/>
  <c r="J64" i="7"/>
  <c r="K64" i="7"/>
  <c r="L64" i="7"/>
  <c r="M64" i="7"/>
  <c r="G65" i="7"/>
  <c r="H65" i="7"/>
  <c r="I65" i="7"/>
  <c r="J65" i="7"/>
  <c r="K65" i="7"/>
  <c r="L65" i="7"/>
  <c r="M65" i="7"/>
  <c r="G66" i="7"/>
  <c r="H66" i="7"/>
  <c r="I66" i="7"/>
  <c r="J66" i="7"/>
  <c r="K66" i="7"/>
  <c r="L66" i="7"/>
  <c r="M66" i="7"/>
  <c r="G67" i="7"/>
  <c r="H67" i="7"/>
  <c r="I67" i="7"/>
  <c r="J67" i="7"/>
  <c r="K67" i="7"/>
  <c r="L67" i="7"/>
  <c r="M67" i="7"/>
  <c r="G68" i="7"/>
  <c r="H68" i="7"/>
  <c r="I68" i="7"/>
  <c r="J68" i="7"/>
  <c r="K68" i="7"/>
  <c r="L68" i="7"/>
  <c r="M68" i="7"/>
  <c r="G69" i="7"/>
  <c r="H69" i="7"/>
  <c r="I69" i="7"/>
  <c r="J69" i="7"/>
  <c r="K69" i="7"/>
  <c r="L69" i="7"/>
  <c r="M69" i="7"/>
  <c r="G70" i="7"/>
  <c r="H70" i="7"/>
  <c r="I70" i="7"/>
  <c r="J70" i="7"/>
  <c r="K70" i="7"/>
  <c r="L70" i="7"/>
  <c r="M70" i="7"/>
  <c r="G71" i="7"/>
  <c r="H71" i="7"/>
  <c r="I71" i="7"/>
  <c r="J71" i="7"/>
  <c r="K71" i="7"/>
  <c r="L71" i="7"/>
  <c r="M71" i="7"/>
  <c r="G72" i="7"/>
  <c r="H72" i="7"/>
  <c r="I72" i="7"/>
  <c r="J72" i="7"/>
  <c r="K72" i="7"/>
  <c r="L72" i="7"/>
  <c r="M72" i="7"/>
  <c r="G73" i="7"/>
  <c r="H73" i="7"/>
  <c r="I73" i="7"/>
  <c r="J73" i="7"/>
  <c r="K73" i="7"/>
  <c r="L73" i="7"/>
  <c r="M73" i="7"/>
  <c r="G74" i="7"/>
  <c r="H74" i="7"/>
  <c r="I74" i="7"/>
  <c r="J74" i="7"/>
  <c r="K74" i="7"/>
  <c r="L74" i="7"/>
  <c r="M74" i="7"/>
  <c r="G75" i="7"/>
  <c r="H75" i="7"/>
  <c r="I75" i="7"/>
  <c r="J75" i="7"/>
  <c r="K75" i="7"/>
  <c r="L75" i="7"/>
  <c r="M75" i="7"/>
  <c r="G76" i="7"/>
  <c r="H76" i="7"/>
  <c r="I76" i="7"/>
  <c r="J76" i="7"/>
  <c r="K76" i="7"/>
  <c r="L76" i="7"/>
  <c r="M76" i="7"/>
  <c r="G77" i="7"/>
  <c r="H77" i="7"/>
  <c r="I77" i="7"/>
  <c r="J77" i="7"/>
  <c r="K77" i="7"/>
  <c r="L77" i="7"/>
  <c r="M77" i="7"/>
  <c r="G78" i="7"/>
  <c r="H78" i="7"/>
  <c r="I78" i="7"/>
  <c r="J78" i="7"/>
  <c r="K78" i="7"/>
  <c r="L78" i="7"/>
  <c r="M78" i="7"/>
  <c r="G79" i="7"/>
  <c r="H79" i="7"/>
  <c r="I79" i="7"/>
  <c r="J79" i="7"/>
  <c r="K79" i="7"/>
  <c r="L79" i="7"/>
  <c r="M79" i="7"/>
  <c r="G80" i="7"/>
  <c r="H80" i="7"/>
  <c r="I80" i="7"/>
  <c r="J80" i="7"/>
  <c r="K80" i="7"/>
  <c r="L80" i="7"/>
  <c r="M80" i="7"/>
  <c r="G81" i="7"/>
  <c r="H81" i="7"/>
  <c r="I81" i="7"/>
  <c r="J81" i="7"/>
  <c r="K81" i="7"/>
  <c r="L81" i="7"/>
  <c r="M81" i="7"/>
  <c r="G82" i="7"/>
  <c r="H82" i="7"/>
  <c r="I82" i="7"/>
  <c r="J82" i="7"/>
  <c r="K82" i="7"/>
  <c r="L82" i="7"/>
  <c r="M82" i="7"/>
  <c r="G83" i="7"/>
  <c r="H83" i="7"/>
  <c r="I83" i="7"/>
  <c r="J83" i="7"/>
  <c r="K83" i="7"/>
  <c r="L83" i="7"/>
  <c r="M83" i="7"/>
  <c r="G84" i="7"/>
  <c r="H84" i="7"/>
  <c r="I84" i="7"/>
  <c r="J84" i="7"/>
  <c r="K84" i="7"/>
  <c r="L84" i="7"/>
  <c r="M84" i="7"/>
  <c r="G85" i="7"/>
  <c r="H85" i="7"/>
  <c r="I85" i="7"/>
  <c r="J85" i="7"/>
  <c r="K85" i="7"/>
  <c r="L85" i="7"/>
  <c r="M85" i="7"/>
  <c r="G86" i="7"/>
  <c r="H86" i="7"/>
  <c r="I86" i="7"/>
  <c r="J86" i="7"/>
  <c r="K86" i="7"/>
  <c r="L86" i="7"/>
  <c r="M86" i="7"/>
  <c r="G87" i="7"/>
  <c r="H87" i="7"/>
  <c r="I87" i="7"/>
  <c r="J87" i="7"/>
  <c r="K87" i="7"/>
  <c r="L87" i="7"/>
  <c r="M87" i="7"/>
  <c r="G88" i="7"/>
  <c r="H88" i="7"/>
  <c r="I88" i="7"/>
  <c r="J88" i="7"/>
  <c r="K88" i="7"/>
  <c r="L88" i="7"/>
  <c r="M88" i="7"/>
  <c r="G89" i="7"/>
  <c r="H89" i="7"/>
  <c r="I89" i="7"/>
  <c r="J89" i="7"/>
  <c r="K89" i="7"/>
  <c r="L89" i="7"/>
  <c r="M89" i="7"/>
  <c r="G90" i="7"/>
  <c r="H90" i="7"/>
  <c r="I90" i="7"/>
  <c r="J90" i="7"/>
  <c r="K90" i="7"/>
  <c r="L90" i="7"/>
  <c r="M90" i="7"/>
  <c r="G91" i="7"/>
  <c r="H91" i="7"/>
  <c r="I91" i="7"/>
  <c r="J91" i="7"/>
  <c r="K91" i="7"/>
  <c r="L91" i="7"/>
  <c r="M91" i="7"/>
  <c r="G92" i="7"/>
  <c r="H92" i="7"/>
  <c r="I92" i="7"/>
  <c r="J92" i="7"/>
  <c r="K92" i="7"/>
  <c r="L92" i="7"/>
  <c r="M92" i="7"/>
  <c r="G93" i="7"/>
  <c r="H93" i="7"/>
  <c r="I93" i="7"/>
  <c r="J93" i="7"/>
  <c r="K93" i="7"/>
  <c r="L93" i="7"/>
  <c r="M93" i="7"/>
  <c r="G94" i="7"/>
  <c r="H94" i="7"/>
  <c r="I94" i="7"/>
  <c r="J94" i="7"/>
  <c r="K94" i="7"/>
  <c r="L94" i="7"/>
  <c r="M94" i="7"/>
  <c r="G95" i="7"/>
  <c r="H95" i="7"/>
  <c r="I95" i="7"/>
  <c r="J95" i="7"/>
  <c r="K95" i="7"/>
  <c r="L95" i="7"/>
  <c r="M95" i="7"/>
  <c r="G96" i="7"/>
  <c r="H96" i="7"/>
  <c r="I96" i="7"/>
  <c r="J96" i="7"/>
  <c r="K96" i="7"/>
  <c r="L96" i="7"/>
  <c r="M96" i="7"/>
  <c r="G97" i="7"/>
  <c r="H97" i="7"/>
  <c r="I97" i="7"/>
  <c r="J97" i="7"/>
  <c r="K97" i="7"/>
  <c r="L97" i="7"/>
  <c r="M97" i="7"/>
  <c r="G98" i="7"/>
  <c r="H98" i="7"/>
  <c r="I98" i="7"/>
  <c r="J98" i="7"/>
  <c r="K98" i="7"/>
  <c r="L98" i="7"/>
  <c r="M98" i="7"/>
  <c r="G99" i="7"/>
  <c r="H99" i="7"/>
  <c r="I99" i="7"/>
  <c r="J99" i="7"/>
  <c r="K99" i="7"/>
  <c r="L99" i="7"/>
  <c r="M99" i="7"/>
  <c r="G100" i="7"/>
  <c r="H100" i="7"/>
  <c r="I100" i="7"/>
  <c r="J100" i="7"/>
  <c r="K100" i="7"/>
  <c r="L100" i="7"/>
  <c r="M100" i="7"/>
  <c r="G101" i="7"/>
  <c r="H101" i="7"/>
  <c r="I101" i="7"/>
  <c r="J101" i="7"/>
  <c r="K101" i="7"/>
  <c r="L101" i="7"/>
  <c r="M101" i="7"/>
  <c r="G102" i="7"/>
  <c r="H102" i="7"/>
  <c r="I102" i="7"/>
  <c r="J102" i="7"/>
  <c r="K102" i="7"/>
  <c r="L102" i="7"/>
  <c r="M102" i="7"/>
  <c r="G103" i="7"/>
  <c r="H103" i="7"/>
  <c r="I103" i="7"/>
  <c r="J103" i="7"/>
  <c r="K103" i="7"/>
  <c r="L103" i="7"/>
  <c r="M103" i="7"/>
  <c r="G104" i="7"/>
  <c r="H104" i="7"/>
  <c r="I104" i="7"/>
  <c r="J104" i="7"/>
  <c r="K104" i="7"/>
  <c r="L104" i="7"/>
  <c r="M104" i="7"/>
  <c r="G105" i="7"/>
  <c r="H105" i="7"/>
  <c r="I105" i="7"/>
  <c r="J105" i="7"/>
  <c r="K105" i="7"/>
  <c r="L105" i="7"/>
  <c r="M105" i="7"/>
  <c r="G106" i="7"/>
  <c r="H106" i="7"/>
  <c r="I106" i="7"/>
  <c r="J106" i="7"/>
  <c r="K106" i="7"/>
  <c r="L106" i="7"/>
  <c r="M106" i="7"/>
  <c r="G107" i="7"/>
  <c r="H107" i="7"/>
  <c r="I107" i="7"/>
  <c r="J107" i="7"/>
  <c r="K107" i="7"/>
  <c r="L107" i="7"/>
  <c r="M107" i="7"/>
  <c r="G108" i="7"/>
  <c r="H108" i="7"/>
  <c r="I108" i="7"/>
  <c r="J108" i="7"/>
  <c r="K108" i="7"/>
  <c r="L108" i="7"/>
  <c r="M108" i="7"/>
  <c r="G109" i="7"/>
  <c r="H109" i="7"/>
  <c r="I109" i="7"/>
  <c r="J109" i="7"/>
  <c r="K109" i="7"/>
  <c r="L109" i="7"/>
  <c r="M109" i="7"/>
  <c r="G110" i="7"/>
  <c r="H110" i="7"/>
  <c r="I110" i="7"/>
  <c r="J110" i="7"/>
  <c r="K110" i="7"/>
  <c r="L110" i="7"/>
  <c r="M110" i="7"/>
  <c r="G111" i="7"/>
  <c r="H111" i="7"/>
  <c r="I111" i="7"/>
  <c r="J111" i="7"/>
  <c r="K111" i="7"/>
  <c r="L111" i="7"/>
  <c r="M111" i="7"/>
  <c r="G112" i="7"/>
  <c r="H112" i="7"/>
  <c r="I112" i="7"/>
  <c r="J112" i="7"/>
  <c r="K112" i="7"/>
  <c r="L112" i="7"/>
  <c r="M112" i="7"/>
  <c r="G113" i="7"/>
  <c r="H113" i="7"/>
  <c r="I113" i="7"/>
  <c r="J113" i="7"/>
  <c r="K113" i="7"/>
  <c r="L113" i="7"/>
  <c r="M113" i="7"/>
  <c r="G114" i="7"/>
  <c r="H114" i="7"/>
  <c r="I114" i="7"/>
  <c r="J114" i="7"/>
  <c r="K114" i="7"/>
  <c r="L114" i="7"/>
  <c r="M114" i="7"/>
  <c r="G115" i="7"/>
  <c r="H115" i="7"/>
  <c r="I115" i="7"/>
  <c r="J115" i="7"/>
  <c r="K115" i="7"/>
  <c r="L115" i="7"/>
  <c r="M115" i="7"/>
  <c r="G116" i="7"/>
  <c r="H116" i="7"/>
  <c r="I116" i="7"/>
  <c r="J116" i="7"/>
  <c r="K116" i="7"/>
  <c r="L116" i="7"/>
  <c r="M116" i="7"/>
  <c r="G117" i="7"/>
  <c r="H117" i="7"/>
  <c r="I117" i="7"/>
  <c r="J117" i="7"/>
  <c r="K117" i="7"/>
  <c r="L117" i="7"/>
  <c r="M117" i="7"/>
  <c r="G118" i="7"/>
  <c r="H118" i="7"/>
  <c r="I118" i="7"/>
  <c r="J118" i="7"/>
  <c r="K118" i="7"/>
  <c r="L118" i="7"/>
  <c r="M118" i="7"/>
  <c r="G119" i="7"/>
  <c r="H119" i="7"/>
  <c r="I119" i="7"/>
  <c r="J119" i="7"/>
  <c r="K119" i="7"/>
  <c r="L119" i="7"/>
  <c r="M119" i="7"/>
  <c r="G120" i="7"/>
  <c r="H120" i="7"/>
  <c r="I120" i="7"/>
  <c r="J120" i="7"/>
  <c r="K120" i="7"/>
  <c r="L120" i="7"/>
  <c r="M120" i="7"/>
  <c r="G121" i="7"/>
  <c r="H121" i="7"/>
  <c r="I121" i="7"/>
  <c r="J121" i="7"/>
  <c r="K121" i="7"/>
  <c r="L121" i="7"/>
  <c r="M121" i="7"/>
  <c r="G122" i="7"/>
  <c r="H122" i="7"/>
  <c r="I122" i="7"/>
  <c r="J122" i="7"/>
  <c r="K122" i="7"/>
  <c r="L122" i="7"/>
  <c r="M122" i="7"/>
  <c r="G123" i="7"/>
  <c r="H123" i="7"/>
  <c r="I123" i="7"/>
  <c r="J123" i="7"/>
  <c r="K123" i="7"/>
  <c r="L123" i="7"/>
  <c r="M123" i="7"/>
  <c r="G124" i="7"/>
  <c r="H124" i="7"/>
  <c r="I124" i="7"/>
  <c r="J124" i="7"/>
  <c r="K124" i="7"/>
  <c r="L124" i="7"/>
  <c r="M124" i="7"/>
  <c r="G125" i="7"/>
  <c r="H125" i="7"/>
  <c r="I125" i="7"/>
  <c r="J125" i="7"/>
  <c r="K125" i="7"/>
  <c r="L125" i="7"/>
  <c r="M125" i="7"/>
  <c r="G126" i="7"/>
  <c r="H126" i="7"/>
  <c r="I126" i="7"/>
  <c r="J126" i="7"/>
  <c r="K126" i="7"/>
  <c r="L126" i="7"/>
  <c r="M126" i="7"/>
  <c r="G127" i="7"/>
  <c r="H127" i="7"/>
  <c r="I127" i="7"/>
  <c r="J127" i="7"/>
  <c r="K127" i="7"/>
  <c r="L127" i="7"/>
  <c r="M127" i="7"/>
  <c r="G128" i="7"/>
  <c r="H128" i="7"/>
  <c r="I128" i="7"/>
  <c r="J128" i="7"/>
  <c r="K128" i="7"/>
  <c r="L128" i="7"/>
  <c r="M128" i="7"/>
  <c r="G129" i="7"/>
  <c r="H129" i="7"/>
  <c r="I129" i="7"/>
  <c r="J129" i="7"/>
  <c r="K129" i="7"/>
  <c r="L129" i="7"/>
  <c r="M129" i="7"/>
  <c r="G130" i="7"/>
  <c r="H130" i="7"/>
  <c r="I130" i="7"/>
  <c r="J130" i="7"/>
  <c r="K130" i="7"/>
  <c r="L130" i="7"/>
  <c r="M130" i="7"/>
  <c r="G131" i="7"/>
  <c r="H131" i="7"/>
  <c r="I131" i="7"/>
  <c r="J131" i="7"/>
  <c r="K131" i="7"/>
  <c r="L131" i="7"/>
  <c r="M131" i="7"/>
  <c r="G132" i="7"/>
  <c r="H132" i="7"/>
  <c r="I132" i="7"/>
  <c r="J132" i="7"/>
  <c r="K132" i="7"/>
  <c r="L132" i="7"/>
  <c r="M132" i="7"/>
  <c r="G133" i="7"/>
  <c r="H133" i="7"/>
  <c r="I133" i="7"/>
  <c r="J133" i="7"/>
  <c r="K133" i="7"/>
  <c r="L133" i="7"/>
  <c r="M133" i="7"/>
  <c r="G134" i="7"/>
  <c r="H134" i="7"/>
  <c r="I134" i="7"/>
  <c r="J134" i="7"/>
  <c r="K134" i="7"/>
  <c r="L134" i="7"/>
  <c r="M134" i="7"/>
  <c r="G135" i="7"/>
  <c r="H135" i="7"/>
  <c r="I135" i="7"/>
  <c r="J135" i="7"/>
  <c r="K135" i="7"/>
  <c r="L135" i="7"/>
  <c r="M135" i="7"/>
  <c r="G136" i="7"/>
  <c r="H136" i="7"/>
  <c r="I136" i="7"/>
  <c r="J136" i="7"/>
  <c r="K136" i="7"/>
  <c r="L136" i="7"/>
  <c r="M136" i="7"/>
  <c r="G137" i="7"/>
  <c r="H137" i="7"/>
  <c r="I137" i="7"/>
  <c r="J137" i="7"/>
  <c r="K137" i="7"/>
  <c r="L137" i="7"/>
  <c r="M137" i="7"/>
  <c r="G138" i="7"/>
  <c r="H138" i="7"/>
  <c r="I138" i="7"/>
  <c r="J138" i="7"/>
  <c r="K138" i="7"/>
  <c r="L138" i="7"/>
  <c r="M138" i="7"/>
  <c r="G139" i="7"/>
  <c r="H139" i="7"/>
  <c r="I139" i="7"/>
  <c r="J139" i="7"/>
  <c r="K139" i="7"/>
  <c r="L139" i="7"/>
  <c r="M139" i="7"/>
  <c r="G140" i="7"/>
  <c r="H140" i="7"/>
  <c r="I140" i="7"/>
  <c r="J140" i="7"/>
  <c r="K140" i="7"/>
  <c r="L140" i="7"/>
  <c r="M140" i="7"/>
  <c r="G141" i="7"/>
  <c r="H141" i="7"/>
  <c r="I141" i="7"/>
  <c r="J141" i="7"/>
  <c r="K141" i="7"/>
  <c r="L141" i="7"/>
  <c r="M141" i="7"/>
  <c r="G142" i="7"/>
  <c r="H142" i="7"/>
  <c r="I142" i="7"/>
  <c r="J142" i="7"/>
  <c r="K142" i="7"/>
  <c r="L142" i="7"/>
  <c r="M142" i="7"/>
  <c r="G143" i="7"/>
  <c r="H143" i="7"/>
  <c r="I143" i="7"/>
  <c r="J143" i="7"/>
  <c r="K143" i="7"/>
  <c r="L143" i="7"/>
  <c r="M143" i="7"/>
  <c r="G144" i="7"/>
  <c r="H144" i="7"/>
  <c r="I144" i="7"/>
  <c r="J144" i="7"/>
  <c r="K144" i="7"/>
  <c r="L144" i="7"/>
  <c r="M144" i="7"/>
  <c r="G145" i="7"/>
  <c r="H145" i="7"/>
  <c r="I145" i="7"/>
  <c r="J145" i="7"/>
  <c r="K145" i="7"/>
  <c r="L145" i="7"/>
  <c r="M145" i="7"/>
  <c r="G146" i="7"/>
  <c r="H146" i="7"/>
  <c r="I146" i="7"/>
  <c r="J146" i="7"/>
  <c r="K146" i="7"/>
  <c r="L146" i="7"/>
  <c r="M146" i="7"/>
  <c r="G147" i="7"/>
  <c r="H147" i="7"/>
  <c r="I147" i="7"/>
  <c r="J147" i="7"/>
  <c r="K147" i="7"/>
  <c r="L147" i="7"/>
  <c r="M147" i="7"/>
  <c r="G148" i="7"/>
  <c r="H148" i="7"/>
  <c r="I148" i="7"/>
  <c r="J148" i="7"/>
  <c r="K148" i="7"/>
  <c r="L148" i="7"/>
  <c r="M148" i="7"/>
  <c r="G149" i="7"/>
  <c r="H149" i="7"/>
  <c r="I149" i="7"/>
  <c r="J149" i="7"/>
  <c r="K149" i="7"/>
  <c r="L149" i="7"/>
  <c r="M149" i="7"/>
  <c r="G150" i="7"/>
  <c r="H150" i="7"/>
  <c r="I150" i="7"/>
  <c r="J150" i="7"/>
  <c r="K150" i="7"/>
  <c r="L150" i="7"/>
  <c r="M150" i="7"/>
  <c r="G151" i="7"/>
  <c r="H151" i="7"/>
  <c r="I151" i="7"/>
  <c r="J151" i="7"/>
  <c r="K151" i="7"/>
  <c r="L151" i="7"/>
  <c r="M151" i="7"/>
  <c r="G152" i="7"/>
  <c r="H152" i="7"/>
  <c r="I152" i="7"/>
  <c r="J152" i="7"/>
  <c r="K152" i="7"/>
  <c r="L152" i="7"/>
  <c r="M152" i="7"/>
  <c r="G153" i="7"/>
  <c r="H153" i="7"/>
  <c r="I153" i="7"/>
  <c r="J153" i="7"/>
  <c r="K153" i="7"/>
  <c r="L153" i="7"/>
  <c r="M153" i="7"/>
  <c r="G154" i="7"/>
  <c r="H154" i="7"/>
  <c r="I154" i="7"/>
  <c r="J154" i="7"/>
  <c r="K154" i="7"/>
  <c r="L154" i="7"/>
  <c r="M154" i="7"/>
  <c r="G155" i="7"/>
  <c r="H155" i="7"/>
  <c r="I155" i="7"/>
  <c r="J155" i="7"/>
  <c r="K155" i="7"/>
  <c r="L155" i="7"/>
  <c r="M155" i="7"/>
  <c r="G156" i="7"/>
  <c r="H156" i="7"/>
  <c r="I156" i="7"/>
  <c r="J156" i="7"/>
  <c r="K156" i="7"/>
  <c r="L156" i="7"/>
  <c r="M156" i="7"/>
  <c r="G157" i="7"/>
  <c r="H157" i="7"/>
  <c r="I157" i="7"/>
  <c r="J157" i="7"/>
  <c r="K157" i="7"/>
  <c r="L157" i="7"/>
  <c r="M157" i="7"/>
  <c r="G158" i="7"/>
  <c r="H158" i="7"/>
  <c r="I158" i="7"/>
  <c r="J158" i="7"/>
  <c r="K158" i="7"/>
  <c r="L158" i="7"/>
  <c r="M158" i="7"/>
  <c r="G159" i="7"/>
  <c r="H159" i="7"/>
  <c r="I159" i="7"/>
  <c r="J159" i="7"/>
  <c r="K159" i="7"/>
  <c r="L159" i="7"/>
  <c r="M159" i="7"/>
  <c r="G160" i="7"/>
  <c r="H160" i="7"/>
  <c r="I160" i="7"/>
  <c r="J160" i="7"/>
  <c r="K160" i="7"/>
  <c r="L160" i="7"/>
  <c r="M160" i="7"/>
  <c r="G161" i="7"/>
  <c r="H161" i="7"/>
  <c r="I161" i="7"/>
  <c r="J161" i="7"/>
  <c r="K161" i="7"/>
  <c r="L161" i="7"/>
  <c r="M161" i="7"/>
  <c r="G162" i="7"/>
  <c r="H162" i="7"/>
  <c r="I162" i="7"/>
  <c r="J162" i="7"/>
  <c r="K162" i="7"/>
  <c r="L162" i="7"/>
  <c r="M162" i="7"/>
  <c r="G163" i="7"/>
  <c r="H163" i="7"/>
  <c r="I163" i="7"/>
  <c r="J163" i="7"/>
  <c r="K163" i="7"/>
  <c r="L163" i="7"/>
  <c r="M163" i="7"/>
  <c r="G164" i="7"/>
  <c r="H164" i="7"/>
  <c r="I164" i="7"/>
  <c r="J164" i="7"/>
  <c r="K164" i="7"/>
  <c r="L164" i="7"/>
  <c r="M164" i="7"/>
  <c r="G165" i="7"/>
  <c r="H165" i="7"/>
  <c r="I165" i="7"/>
  <c r="J165" i="7"/>
  <c r="K165" i="7"/>
  <c r="L165" i="7"/>
  <c r="M165" i="7"/>
  <c r="G166" i="7"/>
  <c r="H166" i="7"/>
  <c r="I166" i="7"/>
  <c r="J166" i="7"/>
  <c r="K166" i="7"/>
  <c r="L166" i="7"/>
  <c r="M166" i="7"/>
  <c r="G167" i="7"/>
  <c r="H167" i="7"/>
  <c r="I167" i="7"/>
  <c r="J167" i="7"/>
  <c r="K167" i="7"/>
  <c r="L167" i="7"/>
  <c r="M167" i="7"/>
  <c r="G168" i="7"/>
  <c r="H168" i="7"/>
  <c r="I168" i="7"/>
  <c r="J168" i="7"/>
  <c r="K168" i="7"/>
  <c r="L168" i="7"/>
  <c r="M168" i="7"/>
  <c r="G169" i="7"/>
  <c r="H169" i="7"/>
  <c r="I169" i="7"/>
  <c r="J169" i="7"/>
  <c r="K169" i="7"/>
  <c r="L169" i="7"/>
  <c r="M169" i="7"/>
  <c r="G170" i="7"/>
  <c r="H170" i="7"/>
  <c r="I170" i="7"/>
  <c r="J170" i="7"/>
  <c r="K170" i="7"/>
  <c r="L170" i="7"/>
  <c r="M170" i="7"/>
  <c r="G171" i="7"/>
  <c r="H171" i="7"/>
  <c r="I171" i="7"/>
  <c r="J171" i="7"/>
  <c r="K171" i="7"/>
  <c r="L171" i="7"/>
  <c r="M171" i="7"/>
  <c r="G172" i="7"/>
  <c r="H172" i="7"/>
  <c r="I172" i="7"/>
  <c r="J172" i="7"/>
  <c r="K172" i="7"/>
  <c r="L172" i="7"/>
  <c r="M172" i="7"/>
  <c r="G173" i="7"/>
  <c r="H173" i="7"/>
  <c r="I173" i="7"/>
  <c r="J173" i="7"/>
  <c r="K173" i="7"/>
  <c r="L173" i="7"/>
  <c r="M173" i="7"/>
  <c r="G174" i="7"/>
  <c r="H174" i="7"/>
  <c r="I174" i="7"/>
  <c r="J174" i="7"/>
  <c r="K174" i="7"/>
  <c r="L174" i="7"/>
  <c r="M174" i="7"/>
  <c r="G175" i="7"/>
  <c r="H175" i="7"/>
  <c r="I175" i="7"/>
  <c r="J175" i="7"/>
  <c r="K175" i="7"/>
  <c r="L175" i="7"/>
  <c r="M175" i="7"/>
  <c r="G176" i="7"/>
  <c r="H176" i="7"/>
  <c r="I176" i="7"/>
  <c r="J176" i="7"/>
  <c r="K176" i="7"/>
  <c r="L176" i="7"/>
  <c r="M176" i="7"/>
  <c r="G177" i="7"/>
  <c r="H177" i="7"/>
  <c r="I177" i="7"/>
  <c r="J177" i="7"/>
  <c r="K177" i="7"/>
  <c r="L177" i="7"/>
  <c r="M177" i="7"/>
  <c r="G178" i="7"/>
  <c r="H178" i="7"/>
  <c r="I178" i="7"/>
  <c r="J178" i="7"/>
  <c r="K178" i="7"/>
  <c r="L178" i="7"/>
  <c r="M178" i="7"/>
  <c r="G179" i="7"/>
  <c r="H179" i="7"/>
  <c r="I179" i="7"/>
  <c r="J179" i="7"/>
  <c r="K179" i="7"/>
  <c r="L179" i="7"/>
  <c r="M179" i="7"/>
  <c r="G180" i="7"/>
  <c r="H180" i="7"/>
  <c r="I180" i="7"/>
  <c r="J180" i="7"/>
  <c r="K180" i="7"/>
  <c r="L180" i="7"/>
  <c r="M180" i="7"/>
  <c r="G181" i="7"/>
  <c r="H181" i="7"/>
  <c r="I181" i="7"/>
  <c r="J181" i="7"/>
  <c r="K181" i="7"/>
  <c r="L181" i="7"/>
  <c r="M181" i="7"/>
  <c r="G182" i="7"/>
  <c r="H182" i="7"/>
  <c r="I182" i="7"/>
  <c r="J182" i="7"/>
  <c r="K182" i="7"/>
  <c r="L182" i="7"/>
  <c r="M182" i="7"/>
  <c r="G183" i="7"/>
  <c r="H183" i="7"/>
  <c r="I183" i="7"/>
  <c r="J183" i="7"/>
  <c r="K183" i="7"/>
  <c r="L183" i="7"/>
  <c r="M183" i="7"/>
  <c r="G184" i="7"/>
  <c r="H184" i="7"/>
  <c r="I184" i="7"/>
  <c r="J184" i="7"/>
  <c r="K184" i="7"/>
  <c r="L184" i="7"/>
  <c r="M184" i="7"/>
  <c r="G185" i="7"/>
  <c r="H185" i="7"/>
  <c r="I185" i="7"/>
  <c r="J185" i="7"/>
  <c r="K185" i="7"/>
  <c r="L185" i="7"/>
  <c r="M185" i="7"/>
  <c r="G186" i="7"/>
  <c r="H186" i="7"/>
  <c r="I186" i="7"/>
  <c r="J186" i="7"/>
  <c r="K186" i="7"/>
  <c r="L186" i="7"/>
  <c r="M186" i="7"/>
  <c r="G187" i="7"/>
  <c r="H187" i="7"/>
  <c r="I187" i="7"/>
  <c r="J187" i="7"/>
  <c r="K187" i="7"/>
  <c r="L187" i="7"/>
  <c r="M187" i="7"/>
  <c r="G188" i="7"/>
  <c r="H188" i="7"/>
  <c r="I188" i="7"/>
  <c r="J188" i="7"/>
  <c r="K188" i="7"/>
  <c r="L188" i="7"/>
  <c r="M188" i="7"/>
  <c r="G189" i="7"/>
  <c r="H189" i="7"/>
  <c r="I189" i="7"/>
  <c r="J189" i="7"/>
  <c r="K189" i="7"/>
  <c r="L189" i="7"/>
  <c r="M189" i="7"/>
  <c r="G190" i="7"/>
  <c r="H190" i="7"/>
  <c r="I190" i="7"/>
  <c r="J190" i="7"/>
  <c r="K190" i="7"/>
  <c r="L190" i="7"/>
  <c r="M190" i="7"/>
  <c r="G191" i="7"/>
  <c r="H191" i="7"/>
  <c r="I191" i="7"/>
  <c r="J191" i="7"/>
  <c r="K191" i="7"/>
  <c r="L191" i="7"/>
  <c r="M191" i="7"/>
  <c r="G192" i="7"/>
  <c r="H192" i="7"/>
  <c r="I192" i="7"/>
  <c r="J192" i="7"/>
  <c r="K192" i="7"/>
  <c r="L192" i="7"/>
  <c r="M192" i="7"/>
  <c r="G193" i="7"/>
  <c r="H193" i="7"/>
  <c r="I193" i="7"/>
  <c r="J193" i="7"/>
  <c r="K193" i="7"/>
  <c r="L193" i="7"/>
  <c r="M193" i="7"/>
  <c r="G194" i="7"/>
  <c r="H194" i="7"/>
  <c r="I194" i="7"/>
  <c r="J194" i="7"/>
  <c r="K194" i="7"/>
  <c r="L194" i="7"/>
  <c r="M194" i="7"/>
  <c r="G195" i="7"/>
  <c r="H195" i="7"/>
  <c r="I195" i="7"/>
  <c r="J195" i="7"/>
  <c r="K195" i="7"/>
  <c r="L195" i="7"/>
  <c r="M195" i="7"/>
  <c r="G196" i="7"/>
  <c r="H196" i="7"/>
  <c r="I196" i="7"/>
  <c r="J196" i="7"/>
  <c r="K196" i="7"/>
  <c r="L196" i="7"/>
  <c r="M196" i="7"/>
  <c r="G197" i="7"/>
  <c r="H197" i="7"/>
  <c r="I197" i="7"/>
  <c r="J197" i="7"/>
  <c r="K197" i="7"/>
  <c r="L197" i="7"/>
  <c r="M197" i="7"/>
  <c r="G198" i="7"/>
  <c r="H198" i="7"/>
  <c r="I198" i="7"/>
  <c r="J198" i="7"/>
  <c r="K198" i="7"/>
  <c r="L198" i="7"/>
  <c r="M198" i="7"/>
  <c r="G199" i="7"/>
  <c r="H199" i="7"/>
  <c r="I199" i="7"/>
  <c r="J199" i="7"/>
  <c r="K199" i="7"/>
  <c r="L199" i="7"/>
  <c r="M199" i="7"/>
  <c r="G200" i="7"/>
  <c r="H200" i="7"/>
  <c r="I200" i="7"/>
  <c r="J200" i="7"/>
  <c r="K200" i="7"/>
  <c r="L200" i="7"/>
  <c r="M200" i="7"/>
  <c r="G201" i="7"/>
  <c r="H201" i="7"/>
  <c r="I201" i="7"/>
  <c r="J201" i="7"/>
  <c r="K201" i="7"/>
  <c r="L201" i="7"/>
  <c r="M201" i="7"/>
  <c r="G202" i="7"/>
  <c r="H202" i="7"/>
  <c r="I202" i="7"/>
  <c r="J202" i="7"/>
  <c r="K202" i="7"/>
  <c r="L202" i="7"/>
  <c r="M202" i="7"/>
  <c r="G203" i="7"/>
  <c r="H203" i="7"/>
  <c r="I203" i="7"/>
  <c r="J203" i="7"/>
  <c r="K203" i="7"/>
  <c r="L203" i="7"/>
  <c r="M203" i="7"/>
  <c r="G204" i="7"/>
  <c r="H204" i="7"/>
  <c r="I204" i="7"/>
  <c r="J204" i="7"/>
  <c r="K204" i="7"/>
  <c r="L204" i="7"/>
  <c r="M204" i="7"/>
  <c r="G205" i="7"/>
  <c r="H205" i="7"/>
  <c r="I205" i="7"/>
  <c r="J205" i="7"/>
  <c r="K205" i="7"/>
  <c r="L205" i="7"/>
  <c r="M205" i="7"/>
  <c r="G206" i="7"/>
  <c r="H206" i="7"/>
  <c r="I206" i="7"/>
  <c r="J206" i="7"/>
  <c r="K206" i="7"/>
  <c r="L206" i="7"/>
  <c r="M206" i="7"/>
  <c r="G207" i="7"/>
  <c r="H207" i="7"/>
  <c r="I207" i="7"/>
  <c r="J207" i="7"/>
  <c r="K207" i="7"/>
  <c r="L207" i="7"/>
  <c r="M207" i="7"/>
  <c r="G208" i="7"/>
  <c r="H208" i="7"/>
  <c r="I208" i="7"/>
  <c r="J208" i="7"/>
  <c r="K208" i="7"/>
  <c r="L208" i="7"/>
  <c r="M208" i="7"/>
  <c r="G209" i="7"/>
  <c r="H209" i="7"/>
  <c r="I209" i="7"/>
  <c r="J209" i="7"/>
  <c r="K209" i="7"/>
  <c r="L209" i="7"/>
  <c r="M209" i="7"/>
  <c r="G210" i="7"/>
  <c r="H210" i="7"/>
  <c r="I210" i="7"/>
  <c r="J210" i="7"/>
  <c r="K210" i="7"/>
  <c r="L210" i="7"/>
  <c r="M210" i="7"/>
  <c r="G211" i="7"/>
  <c r="H211" i="7"/>
  <c r="I211" i="7"/>
  <c r="J211" i="7"/>
  <c r="K211" i="7"/>
  <c r="L211" i="7"/>
  <c r="M211" i="7"/>
  <c r="G212" i="7"/>
  <c r="H212" i="7"/>
  <c r="I212" i="7"/>
  <c r="J212" i="7"/>
  <c r="K212" i="7"/>
  <c r="L212" i="7"/>
  <c r="M212" i="7"/>
  <c r="G213" i="7"/>
  <c r="H213" i="7"/>
  <c r="I213" i="7"/>
  <c r="J213" i="7"/>
  <c r="K213" i="7"/>
  <c r="L213" i="7"/>
  <c r="M213" i="7"/>
  <c r="G214" i="7"/>
  <c r="H214" i="7"/>
  <c r="I214" i="7"/>
  <c r="J214" i="7"/>
  <c r="K214" i="7"/>
  <c r="L214" i="7"/>
  <c r="M214" i="7"/>
  <c r="G215" i="7"/>
  <c r="H215" i="7"/>
  <c r="I215" i="7"/>
  <c r="J215" i="7"/>
  <c r="K215" i="7"/>
  <c r="L215" i="7"/>
  <c r="M215" i="7"/>
  <c r="G216" i="7"/>
  <c r="H216" i="7"/>
  <c r="I216" i="7"/>
  <c r="J216" i="7"/>
  <c r="K216" i="7"/>
  <c r="L216" i="7"/>
  <c r="M216" i="7"/>
  <c r="G217" i="7"/>
  <c r="H217" i="7"/>
  <c r="I217" i="7"/>
  <c r="J217" i="7"/>
  <c r="K217" i="7"/>
  <c r="L217" i="7"/>
  <c r="M217" i="7"/>
  <c r="G218" i="7"/>
  <c r="H218" i="7"/>
  <c r="I218" i="7"/>
  <c r="J218" i="7"/>
  <c r="K218" i="7"/>
  <c r="L218" i="7"/>
  <c r="M218" i="7"/>
  <c r="G219" i="7"/>
  <c r="H219" i="7"/>
  <c r="I219" i="7"/>
  <c r="J219" i="7"/>
  <c r="K219" i="7"/>
  <c r="L219" i="7"/>
  <c r="M219" i="7"/>
  <c r="G220" i="7"/>
  <c r="H220" i="7"/>
  <c r="I220" i="7"/>
  <c r="J220" i="7"/>
  <c r="K220" i="7"/>
  <c r="L220" i="7"/>
  <c r="M220" i="7"/>
  <c r="G221" i="7"/>
  <c r="H221" i="7"/>
  <c r="I221" i="7"/>
  <c r="J221" i="7"/>
  <c r="K221" i="7"/>
  <c r="L221" i="7"/>
  <c r="M221" i="7"/>
  <c r="G222" i="7"/>
  <c r="H222" i="7"/>
  <c r="I222" i="7"/>
  <c r="J222" i="7"/>
  <c r="K222" i="7"/>
  <c r="L222" i="7"/>
  <c r="M222" i="7"/>
  <c r="G223" i="7"/>
  <c r="H223" i="7"/>
  <c r="I223" i="7"/>
  <c r="J223" i="7"/>
  <c r="K223" i="7"/>
  <c r="L223" i="7"/>
  <c r="M223" i="7"/>
  <c r="G224" i="7"/>
  <c r="H224" i="7"/>
  <c r="I224" i="7"/>
  <c r="J224" i="7"/>
  <c r="K224" i="7"/>
  <c r="L224" i="7"/>
  <c r="M224" i="7"/>
  <c r="G225" i="7"/>
  <c r="H225" i="7"/>
  <c r="I225" i="7"/>
  <c r="J225" i="7"/>
  <c r="K225" i="7"/>
  <c r="L225" i="7"/>
  <c r="M225" i="7"/>
  <c r="G226" i="7"/>
  <c r="H226" i="7"/>
  <c r="I226" i="7"/>
  <c r="J226" i="7"/>
  <c r="K226" i="7"/>
  <c r="L226" i="7"/>
  <c r="M226" i="7"/>
  <c r="G227" i="7"/>
  <c r="H227" i="7"/>
  <c r="I227" i="7"/>
  <c r="J227" i="7"/>
  <c r="K227" i="7"/>
  <c r="L227" i="7"/>
  <c r="M227" i="7"/>
  <c r="G228" i="7"/>
  <c r="H228" i="7"/>
  <c r="I228" i="7"/>
  <c r="J228" i="7"/>
  <c r="K228" i="7"/>
  <c r="L228" i="7"/>
  <c r="M228" i="7"/>
  <c r="G229" i="7"/>
  <c r="H229" i="7"/>
  <c r="I229" i="7"/>
  <c r="J229" i="7"/>
  <c r="K229" i="7"/>
  <c r="L229" i="7"/>
  <c r="M229" i="7"/>
  <c r="G230" i="7"/>
  <c r="H230" i="7"/>
  <c r="I230" i="7"/>
  <c r="J230" i="7"/>
  <c r="K230" i="7"/>
  <c r="L230" i="7"/>
  <c r="M230" i="7"/>
  <c r="G231" i="7"/>
  <c r="H231" i="7"/>
  <c r="I231" i="7"/>
  <c r="J231" i="7"/>
  <c r="K231" i="7"/>
  <c r="L231" i="7"/>
  <c r="M231" i="7"/>
  <c r="G232" i="7"/>
  <c r="H232" i="7"/>
  <c r="I232" i="7"/>
  <c r="J232" i="7"/>
  <c r="K232" i="7"/>
  <c r="L232" i="7"/>
  <c r="M232" i="7"/>
  <c r="G233" i="7"/>
  <c r="H233" i="7"/>
  <c r="I233" i="7"/>
  <c r="J233" i="7"/>
  <c r="K233" i="7"/>
  <c r="L233" i="7"/>
  <c r="M233" i="7"/>
  <c r="G234" i="7"/>
  <c r="H234" i="7"/>
  <c r="I234" i="7"/>
  <c r="J234" i="7"/>
  <c r="K234" i="7"/>
  <c r="L234" i="7"/>
  <c r="M234" i="7"/>
  <c r="G235" i="7"/>
  <c r="H235" i="7"/>
  <c r="I235" i="7"/>
  <c r="J235" i="7"/>
  <c r="K235" i="7"/>
  <c r="L235" i="7"/>
  <c r="M235" i="7"/>
  <c r="G236" i="7"/>
  <c r="H236" i="7"/>
  <c r="I236" i="7"/>
  <c r="J236" i="7"/>
  <c r="K236" i="7"/>
  <c r="L236" i="7"/>
  <c r="M236" i="7"/>
  <c r="G237" i="7"/>
  <c r="H237" i="7"/>
  <c r="I237" i="7"/>
  <c r="J237" i="7"/>
  <c r="K237" i="7"/>
  <c r="L237" i="7"/>
  <c r="M237" i="7"/>
  <c r="G238" i="7"/>
  <c r="H238" i="7"/>
  <c r="I238" i="7"/>
  <c r="J238" i="7"/>
  <c r="K238" i="7"/>
  <c r="L238" i="7"/>
  <c r="M238" i="7"/>
  <c r="G239" i="7"/>
  <c r="H239" i="7"/>
  <c r="I239" i="7"/>
  <c r="J239" i="7"/>
  <c r="K239" i="7"/>
  <c r="L239" i="7"/>
  <c r="M239" i="7"/>
  <c r="G240" i="7"/>
  <c r="H240" i="7"/>
  <c r="I240" i="7"/>
  <c r="J240" i="7"/>
  <c r="K240" i="7"/>
  <c r="L240" i="7"/>
  <c r="M240" i="7"/>
  <c r="G241" i="7"/>
  <c r="H241" i="7"/>
  <c r="I241" i="7"/>
  <c r="J241" i="7"/>
  <c r="K241" i="7"/>
  <c r="L241" i="7"/>
  <c r="M241" i="7"/>
  <c r="G242" i="7"/>
  <c r="H242" i="7"/>
  <c r="I242" i="7"/>
  <c r="J242" i="7"/>
  <c r="K242" i="7"/>
  <c r="L242" i="7"/>
  <c r="M242" i="7"/>
  <c r="G243" i="7"/>
  <c r="H243" i="7"/>
  <c r="I243" i="7"/>
  <c r="J243" i="7"/>
  <c r="K243" i="7"/>
  <c r="L243" i="7"/>
  <c r="M243" i="7"/>
  <c r="G244" i="7"/>
  <c r="H244" i="7"/>
  <c r="I244" i="7"/>
  <c r="J244" i="7"/>
  <c r="K244" i="7"/>
  <c r="L244" i="7"/>
  <c r="M244" i="7"/>
  <c r="G245" i="7"/>
  <c r="H245" i="7"/>
  <c r="I245" i="7"/>
  <c r="J245" i="7"/>
  <c r="K245" i="7"/>
  <c r="L245" i="7"/>
  <c r="M245" i="7"/>
  <c r="G246" i="7"/>
  <c r="H246" i="7"/>
  <c r="I246" i="7"/>
  <c r="J246" i="7"/>
  <c r="K246" i="7"/>
  <c r="L246" i="7"/>
  <c r="M246" i="7"/>
  <c r="G247" i="7"/>
  <c r="H247" i="7"/>
  <c r="I247" i="7"/>
  <c r="J247" i="7"/>
  <c r="K247" i="7"/>
  <c r="L247" i="7"/>
  <c r="M247" i="7"/>
  <c r="G248" i="7"/>
  <c r="H248" i="7"/>
  <c r="I248" i="7"/>
  <c r="J248" i="7"/>
  <c r="K248" i="7"/>
  <c r="L248" i="7"/>
  <c r="M248" i="7"/>
  <c r="G249" i="7"/>
  <c r="H249" i="7"/>
  <c r="I249" i="7"/>
  <c r="J249" i="7"/>
  <c r="K249" i="7"/>
  <c r="L249" i="7"/>
  <c r="M249" i="7"/>
  <c r="G250" i="7"/>
  <c r="H250" i="7"/>
  <c r="I250" i="7"/>
  <c r="J250" i="7"/>
  <c r="K250" i="7"/>
  <c r="L250" i="7"/>
  <c r="M250" i="7"/>
  <c r="G251" i="7"/>
  <c r="H251" i="7"/>
  <c r="I251" i="7"/>
  <c r="J251" i="7"/>
  <c r="K251" i="7"/>
  <c r="L251" i="7"/>
  <c r="M251" i="7"/>
  <c r="G252" i="7"/>
  <c r="H252" i="7"/>
  <c r="I252" i="7"/>
  <c r="J252" i="7"/>
  <c r="K252" i="7"/>
  <c r="L252" i="7"/>
  <c r="M252" i="7"/>
  <c r="G253" i="7"/>
  <c r="H253" i="7"/>
  <c r="I253" i="7"/>
  <c r="J253" i="7"/>
  <c r="K253" i="7"/>
  <c r="L253" i="7"/>
  <c r="M253" i="7"/>
  <c r="G254" i="7"/>
  <c r="H254" i="7"/>
  <c r="I254" i="7"/>
  <c r="J254" i="7"/>
  <c r="K254" i="7"/>
  <c r="L254" i="7"/>
  <c r="M254" i="7"/>
  <c r="G255" i="7"/>
  <c r="H255" i="7"/>
  <c r="I255" i="7"/>
  <c r="J255" i="7"/>
  <c r="K255" i="7"/>
  <c r="L255" i="7"/>
  <c r="M255" i="7"/>
  <c r="G256" i="7"/>
  <c r="H256" i="7"/>
  <c r="I256" i="7"/>
  <c r="J256" i="7"/>
  <c r="K256" i="7"/>
  <c r="L256" i="7"/>
  <c r="M256" i="7"/>
  <c r="G257" i="7"/>
  <c r="H257" i="7"/>
  <c r="I257" i="7"/>
  <c r="J257" i="7"/>
  <c r="K257" i="7"/>
  <c r="L257" i="7"/>
  <c r="M257" i="7"/>
  <c r="G258" i="7"/>
  <c r="H258" i="7"/>
  <c r="I258" i="7"/>
  <c r="J258" i="7"/>
  <c r="K258" i="7"/>
  <c r="L258" i="7"/>
  <c r="M258" i="7"/>
  <c r="G259" i="7"/>
  <c r="H259" i="7"/>
  <c r="I259" i="7"/>
  <c r="J259" i="7"/>
  <c r="K259" i="7"/>
  <c r="L259" i="7"/>
  <c r="M259" i="7"/>
  <c r="G260" i="7"/>
  <c r="H260" i="7"/>
  <c r="I260" i="7"/>
  <c r="J260" i="7"/>
  <c r="K260" i="7"/>
  <c r="L260" i="7"/>
  <c r="M260" i="7"/>
  <c r="G261" i="7"/>
  <c r="H261" i="7"/>
  <c r="I261" i="7"/>
  <c r="J261" i="7"/>
  <c r="K261" i="7"/>
  <c r="L261" i="7"/>
  <c r="M261" i="7"/>
  <c r="G262" i="7"/>
  <c r="H262" i="7"/>
  <c r="I262" i="7"/>
  <c r="J262" i="7"/>
  <c r="K262" i="7"/>
  <c r="L262" i="7"/>
  <c r="M262" i="7"/>
  <c r="G263" i="7"/>
  <c r="H263" i="7"/>
  <c r="I263" i="7"/>
  <c r="J263" i="7"/>
  <c r="K263" i="7"/>
  <c r="L263" i="7"/>
  <c r="M263" i="7"/>
  <c r="G264" i="7"/>
  <c r="H264" i="7"/>
  <c r="I264" i="7"/>
  <c r="J264" i="7"/>
  <c r="K264" i="7"/>
  <c r="L264" i="7"/>
  <c r="M264" i="7"/>
  <c r="G265" i="7"/>
  <c r="H265" i="7"/>
  <c r="I265" i="7"/>
  <c r="J265" i="7"/>
  <c r="K265" i="7"/>
  <c r="L265" i="7"/>
  <c r="M265" i="7"/>
  <c r="G266" i="7"/>
  <c r="H266" i="7"/>
  <c r="I266" i="7"/>
  <c r="J266" i="7"/>
  <c r="K266" i="7"/>
  <c r="L266" i="7"/>
  <c r="M266" i="7"/>
  <c r="G267" i="7"/>
  <c r="H267" i="7"/>
  <c r="I267" i="7"/>
  <c r="J267" i="7"/>
  <c r="K267" i="7"/>
  <c r="L267" i="7"/>
  <c r="M267" i="7"/>
  <c r="G268" i="7"/>
  <c r="H268" i="7"/>
  <c r="I268" i="7"/>
  <c r="J268" i="7"/>
  <c r="K268" i="7"/>
  <c r="L268" i="7"/>
  <c r="M268" i="7"/>
  <c r="G269" i="7"/>
  <c r="H269" i="7"/>
  <c r="I269" i="7"/>
  <c r="J269" i="7"/>
  <c r="K269" i="7"/>
  <c r="L269" i="7"/>
  <c r="M269" i="7"/>
  <c r="G270" i="7"/>
  <c r="H270" i="7"/>
  <c r="I270" i="7"/>
  <c r="J270" i="7"/>
  <c r="K270" i="7"/>
  <c r="L270" i="7"/>
  <c r="M270" i="7"/>
  <c r="G271" i="7"/>
  <c r="H271" i="7"/>
  <c r="I271" i="7"/>
  <c r="J271" i="7"/>
  <c r="K271" i="7"/>
  <c r="L271" i="7"/>
  <c r="M271" i="7"/>
  <c r="G272" i="7"/>
  <c r="H272" i="7"/>
  <c r="I272" i="7"/>
  <c r="J272" i="7"/>
  <c r="K272" i="7"/>
  <c r="L272" i="7"/>
  <c r="M272" i="7"/>
  <c r="G273" i="7"/>
  <c r="H273" i="7"/>
  <c r="I273" i="7"/>
  <c r="J273" i="7"/>
  <c r="K273" i="7"/>
  <c r="L273" i="7"/>
  <c r="M273" i="7"/>
  <c r="G274" i="7"/>
  <c r="H274" i="7"/>
  <c r="I274" i="7"/>
  <c r="J274" i="7"/>
  <c r="K274" i="7"/>
  <c r="L274" i="7"/>
  <c r="M274" i="7"/>
  <c r="G275" i="7"/>
  <c r="H275" i="7"/>
  <c r="I275" i="7"/>
  <c r="J275" i="7"/>
  <c r="K275" i="7"/>
  <c r="L275" i="7"/>
  <c r="M275" i="7"/>
  <c r="G276" i="7"/>
  <c r="H276" i="7"/>
  <c r="I276" i="7"/>
  <c r="J276" i="7"/>
  <c r="K276" i="7"/>
  <c r="L276" i="7"/>
  <c r="M276" i="7"/>
  <c r="G277" i="7"/>
  <c r="H277" i="7"/>
  <c r="I277" i="7"/>
  <c r="J277" i="7"/>
  <c r="K277" i="7"/>
  <c r="L277" i="7"/>
  <c r="M277" i="7"/>
  <c r="G278" i="7"/>
  <c r="H278" i="7"/>
  <c r="I278" i="7"/>
  <c r="J278" i="7"/>
  <c r="K278" i="7"/>
  <c r="L278" i="7"/>
  <c r="M278" i="7"/>
  <c r="G279" i="7"/>
  <c r="H279" i="7"/>
  <c r="I279" i="7"/>
  <c r="J279" i="7"/>
  <c r="K279" i="7"/>
  <c r="L279" i="7"/>
  <c r="M279" i="7"/>
  <c r="G280" i="7"/>
  <c r="H280" i="7"/>
  <c r="I280" i="7"/>
  <c r="J280" i="7"/>
  <c r="K280" i="7"/>
  <c r="L280" i="7"/>
  <c r="M280" i="7"/>
  <c r="G281" i="7"/>
  <c r="H281" i="7"/>
  <c r="I281" i="7"/>
  <c r="J281" i="7"/>
  <c r="K281" i="7"/>
  <c r="L281" i="7"/>
  <c r="M281" i="7"/>
  <c r="G282" i="7"/>
  <c r="H282" i="7"/>
  <c r="I282" i="7"/>
  <c r="J282" i="7"/>
  <c r="K282" i="7"/>
  <c r="L282" i="7"/>
  <c r="M282" i="7"/>
  <c r="G283" i="7"/>
  <c r="H283" i="7"/>
  <c r="I283" i="7"/>
  <c r="J283" i="7"/>
  <c r="K283" i="7"/>
  <c r="L283" i="7"/>
  <c r="M283" i="7"/>
  <c r="G284" i="7"/>
  <c r="H284" i="7"/>
  <c r="I284" i="7"/>
  <c r="J284" i="7"/>
  <c r="K284" i="7"/>
  <c r="L284" i="7"/>
  <c r="M284" i="7"/>
  <c r="G285" i="7"/>
  <c r="H285" i="7"/>
  <c r="I285" i="7"/>
  <c r="J285" i="7"/>
  <c r="K285" i="7"/>
  <c r="L285" i="7"/>
  <c r="M285" i="7"/>
  <c r="G286" i="7"/>
  <c r="H286" i="7"/>
  <c r="I286" i="7"/>
  <c r="J286" i="7"/>
  <c r="K286" i="7"/>
  <c r="L286" i="7"/>
  <c r="M286" i="7"/>
  <c r="G287" i="7"/>
  <c r="H287" i="7"/>
  <c r="I287" i="7"/>
  <c r="J287" i="7"/>
  <c r="K287" i="7"/>
  <c r="L287" i="7"/>
  <c r="M287" i="7"/>
  <c r="G288" i="7"/>
  <c r="H288" i="7"/>
  <c r="I288" i="7"/>
  <c r="J288" i="7"/>
  <c r="K288" i="7"/>
  <c r="L288" i="7"/>
  <c r="M288" i="7"/>
  <c r="G289" i="7"/>
  <c r="H289" i="7"/>
  <c r="I289" i="7"/>
  <c r="J289" i="7"/>
  <c r="K289" i="7"/>
  <c r="L289" i="7"/>
  <c r="M289" i="7"/>
  <c r="G290" i="7"/>
  <c r="H290" i="7"/>
  <c r="I290" i="7"/>
  <c r="J290" i="7"/>
  <c r="K290" i="7"/>
  <c r="L290" i="7"/>
  <c r="M290" i="7"/>
  <c r="G291" i="7"/>
  <c r="H291" i="7"/>
  <c r="I291" i="7"/>
  <c r="J291" i="7"/>
  <c r="K291" i="7"/>
  <c r="L291" i="7"/>
  <c r="M291" i="7"/>
  <c r="G292" i="7"/>
  <c r="H292" i="7"/>
  <c r="I292" i="7"/>
  <c r="J292" i="7"/>
  <c r="K292" i="7"/>
  <c r="L292" i="7"/>
  <c r="M292" i="7"/>
  <c r="G293" i="7"/>
  <c r="H293" i="7"/>
  <c r="I293" i="7"/>
  <c r="J293" i="7"/>
  <c r="K293" i="7"/>
  <c r="L293" i="7"/>
  <c r="M293" i="7"/>
  <c r="G294" i="7"/>
  <c r="H294" i="7"/>
  <c r="I294" i="7"/>
  <c r="J294" i="7"/>
  <c r="K294" i="7"/>
  <c r="L294" i="7"/>
  <c r="M294" i="7"/>
  <c r="G295" i="7"/>
  <c r="H295" i="7"/>
  <c r="I295" i="7"/>
  <c r="J295" i="7"/>
  <c r="K295" i="7"/>
  <c r="L295" i="7"/>
  <c r="M295" i="7"/>
  <c r="G296" i="7"/>
  <c r="H296" i="7"/>
  <c r="I296" i="7"/>
  <c r="J296" i="7"/>
  <c r="K296" i="7"/>
  <c r="L296" i="7"/>
  <c r="M296" i="7"/>
  <c r="G297" i="7"/>
  <c r="H297" i="7"/>
  <c r="I297" i="7"/>
  <c r="J297" i="7"/>
  <c r="K297" i="7"/>
  <c r="L297" i="7"/>
  <c r="M297" i="7"/>
  <c r="G298" i="7"/>
  <c r="H298" i="7"/>
  <c r="I298" i="7"/>
  <c r="J298" i="7"/>
  <c r="K298" i="7"/>
  <c r="L298" i="7"/>
  <c r="M298" i="7"/>
  <c r="G299" i="7"/>
  <c r="H299" i="7"/>
  <c r="I299" i="7"/>
  <c r="J299" i="7"/>
  <c r="K299" i="7"/>
  <c r="L299" i="7"/>
  <c r="M299" i="7"/>
  <c r="G300" i="7"/>
  <c r="H300" i="7"/>
  <c r="I300" i="7"/>
  <c r="J300" i="7"/>
  <c r="K300" i="7"/>
  <c r="L300" i="7"/>
  <c r="M300" i="7"/>
  <c r="G301" i="7"/>
  <c r="H301" i="7"/>
  <c r="I301" i="7"/>
  <c r="J301" i="7"/>
  <c r="K301" i="7"/>
  <c r="L301" i="7"/>
  <c r="M301" i="7"/>
  <c r="G302" i="7"/>
  <c r="H302" i="7"/>
  <c r="I302" i="7"/>
  <c r="J302" i="7"/>
  <c r="K302" i="7"/>
  <c r="L302" i="7"/>
  <c r="M302" i="7"/>
  <c r="G303" i="7"/>
  <c r="H303" i="7"/>
  <c r="I303" i="7"/>
  <c r="J303" i="7"/>
  <c r="K303" i="7"/>
  <c r="L303" i="7"/>
  <c r="M303" i="7"/>
  <c r="G304" i="7"/>
  <c r="H304" i="7"/>
  <c r="I304" i="7"/>
  <c r="J304" i="7"/>
  <c r="K304" i="7"/>
  <c r="L304" i="7"/>
  <c r="M304" i="7"/>
  <c r="G305" i="7"/>
  <c r="H305" i="7"/>
  <c r="I305" i="7"/>
  <c r="J305" i="7"/>
  <c r="K305" i="7"/>
  <c r="L305" i="7"/>
  <c r="M305" i="7"/>
  <c r="G306" i="7"/>
  <c r="H306" i="7"/>
  <c r="I306" i="7"/>
  <c r="J306" i="7"/>
  <c r="K306" i="7"/>
  <c r="L306" i="7"/>
  <c r="M306" i="7"/>
  <c r="G307" i="7"/>
  <c r="H307" i="7"/>
  <c r="I307" i="7"/>
  <c r="J307" i="7"/>
  <c r="K307" i="7"/>
  <c r="L307" i="7"/>
  <c r="M307" i="7"/>
  <c r="G308" i="7"/>
  <c r="H308" i="7"/>
  <c r="I308" i="7"/>
  <c r="J308" i="7"/>
  <c r="K308" i="7"/>
  <c r="L308" i="7"/>
  <c r="M308" i="7"/>
  <c r="G309" i="7"/>
  <c r="H309" i="7"/>
  <c r="I309" i="7"/>
  <c r="J309" i="7"/>
  <c r="K309" i="7"/>
  <c r="L309" i="7"/>
  <c r="M309" i="7"/>
  <c r="G310" i="7"/>
  <c r="H310" i="7"/>
  <c r="I310" i="7"/>
  <c r="J310" i="7"/>
  <c r="K310" i="7"/>
  <c r="L310" i="7"/>
  <c r="M310" i="7"/>
  <c r="G311" i="7"/>
  <c r="H311" i="7"/>
  <c r="I311" i="7"/>
  <c r="J311" i="7"/>
  <c r="K311" i="7"/>
  <c r="L311" i="7"/>
  <c r="M311" i="7"/>
  <c r="G312" i="7"/>
  <c r="H312" i="7"/>
  <c r="I312" i="7"/>
  <c r="J312" i="7"/>
  <c r="K312" i="7"/>
  <c r="L312" i="7"/>
  <c r="M312" i="7"/>
  <c r="G313" i="7"/>
  <c r="H313" i="7"/>
  <c r="I313" i="7"/>
  <c r="J313" i="7"/>
  <c r="K313" i="7"/>
  <c r="L313" i="7"/>
  <c r="M313" i="7"/>
  <c r="G314" i="7"/>
  <c r="H314" i="7"/>
  <c r="I314" i="7"/>
  <c r="J314" i="7"/>
  <c r="K314" i="7"/>
  <c r="L314" i="7"/>
  <c r="M314" i="7"/>
  <c r="G315" i="7"/>
  <c r="H315" i="7"/>
  <c r="I315" i="7"/>
  <c r="J315" i="7"/>
  <c r="K315" i="7"/>
  <c r="L315" i="7"/>
  <c r="M315" i="7"/>
  <c r="G316" i="7"/>
  <c r="H316" i="7"/>
  <c r="I316" i="7"/>
  <c r="J316" i="7"/>
  <c r="K316" i="7"/>
  <c r="L316" i="7"/>
  <c r="M316" i="7"/>
  <c r="G317" i="7"/>
  <c r="H317" i="7"/>
  <c r="I317" i="7"/>
  <c r="J317" i="7"/>
  <c r="K317" i="7"/>
  <c r="L317" i="7"/>
  <c r="M317" i="7"/>
  <c r="G318" i="7"/>
  <c r="H318" i="7"/>
  <c r="I318" i="7"/>
  <c r="J318" i="7"/>
  <c r="K318" i="7"/>
  <c r="L318" i="7"/>
  <c r="M318" i="7"/>
  <c r="G319" i="7"/>
  <c r="H319" i="7"/>
  <c r="I319" i="7"/>
  <c r="J319" i="7"/>
  <c r="K319" i="7"/>
  <c r="L319" i="7"/>
  <c r="M319" i="7"/>
  <c r="G320" i="7"/>
  <c r="H320" i="7"/>
  <c r="I320" i="7"/>
  <c r="J320" i="7"/>
  <c r="K320" i="7"/>
  <c r="L320" i="7"/>
  <c r="M320" i="7"/>
  <c r="G321" i="7"/>
  <c r="H321" i="7"/>
  <c r="I321" i="7"/>
  <c r="J321" i="7"/>
  <c r="K321" i="7"/>
  <c r="L321" i="7"/>
  <c r="M321" i="7"/>
  <c r="G322" i="7"/>
  <c r="H322" i="7"/>
  <c r="I322" i="7"/>
  <c r="J322" i="7"/>
  <c r="K322" i="7"/>
  <c r="L322" i="7"/>
  <c r="M322" i="7"/>
  <c r="G323" i="7"/>
  <c r="H323" i="7"/>
  <c r="I323" i="7"/>
  <c r="J323" i="7"/>
  <c r="K323" i="7"/>
  <c r="L323" i="7"/>
  <c r="M323" i="7"/>
  <c r="G324" i="7"/>
  <c r="H324" i="7"/>
  <c r="I324" i="7"/>
  <c r="J324" i="7"/>
  <c r="K324" i="7"/>
  <c r="L324" i="7"/>
  <c r="M324" i="7"/>
  <c r="G325" i="7"/>
  <c r="H325" i="7"/>
  <c r="I325" i="7"/>
  <c r="J325" i="7"/>
  <c r="K325" i="7"/>
  <c r="L325" i="7"/>
  <c r="M325" i="7"/>
  <c r="G326" i="7"/>
  <c r="H326" i="7"/>
  <c r="I326" i="7"/>
  <c r="J326" i="7"/>
  <c r="K326" i="7"/>
  <c r="L326" i="7"/>
  <c r="M326" i="7"/>
  <c r="G327" i="7"/>
  <c r="H327" i="7"/>
  <c r="I327" i="7"/>
  <c r="J327" i="7"/>
  <c r="K327" i="7"/>
  <c r="L327" i="7"/>
  <c r="M327" i="7"/>
  <c r="G328" i="7"/>
  <c r="H328" i="7"/>
  <c r="I328" i="7"/>
  <c r="J328" i="7"/>
  <c r="K328" i="7"/>
  <c r="L328" i="7"/>
  <c r="M328" i="7"/>
  <c r="G329" i="7"/>
  <c r="H329" i="7"/>
  <c r="I329" i="7"/>
  <c r="J329" i="7"/>
  <c r="K329" i="7"/>
  <c r="L329" i="7"/>
  <c r="M329" i="7"/>
  <c r="G330" i="7"/>
  <c r="H330" i="7"/>
  <c r="I330" i="7"/>
  <c r="J330" i="7"/>
  <c r="K330" i="7"/>
  <c r="L330" i="7"/>
  <c r="M330" i="7"/>
  <c r="G331" i="7"/>
  <c r="H331" i="7"/>
  <c r="I331" i="7"/>
  <c r="J331" i="7"/>
  <c r="K331" i="7"/>
  <c r="L331" i="7"/>
  <c r="M331" i="7"/>
  <c r="G332" i="7"/>
  <c r="H332" i="7"/>
  <c r="I332" i="7"/>
  <c r="J332" i="7"/>
  <c r="K332" i="7"/>
  <c r="L332" i="7"/>
  <c r="M332" i="7"/>
  <c r="G333" i="7"/>
  <c r="H333" i="7"/>
  <c r="I333" i="7"/>
  <c r="J333" i="7"/>
  <c r="K333" i="7"/>
  <c r="L333" i="7"/>
  <c r="M333" i="7"/>
  <c r="G334" i="7"/>
  <c r="H334" i="7"/>
  <c r="I334" i="7"/>
  <c r="J334" i="7"/>
  <c r="K334" i="7"/>
  <c r="L334" i="7"/>
  <c r="M334" i="7"/>
  <c r="G335" i="7"/>
  <c r="H335" i="7"/>
  <c r="I335" i="7"/>
  <c r="J335" i="7"/>
  <c r="K335" i="7"/>
  <c r="L335" i="7"/>
  <c r="M335" i="7"/>
  <c r="G336" i="7"/>
  <c r="H336" i="7"/>
  <c r="I336" i="7"/>
  <c r="J336" i="7"/>
  <c r="K336" i="7"/>
  <c r="L336" i="7"/>
  <c r="M336" i="7"/>
  <c r="G337" i="7"/>
  <c r="H337" i="7"/>
  <c r="I337" i="7"/>
  <c r="J337" i="7"/>
  <c r="K337" i="7"/>
  <c r="L337" i="7"/>
  <c r="M337" i="7"/>
  <c r="G338" i="7"/>
  <c r="H338" i="7"/>
  <c r="I338" i="7"/>
  <c r="J338" i="7"/>
  <c r="K338" i="7"/>
  <c r="L338" i="7"/>
  <c r="M338" i="7"/>
  <c r="G339" i="7"/>
  <c r="H339" i="7"/>
  <c r="I339" i="7"/>
  <c r="J339" i="7"/>
  <c r="K339" i="7"/>
  <c r="L339" i="7"/>
  <c r="M339" i="7"/>
  <c r="G340" i="7"/>
  <c r="H340" i="7"/>
  <c r="I340" i="7"/>
  <c r="J340" i="7"/>
  <c r="K340" i="7"/>
  <c r="L340" i="7"/>
  <c r="M340" i="7"/>
  <c r="G341" i="7"/>
  <c r="H341" i="7"/>
  <c r="I341" i="7"/>
  <c r="J341" i="7"/>
  <c r="K341" i="7"/>
  <c r="L341" i="7"/>
  <c r="M341" i="7"/>
  <c r="G342" i="7"/>
  <c r="H342" i="7"/>
  <c r="I342" i="7"/>
  <c r="J342" i="7"/>
  <c r="K342" i="7"/>
  <c r="L342" i="7"/>
  <c r="M342" i="7"/>
  <c r="G343" i="7"/>
  <c r="H343" i="7"/>
  <c r="I343" i="7"/>
  <c r="J343" i="7"/>
  <c r="K343" i="7"/>
  <c r="L343" i="7"/>
  <c r="M343" i="7"/>
  <c r="G344" i="7"/>
  <c r="H344" i="7"/>
  <c r="I344" i="7"/>
  <c r="J344" i="7"/>
  <c r="K344" i="7"/>
  <c r="L344" i="7"/>
  <c r="M344" i="7"/>
  <c r="G345" i="7"/>
  <c r="H345" i="7"/>
  <c r="I345" i="7"/>
  <c r="J345" i="7"/>
  <c r="K345" i="7"/>
  <c r="L345" i="7"/>
  <c r="M345" i="7"/>
  <c r="G346" i="7"/>
  <c r="H346" i="7"/>
  <c r="I346" i="7"/>
  <c r="J346" i="7"/>
  <c r="K346" i="7"/>
  <c r="L346" i="7"/>
  <c r="M346" i="7"/>
  <c r="G347" i="7"/>
  <c r="H347" i="7"/>
  <c r="I347" i="7"/>
  <c r="J347" i="7"/>
  <c r="K347" i="7"/>
  <c r="L347" i="7"/>
  <c r="M347" i="7"/>
  <c r="G348" i="7"/>
  <c r="H348" i="7"/>
  <c r="I348" i="7"/>
  <c r="J348" i="7"/>
  <c r="K348" i="7"/>
  <c r="L348" i="7"/>
  <c r="M348" i="7"/>
  <c r="G349" i="7"/>
  <c r="H349" i="7"/>
  <c r="I349" i="7"/>
  <c r="J349" i="7"/>
  <c r="K349" i="7"/>
  <c r="L349" i="7"/>
  <c r="M349" i="7"/>
  <c r="G350" i="7"/>
  <c r="H350" i="7"/>
  <c r="I350" i="7"/>
  <c r="J350" i="7"/>
  <c r="K350" i="7"/>
  <c r="L350" i="7"/>
  <c r="M350" i="7"/>
  <c r="G351" i="7"/>
  <c r="H351" i="7"/>
  <c r="I351" i="7"/>
  <c r="J351" i="7"/>
  <c r="K351" i="7"/>
  <c r="L351" i="7"/>
  <c r="M351" i="7"/>
  <c r="G352" i="7"/>
  <c r="H352" i="7"/>
  <c r="I352" i="7"/>
  <c r="J352" i="7"/>
  <c r="K352" i="7"/>
  <c r="L352" i="7"/>
  <c r="M352" i="7"/>
  <c r="G353" i="7"/>
  <c r="H353" i="7"/>
  <c r="I353" i="7"/>
  <c r="J353" i="7"/>
  <c r="K353" i="7"/>
  <c r="L353" i="7"/>
  <c r="M353" i="7"/>
  <c r="G354" i="7"/>
  <c r="H354" i="7"/>
  <c r="I354" i="7"/>
  <c r="J354" i="7"/>
  <c r="K354" i="7"/>
  <c r="L354" i="7"/>
  <c r="M354" i="7"/>
  <c r="G355" i="7"/>
  <c r="H355" i="7"/>
  <c r="I355" i="7"/>
  <c r="J355" i="7"/>
  <c r="K355" i="7"/>
  <c r="L355" i="7"/>
  <c r="M355" i="7"/>
  <c r="G356" i="7"/>
  <c r="H356" i="7"/>
  <c r="I356" i="7"/>
  <c r="J356" i="7"/>
  <c r="K356" i="7"/>
  <c r="L356" i="7"/>
  <c r="M356" i="7"/>
  <c r="G357" i="7"/>
  <c r="H357" i="7"/>
  <c r="I357" i="7"/>
  <c r="J357" i="7"/>
  <c r="K357" i="7"/>
  <c r="L357" i="7"/>
  <c r="M357" i="7"/>
  <c r="G358" i="7"/>
  <c r="H358" i="7"/>
  <c r="I358" i="7"/>
  <c r="J358" i="7"/>
  <c r="K358" i="7"/>
  <c r="L358" i="7"/>
  <c r="M358" i="7"/>
  <c r="G359" i="7"/>
  <c r="H359" i="7"/>
  <c r="I359" i="7"/>
  <c r="J359" i="7"/>
  <c r="K359" i="7"/>
  <c r="L359" i="7"/>
  <c r="M359" i="7"/>
  <c r="G360" i="7"/>
  <c r="H360" i="7"/>
  <c r="I360" i="7"/>
  <c r="J360" i="7"/>
  <c r="K360" i="7"/>
  <c r="L360" i="7"/>
  <c r="M360" i="7"/>
  <c r="G361" i="7"/>
  <c r="H361" i="7"/>
  <c r="I361" i="7"/>
  <c r="J361" i="7"/>
  <c r="K361" i="7"/>
  <c r="L361" i="7"/>
  <c r="M361" i="7"/>
  <c r="G362" i="7"/>
  <c r="H362" i="7"/>
  <c r="I362" i="7"/>
  <c r="J362" i="7"/>
  <c r="K362" i="7"/>
  <c r="L362" i="7"/>
  <c r="M362" i="7"/>
  <c r="G363" i="7"/>
  <c r="H363" i="7"/>
  <c r="I363" i="7"/>
  <c r="J363" i="7"/>
  <c r="K363" i="7"/>
  <c r="L363" i="7"/>
  <c r="M363" i="7"/>
  <c r="G364" i="7"/>
  <c r="H364" i="7"/>
  <c r="I364" i="7"/>
  <c r="J364" i="7"/>
  <c r="K364" i="7"/>
  <c r="L364" i="7"/>
  <c r="M364" i="7"/>
  <c r="G365" i="7"/>
  <c r="H365" i="7"/>
  <c r="I365" i="7"/>
  <c r="J365" i="7"/>
  <c r="K365" i="7"/>
  <c r="L365" i="7"/>
  <c r="M365" i="7"/>
  <c r="G366" i="7"/>
  <c r="H366" i="7"/>
  <c r="I366" i="7"/>
  <c r="J366" i="7"/>
  <c r="K366" i="7"/>
  <c r="L366" i="7"/>
  <c r="M366" i="7"/>
  <c r="G367" i="7"/>
  <c r="H367" i="7"/>
  <c r="I367" i="7"/>
  <c r="J367" i="7"/>
  <c r="K367" i="7"/>
  <c r="L367" i="7"/>
  <c r="M367" i="7"/>
  <c r="G368" i="7"/>
  <c r="H368" i="7"/>
  <c r="I368" i="7"/>
  <c r="J368" i="7"/>
  <c r="K368" i="7"/>
  <c r="L368" i="7"/>
  <c r="M368" i="7"/>
  <c r="G369" i="7"/>
  <c r="H369" i="7"/>
  <c r="I369" i="7"/>
  <c r="J369" i="7"/>
  <c r="K369" i="7"/>
  <c r="L369" i="7"/>
  <c r="M369" i="7"/>
  <c r="G370" i="7"/>
  <c r="H370" i="7"/>
  <c r="I370" i="7"/>
  <c r="J370" i="7"/>
  <c r="K370" i="7"/>
  <c r="L370" i="7"/>
  <c r="M370" i="7"/>
  <c r="G371" i="7"/>
  <c r="H371" i="7"/>
  <c r="I371" i="7"/>
  <c r="J371" i="7"/>
  <c r="K371" i="7"/>
  <c r="L371" i="7"/>
  <c r="M371" i="7"/>
  <c r="G372" i="7"/>
  <c r="H372" i="7"/>
  <c r="I372" i="7"/>
  <c r="J372" i="7"/>
  <c r="K372" i="7"/>
  <c r="L372" i="7"/>
  <c r="M372" i="7"/>
  <c r="G373" i="7"/>
  <c r="H373" i="7"/>
  <c r="I373" i="7"/>
  <c r="J373" i="7"/>
  <c r="K373" i="7"/>
  <c r="L373" i="7"/>
  <c r="M373" i="7"/>
  <c r="G374" i="7"/>
  <c r="H374" i="7"/>
  <c r="I374" i="7"/>
  <c r="J374" i="7"/>
  <c r="K374" i="7"/>
  <c r="L374" i="7"/>
  <c r="M374" i="7"/>
  <c r="G375" i="7"/>
  <c r="H375" i="7"/>
  <c r="I375" i="7"/>
  <c r="J375" i="7"/>
  <c r="K375" i="7"/>
  <c r="L375" i="7"/>
  <c r="M375" i="7"/>
  <c r="G376" i="7"/>
  <c r="H376" i="7"/>
  <c r="I376" i="7"/>
  <c r="J376" i="7"/>
  <c r="K376" i="7"/>
  <c r="L376" i="7"/>
  <c r="M376" i="7"/>
  <c r="G377" i="7"/>
  <c r="H377" i="7"/>
  <c r="I377" i="7"/>
  <c r="J377" i="7"/>
  <c r="K377" i="7"/>
  <c r="L377" i="7"/>
  <c r="M377" i="7"/>
  <c r="G378" i="7"/>
  <c r="H378" i="7"/>
  <c r="I378" i="7"/>
  <c r="J378" i="7"/>
  <c r="K378" i="7"/>
  <c r="L378" i="7"/>
  <c r="M378" i="7"/>
  <c r="G379" i="7"/>
  <c r="H379" i="7"/>
  <c r="I379" i="7"/>
  <c r="J379" i="7"/>
  <c r="K379" i="7"/>
  <c r="L379" i="7"/>
  <c r="M379" i="7"/>
  <c r="G380" i="7"/>
  <c r="H380" i="7"/>
  <c r="I380" i="7"/>
  <c r="J380" i="7"/>
  <c r="K380" i="7"/>
  <c r="L380" i="7"/>
  <c r="M380" i="7"/>
  <c r="G381" i="7"/>
  <c r="H381" i="7"/>
  <c r="I381" i="7"/>
  <c r="J381" i="7"/>
  <c r="K381" i="7"/>
  <c r="L381" i="7"/>
  <c r="M381" i="7"/>
  <c r="G382" i="7"/>
  <c r="H382" i="7"/>
  <c r="I382" i="7"/>
  <c r="J382" i="7"/>
  <c r="K382" i="7"/>
  <c r="L382" i="7"/>
  <c r="M382" i="7"/>
  <c r="G383" i="7"/>
  <c r="H383" i="7"/>
  <c r="I383" i="7"/>
  <c r="J383" i="7"/>
  <c r="K383" i="7"/>
  <c r="L383" i="7"/>
  <c r="M383" i="7"/>
  <c r="G384" i="7"/>
  <c r="H384" i="7"/>
  <c r="I384" i="7"/>
  <c r="J384" i="7"/>
  <c r="K384" i="7"/>
  <c r="L384" i="7"/>
  <c r="M384" i="7"/>
  <c r="G385" i="7"/>
  <c r="H385" i="7"/>
  <c r="I385" i="7"/>
  <c r="J385" i="7"/>
  <c r="K385" i="7"/>
  <c r="L385" i="7"/>
  <c r="M385" i="7"/>
  <c r="G386" i="7"/>
  <c r="H386" i="7"/>
  <c r="I386" i="7"/>
  <c r="J386" i="7"/>
  <c r="K386" i="7"/>
  <c r="L386" i="7"/>
  <c r="M386" i="7"/>
  <c r="G387" i="7"/>
  <c r="H387" i="7"/>
  <c r="I387" i="7"/>
  <c r="J387" i="7"/>
  <c r="K387" i="7"/>
  <c r="L387" i="7"/>
  <c r="M387" i="7"/>
  <c r="G388" i="7"/>
  <c r="H388" i="7"/>
  <c r="I388" i="7"/>
  <c r="J388" i="7"/>
  <c r="K388" i="7"/>
  <c r="L388" i="7"/>
  <c r="M388" i="7"/>
  <c r="G389" i="7"/>
  <c r="H389" i="7"/>
  <c r="I389" i="7"/>
  <c r="J389" i="7"/>
  <c r="K389" i="7"/>
  <c r="L389" i="7"/>
  <c r="M389" i="7"/>
  <c r="G390" i="7"/>
  <c r="H390" i="7"/>
  <c r="I390" i="7"/>
  <c r="J390" i="7"/>
  <c r="K390" i="7"/>
  <c r="L390" i="7"/>
  <c r="M390" i="7"/>
  <c r="G391" i="7"/>
  <c r="H391" i="7"/>
  <c r="I391" i="7"/>
  <c r="J391" i="7"/>
  <c r="K391" i="7"/>
  <c r="L391" i="7"/>
  <c r="M391" i="7"/>
  <c r="G392" i="7"/>
  <c r="H392" i="7"/>
  <c r="I392" i="7"/>
  <c r="J392" i="7"/>
  <c r="K392" i="7"/>
  <c r="L392" i="7"/>
  <c r="M392" i="7"/>
  <c r="G393" i="7"/>
  <c r="H393" i="7"/>
  <c r="I393" i="7"/>
  <c r="J393" i="7"/>
  <c r="K393" i="7"/>
  <c r="L393" i="7"/>
  <c r="M393" i="7"/>
  <c r="G394" i="7"/>
  <c r="H394" i="7"/>
  <c r="I394" i="7"/>
  <c r="J394" i="7"/>
  <c r="K394" i="7"/>
  <c r="L394" i="7"/>
  <c r="M394" i="7"/>
  <c r="G395" i="7"/>
  <c r="H395" i="7"/>
  <c r="I395" i="7"/>
  <c r="J395" i="7"/>
  <c r="K395" i="7"/>
  <c r="L395" i="7"/>
  <c r="M395" i="7"/>
  <c r="G396" i="7"/>
  <c r="H396" i="7"/>
  <c r="I396" i="7"/>
  <c r="J396" i="7"/>
  <c r="K396" i="7"/>
  <c r="L396" i="7"/>
  <c r="M396" i="7"/>
  <c r="G397" i="7"/>
  <c r="H397" i="7"/>
  <c r="I397" i="7"/>
  <c r="J397" i="7"/>
  <c r="K397" i="7"/>
  <c r="L397" i="7"/>
  <c r="M397" i="7"/>
  <c r="G398" i="7"/>
  <c r="H398" i="7"/>
  <c r="I398" i="7"/>
  <c r="J398" i="7"/>
  <c r="K398" i="7"/>
  <c r="L398" i="7"/>
  <c r="M398" i="7"/>
  <c r="G399" i="7"/>
  <c r="H399" i="7"/>
  <c r="I399" i="7"/>
  <c r="J399" i="7"/>
  <c r="K399" i="7"/>
  <c r="L399" i="7"/>
  <c r="M399" i="7"/>
  <c r="G400" i="7"/>
  <c r="H400" i="7"/>
  <c r="I400" i="7"/>
  <c r="J400" i="7"/>
  <c r="K400" i="7"/>
  <c r="L400" i="7"/>
  <c r="M400" i="7"/>
  <c r="G401" i="7"/>
  <c r="H401" i="7"/>
  <c r="I401" i="7"/>
  <c r="J401" i="7"/>
  <c r="K401" i="7"/>
  <c r="L401" i="7"/>
  <c r="M401" i="7"/>
  <c r="G402" i="7"/>
  <c r="H402" i="7"/>
  <c r="I402" i="7"/>
  <c r="J402" i="7"/>
  <c r="K402" i="7"/>
  <c r="L402" i="7"/>
  <c r="M402" i="7"/>
  <c r="G403" i="7"/>
  <c r="H403" i="7"/>
  <c r="I403" i="7"/>
  <c r="J403" i="7"/>
  <c r="K403" i="7"/>
  <c r="L403" i="7"/>
  <c r="M403" i="7"/>
  <c r="G404" i="7"/>
  <c r="H404" i="7"/>
  <c r="I404" i="7"/>
  <c r="J404" i="7"/>
  <c r="K404" i="7"/>
  <c r="L404" i="7"/>
  <c r="M404" i="7"/>
  <c r="G405" i="7"/>
  <c r="H405" i="7"/>
  <c r="I405" i="7"/>
  <c r="J405" i="7"/>
  <c r="K405" i="7"/>
  <c r="L405" i="7"/>
  <c r="M405" i="7"/>
  <c r="G406" i="7"/>
  <c r="H406" i="7"/>
  <c r="I406" i="7"/>
  <c r="J406" i="7"/>
  <c r="K406" i="7"/>
  <c r="L406" i="7"/>
  <c r="M406" i="7"/>
  <c r="G407" i="7"/>
  <c r="H407" i="7"/>
  <c r="I407" i="7"/>
  <c r="J407" i="7"/>
  <c r="K407" i="7"/>
  <c r="L407" i="7"/>
  <c r="M407" i="7"/>
  <c r="G408" i="7"/>
  <c r="H408" i="7"/>
  <c r="I408" i="7"/>
  <c r="J408" i="7"/>
  <c r="K408" i="7"/>
  <c r="L408" i="7"/>
  <c r="M408" i="7"/>
  <c r="G409" i="7"/>
  <c r="H409" i="7"/>
  <c r="I409" i="7"/>
  <c r="J409" i="7"/>
  <c r="K409" i="7"/>
  <c r="L409" i="7"/>
  <c r="M409" i="7"/>
  <c r="G410" i="7"/>
  <c r="H410" i="7"/>
  <c r="I410" i="7"/>
  <c r="J410" i="7"/>
  <c r="K410" i="7"/>
  <c r="L410" i="7"/>
  <c r="M410" i="7"/>
  <c r="G411" i="7"/>
  <c r="H411" i="7"/>
  <c r="I411" i="7"/>
  <c r="J411" i="7"/>
  <c r="K411" i="7"/>
  <c r="L411" i="7"/>
  <c r="M411" i="7"/>
  <c r="G412" i="7"/>
  <c r="H412" i="7"/>
  <c r="I412" i="7"/>
  <c r="J412" i="7"/>
  <c r="K412" i="7"/>
  <c r="L412" i="7"/>
  <c r="M412" i="7"/>
  <c r="G413" i="7"/>
  <c r="H413" i="7"/>
  <c r="I413" i="7"/>
  <c r="J413" i="7"/>
  <c r="K413" i="7"/>
  <c r="L413" i="7"/>
  <c r="M413" i="7"/>
  <c r="G414" i="7"/>
  <c r="H414" i="7"/>
  <c r="I414" i="7"/>
  <c r="J414" i="7"/>
  <c r="K414" i="7"/>
  <c r="L414" i="7"/>
  <c r="M414" i="7"/>
  <c r="G415" i="7"/>
  <c r="H415" i="7"/>
  <c r="I415" i="7"/>
  <c r="J415" i="7"/>
  <c r="K415" i="7"/>
  <c r="L415" i="7"/>
  <c r="M415" i="7"/>
  <c r="G416" i="7"/>
  <c r="H416" i="7"/>
  <c r="I416" i="7"/>
  <c r="J416" i="7"/>
  <c r="K416" i="7"/>
  <c r="L416" i="7"/>
  <c r="M416" i="7"/>
  <c r="G417" i="7"/>
  <c r="H417" i="7"/>
  <c r="I417" i="7"/>
  <c r="J417" i="7"/>
  <c r="K417" i="7"/>
  <c r="L417" i="7"/>
  <c r="M417" i="7"/>
  <c r="G418" i="7"/>
  <c r="H418" i="7"/>
  <c r="I418" i="7"/>
  <c r="J418" i="7"/>
  <c r="K418" i="7"/>
  <c r="L418" i="7"/>
  <c r="M418" i="7"/>
  <c r="G419" i="7"/>
  <c r="H419" i="7"/>
  <c r="I419" i="7"/>
  <c r="J419" i="7"/>
  <c r="K419" i="7"/>
  <c r="L419" i="7"/>
  <c r="M419" i="7"/>
  <c r="G420" i="7"/>
  <c r="H420" i="7"/>
  <c r="I420" i="7"/>
  <c r="J420" i="7"/>
  <c r="K420" i="7"/>
  <c r="L420" i="7"/>
  <c r="M420" i="7"/>
  <c r="G421" i="7"/>
  <c r="H421" i="7"/>
  <c r="I421" i="7"/>
  <c r="J421" i="7"/>
  <c r="K421" i="7"/>
  <c r="L421" i="7"/>
  <c r="M421" i="7"/>
  <c r="G422" i="7"/>
  <c r="H422" i="7"/>
  <c r="I422" i="7"/>
  <c r="J422" i="7"/>
  <c r="K422" i="7"/>
  <c r="L422" i="7"/>
  <c r="M422" i="7"/>
  <c r="G423" i="7"/>
  <c r="H423" i="7"/>
  <c r="I423" i="7"/>
  <c r="J423" i="7"/>
  <c r="K423" i="7"/>
  <c r="L423" i="7"/>
  <c r="M423" i="7"/>
  <c r="G424" i="7"/>
  <c r="H424" i="7"/>
  <c r="I424" i="7"/>
  <c r="J424" i="7"/>
  <c r="K424" i="7"/>
  <c r="L424" i="7"/>
  <c r="M424" i="7"/>
  <c r="G425" i="7"/>
  <c r="H425" i="7"/>
  <c r="I425" i="7"/>
  <c r="J425" i="7"/>
  <c r="K425" i="7"/>
  <c r="L425" i="7"/>
  <c r="M425" i="7"/>
  <c r="G426" i="7"/>
  <c r="H426" i="7"/>
  <c r="I426" i="7"/>
  <c r="J426" i="7"/>
  <c r="K426" i="7"/>
  <c r="L426" i="7"/>
  <c r="M426" i="7"/>
  <c r="G427" i="7"/>
  <c r="H427" i="7"/>
  <c r="I427" i="7"/>
  <c r="J427" i="7"/>
  <c r="K427" i="7"/>
  <c r="L427" i="7"/>
  <c r="M427" i="7"/>
  <c r="G428" i="7"/>
  <c r="H428" i="7"/>
  <c r="I428" i="7"/>
  <c r="J428" i="7"/>
  <c r="K428" i="7"/>
  <c r="L428" i="7"/>
  <c r="M428" i="7"/>
  <c r="G429" i="7"/>
  <c r="H429" i="7"/>
  <c r="I429" i="7"/>
  <c r="J429" i="7"/>
  <c r="K429" i="7"/>
  <c r="L429" i="7"/>
  <c r="M429" i="7"/>
  <c r="G430" i="7"/>
  <c r="H430" i="7"/>
  <c r="I430" i="7"/>
  <c r="J430" i="7"/>
  <c r="K430" i="7"/>
  <c r="L430" i="7"/>
  <c r="M430" i="7"/>
  <c r="G431" i="7"/>
  <c r="H431" i="7"/>
  <c r="I431" i="7"/>
  <c r="J431" i="7"/>
  <c r="K431" i="7"/>
  <c r="L431" i="7"/>
  <c r="M431" i="7"/>
  <c r="G432" i="7"/>
  <c r="H432" i="7"/>
  <c r="I432" i="7"/>
  <c r="J432" i="7"/>
  <c r="K432" i="7"/>
  <c r="L432" i="7"/>
  <c r="M432" i="7"/>
  <c r="G433" i="7"/>
  <c r="H433" i="7"/>
  <c r="I433" i="7"/>
  <c r="J433" i="7"/>
  <c r="K433" i="7"/>
  <c r="L433" i="7"/>
  <c r="M433" i="7"/>
  <c r="G434" i="7"/>
  <c r="H434" i="7"/>
  <c r="I434" i="7"/>
  <c r="J434" i="7"/>
  <c r="K434" i="7"/>
  <c r="L434" i="7"/>
  <c r="M434" i="7"/>
  <c r="G435" i="7"/>
  <c r="H435" i="7"/>
  <c r="I435" i="7"/>
  <c r="J435" i="7"/>
  <c r="K435" i="7"/>
  <c r="L435" i="7"/>
  <c r="M435" i="7"/>
  <c r="G436" i="7"/>
  <c r="H436" i="7"/>
  <c r="I436" i="7"/>
  <c r="J436" i="7"/>
  <c r="K436" i="7"/>
  <c r="L436" i="7"/>
  <c r="M436" i="7"/>
  <c r="G437" i="7"/>
  <c r="H437" i="7"/>
  <c r="I437" i="7"/>
  <c r="J437" i="7"/>
  <c r="K437" i="7"/>
  <c r="L437" i="7"/>
  <c r="M437" i="7"/>
  <c r="G438" i="7"/>
  <c r="H438" i="7"/>
  <c r="I438" i="7"/>
  <c r="J438" i="7"/>
  <c r="K438" i="7"/>
  <c r="L438" i="7"/>
  <c r="M438" i="7"/>
  <c r="G439" i="7"/>
  <c r="H439" i="7"/>
  <c r="I439" i="7"/>
  <c r="J439" i="7"/>
  <c r="K439" i="7"/>
  <c r="L439" i="7"/>
  <c r="M439" i="7"/>
  <c r="G440" i="7"/>
  <c r="H440" i="7"/>
  <c r="I440" i="7"/>
  <c r="J440" i="7"/>
  <c r="K440" i="7"/>
  <c r="L440" i="7"/>
  <c r="M440" i="7"/>
  <c r="G441" i="7"/>
  <c r="H441" i="7"/>
  <c r="I441" i="7"/>
  <c r="J441" i="7"/>
  <c r="K441" i="7"/>
  <c r="L441" i="7"/>
  <c r="M441" i="7"/>
  <c r="G442" i="7"/>
  <c r="H442" i="7"/>
  <c r="I442" i="7"/>
  <c r="J442" i="7"/>
  <c r="K442" i="7"/>
  <c r="L442" i="7"/>
  <c r="M442" i="7"/>
  <c r="G443" i="7"/>
  <c r="H443" i="7"/>
  <c r="I443" i="7"/>
  <c r="J443" i="7"/>
  <c r="K443" i="7"/>
  <c r="L443" i="7"/>
  <c r="M443" i="7"/>
  <c r="G444" i="7"/>
  <c r="H444" i="7"/>
  <c r="I444" i="7"/>
  <c r="J444" i="7"/>
  <c r="K444" i="7"/>
  <c r="L444" i="7"/>
  <c r="M444" i="7"/>
  <c r="G445" i="7"/>
  <c r="H445" i="7"/>
  <c r="I445" i="7"/>
  <c r="J445" i="7"/>
  <c r="K445" i="7"/>
  <c r="L445" i="7"/>
  <c r="M445" i="7"/>
  <c r="G446" i="7"/>
  <c r="H446" i="7"/>
  <c r="I446" i="7"/>
  <c r="J446" i="7"/>
  <c r="K446" i="7"/>
  <c r="L446" i="7"/>
  <c r="M446" i="7"/>
  <c r="G447" i="7"/>
  <c r="H447" i="7"/>
  <c r="I447" i="7"/>
  <c r="J447" i="7"/>
  <c r="K447" i="7"/>
  <c r="L447" i="7"/>
  <c r="M447" i="7"/>
  <c r="G448" i="7"/>
  <c r="H448" i="7"/>
  <c r="I448" i="7"/>
  <c r="J448" i="7"/>
  <c r="K448" i="7"/>
  <c r="L448" i="7"/>
  <c r="M448" i="7"/>
  <c r="G449" i="7"/>
  <c r="H449" i="7"/>
  <c r="I449" i="7"/>
  <c r="J449" i="7"/>
  <c r="K449" i="7"/>
  <c r="L449" i="7"/>
  <c r="M449" i="7"/>
  <c r="G450" i="7"/>
  <c r="H450" i="7"/>
  <c r="I450" i="7"/>
  <c r="J450" i="7"/>
  <c r="K450" i="7"/>
  <c r="L450" i="7"/>
  <c r="M450" i="7"/>
  <c r="G451" i="7"/>
  <c r="H451" i="7"/>
  <c r="I451" i="7"/>
  <c r="J451" i="7"/>
  <c r="K451" i="7"/>
  <c r="L451" i="7"/>
  <c r="M451" i="7"/>
  <c r="G452" i="7"/>
  <c r="H452" i="7"/>
  <c r="I452" i="7"/>
  <c r="J452" i="7"/>
  <c r="K452" i="7"/>
  <c r="L452" i="7"/>
  <c r="M452" i="7"/>
  <c r="G453" i="7"/>
  <c r="H453" i="7"/>
  <c r="I453" i="7"/>
  <c r="J453" i="7"/>
  <c r="K453" i="7"/>
  <c r="L453" i="7"/>
  <c r="M453" i="7"/>
  <c r="G454" i="7"/>
  <c r="H454" i="7"/>
  <c r="I454" i="7"/>
  <c r="J454" i="7"/>
  <c r="K454" i="7"/>
  <c r="L454" i="7"/>
  <c r="M454" i="7"/>
  <c r="G455" i="7"/>
  <c r="H455" i="7"/>
  <c r="I455" i="7"/>
  <c r="J455" i="7"/>
  <c r="K455" i="7"/>
  <c r="L455" i="7"/>
  <c r="M455" i="7"/>
  <c r="G456" i="7"/>
  <c r="H456" i="7"/>
  <c r="I456" i="7"/>
  <c r="J456" i="7"/>
  <c r="K456" i="7"/>
  <c r="L456" i="7"/>
  <c r="M456" i="7"/>
  <c r="G457" i="7"/>
  <c r="H457" i="7"/>
  <c r="I457" i="7"/>
  <c r="J457" i="7"/>
  <c r="K457" i="7"/>
  <c r="L457" i="7"/>
  <c r="M457" i="7"/>
  <c r="G458" i="7"/>
  <c r="H458" i="7"/>
  <c r="I458" i="7"/>
  <c r="J458" i="7"/>
  <c r="K458" i="7"/>
  <c r="L458" i="7"/>
  <c r="M458" i="7"/>
  <c r="G459" i="7"/>
  <c r="H459" i="7"/>
  <c r="I459" i="7"/>
  <c r="J459" i="7"/>
  <c r="K459" i="7"/>
  <c r="L459" i="7"/>
  <c r="M459" i="7"/>
  <c r="G460" i="7"/>
  <c r="H460" i="7"/>
  <c r="I460" i="7"/>
  <c r="J460" i="7"/>
  <c r="K460" i="7"/>
  <c r="L460" i="7"/>
  <c r="M460" i="7"/>
  <c r="G461" i="7"/>
  <c r="H461" i="7"/>
  <c r="I461" i="7"/>
  <c r="J461" i="7"/>
  <c r="K461" i="7"/>
  <c r="L461" i="7"/>
  <c r="M461" i="7"/>
  <c r="G462" i="7"/>
  <c r="H462" i="7"/>
  <c r="I462" i="7"/>
  <c r="J462" i="7"/>
  <c r="K462" i="7"/>
  <c r="L462" i="7"/>
  <c r="M462" i="7"/>
  <c r="G463" i="7"/>
  <c r="H463" i="7"/>
  <c r="I463" i="7"/>
  <c r="J463" i="7"/>
  <c r="K463" i="7"/>
  <c r="L463" i="7"/>
  <c r="M463" i="7"/>
  <c r="G464" i="7"/>
  <c r="H464" i="7"/>
  <c r="I464" i="7"/>
  <c r="J464" i="7"/>
  <c r="K464" i="7"/>
  <c r="L464" i="7"/>
  <c r="M464" i="7"/>
  <c r="G465" i="7"/>
  <c r="H465" i="7"/>
  <c r="I465" i="7"/>
  <c r="J465" i="7"/>
  <c r="K465" i="7"/>
  <c r="L465" i="7"/>
  <c r="M465" i="7"/>
  <c r="G466" i="7"/>
  <c r="H466" i="7"/>
  <c r="I466" i="7"/>
  <c r="J466" i="7"/>
  <c r="K466" i="7"/>
  <c r="L466" i="7"/>
  <c r="M466" i="7"/>
  <c r="G467" i="7"/>
  <c r="H467" i="7"/>
  <c r="I467" i="7"/>
  <c r="J467" i="7"/>
  <c r="K467" i="7"/>
  <c r="L467" i="7"/>
  <c r="M467" i="7"/>
  <c r="G468" i="7"/>
  <c r="H468" i="7"/>
  <c r="I468" i="7"/>
  <c r="J468" i="7"/>
  <c r="K468" i="7"/>
  <c r="L468" i="7"/>
  <c r="M468" i="7"/>
  <c r="G469" i="7"/>
  <c r="H469" i="7"/>
  <c r="I469" i="7"/>
  <c r="J469" i="7"/>
  <c r="K469" i="7"/>
  <c r="L469" i="7"/>
  <c r="M469" i="7"/>
  <c r="G470" i="7"/>
  <c r="H470" i="7"/>
  <c r="I470" i="7"/>
  <c r="J470" i="7"/>
  <c r="K470" i="7"/>
  <c r="L470" i="7"/>
  <c r="M470" i="7"/>
  <c r="G471" i="7"/>
  <c r="H471" i="7"/>
  <c r="I471" i="7"/>
  <c r="J471" i="7"/>
  <c r="K471" i="7"/>
  <c r="L471" i="7"/>
  <c r="M471" i="7"/>
  <c r="G472" i="7"/>
  <c r="H472" i="7"/>
  <c r="I472" i="7"/>
  <c r="J472" i="7"/>
  <c r="K472" i="7"/>
  <c r="L472" i="7"/>
  <c r="M472" i="7"/>
  <c r="G473" i="7"/>
  <c r="H473" i="7"/>
  <c r="I473" i="7"/>
  <c r="J473" i="7"/>
  <c r="K473" i="7"/>
  <c r="L473" i="7"/>
  <c r="M473" i="7"/>
  <c r="G474" i="7"/>
  <c r="H474" i="7"/>
  <c r="I474" i="7"/>
  <c r="J474" i="7"/>
  <c r="K474" i="7"/>
  <c r="L474" i="7"/>
  <c r="M474" i="7"/>
  <c r="G475" i="7"/>
  <c r="H475" i="7"/>
  <c r="I475" i="7"/>
  <c r="J475" i="7"/>
  <c r="K475" i="7"/>
  <c r="L475" i="7"/>
  <c r="M475" i="7"/>
  <c r="G476" i="7"/>
  <c r="H476" i="7"/>
  <c r="I476" i="7"/>
  <c r="J476" i="7"/>
  <c r="K476" i="7"/>
  <c r="L476" i="7"/>
  <c r="M476" i="7"/>
  <c r="G477" i="7"/>
  <c r="H477" i="7"/>
  <c r="I477" i="7"/>
  <c r="J477" i="7"/>
  <c r="K477" i="7"/>
  <c r="L477" i="7"/>
  <c r="M477" i="7"/>
  <c r="G478" i="7"/>
  <c r="H478" i="7"/>
  <c r="I478" i="7"/>
  <c r="J478" i="7"/>
  <c r="K478" i="7"/>
  <c r="L478" i="7"/>
  <c r="M478" i="7"/>
  <c r="G479" i="7"/>
  <c r="H479" i="7"/>
  <c r="I479" i="7"/>
  <c r="J479" i="7"/>
  <c r="K479" i="7"/>
  <c r="L479" i="7"/>
  <c r="M479" i="7"/>
  <c r="G480" i="7"/>
  <c r="H480" i="7"/>
  <c r="I480" i="7"/>
  <c r="J480" i="7"/>
  <c r="K480" i="7"/>
  <c r="L480" i="7"/>
  <c r="M480" i="7"/>
  <c r="G481" i="7"/>
  <c r="H481" i="7"/>
  <c r="I481" i="7"/>
  <c r="J481" i="7"/>
  <c r="K481" i="7"/>
  <c r="L481" i="7"/>
  <c r="M481" i="7"/>
  <c r="G482" i="7"/>
  <c r="H482" i="7"/>
  <c r="I482" i="7"/>
  <c r="J482" i="7"/>
  <c r="K482" i="7"/>
  <c r="L482" i="7"/>
  <c r="M482" i="7"/>
  <c r="G483" i="7"/>
  <c r="H483" i="7"/>
  <c r="I483" i="7"/>
  <c r="J483" i="7"/>
  <c r="K483" i="7"/>
  <c r="L483" i="7"/>
  <c r="M483" i="7"/>
  <c r="G484" i="7"/>
  <c r="H484" i="7"/>
  <c r="I484" i="7"/>
  <c r="J484" i="7"/>
  <c r="K484" i="7"/>
  <c r="L484" i="7"/>
  <c r="M484" i="7"/>
  <c r="G485" i="7"/>
  <c r="H485" i="7"/>
  <c r="I485" i="7"/>
  <c r="J485" i="7"/>
  <c r="K485" i="7"/>
  <c r="L485" i="7"/>
  <c r="M485" i="7"/>
  <c r="G486" i="7"/>
  <c r="H486" i="7"/>
  <c r="I486" i="7"/>
  <c r="J486" i="7"/>
  <c r="K486" i="7"/>
  <c r="L486" i="7"/>
  <c r="M486" i="7"/>
  <c r="G487" i="7"/>
  <c r="H487" i="7"/>
  <c r="I487" i="7"/>
  <c r="J487" i="7"/>
  <c r="K487" i="7"/>
  <c r="L487" i="7"/>
  <c r="M487" i="7"/>
  <c r="G488" i="7"/>
  <c r="H488" i="7"/>
  <c r="I488" i="7"/>
  <c r="J488" i="7"/>
  <c r="K488" i="7"/>
  <c r="L488" i="7"/>
  <c r="M488" i="7"/>
  <c r="G489" i="7"/>
  <c r="H489" i="7"/>
  <c r="I489" i="7"/>
  <c r="J489" i="7"/>
  <c r="K489" i="7"/>
  <c r="L489" i="7"/>
  <c r="M489" i="7"/>
  <c r="G490" i="7"/>
  <c r="H490" i="7"/>
  <c r="I490" i="7"/>
  <c r="J490" i="7"/>
  <c r="K490" i="7"/>
  <c r="L490" i="7"/>
  <c r="M490" i="7"/>
  <c r="G491" i="7"/>
  <c r="H491" i="7"/>
  <c r="I491" i="7"/>
  <c r="J491" i="7"/>
  <c r="K491" i="7"/>
  <c r="L491" i="7"/>
  <c r="M491" i="7"/>
  <c r="G492" i="7"/>
  <c r="H492" i="7"/>
  <c r="I492" i="7"/>
  <c r="J492" i="7"/>
  <c r="K492" i="7"/>
  <c r="L492" i="7"/>
  <c r="M492" i="7"/>
  <c r="G493" i="7"/>
  <c r="H493" i="7"/>
  <c r="I493" i="7"/>
  <c r="J493" i="7"/>
  <c r="K493" i="7"/>
  <c r="L493" i="7"/>
  <c r="M493" i="7"/>
  <c r="G494" i="7"/>
  <c r="H494" i="7"/>
  <c r="I494" i="7"/>
  <c r="J494" i="7"/>
  <c r="K494" i="7"/>
  <c r="L494" i="7"/>
  <c r="M494" i="7"/>
  <c r="G495" i="7"/>
  <c r="H495" i="7"/>
  <c r="I495" i="7"/>
  <c r="J495" i="7"/>
  <c r="K495" i="7"/>
  <c r="L495" i="7"/>
  <c r="M495" i="7"/>
  <c r="G496" i="7"/>
  <c r="H496" i="7"/>
  <c r="I496" i="7"/>
  <c r="J496" i="7"/>
  <c r="K496" i="7"/>
  <c r="L496" i="7"/>
  <c r="M496" i="7"/>
  <c r="G497" i="7"/>
  <c r="H497" i="7"/>
  <c r="I497" i="7"/>
  <c r="J497" i="7"/>
  <c r="K497" i="7"/>
  <c r="L497" i="7"/>
  <c r="M497" i="7"/>
  <c r="G498" i="7"/>
  <c r="H498" i="7"/>
  <c r="I498" i="7"/>
  <c r="J498" i="7"/>
  <c r="K498" i="7"/>
  <c r="L498" i="7"/>
  <c r="M498" i="7"/>
  <c r="G499" i="7"/>
  <c r="H499" i="7"/>
  <c r="I499" i="7"/>
  <c r="J499" i="7"/>
  <c r="K499" i="7"/>
  <c r="L499" i="7"/>
  <c r="M499" i="7"/>
  <c r="G500" i="7"/>
  <c r="H500" i="7"/>
  <c r="I500" i="7"/>
  <c r="J500" i="7"/>
  <c r="K500" i="7"/>
  <c r="L500" i="7"/>
  <c r="M500" i="7"/>
  <c r="G501" i="7"/>
  <c r="H501" i="7"/>
  <c r="I501" i="7"/>
  <c r="J501" i="7"/>
  <c r="K501" i="7"/>
  <c r="L501" i="7"/>
  <c r="M501" i="7"/>
  <c r="G502" i="7"/>
  <c r="H502" i="7"/>
  <c r="I502" i="7"/>
  <c r="J502" i="7"/>
  <c r="K502" i="7"/>
  <c r="L502" i="7"/>
  <c r="M502" i="7"/>
  <c r="G503" i="7"/>
  <c r="H503" i="7"/>
  <c r="I503" i="7"/>
  <c r="J503" i="7"/>
  <c r="K503" i="7"/>
  <c r="L503" i="7"/>
  <c r="M503" i="7"/>
  <c r="G504" i="7"/>
  <c r="H504" i="7"/>
  <c r="I504" i="7"/>
  <c r="J504" i="7"/>
  <c r="K504" i="7"/>
  <c r="L504" i="7"/>
  <c r="M504" i="7"/>
  <c r="G505" i="7"/>
  <c r="H505" i="7"/>
  <c r="I505" i="7"/>
  <c r="J505" i="7"/>
  <c r="K505" i="7"/>
  <c r="L505" i="7"/>
  <c r="M505" i="7"/>
  <c r="G506" i="7"/>
  <c r="H506" i="7"/>
  <c r="I506" i="7"/>
  <c r="J506" i="7"/>
  <c r="K506" i="7"/>
  <c r="L506" i="7"/>
  <c r="M506" i="7"/>
  <c r="G507" i="7"/>
  <c r="H507" i="7"/>
  <c r="I507" i="7"/>
  <c r="J507" i="7"/>
  <c r="K507" i="7"/>
  <c r="L507" i="7"/>
  <c r="M507" i="7"/>
  <c r="G508" i="7"/>
  <c r="H508" i="7"/>
  <c r="I508" i="7"/>
  <c r="J508" i="7"/>
  <c r="K508" i="7"/>
  <c r="L508" i="7"/>
  <c r="M508" i="7"/>
  <c r="G509" i="7"/>
  <c r="H509" i="7"/>
  <c r="I509" i="7"/>
  <c r="J509" i="7"/>
  <c r="K509" i="7"/>
  <c r="L509" i="7"/>
  <c r="M509" i="7"/>
  <c r="G510" i="7"/>
  <c r="H510" i="7"/>
  <c r="I510" i="7"/>
  <c r="J510" i="7"/>
  <c r="K510" i="7"/>
  <c r="L510" i="7"/>
  <c r="M510" i="7"/>
  <c r="G511" i="7"/>
  <c r="H511" i="7"/>
  <c r="I511" i="7"/>
  <c r="J511" i="7"/>
  <c r="K511" i="7"/>
  <c r="L511" i="7"/>
  <c r="M511" i="7"/>
  <c r="G512" i="7"/>
  <c r="H512" i="7"/>
  <c r="I512" i="7"/>
  <c r="J512" i="7"/>
  <c r="K512" i="7"/>
  <c r="L512" i="7"/>
  <c r="M512" i="7"/>
  <c r="G513" i="7"/>
  <c r="H513" i="7"/>
  <c r="I513" i="7"/>
  <c r="J513" i="7"/>
  <c r="K513" i="7"/>
  <c r="L513" i="7"/>
  <c r="M513" i="7"/>
  <c r="G514" i="7"/>
  <c r="H514" i="7"/>
  <c r="I514" i="7"/>
  <c r="J514" i="7"/>
  <c r="K514" i="7"/>
  <c r="L514" i="7"/>
  <c r="M514" i="7"/>
  <c r="G515" i="7"/>
  <c r="H515" i="7"/>
  <c r="I515" i="7"/>
  <c r="J515" i="7"/>
  <c r="K515" i="7"/>
  <c r="L515" i="7"/>
  <c r="M515" i="7"/>
  <c r="G516" i="7"/>
  <c r="H516" i="7"/>
  <c r="I516" i="7"/>
  <c r="J516" i="7"/>
  <c r="K516" i="7"/>
  <c r="L516" i="7"/>
  <c r="M516" i="7"/>
  <c r="G517" i="7"/>
  <c r="H517" i="7"/>
  <c r="I517" i="7"/>
  <c r="J517" i="7"/>
  <c r="K517" i="7"/>
  <c r="L517" i="7"/>
  <c r="M517" i="7"/>
  <c r="G518" i="7"/>
  <c r="H518" i="7"/>
  <c r="I518" i="7"/>
  <c r="J518" i="7"/>
  <c r="K518" i="7"/>
  <c r="L518" i="7"/>
  <c r="M518" i="7"/>
  <c r="G519" i="7"/>
  <c r="H519" i="7"/>
  <c r="I519" i="7"/>
  <c r="J519" i="7"/>
  <c r="K519" i="7"/>
  <c r="L519" i="7"/>
  <c r="M519" i="7"/>
  <c r="G520" i="7"/>
  <c r="H520" i="7"/>
  <c r="I520" i="7"/>
  <c r="J520" i="7"/>
  <c r="K520" i="7"/>
  <c r="L520" i="7"/>
  <c r="M520" i="7"/>
  <c r="G521" i="7"/>
  <c r="H521" i="7"/>
  <c r="I521" i="7"/>
  <c r="J521" i="7"/>
  <c r="K521" i="7"/>
  <c r="L521" i="7"/>
  <c r="M521" i="7"/>
  <c r="G522" i="7"/>
  <c r="H522" i="7"/>
  <c r="I522" i="7"/>
  <c r="J522" i="7"/>
  <c r="K522" i="7"/>
  <c r="L522" i="7"/>
  <c r="M522" i="7"/>
  <c r="G523" i="7"/>
  <c r="H523" i="7"/>
  <c r="I523" i="7"/>
  <c r="J523" i="7"/>
  <c r="K523" i="7"/>
  <c r="L523" i="7"/>
  <c r="M523" i="7"/>
  <c r="G524" i="7"/>
  <c r="H524" i="7"/>
  <c r="I524" i="7"/>
  <c r="J524" i="7"/>
  <c r="K524" i="7"/>
  <c r="L524" i="7"/>
  <c r="M524" i="7"/>
  <c r="G525" i="7"/>
  <c r="H525" i="7"/>
  <c r="I525" i="7"/>
  <c r="J525" i="7"/>
  <c r="K525" i="7"/>
  <c r="L525" i="7"/>
  <c r="M525" i="7"/>
  <c r="G526" i="7"/>
  <c r="H526" i="7"/>
  <c r="I526" i="7"/>
  <c r="J526" i="7"/>
  <c r="K526" i="7"/>
  <c r="L526" i="7"/>
  <c r="M526" i="7"/>
  <c r="G527" i="7"/>
  <c r="H527" i="7"/>
  <c r="I527" i="7"/>
  <c r="J527" i="7"/>
  <c r="K527" i="7"/>
  <c r="L527" i="7"/>
  <c r="M527" i="7"/>
  <c r="G528" i="7"/>
  <c r="H528" i="7"/>
  <c r="I528" i="7"/>
  <c r="J528" i="7"/>
  <c r="K528" i="7"/>
  <c r="L528" i="7"/>
  <c r="M528" i="7"/>
  <c r="G529" i="7"/>
  <c r="H529" i="7"/>
  <c r="I529" i="7"/>
  <c r="J529" i="7"/>
  <c r="K529" i="7"/>
  <c r="L529" i="7"/>
  <c r="M529" i="7"/>
  <c r="G530" i="7"/>
  <c r="H530" i="7"/>
  <c r="I530" i="7"/>
  <c r="J530" i="7"/>
  <c r="K530" i="7"/>
  <c r="L530" i="7"/>
  <c r="M530" i="7"/>
  <c r="G531" i="7"/>
  <c r="H531" i="7"/>
  <c r="I531" i="7"/>
  <c r="J531" i="7"/>
  <c r="K531" i="7"/>
  <c r="L531" i="7"/>
  <c r="M531" i="7"/>
  <c r="G532" i="7"/>
  <c r="H532" i="7"/>
  <c r="I532" i="7"/>
  <c r="J532" i="7"/>
  <c r="K532" i="7"/>
  <c r="L532" i="7"/>
  <c r="M532" i="7"/>
  <c r="G533" i="7"/>
  <c r="H533" i="7"/>
  <c r="I533" i="7"/>
  <c r="J533" i="7"/>
  <c r="K533" i="7"/>
  <c r="L533" i="7"/>
  <c r="M533" i="7"/>
  <c r="G534" i="7"/>
  <c r="H534" i="7"/>
  <c r="I534" i="7"/>
  <c r="J534" i="7"/>
  <c r="K534" i="7"/>
  <c r="L534" i="7"/>
  <c r="M534" i="7"/>
  <c r="G535" i="7"/>
  <c r="H535" i="7"/>
  <c r="I535" i="7"/>
  <c r="J535" i="7"/>
  <c r="K535" i="7"/>
  <c r="L535" i="7"/>
  <c r="M535" i="7"/>
  <c r="G536" i="7"/>
  <c r="H536" i="7"/>
  <c r="I536" i="7"/>
  <c r="J536" i="7"/>
  <c r="K536" i="7"/>
  <c r="L536" i="7"/>
  <c r="M536" i="7"/>
  <c r="G537" i="7"/>
  <c r="H537" i="7"/>
  <c r="I537" i="7"/>
  <c r="J537" i="7"/>
  <c r="K537" i="7"/>
  <c r="L537" i="7"/>
  <c r="M537" i="7"/>
  <c r="G538" i="7"/>
  <c r="H538" i="7"/>
  <c r="I538" i="7"/>
  <c r="J538" i="7"/>
  <c r="K538" i="7"/>
  <c r="L538" i="7"/>
  <c r="M538" i="7"/>
  <c r="G539" i="7"/>
  <c r="H539" i="7"/>
  <c r="I539" i="7"/>
  <c r="J539" i="7"/>
  <c r="K539" i="7"/>
  <c r="L539" i="7"/>
  <c r="M539" i="7"/>
  <c r="G540" i="7"/>
  <c r="H540" i="7"/>
  <c r="I540" i="7"/>
  <c r="J540" i="7"/>
  <c r="K540" i="7"/>
  <c r="L540" i="7"/>
  <c r="M540" i="7"/>
  <c r="G541" i="7"/>
  <c r="H541" i="7"/>
  <c r="I541" i="7"/>
  <c r="J541" i="7"/>
  <c r="K541" i="7"/>
  <c r="L541" i="7"/>
  <c r="M541" i="7"/>
  <c r="G542" i="7"/>
  <c r="H542" i="7"/>
  <c r="I542" i="7"/>
  <c r="J542" i="7"/>
  <c r="K542" i="7"/>
  <c r="L542" i="7"/>
  <c r="M542" i="7"/>
  <c r="G543" i="7"/>
  <c r="H543" i="7"/>
  <c r="I543" i="7"/>
  <c r="J543" i="7"/>
  <c r="K543" i="7"/>
  <c r="L543" i="7"/>
  <c r="M543" i="7"/>
  <c r="G544" i="7"/>
  <c r="H544" i="7"/>
  <c r="I544" i="7"/>
  <c r="J544" i="7"/>
  <c r="K544" i="7"/>
  <c r="L544" i="7"/>
  <c r="M544" i="7"/>
  <c r="G545" i="7"/>
  <c r="H545" i="7"/>
  <c r="I545" i="7"/>
  <c r="J545" i="7"/>
  <c r="K545" i="7"/>
  <c r="L545" i="7"/>
  <c r="M545" i="7"/>
  <c r="G546" i="7"/>
  <c r="H546" i="7"/>
  <c r="I546" i="7"/>
  <c r="J546" i="7"/>
  <c r="K546" i="7"/>
  <c r="L546" i="7"/>
  <c r="M546" i="7"/>
  <c r="G547" i="7"/>
  <c r="H547" i="7"/>
  <c r="I547" i="7"/>
  <c r="J547" i="7"/>
  <c r="K547" i="7"/>
  <c r="L547" i="7"/>
  <c r="M547" i="7"/>
  <c r="G548" i="7"/>
  <c r="H548" i="7"/>
  <c r="I548" i="7"/>
  <c r="J548" i="7"/>
  <c r="K548" i="7"/>
  <c r="L548" i="7"/>
  <c r="M548" i="7"/>
  <c r="G549" i="7"/>
  <c r="H549" i="7"/>
  <c r="I549" i="7"/>
  <c r="J549" i="7"/>
  <c r="K549" i="7"/>
  <c r="L549" i="7"/>
  <c r="M549" i="7"/>
  <c r="G550" i="7"/>
  <c r="H550" i="7"/>
  <c r="I550" i="7"/>
  <c r="J550" i="7"/>
  <c r="K550" i="7"/>
  <c r="L550" i="7"/>
  <c r="M550" i="7"/>
  <c r="G551" i="7"/>
  <c r="H551" i="7"/>
  <c r="I551" i="7"/>
  <c r="J551" i="7"/>
  <c r="K551" i="7"/>
  <c r="L551" i="7"/>
  <c r="M551" i="7"/>
  <c r="G552" i="7"/>
  <c r="H552" i="7"/>
  <c r="I552" i="7"/>
  <c r="J552" i="7"/>
  <c r="K552" i="7"/>
  <c r="L552" i="7"/>
  <c r="M552" i="7"/>
  <c r="G553" i="7"/>
  <c r="H553" i="7"/>
  <c r="I553" i="7"/>
  <c r="J553" i="7"/>
  <c r="K553" i="7"/>
  <c r="L553" i="7"/>
  <c r="M553" i="7"/>
  <c r="G554" i="7"/>
  <c r="H554" i="7"/>
  <c r="I554" i="7"/>
  <c r="J554" i="7"/>
  <c r="K554" i="7"/>
  <c r="L554" i="7"/>
  <c r="M554" i="7"/>
  <c r="G555" i="7"/>
  <c r="H555" i="7"/>
  <c r="I555" i="7"/>
  <c r="J555" i="7"/>
  <c r="K555" i="7"/>
  <c r="L555" i="7"/>
  <c r="M555" i="7"/>
  <c r="G556" i="7"/>
  <c r="H556" i="7"/>
  <c r="I556" i="7"/>
  <c r="J556" i="7"/>
  <c r="K556" i="7"/>
  <c r="L556" i="7"/>
  <c r="M556" i="7"/>
  <c r="G557" i="7"/>
  <c r="H557" i="7"/>
  <c r="I557" i="7"/>
  <c r="J557" i="7"/>
  <c r="K557" i="7"/>
  <c r="L557" i="7"/>
  <c r="M557" i="7"/>
  <c r="G558" i="7"/>
  <c r="H558" i="7"/>
  <c r="I558" i="7"/>
  <c r="J558" i="7"/>
  <c r="K558" i="7"/>
  <c r="L558" i="7"/>
  <c r="M558" i="7"/>
  <c r="G559" i="7"/>
  <c r="H559" i="7"/>
  <c r="I559" i="7"/>
  <c r="J559" i="7"/>
  <c r="K559" i="7"/>
  <c r="L559" i="7"/>
  <c r="M559" i="7"/>
  <c r="G560" i="7"/>
  <c r="H560" i="7"/>
  <c r="I560" i="7"/>
  <c r="J560" i="7"/>
  <c r="K560" i="7"/>
  <c r="L560" i="7"/>
  <c r="M560" i="7"/>
  <c r="G561" i="7"/>
  <c r="H561" i="7"/>
  <c r="I561" i="7"/>
  <c r="J561" i="7"/>
  <c r="K561" i="7"/>
  <c r="L561" i="7"/>
  <c r="M561" i="7"/>
  <c r="G562" i="7"/>
  <c r="H562" i="7"/>
  <c r="I562" i="7"/>
  <c r="J562" i="7"/>
  <c r="K562" i="7"/>
  <c r="L562" i="7"/>
  <c r="M562" i="7"/>
  <c r="G563" i="7"/>
  <c r="H563" i="7"/>
  <c r="I563" i="7"/>
  <c r="J563" i="7"/>
  <c r="K563" i="7"/>
  <c r="L563" i="7"/>
  <c r="M563" i="7"/>
  <c r="G564" i="7"/>
  <c r="H564" i="7"/>
  <c r="I564" i="7"/>
  <c r="J564" i="7"/>
  <c r="K564" i="7"/>
  <c r="L564" i="7"/>
  <c r="M564" i="7"/>
  <c r="G565" i="7"/>
  <c r="H565" i="7"/>
  <c r="I565" i="7"/>
  <c r="J565" i="7"/>
  <c r="K565" i="7"/>
  <c r="L565" i="7"/>
  <c r="M565" i="7"/>
  <c r="G566" i="7"/>
  <c r="H566" i="7"/>
  <c r="I566" i="7"/>
  <c r="J566" i="7"/>
  <c r="K566" i="7"/>
  <c r="L566" i="7"/>
  <c r="M566" i="7"/>
  <c r="G567" i="7"/>
  <c r="H567" i="7"/>
  <c r="I567" i="7"/>
  <c r="J567" i="7"/>
  <c r="K567" i="7"/>
  <c r="L567" i="7"/>
  <c r="M567" i="7"/>
  <c r="G568" i="7"/>
  <c r="H568" i="7"/>
  <c r="I568" i="7"/>
  <c r="J568" i="7"/>
  <c r="K568" i="7"/>
  <c r="L568" i="7"/>
  <c r="M568" i="7"/>
  <c r="G569" i="7"/>
  <c r="H569" i="7"/>
  <c r="I569" i="7"/>
  <c r="J569" i="7"/>
  <c r="K569" i="7"/>
  <c r="L569" i="7"/>
  <c r="M569" i="7"/>
  <c r="G570" i="7"/>
  <c r="H570" i="7"/>
  <c r="I570" i="7"/>
  <c r="J570" i="7"/>
  <c r="K570" i="7"/>
  <c r="L570" i="7"/>
  <c r="M570" i="7"/>
  <c r="G571" i="7"/>
  <c r="H571" i="7"/>
  <c r="I571" i="7"/>
  <c r="J571" i="7"/>
  <c r="K571" i="7"/>
  <c r="L571" i="7"/>
  <c r="M571" i="7"/>
  <c r="G572" i="7"/>
  <c r="H572" i="7"/>
  <c r="I572" i="7"/>
  <c r="J572" i="7"/>
  <c r="K572" i="7"/>
  <c r="L572" i="7"/>
  <c r="M572" i="7"/>
  <c r="G573" i="7"/>
  <c r="H573" i="7"/>
  <c r="I573" i="7"/>
  <c r="J573" i="7"/>
  <c r="K573" i="7"/>
  <c r="L573" i="7"/>
  <c r="M573" i="7"/>
  <c r="G574" i="7"/>
  <c r="H574" i="7"/>
  <c r="I574" i="7"/>
  <c r="J574" i="7"/>
  <c r="K574" i="7"/>
  <c r="L574" i="7"/>
  <c r="M574" i="7"/>
  <c r="G575" i="7"/>
  <c r="H575" i="7"/>
  <c r="I575" i="7"/>
  <c r="J575" i="7"/>
  <c r="K575" i="7"/>
  <c r="L575" i="7"/>
  <c r="M575" i="7"/>
  <c r="G576" i="7"/>
  <c r="H576" i="7"/>
  <c r="I576" i="7"/>
  <c r="J576" i="7"/>
  <c r="K576" i="7"/>
  <c r="L576" i="7"/>
  <c r="M576" i="7"/>
  <c r="G577" i="7"/>
  <c r="H577" i="7"/>
  <c r="I577" i="7"/>
  <c r="J577" i="7"/>
  <c r="K577" i="7"/>
  <c r="L577" i="7"/>
  <c r="M577" i="7"/>
  <c r="G578" i="7"/>
  <c r="H578" i="7"/>
  <c r="I578" i="7"/>
  <c r="J578" i="7"/>
  <c r="K578" i="7"/>
  <c r="L578" i="7"/>
  <c r="M578" i="7"/>
  <c r="G579" i="7"/>
  <c r="H579" i="7"/>
  <c r="I579" i="7"/>
  <c r="J579" i="7"/>
  <c r="K579" i="7"/>
  <c r="L579" i="7"/>
  <c r="M579" i="7"/>
  <c r="G580" i="7"/>
  <c r="H580" i="7"/>
  <c r="I580" i="7"/>
  <c r="J580" i="7"/>
  <c r="K580" i="7"/>
  <c r="L580" i="7"/>
  <c r="M580" i="7"/>
  <c r="G581" i="7"/>
  <c r="H581" i="7"/>
  <c r="I581" i="7"/>
  <c r="J581" i="7"/>
  <c r="K581" i="7"/>
  <c r="L581" i="7"/>
  <c r="M581" i="7"/>
  <c r="G582" i="7"/>
  <c r="H582" i="7"/>
  <c r="I582" i="7"/>
  <c r="J582" i="7"/>
  <c r="K582" i="7"/>
  <c r="L582" i="7"/>
  <c r="M582" i="7"/>
  <c r="G583" i="7"/>
  <c r="H583" i="7"/>
  <c r="I583" i="7"/>
  <c r="J583" i="7"/>
  <c r="K583" i="7"/>
  <c r="L583" i="7"/>
  <c r="M583" i="7"/>
  <c r="G584" i="7"/>
  <c r="H584" i="7"/>
  <c r="I584" i="7"/>
  <c r="J584" i="7"/>
  <c r="K584" i="7"/>
  <c r="L584" i="7"/>
  <c r="M584" i="7"/>
  <c r="G585" i="7"/>
  <c r="H585" i="7"/>
  <c r="I585" i="7"/>
  <c r="J585" i="7"/>
  <c r="K585" i="7"/>
  <c r="L585" i="7"/>
  <c r="M585" i="7"/>
  <c r="G586" i="7"/>
  <c r="H586" i="7"/>
  <c r="I586" i="7"/>
  <c r="J586" i="7"/>
  <c r="K586" i="7"/>
  <c r="L586" i="7"/>
  <c r="M586" i="7"/>
  <c r="G587" i="7"/>
  <c r="H587" i="7"/>
  <c r="I587" i="7"/>
  <c r="J587" i="7"/>
  <c r="K587" i="7"/>
  <c r="L587" i="7"/>
  <c r="M587" i="7"/>
  <c r="G588" i="7"/>
  <c r="H588" i="7"/>
  <c r="I588" i="7"/>
  <c r="J588" i="7"/>
  <c r="K588" i="7"/>
  <c r="L588" i="7"/>
  <c r="M588" i="7"/>
  <c r="G589" i="7"/>
  <c r="H589" i="7"/>
  <c r="I589" i="7"/>
  <c r="J589" i="7"/>
  <c r="K589" i="7"/>
  <c r="L589" i="7"/>
  <c r="M589" i="7"/>
  <c r="G590" i="7"/>
  <c r="H590" i="7"/>
  <c r="I590" i="7"/>
  <c r="J590" i="7"/>
  <c r="K590" i="7"/>
  <c r="L590" i="7"/>
  <c r="M590" i="7"/>
  <c r="G591" i="7"/>
  <c r="H591" i="7"/>
  <c r="I591" i="7"/>
  <c r="J591" i="7"/>
  <c r="K591" i="7"/>
  <c r="L591" i="7"/>
  <c r="M591" i="7"/>
  <c r="G592" i="7"/>
  <c r="H592" i="7"/>
  <c r="I592" i="7"/>
  <c r="J592" i="7"/>
  <c r="K592" i="7"/>
  <c r="L592" i="7"/>
  <c r="M592" i="7"/>
  <c r="G593" i="7"/>
  <c r="H593" i="7"/>
  <c r="I593" i="7"/>
  <c r="J593" i="7"/>
  <c r="K593" i="7"/>
  <c r="L593" i="7"/>
  <c r="M593" i="7"/>
  <c r="G594" i="7"/>
  <c r="H594" i="7"/>
  <c r="I594" i="7"/>
  <c r="J594" i="7"/>
  <c r="K594" i="7"/>
  <c r="L594" i="7"/>
  <c r="M594" i="7"/>
  <c r="G595" i="7"/>
  <c r="H595" i="7"/>
  <c r="I595" i="7"/>
  <c r="J595" i="7"/>
  <c r="K595" i="7"/>
  <c r="L595" i="7"/>
  <c r="M595" i="7"/>
  <c r="G596" i="7"/>
  <c r="H596" i="7"/>
  <c r="I596" i="7"/>
  <c r="J596" i="7"/>
  <c r="K596" i="7"/>
  <c r="L596" i="7"/>
  <c r="M596" i="7"/>
  <c r="G597" i="7"/>
  <c r="H597" i="7"/>
  <c r="I597" i="7"/>
  <c r="J597" i="7"/>
  <c r="K597" i="7"/>
  <c r="L597" i="7"/>
  <c r="M597" i="7"/>
  <c r="G598" i="7"/>
  <c r="H598" i="7"/>
  <c r="I598" i="7"/>
  <c r="J598" i="7"/>
  <c r="K598" i="7"/>
  <c r="L598" i="7"/>
  <c r="M598" i="7"/>
  <c r="G599" i="7"/>
  <c r="H599" i="7"/>
  <c r="I599" i="7"/>
  <c r="J599" i="7"/>
  <c r="K599" i="7"/>
  <c r="L599" i="7"/>
  <c r="M599" i="7"/>
  <c r="G600" i="7"/>
  <c r="H600" i="7"/>
  <c r="I600" i="7"/>
  <c r="J600" i="7"/>
  <c r="K600" i="7"/>
  <c r="L600" i="7"/>
  <c r="M600" i="7"/>
  <c r="G601" i="7"/>
  <c r="H601" i="7"/>
  <c r="I601" i="7"/>
  <c r="J601" i="7"/>
  <c r="K601" i="7"/>
  <c r="L601" i="7"/>
  <c r="M601" i="7"/>
  <c r="G602" i="7"/>
  <c r="H602" i="7"/>
  <c r="I602" i="7"/>
  <c r="J602" i="7"/>
  <c r="K602" i="7"/>
  <c r="L602" i="7"/>
  <c r="M602" i="7"/>
  <c r="G603" i="7"/>
  <c r="H603" i="7"/>
  <c r="I603" i="7"/>
  <c r="J603" i="7"/>
  <c r="K603" i="7"/>
  <c r="L603" i="7"/>
  <c r="M603" i="7"/>
  <c r="G604" i="7"/>
  <c r="H604" i="7"/>
  <c r="I604" i="7"/>
  <c r="J604" i="7"/>
  <c r="K604" i="7"/>
  <c r="L604" i="7"/>
  <c r="M604" i="7"/>
  <c r="G605" i="7"/>
  <c r="H605" i="7"/>
  <c r="I605" i="7"/>
  <c r="J605" i="7"/>
  <c r="K605" i="7"/>
  <c r="L605" i="7"/>
  <c r="M605" i="7"/>
  <c r="G606" i="7"/>
  <c r="H606" i="7"/>
  <c r="I606" i="7"/>
  <c r="J606" i="7"/>
  <c r="K606" i="7"/>
  <c r="L606" i="7"/>
  <c r="M606" i="7"/>
  <c r="G607" i="7"/>
  <c r="H607" i="7"/>
  <c r="I607" i="7"/>
  <c r="J607" i="7"/>
  <c r="K607" i="7"/>
  <c r="L607" i="7"/>
  <c r="M607" i="7"/>
  <c r="G608" i="7"/>
  <c r="H608" i="7"/>
  <c r="I608" i="7"/>
  <c r="J608" i="7"/>
  <c r="K608" i="7"/>
  <c r="L608" i="7"/>
  <c r="M608" i="7"/>
  <c r="G609" i="7"/>
  <c r="H609" i="7"/>
  <c r="I609" i="7"/>
  <c r="J609" i="7"/>
  <c r="K609" i="7"/>
  <c r="L609" i="7"/>
  <c r="M609" i="7"/>
  <c r="G610" i="7"/>
  <c r="H610" i="7"/>
  <c r="I610" i="7"/>
  <c r="J610" i="7"/>
  <c r="K610" i="7"/>
  <c r="L610" i="7"/>
  <c r="M610" i="7"/>
  <c r="G611" i="7"/>
  <c r="H611" i="7"/>
  <c r="I611" i="7"/>
  <c r="J611" i="7"/>
  <c r="K611" i="7"/>
  <c r="L611" i="7"/>
  <c r="M611" i="7"/>
  <c r="G612" i="7"/>
  <c r="H612" i="7"/>
  <c r="I612" i="7"/>
  <c r="J612" i="7"/>
  <c r="K612" i="7"/>
  <c r="L612" i="7"/>
  <c r="M612" i="7"/>
  <c r="G613" i="7"/>
  <c r="H613" i="7"/>
  <c r="I613" i="7"/>
  <c r="J613" i="7"/>
  <c r="K613" i="7"/>
  <c r="L613" i="7"/>
  <c r="M613" i="7"/>
  <c r="G614" i="7"/>
  <c r="H614" i="7"/>
  <c r="I614" i="7"/>
  <c r="J614" i="7"/>
  <c r="K614" i="7"/>
  <c r="L614" i="7"/>
  <c r="M614" i="7"/>
  <c r="G615" i="7"/>
  <c r="H615" i="7"/>
  <c r="I615" i="7"/>
  <c r="J615" i="7"/>
  <c r="K615" i="7"/>
  <c r="L615" i="7"/>
  <c r="M615" i="7"/>
  <c r="G616" i="7"/>
  <c r="H616" i="7"/>
  <c r="I616" i="7"/>
  <c r="J616" i="7"/>
  <c r="K616" i="7"/>
  <c r="L616" i="7"/>
  <c r="M616" i="7"/>
  <c r="G617" i="7"/>
  <c r="H617" i="7"/>
  <c r="I617" i="7"/>
  <c r="J617" i="7"/>
  <c r="K617" i="7"/>
  <c r="L617" i="7"/>
  <c r="M617" i="7"/>
  <c r="G618" i="7"/>
  <c r="H618" i="7"/>
  <c r="I618" i="7"/>
  <c r="J618" i="7"/>
  <c r="K618" i="7"/>
  <c r="L618" i="7"/>
  <c r="M618" i="7"/>
  <c r="G619" i="7"/>
  <c r="H619" i="7"/>
  <c r="I619" i="7"/>
  <c r="J619" i="7"/>
  <c r="K619" i="7"/>
  <c r="L619" i="7"/>
  <c r="M619" i="7"/>
  <c r="G620" i="7"/>
  <c r="H620" i="7"/>
  <c r="I620" i="7"/>
  <c r="J620" i="7"/>
  <c r="K620" i="7"/>
  <c r="L620" i="7"/>
  <c r="M620" i="7"/>
  <c r="G621" i="7"/>
  <c r="H621" i="7"/>
  <c r="I621" i="7"/>
  <c r="J621" i="7"/>
  <c r="K621" i="7"/>
  <c r="L621" i="7"/>
  <c r="M621" i="7"/>
  <c r="G622" i="7"/>
  <c r="H622" i="7"/>
  <c r="I622" i="7"/>
  <c r="J622" i="7"/>
  <c r="K622" i="7"/>
  <c r="L622" i="7"/>
  <c r="M622" i="7"/>
  <c r="G623" i="7"/>
  <c r="H623" i="7"/>
  <c r="I623" i="7"/>
  <c r="J623" i="7"/>
  <c r="K623" i="7"/>
  <c r="L623" i="7"/>
  <c r="M623" i="7"/>
  <c r="G624" i="7"/>
  <c r="H624" i="7"/>
  <c r="I624" i="7"/>
  <c r="J624" i="7"/>
  <c r="K624" i="7"/>
  <c r="L624" i="7"/>
  <c r="M624" i="7"/>
  <c r="G625" i="7"/>
  <c r="H625" i="7"/>
  <c r="I625" i="7"/>
  <c r="J625" i="7"/>
  <c r="K625" i="7"/>
  <c r="L625" i="7"/>
  <c r="M625" i="7"/>
  <c r="G626" i="7"/>
  <c r="H626" i="7"/>
  <c r="I626" i="7"/>
  <c r="J626" i="7"/>
  <c r="K626" i="7"/>
  <c r="L626" i="7"/>
  <c r="M626" i="7"/>
  <c r="G627" i="7"/>
  <c r="H627" i="7"/>
  <c r="I627" i="7"/>
  <c r="J627" i="7"/>
  <c r="K627" i="7"/>
  <c r="L627" i="7"/>
  <c r="M627" i="7"/>
  <c r="G628" i="7"/>
  <c r="H628" i="7"/>
  <c r="I628" i="7"/>
  <c r="J628" i="7"/>
  <c r="K628" i="7"/>
  <c r="L628" i="7"/>
  <c r="M628" i="7"/>
  <c r="G629" i="7"/>
  <c r="H629" i="7"/>
  <c r="I629" i="7"/>
  <c r="J629" i="7"/>
  <c r="K629" i="7"/>
  <c r="L629" i="7"/>
  <c r="M629" i="7"/>
  <c r="G630" i="7"/>
  <c r="H630" i="7"/>
  <c r="I630" i="7"/>
  <c r="J630" i="7"/>
  <c r="K630" i="7"/>
  <c r="L630" i="7"/>
  <c r="M630" i="7"/>
  <c r="G631" i="7"/>
  <c r="H631" i="7"/>
  <c r="I631" i="7"/>
  <c r="J631" i="7"/>
  <c r="K631" i="7"/>
  <c r="L631" i="7"/>
  <c r="M631" i="7"/>
  <c r="G632" i="7"/>
  <c r="H632" i="7"/>
  <c r="I632" i="7"/>
  <c r="J632" i="7"/>
  <c r="K632" i="7"/>
  <c r="L632" i="7"/>
  <c r="M632" i="7"/>
  <c r="G633" i="7"/>
  <c r="H633" i="7"/>
  <c r="I633" i="7"/>
  <c r="J633" i="7"/>
  <c r="K633" i="7"/>
  <c r="L633" i="7"/>
  <c r="M633" i="7"/>
  <c r="G634" i="7"/>
  <c r="H634" i="7"/>
  <c r="I634" i="7"/>
  <c r="J634" i="7"/>
  <c r="K634" i="7"/>
  <c r="L634" i="7"/>
  <c r="M634" i="7"/>
  <c r="G635" i="7"/>
  <c r="H635" i="7"/>
  <c r="I635" i="7"/>
  <c r="J635" i="7"/>
  <c r="K635" i="7"/>
  <c r="L635" i="7"/>
  <c r="M635" i="7"/>
  <c r="G636" i="7"/>
  <c r="H636" i="7"/>
  <c r="I636" i="7"/>
  <c r="J636" i="7"/>
  <c r="K636" i="7"/>
  <c r="L636" i="7"/>
  <c r="M636" i="7"/>
  <c r="G637" i="7"/>
  <c r="H637" i="7"/>
  <c r="I637" i="7"/>
  <c r="J637" i="7"/>
  <c r="K637" i="7"/>
  <c r="L637" i="7"/>
  <c r="M637" i="7"/>
  <c r="G638" i="7"/>
  <c r="H638" i="7"/>
  <c r="I638" i="7"/>
  <c r="J638" i="7"/>
  <c r="K638" i="7"/>
  <c r="L638" i="7"/>
  <c r="M638" i="7"/>
  <c r="G639" i="7"/>
  <c r="H639" i="7"/>
  <c r="I639" i="7"/>
  <c r="J639" i="7"/>
  <c r="K639" i="7"/>
  <c r="L639" i="7"/>
  <c r="M639" i="7"/>
  <c r="G640" i="7"/>
  <c r="H640" i="7"/>
  <c r="I640" i="7"/>
  <c r="J640" i="7"/>
  <c r="K640" i="7"/>
  <c r="L640" i="7"/>
  <c r="M640" i="7"/>
  <c r="G641" i="7"/>
  <c r="H641" i="7"/>
  <c r="I641" i="7"/>
  <c r="J641" i="7"/>
  <c r="K641" i="7"/>
  <c r="L641" i="7"/>
  <c r="M641" i="7"/>
  <c r="G642" i="7"/>
  <c r="H642" i="7"/>
  <c r="I642" i="7"/>
  <c r="J642" i="7"/>
  <c r="K642" i="7"/>
  <c r="L642" i="7"/>
  <c r="M642" i="7"/>
  <c r="G643" i="7"/>
  <c r="H643" i="7"/>
  <c r="I643" i="7"/>
  <c r="J643" i="7"/>
  <c r="K643" i="7"/>
  <c r="L643" i="7"/>
  <c r="M643" i="7"/>
  <c r="G644" i="7"/>
  <c r="H644" i="7"/>
  <c r="I644" i="7"/>
  <c r="J644" i="7"/>
  <c r="K644" i="7"/>
  <c r="L644" i="7"/>
  <c r="M644" i="7"/>
  <c r="G645" i="7"/>
  <c r="H645" i="7"/>
  <c r="I645" i="7"/>
  <c r="J645" i="7"/>
  <c r="K645" i="7"/>
  <c r="L645" i="7"/>
  <c r="M645" i="7"/>
  <c r="G646" i="7"/>
  <c r="H646" i="7"/>
  <c r="I646" i="7"/>
  <c r="J646" i="7"/>
  <c r="K646" i="7"/>
  <c r="L646" i="7"/>
  <c r="M646" i="7"/>
  <c r="G647" i="7"/>
  <c r="H647" i="7"/>
  <c r="I647" i="7"/>
  <c r="J647" i="7"/>
  <c r="K647" i="7"/>
  <c r="L647" i="7"/>
  <c r="M647" i="7"/>
  <c r="G648" i="7"/>
  <c r="H648" i="7"/>
  <c r="I648" i="7"/>
  <c r="J648" i="7"/>
  <c r="K648" i="7"/>
  <c r="L648" i="7"/>
  <c r="M648" i="7"/>
  <c r="G649" i="7"/>
  <c r="H649" i="7"/>
  <c r="I649" i="7"/>
  <c r="J649" i="7"/>
  <c r="K649" i="7"/>
  <c r="L649" i="7"/>
  <c r="M649" i="7"/>
  <c r="G650" i="7"/>
  <c r="H650" i="7"/>
  <c r="I650" i="7"/>
  <c r="J650" i="7"/>
  <c r="K650" i="7"/>
  <c r="L650" i="7"/>
  <c r="M650" i="7"/>
  <c r="G651" i="7"/>
  <c r="H651" i="7"/>
  <c r="I651" i="7"/>
  <c r="J651" i="7"/>
  <c r="K651" i="7"/>
  <c r="L651" i="7"/>
  <c r="M651" i="7"/>
  <c r="G652" i="7"/>
  <c r="H652" i="7"/>
  <c r="I652" i="7"/>
  <c r="J652" i="7"/>
  <c r="K652" i="7"/>
  <c r="L652" i="7"/>
  <c r="M652" i="7"/>
  <c r="G653" i="7"/>
  <c r="H653" i="7"/>
  <c r="I653" i="7"/>
  <c r="J653" i="7"/>
  <c r="K653" i="7"/>
  <c r="L653" i="7"/>
  <c r="M653" i="7"/>
  <c r="G654" i="7"/>
  <c r="H654" i="7"/>
  <c r="I654" i="7"/>
  <c r="J654" i="7"/>
  <c r="K654" i="7"/>
  <c r="L654" i="7"/>
  <c r="M654" i="7"/>
  <c r="G655" i="7"/>
  <c r="H655" i="7"/>
  <c r="I655" i="7"/>
  <c r="J655" i="7"/>
  <c r="K655" i="7"/>
  <c r="L655" i="7"/>
  <c r="M655" i="7"/>
  <c r="G656" i="7"/>
  <c r="H656" i="7"/>
  <c r="I656" i="7"/>
  <c r="J656" i="7"/>
  <c r="K656" i="7"/>
  <c r="L656" i="7"/>
  <c r="M656" i="7"/>
  <c r="G657" i="7"/>
  <c r="H657" i="7"/>
  <c r="I657" i="7"/>
  <c r="J657" i="7"/>
  <c r="K657" i="7"/>
  <c r="L657" i="7"/>
  <c r="M657" i="7"/>
  <c r="G658" i="7"/>
  <c r="H658" i="7"/>
  <c r="I658" i="7"/>
  <c r="J658" i="7"/>
  <c r="K658" i="7"/>
  <c r="L658" i="7"/>
  <c r="M658" i="7"/>
  <c r="G659" i="7"/>
  <c r="H659" i="7"/>
  <c r="I659" i="7"/>
  <c r="J659" i="7"/>
  <c r="K659" i="7"/>
  <c r="L659" i="7"/>
  <c r="M659" i="7"/>
  <c r="G660" i="7"/>
  <c r="H660" i="7"/>
  <c r="I660" i="7"/>
  <c r="J660" i="7"/>
  <c r="K660" i="7"/>
  <c r="L660" i="7"/>
  <c r="M660" i="7"/>
  <c r="G661" i="7"/>
  <c r="H661" i="7"/>
  <c r="I661" i="7"/>
  <c r="J661" i="7"/>
  <c r="K661" i="7"/>
  <c r="L661" i="7"/>
  <c r="M661" i="7"/>
  <c r="G662" i="7"/>
  <c r="H662" i="7"/>
  <c r="I662" i="7"/>
  <c r="J662" i="7"/>
  <c r="K662" i="7"/>
  <c r="L662" i="7"/>
  <c r="M662" i="7"/>
  <c r="G663" i="7"/>
  <c r="H663" i="7"/>
  <c r="I663" i="7"/>
  <c r="J663" i="7"/>
  <c r="K663" i="7"/>
  <c r="L663" i="7"/>
  <c r="M663" i="7"/>
  <c r="G664" i="7"/>
  <c r="H664" i="7"/>
  <c r="I664" i="7"/>
  <c r="J664" i="7"/>
  <c r="K664" i="7"/>
  <c r="L664" i="7"/>
  <c r="M664" i="7"/>
  <c r="G665" i="7"/>
  <c r="H665" i="7"/>
  <c r="I665" i="7"/>
  <c r="J665" i="7"/>
  <c r="K665" i="7"/>
  <c r="L665" i="7"/>
  <c r="M665" i="7"/>
  <c r="G666" i="7"/>
  <c r="H666" i="7"/>
  <c r="I666" i="7"/>
  <c r="J666" i="7"/>
  <c r="K666" i="7"/>
  <c r="L666" i="7"/>
  <c r="M666" i="7"/>
  <c r="G667" i="7"/>
  <c r="H667" i="7"/>
  <c r="I667" i="7"/>
  <c r="J667" i="7"/>
  <c r="K667" i="7"/>
  <c r="L667" i="7"/>
  <c r="M667" i="7"/>
  <c r="G668" i="7"/>
  <c r="H668" i="7"/>
  <c r="I668" i="7"/>
  <c r="J668" i="7"/>
  <c r="K668" i="7"/>
  <c r="L668" i="7"/>
  <c r="M668" i="7"/>
  <c r="G669" i="7"/>
  <c r="H669" i="7"/>
  <c r="I669" i="7"/>
  <c r="J669" i="7"/>
  <c r="K669" i="7"/>
  <c r="L669" i="7"/>
  <c r="M669" i="7"/>
  <c r="G670" i="7"/>
  <c r="H670" i="7"/>
  <c r="I670" i="7"/>
  <c r="J670" i="7"/>
  <c r="K670" i="7"/>
  <c r="L670" i="7"/>
  <c r="M670" i="7"/>
  <c r="G671" i="7"/>
  <c r="H671" i="7"/>
  <c r="I671" i="7"/>
  <c r="J671" i="7"/>
  <c r="K671" i="7"/>
  <c r="L671" i="7"/>
  <c r="M671" i="7"/>
  <c r="G672" i="7"/>
  <c r="H672" i="7"/>
  <c r="I672" i="7"/>
  <c r="J672" i="7"/>
  <c r="K672" i="7"/>
  <c r="L672" i="7"/>
  <c r="M672" i="7"/>
  <c r="G673" i="7"/>
  <c r="H673" i="7"/>
  <c r="I673" i="7"/>
  <c r="J673" i="7"/>
  <c r="K673" i="7"/>
  <c r="L673" i="7"/>
  <c r="M673" i="7"/>
  <c r="G674" i="7"/>
  <c r="H674" i="7"/>
  <c r="I674" i="7"/>
  <c r="J674" i="7"/>
  <c r="K674" i="7"/>
  <c r="L674" i="7"/>
  <c r="M674" i="7"/>
  <c r="G675" i="7"/>
  <c r="H675" i="7"/>
  <c r="I675" i="7"/>
  <c r="J675" i="7"/>
  <c r="K675" i="7"/>
  <c r="L675" i="7"/>
  <c r="M675" i="7"/>
  <c r="G676" i="7"/>
  <c r="H676" i="7"/>
  <c r="I676" i="7"/>
  <c r="J676" i="7"/>
  <c r="K676" i="7"/>
  <c r="L676" i="7"/>
  <c r="M676" i="7"/>
  <c r="G677" i="7"/>
  <c r="H677" i="7"/>
  <c r="I677" i="7"/>
  <c r="J677" i="7"/>
  <c r="K677" i="7"/>
  <c r="L677" i="7"/>
  <c r="M677" i="7"/>
  <c r="G678" i="7"/>
  <c r="H678" i="7"/>
  <c r="I678" i="7"/>
  <c r="J678" i="7"/>
  <c r="K678" i="7"/>
  <c r="L678" i="7"/>
  <c r="M678" i="7"/>
  <c r="G679" i="7"/>
  <c r="H679" i="7"/>
  <c r="I679" i="7"/>
  <c r="J679" i="7"/>
  <c r="K679" i="7"/>
  <c r="L679" i="7"/>
  <c r="M679" i="7"/>
  <c r="G680" i="7"/>
  <c r="H680" i="7"/>
  <c r="I680" i="7"/>
  <c r="J680" i="7"/>
  <c r="K680" i="7"/>
  <c r="L680" i="7"/>
  <c r="M680" i="7"/>
  <c r="G681" i="7"/>
  <c r="H681" i="7"/>
  <c r="I681" i="7"/>
  <c r="J681" i="7"/>
  <c r="K681" i="7"/>
  <c r="L681" i="7"/>
  <c r="M681" i="7"/>
  <c r="G682" i="7"/>
  <c r="H682" i="7"/>
  <c r="I682" i="7"/>
  <c r="J682" i="7"/>
  <c r="K682" i="7"/>
  <c r="L682" i="7"/>
  <c r="M682" i="7"/>
  <c r="G683" i="7"/>
  <c r="H683" i="7"/>
  <c r="I683" i="7"/>
  <c r="J683" i="7"/>
  <c r="K683" i="7"/>
  <c r="L683" i="7"/>
  <c r="M683" i="7"/>
  <c r="G684" i="7"/>
  <c r="H684" i="7"/>
  <c r="I684" i="7"/>
  <c r="J684" i="7"/>
  <c r="K684" i="7"/>
  <c r="L684" i="7"/>
  <c r="M684" i="7"/>
  <c r="G685" i="7"/>
  <c r="H685" i="7"/>
  <c r="I685" i="7"/>
  <c r="J685" i="7"/>
  <c r="K685" i="7"/>
  <c r="L685" i="7"/>
  <c r="M685" i="7"/>
  <c r="G686" i="7"/>
  <c r="H686" i="7"/>
  <c r="I686" i="7"/>
  <c r="J686" i="7"/>
  <c r="K686" i="7"/>
  <c r="L686" i="7"/>
  <c r="M686" i="7"/>
  <c r="G687" i="7"/>
  <c r="H687" i="7"/>
  <c r="I687" i="7"/>
  <c r="J687" i="7"/>
  <c r="K687" i="7"/>
  <c r="L687" i="7"/>
  <c r="M687" i="7"/>
  <c r="G688" i="7"/>
  <c r="H688" i="7"/>
  <c r="I688" i="7"/>
  <c r="J688" i="7"/>
  <c r="K688" i="7"/>
  <c r="L688" i="7"/>
  <c r="M688" i="7"/>
  <c r="G689" i="7"/>
  <c r="H689" i="7"/>
  <c r="I689" i="7"/>
  <c r="J689" i="7"/>
  <c r="K689" i="7"/>
  <c r="L689" i="7"/>
  <c r="M689" i="7"/>
  <c r="G690" i="7"/>
  <c r="H690" i="7"/>
  <c r="I690" i="7"/>
  <c r="J690" i="7"/>
  <c r="K690" i="7"/>
  <c r="L690" i="7"/>
  <c r="M690" i="7"/>
  <c r="G691" i="7"/>
  <c r="H691" i="7"/>
  <c r="I691" i="7"/>
  <c r="J691" i="7"/>
  <c r="K691" i="7"/>
  <c r="L691" i="7"/>
  <c r="M691" i="7"/>
  <c r="G692" i="7"/>
  <c r="H692" i="7"/>
  <c r="I692" i="7"/>
  <c r="J692" i="7"/>
  <c r="K692" i="7"/>
  <c r="L692" i="7"/>
  <c r="M692" i="7"/>
  <c r="G693" i="7"/>
  <c r="H693" i="7"/>
  <c r="I693" i="7"/>
  <c r="J693" i="7"/>
  <c r="K693" i="7"/>
  <c r="L693" i="7"/>
  <c r="M693" i="7"/>
  <c r="G694" i="7"/>
  <c r="H694" i="7"/>
  <c r="I694" i="7"/>
  <c r="J694" i="7"/>
  <c r="K694" i="7"/>
  <c r="L694" i="7"/>
  <c r="M694" i="7"/>
  <c r="G695" i="7"/>
  <c r="H695" i="7"/>
  <c r="I695" i="7"/>
  <c r="J695" i="7"/>
  <c r="K695" i="7"/>
  <c r="L695" i="7"/>
  <c r="M695" i="7"/>
  <c r="G696" i="7"/>
  <c r="H696" i="7"/>
  <c r="I696" i="7"/>
  <c r="J696" i="7"/>
  <c r="K696" i="7"/>
  <c r="L696" i="7"/>
  <c r="M696" i="7"/>
  <c r="G697" i="7"/>
  <c r="H697" i="7"/>
  <c r="I697" i="7"/>
  <c r="J697" i="7"/>
  <c r="K697" i="7"/>
  <c r="L697" i="7"/>
  <c r="M697" i="7"/>
  <c r="G698" i="7"/>
  <c r="H698" i="7"/>
  <c r="I698" i="7"/>
  <c r="J698" i="7"/>
  <c r="K698" i="7"/>
  <c r="L698" i="7"/>
  <c r="M698" i="7"/>
  <c r="G699" i="7"/>
  <c r="H699" i="7"/>
  <c r="I699" i="7"/>
  <c r="J699" i="7"/>
  <c r="K699" i="7"/>
  <c r="L699" i="7"/>
  <c r="M699" i="7"/>
  <c r="G700" i="7"/>
  <c r="H700" i="7"/>
  <c r="I700" i="7"/>
  <c r="J700" i="7"/>
  <c r="K700" i="7"/>
  <c r="L700" i="7"/>
  <c r="M700" i="7"/>
  <c r="G701" i="7"/>
  <c r="H701" i="7"/>
  <c r="I701" i="7"/>
  <c r="J701" i="7"/>
  <c r="K701" i="7"/>
  <c r="L701" i="7"/>
  <c r="M701" i="7"/>
  <c r="G702" i="7"/>
  <c r="H702" i="7"/>
  <c r="I702" i="7"/>
  <c r="J702" i="7"/>
  <c r="K702" i="7"/>
  <c r="L702" i="7"/>
  <c r="M702" i="7"/>
  <c r="G703" i="7"/>
  <c r="H703" i="7"/>
  <c r="I703" i="7"/>
  <c r="J703" i="7"/>
  <c r="K703" i="7"/>
  <c r="L703" i="7"/>
  <c r="M703" i="7"/>
  <c r="G704" i="7"/>
  <c r="H704" i="7"/>
  <c r="I704" i="7"/>
  <c r="J704" i="7"/>
  <c r="K704" i="7"/>
  <c r="L704" i="7"/>
  <c r="M704" i="7"/>
  <c r="G705" i="7"/>
  <c r="H705" i="7"/>
  <c r="I705" i="7"/>
  <c r="J705" i="7"/>
  <c r="K705" i="7"/>
  <c r="L705" i="7"/>
  <c r="M705" i="7"/>
  <c r="G706" i="7"/>
  <c r="H706" i="7"/>
  <c r="I706" i="7"/>
  <c r="J706" i="7"/>
  <c r="K706" i="7"/>
  <c r="L706" i="7"/>
  <c r="M706" i="7"/>
  <c r="G707" i="7"/>
  <c r="H707" i="7"/>
  <c r="I707" i="7"/>
  <c r="J707" i="7"/>
  <c r="K707" i="7"/>
  <c r="L707" i="7"/>
  <c r="M707" i="7"/>
  <c r="G708" i="7"/>
  <c r="H708" i="7"/>
  <c r="I708" i="7"/>
  <c r="J708" i="7"/>
  <c r="K708" i="7"/>
  <c r="L708" i="7"/>
  <c r="M708" i="7"/>
  <c r="G709" i="7"/>
  <c r="H709" i="7"/>
  <c r="I709" i="7"/>
  <c r="J709" i="7"/>
  <c r="K709" i="7"/>
  <c r="L709" i="7"/>
  <c r="M709" i="7"/>
  <c r="G710" i="7"/>
  <c r="H710" i="7"/>
  <c r="I710" i="7"/>
  <c r="J710" i="7"/>
  <c r="K710" i="7"/>
  <c r="L710" i="7"/>
  <c r="M710" i="7"/>
  <c r="G711" i="7"/>
  <c r="H711" i="7"/>
  <c r="I711" i="7"/>
  <c r="J711" i="7"/>
  <c r="K711" i="7"/>
  <c r="L711" i="7"/>
  <c r="M711" i="7"/>
  <c r="G712" i="7"/>
  <c r="H712" i="7"/>
  <c r="I712" i="7"/>
  <c r="J712" i="7"/>
  <c r="K712" i="7"/>
  <c r="L712" i="7"/>
  <c r="M712" i="7"/>
  <c r="G713" i="7"/>
  <c r="H713" i="7"/>
  <c r="I713" i="7"/>
  <c r="J713" i="7"/>
  <c r="K713" i="7"/>
  <c r="L713" i="7"/>
  <c r="M713" i="7"/>
  <c r="G714" i="7"/>
  <c r="H714" i="7"/>
  <c r="I714" i="7"/>
  <c r="J714" i="7"/>
  <c r="K714" i="7"/>
  <c r="L714" i="7"/>
  <c r="M714" i="7"/>
  <c r="G715" i="7"/>
  <c r="H715" i="7"/>
  <c r="I715" i="7"/>
  <c r="J715" i="7"/>
  <c r="K715" i="7"/>
  <c r="L715" i="7"/>
  <c r="M715" i="7"/>
  <c r="G716" i="7"/>
  <c r="H716" i="7"/>
  <c r="I716" i="7"/>
  <c r="J716" i="7"/>
  <c r="K716" i="7"/>
  <c r="L716" i="7"/>
  <c r="M716" i="7"/>
  <c r="G717" i="7"/>
  <c r="H717" i="7"/>
  <c r="I717" i="7"/>
  <c r="J717" i="7"/>
  <c r="K717" i="7"/>
  <c r="L717" i="7"/>
  <c r="M717" i="7"/>
  <c r="G718" i="7"/>
  <c r="H718" i="7"/>
  <c r="I718" i="7"/>
  <c r="J718" i="7"/>
  <c r="K718" i="7"/>
  <c r="L718" i="7"/>
  <c r="M718" i="7"/>
  <c r="G719" i="7"/>
  <c r="H719" i="7"/>
  <c r="I719" i="7"/>
  <c r="J719" i="7"/>
  <c r="K719" i="7"/>
  <c r="L719" i="7"/>
  <c r="M719" i="7"/>
  <c r="G720" i="7"/>
  <c r="H720" i="7"/>
  <c r="I720" i="7"/>
  <c r="J720" i="7"/>
  <c r="K720" i="7"/>
  <c r="L720" i="7"/>
  <c r="M720" i="7"/>
  <c r="G721" i="7"/>
  <c r="H721" i="7"/>
  <c r="I721" i="7"/>
  <c r="J721" i="7"/>
  <c r="K721" i="7"/>
  <c r="L721" i="7"/>
  <c r="M721" i="7"/>
  <c r="G722" i="7"/>
  <c r="H722" i="7"/>
  <c r="I722" i="7"/>
  <c r="J722" i="7"/>
  <c r="K722" i="7"/>
  <c r="L722" i="7"/>
  <c r="M722" i="7"/>
  <c r="G723" i="7"/>
  <c r="H723" i="7"/>
  <c r="I723" i="7"/>
  <c r="J723" i="7"/>
  <c r="K723" i="7"/>
  <c r="L723" i="7"/>
  <c r="M723" i="7"/>
  <c r="G724" i="7"/>
  <c r="H724" i="7"/>
  <c r="I724" i="7"/>
  <c r="J724" i="7"/>
  <c r="K724" i="7"/>
  <c r="L724" i="7"/>
  <c r="M724" i="7"/>
  <c r="G725" i="7"/>
  <c r="H725" i="7"/>
  <c r="I725" i="7"/>
  <c r="J725" i="7"/>
  <c r="K725" i="7"/>
  <c r="L725" i="7"/>
  <c r="M725" i="7"/>
  <c r="G726" i="7"/>
  <c r="H726" i="7"/>
  <c r="I726" i="7"/>
  <c r="J726" i="7"/>
  <c r="K726" i="7"/>
  <c r="L726" i="7"/>
  <c r="M726" i="7"/>
  <c r="G727" i="7"/>
  <c r="H727" i="7"/>
  <c r="I727" i="7"/>
  <c r="J727" i="7"/>
  <c r="K727" i="7"/>
  <c r="L727" i="7"/>
  <c r="M727" i="7"/>
  <c r="G728" i="7"/>
  <c r="H728" i="7"/>
  <c r="I728" i="7"/>
  <c r="J728" i="7"/>
  <c r="K728" i="7"/>
  <c r="L728" i="7"/>
  <c r="M728" i="7"/>
  <c r="G729" i="7"/>
  <c r="H729" i="7"/>
  <c r="I729" i="7"/>
  <c r="J729" i="7"/>
  <c r="K729" i="7"/>
  <c r="L729" i="7"/>
  <c r="M729" i="7"/>
  <c r="G730" i="7"/>
  <c r="H730" i="7"/>
  <c r="I730" i="7"/>
  <c r="J730" i="7"/>
  <c r="K730" i="7"/>
  <c r="L730" i="7"/>
  <c r="M730" i="7"/>
  <c r="G731" i="7"/>
  <c r="H731" i="7"/>
  <c r="I731" i="7"/>
  <c r="J731" i="7"/>
  <c r="K731" i="7"/>
  <c r="L731" i="7"/>
  <c r="M731" i="7"/>
  <c r="G732" i="7"/>
  <c r="H732" i="7"/>
  <c r="I732" i="7"/>
  <c r="J732" i="7"/>
  <c r="K732" i="7"/>
  <c r="L732" i="7"/>
  <c r="M732" i="7"/>
  <c r="G733" i="7"/>
  <c r="H733" i="7"/>
  <c r="I733" i="7"/>
  <c r="J733" i="7"/>
  <c r="K733" i="7"/>
  <c r="L733" i="7"/>
  <c r="M733" i="7"/>
  <c r="G734" i="7"/>
  <c r="H734" i="7"/>
  <c r="I734" i="7"/>
  <c r="J734" i="7"/>
  <c r="K734" i="7"/>
  <c r="L734" i="7"/>
  <c r="M734" i="7"/>
  <c r="G735" i="7"/>
  <c r="H735" i="7"/>
  <c r="I735" i="7"/>
  <c r="J735" i="7"/>
  <c r="K735" i="7"/>
  <c r="L735" i="7"/>
  <c r="M735" i="7"/>
  <c r="G736" i="7"/>
  <c r="H736" i="7"/>
  <c r="I736" i="7"/>
  <c r="J736" i="7"/>
  <c r="K736" i="7"/>
  <c r="L736" i="7"/>
  <c r="M736" i="7"/>
  <c r="G737" i="7"/>
  <c r="H737" i="7"/>
  <c r="I737" i="7"/>
  <c r="J737" i="7"/>
  <c r="K737" i="7"/>
  <c r="L737" i="7"/>
  <c r="M737" i="7"/>
  <c r="G738" i="7"/>
  <c r="H738" i="7"/>
  <c r="I738" i="7"/>
  <c r="J738" i="7"/>
  <c r="K738" i="7"/>
  <c r="L738" i="7"/>
  <c r="M738" i="7"/>
  <c r="G739" i="7"/>
  <c r="H739" i="7"/>
  <c r="I739" i="7"/>
  <c r="J739" i="7"/>
  <c r="K739" i="7"/>
  <c r="L739" i="7"/>
  <c r="M739" i="7"/>
  <c r="G740" i="7"/>
  <c r="H740" i="7"/>
  <c r="I740" i="7"/>
  <c r="J740" i="7"/>
  <c r="K740" i="7"/>
  <c r="L740" i="7"/>
  <c r="M740" i="7"/>
  <c r="G741" i="7"/>
  <c r="H741" i="7"/>
  <c r="I741" i="7"/>
  <c r="J741" i="7"/>
  <c r="K741" i="7"/>
  <c r="L741" i="7"/>
  <c r="M741" i="7"/>
  <c r="G742" i="7"/>
  <c r="H742" i="7"/>
  <c r="I742" i="7"/>
  <c r="J742" i="7"/>
  <c r="K742" i="7"/>
  <c r="L742" i="7"/>
  <c r="M742" i="7"/>
  <c r="G743" i="7"/>
  <c r="H743" i="7"/>
  <c r="I743" i="7"/>
  <c r="J743" i="7"/>
  <c r="K743" i="7"/>
  <c r="L743" i="7"/>
  <c r="M743" i="7"/>
  <c r="G744" i="7"/>
  <c r="H744" i="7"/>
  <c r="I744" i="7"/>
  <c r="J744" i="7"/>
  <c r="K744" i="7"/>
  <c r="L744" i="7"/>
  <c r="M744" i="7"/>
  <c r="G745" i="7"/>
  <c r="H745" i="7"/>
  <c r="I745" i="7"/>
  <c r="J745" i="7"/>
  <c r="K745" i="7"/>
  <c r="L745" i="7"/>
  <c r="M745" i="7"/>
  <c r="G746" i="7"/>
  <c r="H746" i="7"/>
  <c r="I746" i="7"/>
  <c r="J746" i="7"/>
  <c r="K746" i="7"/>
  <c r="L746" i="7"/>
  <c r="M746" i="7"/>
  <c r="G747" i="7"/>
  <c r="H747" i="7"/>
  <c r="I747" i="7"/>
  <c r="J747" i="7"/>
  <c r="K747" i="7"/>
  <c r="L747" i="7"/>
  <c r="M747" i="7"/>
  <c r="G748" i="7"/>
  <c r="H748" i="7"/>
  <c r="I748" i="7"/>
  <c r="J748" i="7"/>
  <c r="K748" i="7"/>
  <c r="L748" i="7"/>
  <c r="M748" i="7"/>
  <c r="G749" i="7"/>
  <c r="H749" i="7"/>
  <c r="I749" i="7"/>
  <c r="J749" i="7"/>
  <c r="K749" i="7"/>
  <c r="L749" i="7"/>
  <c r="M749" i="7"/>
  <c r="G750" i="7"/>
  <c r="H750" i="7"/>
  <c r="I750" i="7"/>
  <c r="J750" i="7"/>
  <c r="K750" i="7"/>
  <c r="L750" i="7"/>
  <c r="M750" i="7"/>
  <c r="G751" i="7"/>
  <c r="H751" i="7"/>
  <c r="I751" i="7"/>
  <c r="J751" i="7"/>
  <c r="K751" i="7"/>
  <c r="L751" i="7"/>
  <c r="M751" i="7"/>
  <c r="G752" i="7"/>
  <c r="H752" i="7"/>
  <c r="I752" i="7"/>
  <c r="J752" i="7"/>
  <c r="K752" i="7"/>
  <c r="L752" i="7"/>
  <c r="M752" i="7"/>
  <c r="G753" i="7"/>
  <c r="H753" i="7"/>
  <c r="I753" i="7"/>
  <c r="J753" i="7"/>
  <c r="K753" i="7"/>
  <c r="L753" i="7"/>
  <c r="M753" i="7"/>
  <c r="G754" i="7"/>
  <c r="H754" i="7"/>
  <c r="I754" i="7"/>
  <c r="J754" i="7"/>
  <c r="K754" i="7"/>
  <c r="L754" i="7"/>
  <c r="M754" i="7"/>
  <c r="G755" i="7"/>
  <c r="H755" i="7"/>
  <c r="I755" i="7"/>
  <c r="J755" i="7"/>
  <c r="K755" i="7"/>
  <c r="L755" i="7"/>
  <c r="M755" i="7"/>
  <c r="G756" i="7"/>
  <c r="H756" i="7"/>
  <c r="I756" i="7"/>
  <c r="J756" i="7"/>
  <c r="K756" i="7"/>
  <c r="L756" i="7"/>
  <c r="M756" i="7"/>
  <c r="G757" i="7"/>
  <c r="H757" i="7"/>
  <c r="I757" i="7"/>
  <c r="J757" i="7"/>
  <c r="K757" i="7"/>
  <c r="L757" i="7"/>
  <c r="M757" i="7"/>
  <c r="G758" i="7"/>
  <c r="H758" i="7"/>
  <c r="I758" i="7"/>
  <c r="J758" i="7"/>
  <c r="K758" i="7"/>
  <c r="L758" i="7"/>
  <c r="M758" i="7"/>
  <c r="G759" i="7"/>
  <c r="H759" i="7"/>
  <c r="I759" i="7"/>
  <c r="J759" i="7"/>
  <c r="K759" i="7"/>
  <c r="L759" i="7"/>
  <c r="M759" i="7"/>
  <c r="G760" i="7"/>
  <c r="H760" i="7"/>
  <c r="I760" i="7"/>
  <c r="J760" i="7"/>
  <c r="K760" i="7"/>
  <c r="L760" i="7"/>
  <c r="M760" i="7"/>
  <c r="G761" i="7"/>
  <c r="H761" i="7"/>
  <c r="I761" i="7"/>
  <c r="J761" i="7"/>
  <c r="K761" i="7"/>
  <c r="L761" i="7"/>
  <c r="M761" i="7"/>
  <c r="G762" i="7"/>
  <c r="H762" i="7"/>
  <c r="I762" i="7"/>
  <c r="J762" i="7"/>
  <c r="K762" i="7"/>
  <c r="L762" i="7"/>
  <c r="M762" i="7"/>
  <c r="G763" i="7"/>
  <c r="H763" i="7"/>
  <c r="I763" i="7"/>
  <c r="J763" i="7"/>
  <c r="K763" i="7"/>
  <c r="L763" i="7"/>
  <c r="M763" i="7"/>
  <c r="G764" i="7"/>
  <c r="H764" i="7"/>
  <c r="I764" i="7"/>
  <c r="J764" i="7"/>
  <c r="K764" i="7"/>
  <c r="L764" i="7"/>
  <c r="M764" i="7"/>
  <c r="G765" i="7"/>
  <c r="H765" i="7"/>
  <c r="I765" i="7"/>
  <c r="J765" i="7"/>
  <c r="K765" i="7"/>
  <c r="L765" i="7"/>
  <c r="M765" i="7"/>
  <c r="G766" i="7"/>
  <c r="H766" i="7"/>
  <c r="I766" i="7"/>
  <c r="J766" i="7"/>
  <c r="K766" i="7"/>
  <c r="L766" i="7"/>
  <c r="M766" i="7"/>
  <c r="G767" i="7"/>
  <c r="H767" i="7"/>
  <c r="I767" i="7"/>
  <c r="J767" i="7"/>
  <c r="K767" i="7"/>
  <c r="L767" i="7"/>
  <c r="M767" i="7"/>
  <c r="G768" i="7"/>
  <c r="H768" i="7"/>
  <c r="I768" i="7"/>
  <c r="J768" i="7"/>
  <c r="K768" i="7"/>
  <c r="L768" i="7"/>
  <c r="M768" i="7"/>
  <c r="G769" i="7"/>
  <c r="H769" i="7"/>
  <c r="I769" i="7"/>
  <c r="J769" i="7"/>
  <c r="K769" i="7"/>
  <c r="L769" i="7"/>
  <c r="M769" i="7"/>
  <c r="G770" i="7"/>
  <c r="H770" i="7"/>
  <c r="I770" i="7"/>
  <c r="J770" i="7"/>
  <c r="K770" i="7"/>
  <c r="L770" i="7"/>
  <c r="M770" i="7"/>
  <c r="G771" i="7"/>
  <c r="H771" i="7"/>
  <c r="I771" i="7"/>
  <c r="J771" i="7"/>
  <c r="K771" i="7"/>
  <c r="L771" i="7"/>
  <c r="M771" i="7"/>
  <c r="G772" i="7"/>
  <c r="H772" i="7"/>
  <c r="I772" i="7"/>
  <c r="J772" i="7"/>
  <c r="K772" i="7"/>
  <c r="L772" i="7"/>
  <c r="M772" i="7"/>
  <c r="G773" i="7"/>
  <c r="H773" i="7"/>
  <c r="I773" i="7"/>
  <c r="J773" i="7"/>
  <c r="K773" i="7"/>
  <c r="L773" i="7"/>
  <c r="M773" i="7"/>
  <c r="G774" i="7"/>
  <c r="H774" i="7"/>
  <c r="I774" i="7"/>
  <c r="J774" i="7"/>
  <c r="K774" i="7"/>
  <c r="L774" i="7"/>
  <c r="M774" i="7"/>
  <c r="G775" i="7"/>
  <c r="H775" i="7"/>
  <c r="I775" i="7"/>
  <c r="J775" i="7"/>
  <c r="K775" i="7"/>
  <c r="L775" i="7"/>
  <c r="M775" i="7"/>
  <c r="G776" i="7"/>
  <c r="H776" i="7"/>
  <c r="I776" i="7"/>
  <c r="J776" i="7"/>
  <c r="K776" i="7"/>
  <c r="L776" i="7"/>
  <c r="M776" i="7"/>
  <c r="G777" i="7"/>
  <c r="H777" i="7"/>
  <c r="I777" i="7"/>
  <c r="J777" i="7"/>
  <c r="K777" i="7"/>
  <c r="L777" i="7"/>
  <c r="M777" i="7"/>
  <c r="G778" i="7"/>
  <c r="H778" i="7"/>
  <c r="I778" i="7"/>
  <c r="J778" i="7"/>
  <c r="K778" i="7"/>
  <c r="L778" i="7"/>
  <c r="M778" i="7"/>
  <c r="G779" i="7"/>
  <c r="H779" i="7"/>
  <c r="I779" i="7"/>
  <c r="J779" i="7"/>
  <c r="K779" i="7"/>
  <c r="L779" i="7"/>
  <c r="M779" i="7"/>
  <c r="G780" i="7"/>
  <c r="H780" i="7"/>
  <c r="I780" i="7"/>
  <c r="J780" i="7"/>
  <c r="K780" i="7"/>
  <c r="L780" i="7"/>
  <c r="M780" i="7"/>
  <c r="G781" i="7"/>
  <c r="H781" i="7"/>
  <c r="I781" i="7"/>
  <c r="J781" i="7"/>
  <c r="K781" i="7"/>
  <c r="L781" i="7"/>
  <c r="M781" i="7"/>
  <c r="G782" i="7"/>
  <c r="H782" i="7"/>
  <c r="I782" i="7"/>
  <c r="J782" i="7"/>
  <c r="K782" i="7"/>
  <c r="L782" i="7"/>
  <c r="M782" i="7"/>
  <c r="G783" i="7"/>
  <c r="H783" i="7"/>
  <c r="I783" i="7"/>
  <c r="J783" i="7"/>
  <c r="K783" i="7"/>
  <c r="L783" i="7"/>
  <c r="M783" i="7"/>
  <c r="G784" i="7"/>
  <c r="H784" i="7"/>
  <c r="I784" i="7"/>
  <c r="J784" i="7"/>
  <c r="K784" i="7"/>
  <c r="L784" i="7"/>
  <c r="M784" i="7"/>
  <c r="G785" i="7"/>
  <c r="H785" i="7"/>
  <c r="I785" i="7"/>
  <c r="J785" i="7"/>
  <c r="K785" i="7"/>
  <c r="L785" i="7"/>
  <c r="M785" i="7"/>
  <c r="G786" i="7"/>
  <c r="H786" i="7"/>
  <c r="I786" i="7"/>
  <c r="J786" i="7"/>
  <c r="K786" i="7"/>
  <c r="L786" i="7"/>
  <c r="M786" i="7"/>
  <c r="G787" i="7"/>
  <c r="H787" i="7"/>
  <c r="I787" i="7"/>
  <c r="J787" i="7"/>
  <c r="K787" i="7"/>
  <c r="L787" i="7"/>
  <c r="M787" i="7"/>
  <c r="G788" i="7"/>
  <c r="H788" i="7"/>
  <c r="I788" i="7"/>
  <c r="J788" i="7"/>
  <c r="K788" i="7"/>
  <c r="L788" i="7"/>
  <c r="M788" i="7"/>
  <c r="G789" i="7"/>
  <c r="H789" i="7"/>
  <c r="I789" i="7"/>
  <c r="J789" i="7"/>
  <c r="K789" i="7"/>
  <c r="L789" i="7"/>
  <c r="M789" i="7"/>
  <c r="G790" i="7"/>
  <c r="H790" i="7"/>
  <c r="I790" i="7"/>
  <c r="J790" i="7"/>
  <c r="K790" i="7"/>
  <c r="L790" i="7"/>
  <c r="M790" i="7"/>
  <c r="G791" i="7"/>
  <c r="H791" i="7"/>
  <c r="I791" i="7"/>
  <c r="J791" i="7"/>
  <c r="K791" i="7"/>
  <c r="L791" i="7"/>
  <c r="M791" i="7"/>
  <c r="G792" i="7"/>
  <c r="H792" i="7"/>
  <c r="I792" i="7"/>
  <c r="J792" i="7"/>
  <c r="K792" i="7"/>
  <c r="L792" i="7"/>
  <c r="M792" i="7"/>
  <c r="G793" i="7"/>
  <c r="H793" i="7"/>
  <c r="I793" i="7"/>
  <c r="J793" i="7"/>
  <c r="K793" i="7"/>
  <c r="L793" i="7"/>
  <c r="M793" i="7"/>
  <c r="G794" i="7"/>
  <c r="H794" i="7"/>
  <c r="I794" i="7"/>
  <c r="J794" i="7"/>
  <c r="K794" i="7"/>
  <c r="L794" i="7"/>
  <c r="M794" i="7"/>
  <c r="G795" i="7"/>
  <c r="H795" i="7"/>
  <c r="I795" i="7"/>
  <c r="J795" i="7"/>
  <c r="K795" i="7"/>
  <c r="L795" i="7"/>
  <c r="M795" i="7"/>
  <c r="G796" i="7"/>
  <c r="H796" i="7"/>
  <c r="I796" i="7"/>
  <c r="J796" i="7"/>
  <c r="K796" i="7"/>
  <c r="L796" i="7"/>
  <c r="M796" i="7"/>
  <c r="G797" i="7"/>
  <c r="H797" i="7"/>
  <c r="I797" i="7"/>
  <c r="J797" i="7"/>
  <c r="K797" i="7"/>
  <c r="L797" i="7"/>
  <c r="M797" i="7"/>
  <c r="G798" i="7"/>
  <c r="H798" i="7"/>
  <c r="I798" i="7"/>
  <c r="J798" i="7"/>
  <c r="K798" i="7"/>
  <c r="L798" i="7"/>
  <c r="M798" i="7"/>
  <c r="G799" i="7"/>
  <c r="H799" i="7"/>
  <c r="I799" i="7"/>
  <c r="J799" i="7"/>
  <c r="K799" i="7"/>
  <c r="L799" i="7"/>
  <c r="M799" i="7"/>
  <c r="G800" i="7"/>
  <c r="H800" i="7"/>
  <c r="I800" i="7"/>
  <c r="J800" i="7"/>
  <c r="K800" i="7"/>
  <c r="L800" i="7"/>
  <c r="M800" i="7"/>
  <c r="G801" i="7"/>
  <c r="H801" i="7"/>
  <c r="I801" i="7"/>
  <c r="J801" i="7"/>
  <c r="K801" i="7"/>
  <c r="L801" i="7"/>
  <c r="M801" i="7"/>
  <c r="G802" i="7"/>
  <c r="H802" i="7"/>
  <c r="I802" i="7"/>
  <c r="J802" i="7"/>
  <c r="K802" i="7"/>
  <c r="L802" i="7"/>
  <c r="M802" i="7"/>
  <c r="G803" i="7"/>
  <c r="H803" i="7"/>
  <c r="I803" i="7"/>
  <c r="J803" i="7"/>
  <c r="K803" i="7"/>
  <c r="L803" i="7"/>
  <c r="M803" i="7"/>
  <c r="G804" i="7"/>
  <c r="H804" i="7"/>
  <c r="I804" i="7"/>
  <c r="J804" i="7"/>
  <c r="K804" i="7"/>
  <c r="L804" i="7"/>
  <c r="M804" i="7"/>
  <c r="G805" i="7"/>
  <c r="H805" i="7"/>
  <c r="I805" i="7"/>
  <c r="J805" i="7"/>
  <c r="K805" i="7"/>
  <c r="L805" i="7"/>
  <c r="M805" i="7"/>
  <c r="G806" i="7"/>
  <c r="H806" i="7"/>
  <c r="I806" i="7"/>
  <c r="J806" i="7"/>
  <c r="K806" i="7"/>
  <c r="L806" i="7"/>
  <c r="M806" i="7"/>
  <c r="G807" i="7"/>
  <c r="H807" i="7"/>
  <c r="I807" i="7"/>
  <c r="J807" i="7"/>
  <c r="K807" i="7"/>
  <c r="L807" i="7"/>
  <c r="M807" i="7"/>
  <c r="G808" i="7"/>
  <c r="H808" i="7"/>
  <c r="I808" i="7"/>
  <c r="J808" i="7"/>
  <c r="K808" i="7"/>
  <c r="L808" i="7"/>
  <c r="M808" i="7"/>
  <c r="G809" i="7"/>
  <c r="H809" i="7"/>
  <c r="I809" i="7"/>
  <c r="J809" i="7"/>
  <c r="K809" i="7"/>
  <c r="L809" i="7"/>
  <c r="M809" i="7"/>
  <c r="G810" i="7"/>
  <c r="H810" i="7"/>
  <c r="I810" i="7"/>
  <c r="J810" i="7"/>
  <c r="K810" i="7"/>
  <c r="L810" i="7"/>
  <c r="M810" i="7"/>
  <c r="G811" i="7"/>
  <c r="H811" i="7"/>
  <c r="I811" i="7"/>
  <c r="J811" i="7"/>
  <c r="K811" i="7"/>
  <c r="L811" i="7"/>
  <c r="M811" i="7"/>
  <c r="G812" i="7"/>
  <c r="H812" i="7"/>
  <c r="I812" i="7"/>
  <c r="J812" i="7"/>
  <c r="K812" i="7"/>
  <c r="L812" i="7"/>
  <c r="M812" i="7"/>
  <c r="G813" i="7"/>
  <c r="H813" i="7"/>
  <c r="I813" i="7"/>
  <c r="J813" i="7"/>
  <c r="K813" i="7"/>
  <c r="L813" i="7"/>
  <c r="M813" i="7"/>
  <c r="G814" i="7"/>
  <c r="H814" i="7"/>
  <c r="I814" i="7"/>
  <c r="J814" i="7"/>
  <c r="K814" i="7"/>
  <c r="L814" i="7"/>
  <c r="M814" i="7"/>
  <c r="G815" i="7"/>
  <c r="H815" i="7"/>
  <c r="I815" i="7"/>
  <c r="J815" i="7"/>
  <c r="K815" i="7"/>
  <c r="L815" i="7"/>
  <c r="M815" i="7"/>
  <c r="G816" i="7"/>
  <c r="H816" i="7"/>
  <c r="I816" i="7"/>
  <c r="J816" i="7"/>
  <c r="K816" i="7"/>
  <c r="L816" i="7"/>
  <c r="M816" i="7"/>
  <c r="G817" i="7"/>
  <c r="H817" i="7"/>
  <c r="I817" i="7"/>
  <c r="J817" i="7"/>
  <c r="K817" i="7"/>
  <c r="L817" i="7"/>
  <c r="M817" i="7"/>
  <c r="G818" i="7"/>
  <c r="H818" i="7"/>
  <c r="I818" i="7"/>
  <c r="J818" i="7"/>
  <c r="K818" i="7"/>
  <c r="L818" i="7"/>
  <c r="M818" i="7"/>
  <c r="G819" i="7"/>
  <c r="H819" i="7"/>
  <c r="I819" i="7"/>
  <c r="J819" i="7"/>
  <c r="K819" i="7"/>
  <c r="L819" i="7"/>
  <c r="M819" i="7"/>
  <c r="G820" i="7"/>
  <c r="H820" i="7"/>
  <c r="I820" i="7"/>
  <c r="J820" i="7"/>
  <c r="K820" i="7"/>
  <c r="L820" i="7"/>
  <c r="M820" i="7"/>
  <c r="G821" i="7"/>
  <c r="H821" i="7"/>
  <c r="I821" i="7"/>
  <c r="J821" i="7"/>
  <c r="K821" i="7"/>
  <c r="L821" i="7"/>
  <c r="M821" i="7"/>
  <c r="G822" i="7"/>
  <c r="H822" i="7"/>
  <c r="I822" i="7"/>
  <c r="J822" i="7"/>
  <c r="K822" i="7"/>
  <c r="L822" i="7"/>
  <c r="M822" i="7"/>
  <c r="G823" i="7"/>
  <c r="H823" i="7"/>
  <c r="I823" i="7"/>
  <c r="J823" i="7"/>
  <c r="K823" i="7"/>
  <c r="L823" i="7"/>
  <c r="M823" i="7"/>
  <c r="G824" i="7"/>
  <c r="H824" i="7"/>
  <c r="I824" i="7"/>
  <c r="J824" i="7"/>
  <c r="K824" i="7"/>
  <c r="L824" i="7"/>
  <c r="M824" i="7"/>
  <c r="G825" i="7"/>
  <c r="H825" i="7"/>
  <c r="I825" i="7"/>
  <c r="J825" i="7"/>
  <c r="K825" i="7"/>
  <c r="L825" i="7"/>
  <c r="M825" i="7"/>
  <c r="G826" i="7"/>
  <c r="H826" i="7"/>
  <c r="I826" i="7"/>
  <c r="J826" i="7"/>
  <c r="K826" i="7"/>
  <c r="L826" i="7"/>
  <c r="M826" i="7"/>
  <c r="G827" i="7"/>
  <c r="H827" i="7"/>
  <c r="I827" i="7"/>
  <c r="J827" i="7"/>
  <c r="K827" i="7"/>
  <c r="L827" i="7"/>
  <c r="M827" i="7"/>
  <c r="G828" i="7"/>
  <c r="H828" i="7"/>
  <c r="I828" i="7"/>
  <c r="J828" i="7"/>
  <c r="K828" i="7"/>
  <c r="L828" i="7"/>
  <c r="M828" i="7"/>
  <c r="G829" i="7"/>
  <c r="H829" i="7"/>
  <c r="I829" i="7"/>
  <c r="J829" i="7"/>
  <c r="K829" i="7"/>
  <c r="L829" i="7"/>
  <c r="M829" i="7"/>
  <c r="G830" i="7"/>
  <c r="H830" i="7"/>
  <c r="I830" i="7"/>
  <c r="J830" i="7"/>
  <c r="K830" i="7"/>
  <c r="L830" i="7"/>
  <c r="M830" i="7"/>
  <c r="G831" i="7"/>
  <c r="H831" i="7"/>
  <c r="I831" i="7"/>
  <c r="J831" i="7"/>
  <c r="K831" i="7"/>
  <c r="L831" i="7"/>
  <c r="M831" i="7"/>
  <c r="G832" i="7"/>
  <c r="H832" i="7"/>
  <c r="I832" i="7"/>
  <c r="J832" i="7"/>
  <c r="K832" i="7"/>
  <c r="L832" i="7"/>
  <c r="M832" i="7"/>
  <c r="G833" i="7"/>
  <c r="H833" i="7"/>
  <c r="I833" i="7"/>
  <c r="J833" i="7"/>
  <c r="K833" i="7"/>
  <c r="L833" i="7"/>
  <c r="M833" i="7"/>
  <c r="G834" i="7"/>
  <c r="H834" i="7"/>
  <c r="I834" i="7"/>
  <c r="J834" i="7"/>
  <c r="K834" i="7"/>
  <c r="L834" i="7"/>
  <c r="M834" i="7"/>
  <c r="G835" i="7"/>
  <c r="H835" i="7"/>
  <c r="I835" i="7"/>
  <c r="J835" i="7"/>
  <c r="K835" i="7"/>
  <c r="L835" i="7"/>
  <c r="M835" i="7"/>
  <c r="G836" i="7"/>
  <c r="H836" i="7"/>
  <c r="I836" i="7"/>
  <c r="J836" i="7"/>
  <c r="K836" i="7"/>
  <c r="L836" i="7"/>
  <c r="M836" i="7"/>
  <c r="G837" i="7"/>
  <c r="H837" i="7"/>
  <c r="I837" i="7"/>
  <c r="J837" i="7"/>
  <c r="K837" i="7"/>
  <c r="L837" i="7"/>
  <c r="M837" i="7"/>
  <c r="G838" i="7"/>
  <c r="H838" i="7"/>
  <c r="I838" i="7"/>
  <c r="J838" i="7"/>
  <c r="K838" i="7"/>
  <c r="L838" i="7"/>
  <c r="M838" i="7"/>
  <c r="G839" i="7"/>
  <c r="H839" i="7"/>
  <c r="I839" i="7"/>
  <c r="J839" i="7"/>
  <c r="K839" i="7"/>
  <c r="L839" i="7"/>
  <c r="M839" i="7"/>
  <c r="G840" i="7"/>
  <c r="H840" i="7"/>
  <c r="I840" i="7"/>
  <c r="J840" i="7"/>
  <c r="K840" i="7"/>
  <c r="L840" i="7"/>
  <c r="M840" i="7"/>
  <c r="G841" i="7"/>
  <c r="H841" i="7"/>
  <c r="I841" i="7"/>
  <c r="J841" i="7"/>
  <c r="K841" i="7"/>
  <c r="L841" i="7"/>
  <c r="M841" i="7"/>
  <c r="G842" i="7"/>
  <c r="H842" i="7"/>
  <c r="I842" i="7"/>
  <c r="J842" i="7"/>
  <c r="K842" i="7"/>
  <c r="L842" i="7"/>
  <c r="M842" i="7"/>
  <c r="G843" i="7"/>
  <c r="H843" i="7"/>
  <c r="I843" i="7"/>
  <c r="J843" i="7"/>
  <c r="K843" i="7"/>
  <c r="L843" i="7"/>
  <c r="M843" i="7"/>
  <c r="G844" i="7"/>
  <c r="H844" i="7"/>
  <c r="I844" i="7"/>
  <c r="J844" i="7"/>
  <c r="K844" i="7"/>
  <c r="L844" i="7"/>
  <c r="M844" i="7"/>
  <c r="G845" i="7"/>
  <c r="H845" i="7"/>
  <c r="I845" i="7"/>
  <c r="J845" i="7"/>
  <c r="K845" i="7"/>
  <c r="L845" i="7"/>
  <c r="M845" i="7"/>
  <c r="G846" i="7"/>
  <c r="H846" i="7"/>
  <c r="I846" i="7"/>
  <c r="J846" i="7"/>
  <c r="K846" i="7"/>
  <c r="L846" i="7"/>
  <c r="M846" i="7"/>
  <c r="G847" i="7"/>
  <c r="H847" i="7"/>
  <c r="I847" i="7"/>
  <c r="J847" i="7"/>
  <c r="K847" i="7"/>
  <c r="L847" i="7"/>
  <c r="M847" i="7"/>
  <c r="G848" i="7"/>
  <c r="H848" i="7"/>
  <c r="I848" i="7"/>
  <c r="J848" i="7"/>
  <c r="K848" i="7"/>
  <c r="L848" i="7"/>
  <c r="M848" i="7"/>
  <c r="G849" i="7"/>
  <c r="H849" i="7"/>
  <c r="I849" i="7"/>
  <c r="J849" i="7"/>
  <c r="K849" i="7"/>
  <c r="L849" i="7"/>
  <c r="M849" i="7"/>
  <c r="G850" i="7"/>
  <c r="H850" i="7"/>
  <c r="I850" i="7"/>
  <c r="J850" i="7"/>
  <c r="K850" i="7"/>
  <c r="L850" i="7"/>
  <c r="M850" i="7"/>
  <c r="G851" i="7"/>
  <c r="H851" i="7"/>
  <c r="I851" i="7"/>
  <c r="J851" i="7"/>
  <c r="K851" i="7"/>
  <c r="L851" i="7"/>
  <c r="M851" i="7"/>
  <c r="G852" i="7"/>
  <c r="H852" i="7"/>
  <c r="I852" i="7"/>
  <c r="J852" i="7"/>
  <c r="K852" i="7"/>
  <c r="L852" i="7"/>
  <c r="M852" i="7"/>
  <c r="G853" i="7"/>
  <c r="H853" i="7"/>
  <c r="I853" i="7"/>
  <c r="J853" i="7"/>
  <c r="K853" i="7"/>
  <c r="L853" i="7"/>
  <c r="M853" i="7"/>
  <c r="G854" i="7"/>
  <c r="H854" i="7"/>
  <c r="I854" i="7"/>
  <c r="J854" i="7"/>
  <c r="K854" i="7"/>
  <c r="L854" i="7"/>
  <c r="M854" i="7"/>
  <c r="G855" i="7"/>
  <c r="H855" i="7"/>
  <c r="I855" i="7"/>
  <c r="J855" i="7"/>
  <c r="K855" i="7"/>
  <c r="L855" i="7"/>
  <c r="M855" i="7"/>
  <c r="G856" i="7"/>
  <c r="H856" i="7"/>
  <c r="I856" i="7"/>
  <c r="J856" i="7"/>
  <c r="K856" i="7"/>
  <c r="L856" i="7"/>
  <c r="M856" i="7"/>
  <c r="G857" i="7"/>
  <c r="H857" i="7"/>
  <c r="I857" i="7"/>
  <c r="J857" i="7"/>
  <c r="K857" i="7"/>
  <c r="L857" i="7"/>
  <c r="M857" i="7"/>
  <c r="G858" i="7"/>
  <c r="H858" i="7"/>
  <c r="I858" i="7"/>
  <c r="J858" i="7"/>
  <c r="K858" i="7"/>
  <c r="L858" i="7"/>
  <c r="M858" i="7"/>
  <c r="G859" i="7"/>
  <c r="H859" i="7"/>
  <c r="I859" i="7"/>
  <c r="J859" i="7"/>
  <c r="K859" i="7"/>
  <c r="L859" i="7"/>
  <c r="M859" i="7"/>
  <c r="G860" i="7"/>
  <c r="H860" i="7"/>
  <c r="I860" i="7"/>
  <c r="J860" i="7"/>
  <c r="K860" i="7"/>
  <c r="L860" i="7"/>
  <c r="M860" i="7"/>
  <c r="G861" i="7"/>
  <c r="H861" i="7"/>
  <c r="I861" i="7"/>
  <c r="J861" i="7"/>
  <c r="K861" i="7"/>
  <c r="L861" i="7"/>
  <c r="M861" i="7"/>
  <c r="G862" i="7"/>
  <c r="H862" i="7"/>
  <c r="I862" i="7"/>
  <c r="J862" i="7"/>
  <c r="K862" i="7"/>
  <c r="L862" i="7"/>
  <c r="M862" i="7"/>
  <c r="G863" i="7"/>
  <c r="H863" i="7"/>
  <c r="I863" i="7"/>
  <c r="J863" i="7"/>
  <c r="K863" i="7"/>
  <c r="L863" i="7"/>
  <c r="M863" i="7"/>
  <c r="G864" i="7"/>
  <c r="H864" i="7"/>
  <c r="I864" i="7"/>
  <c r="J864" i="7"/>
  <c r="K864" i="7"/>
  <c r="L864" i="7"/>
  <c r="M864" i="7"/>
  <c r="G865" i="7"/>
  <c r="H865" i="7"/>
  <c r="I865" i="7"/>
  <c r="J865" i="7"/>
  <c r="K865" i="7"/>
  <c r="L865" i="7"/>
  <c r="M865" i="7"/>
  <c r="G866" i="7"/>
  <c r="H866" i="7"/>
  <c r="I866" i="7"/>
  <c r="J866" i="7"/>
  <c r="K866" i="7"/>
  <c r="L866" i="7"/>
  <c r="M866" i="7"/>
  <c r="G867" i="7"/>
  <c r="H867" i="7"/>
  <c r="I867" i="7"/>
  <c r="J867" i="7"/>
  <c r="K867" i="7"/>
  <c r="L867" i="7"/>
  <c r="M867" i="7"/>
  <c r="G868" i="7"/>
  <c r="H868" i="7"/>
  <c r="I868" i="7"/>
  <c r="J868" i="7"/>
  <c r="K868" i="7"/>
  <c r="L868" i="7"/>
  <c r="M868" i="7"/>
  <c r="G869" i="7"/>
  <c r="H869" i="7"/>
  <c r="I869" i="7"/>
  <c r="J869" i="7"/>
  <c r="K869" i="7"/>
  <c r="L869" i="7"/>
  <c r="M869" i="7"/>
  <c r="G870" i="7"/>
  <c r="H870" i="7"/>
  <c r="I870" i="7"/>
  <c r="J870" i="7"/>
  <c r="K870" i="7"/>
  <c r="L870" i="7"/>
  <c r="M870" i="7"/>
  <c r="G871" i="7"/>
  <c r="H871" i="7"/>
  <c r="I871" i="7"/>
  <c r="J871" i="7"/>
  <c r="K871" i="7"/>
  <c r="L871" i="7"/>
  <c r="M871" i="7"/>
  <c r="G872" i="7"/>
  <c r="H872" i="7"/>
  <c r="I872" i="7"/>
  <c r="J872" i="7"/>
  <c r="K872" i="7"/>
  <c r="L872" i="7"/>
  <c r="M872" i="7"/>
  <c r="G873" i="7"/>
  <c r="H873" i="7"/>
  <c r="I873" i="7"/>
  <c r="J873" i="7"/>
  <c r="K873" i="7"/>
  <c r="L873" i="7"/>
  <c r="M873" i="7"/>
  <c r="G874" i="7"/>
  <c r="H874" i="7"/>
  <c r="I874" i="7"/>
  <c r="J874" i="7"/>
  <c r="K874" i="7"/>
  <c r="L874" i="7"/>
  <c r="M874" i="7"/>
  <c r="G875" i="7"/>
  <c r="H875" i="7"/>
  <c r="I875" i="7"/>
  <c r="J875" i="7"/>
  <c r="K875" i="7"/>
  <c r="L875" i="7"/>
  <c r="M875" i="7"/>
  <c r="G876" i="7"/>
  <c r="H876" i="7"/>
  <c r="I876" i="7"/>
  <c r="J876" i="7"/>
  <c r="K876" i="7"/>
  <c r="L876" i="7"/>
  <c r="M876" i="7"/>
  <c r="G877" i="7"/>
  <c r="H877" i="7"/>
  <c r="I877" i="7"/>
  <c r="J877" i="7"/>
  <c r="K877" i="7"/>
  <c r="L877" i="7"/>
  <c r="M877" i="7"/>
  <c r="G878" i="7"/>
  <c r="H878" i="7"/>
  <c r="I878" i="7"/>
  <c r="J878" i="7"/>
  <c r="K878" i="7"/>
  <c r="L878" i="7"/>
  <c r="M878" i="7"/>
  <c r="G879" i="7"/>
  <c r="H879" i="7"/>
  <c r="I879" i="7"/>
  <c r="J879" i="7"/>
  <c r="K879" i="7"/>
  <c r="L879" i="7"/>
  <c r="M879" i="7"/>
  <c r="G880" i="7"/>
  <c r="H880" i="7"/>
  <c r="I880" i="7"/>
  <c r="J880" i="7"/>
  <c r="K880" i="7"/>
  <c r="L880" i="7"/>
  <c r="M880" i="7"/>
  <c r="G881" i="7"/>
  <c r="H881" i="7"/>
  <c r="I881" i="7"/>
  <c r="J881" i="7"/>
  <c r="K881" i="7"/>
  <c r="L881" i="7"/>
  <c r="M881" i="7"/>
  <c r="G882" i="7"/>
  <c r="H882" i="7"/>
  <c r="I882" i="7"/>
  <c r="J882" i="7"/>
  <c r="K882" i="7"/>
  <c r="L882" i="7"/>
  <c r="M882" i="7"/>
  <c r="G883" i="7"/>
  <c r="H883" i="7"/>
  <c r="I883" i="7"/>
  <c r="J883" i="7"/>
  <c r="K883" i="7"/>
  <c r="L883" i="7"/>
  <c r="M883" i="7"/>
  <c r="G884" i="7"/>
  <c r="H884" i="7"/>
  <c r="I884" i="7"/>
  <c r="J884" i="7"/>
  <c r="K884" i="7"/>
  <c r="L884" i="7"/>
  <c r="M884" i="7"/>
  <c r="G885" i="7"/>
  <c r="H885" i="7"/>
  <c r="I885" i="7"/>
  <c r="J885" i="7"/>
  <c r="K885" i="7"/>
  <c r="L885" i="7"/>
  <c r="M885" i="7"/>
  <c r="G886" i="7"/>
  <c r="H886" i="7"/>
  <c r="I886" i="7"/>
  <c r="J886" i="7"/>
  <c r="K886" i="7"/>
  <c r="L886" i="7"/>
  <c r="M886" i="7"/>
  <c r="G887" i="7"/>
  <c r="H887" i="7"/>
  <c r="I887" i="7"/>
  <c r="J887" i="7"/>
  <c r="K887" i="7"/>
  <c r="L887" i="7"/>
  <c r="M887" i="7"/>
  <c r="G888" i="7"/>
  <c r="H888" i="7"/>
  <c r="I888" i="7"/>
  <c r="J888" i="7"/>
  <c r="K888" i="7"/>
  <c r="L888" i="7"/>
  <c r="M888" i="7"/>
  <c r="G889" i="7"/>
  <c r="H889" i="7"/>
  <c r="I889" i="7"/>
  <c r="J889" i="7"/>
  <c r="K889" i="7"/>
  <c r="L889" i="7"/>
  <c r="M889" i="7"/>
  <c r="G890" i="7"/>
  <c r="H890" i="7"/>
  <c r="I890" i="7"/>
  <c r="J890" i="7"/>
  <c r="K890" i="7"/>
  <c r="L890" i="7"/>
  <c r="M890" i="7"/>
  <c r="G891" i="7"/>
  <c r="H891" i="7"/>
  <c r="I891" i="7"/>
  <c r="J891" i="7"/>
  <c r="K891" i="7"/>
  <c r="L891" i="7"/>
  <c r="M891" i="7"/>
  <c r="G892" i="7"/>
  <c r="H892" i="7"/>
  <c r="I892" i="7"/>
  <c r="J892" i="7"/>
  <c r="K892" i="7"/>
  <c r="L892" i="7"/>
  <c r="M892" i="7"/>
  <c r="G893" i="7"/>
  <c r="H893" i="7"/>
  <c r="I893" i="7"/>
  <c r="J893" i="7"/>
  <c r="K893" i="7"/>
  <c r="L893" i="7"/>
  <c r="M893" i="7"/>
  <c r="G894" i="7"/>
  <c r="H894" i="7"/>
  <c r="I894" i="7"/>
  <c r="J894" i="7"/>
  <c r="K894" i="7"/>
  <c r="L894" i="7"/>
  <c r="M894" i="7"/>
  <c r="G895" i="7"/>
  <c r="H895" i="7"/>
  <c r="I895" i="7"/>
  <c r="J895" i="7"/>
  <c r="K895" i="7"/>
  <c r="L895" i="7"/>
  <c r="M895" i="7"/>
  <c r="G896" i="7"/>
  <c r="H896" i="7"/>
  <c r="I896" i="7"/>
  <c r="J896" i="7"/>
  <c r="K896" i="7"/>
  <c r="L896" i="7"/>
  <c r="M896" i="7"/>
  <c r="G897" i="7"/>
  <c r="H897" i="7"/>
  <c r="I897" i="7"/>
  <c r="J897" i="7"/>
  <c r="K897" i="7"/>
  <c r="L897" i="7"/>
  <c r="M897" i="7"/>
  <c r="G898" i="7"/>
  <c r="H898" i="7"/>
  <c r="I898" i="7"/>
  <c r="J898" i="7"/>
  <c r="K898" i="7"/>
  <c r="L898" i="7"/>
  <c r="M898" i="7"/>
  <c r="G899" i="7"/>
  <c r="H899" i="7"/>
  <c r="I899" i="7"/>
  <c r="J899" i="7"/>
  <c r="K899" i="7"/>
  <c r="L899" i="7"/>
  <c r="M899" i="7"/>
  <c r="G900" i="7"/>
  <c r="H900" i="7"/>
  <c r="I900" i="7"/>
  <c r="J900" i="7"/>
  <c r="K900" i="7"/>
  <c r="L900" i="7"/>
  <c r="M900" i="7"/>
  <c r="G901" i="7"/>
  <c r="H901" i="7"/>
  <c r="I901" i="7"/>
  <c r="J901" i="7"/>
  <c r="K901" i="7"/>
  <c r="L901" i="7"/>
  <c r="M901" i="7"/>
  <c r="G902" i="7"/>
  <c r="H902" i="7"/>
  <c r="I902" i="7"/>
  <c r="J902" i="7"/>
  <c r="K902" i="7"/>
  <c r="L902" i="7"/>
  <c r="M902" i="7"/>
  <c r="G903" i="7"/>
  <c r="H903" i="7"/>
  <c r="I903" i="7"/>
  <c r="J903" i="7"/>
  <c r="K903" i="7"/>
  <c r="L903" i="7"/>
  <c r="M903" i="7"/>
  <c r="G904" i="7"/>
  <c r="H904" i="7"/>
  <c r="I904" i="7"/>
  <c r="J904" i="7"/>
  <c r="K904" i="7"/>
  <c r="L904" i="7"/>
  <c r="M904" i="7"/>
  <c r="G905" i="7"/>
  <c r="H905" i="7"/>
  <c r="I905" i="7"/>
  <c r="J905" i="7"/>
  <c r="K905" i="7"/>
  <c r="L905" i="7"/>
  <c r="M905" i="7"/>
  <c r="G906" i="7"/>
  <c r="H906" i="7"/>
  <c r="I906" i="7"/>
  <c r="J906" i="7"/>
  <c r="K906" i="7"/>
  <c r="L906" i="7"/>
  <c r="M906" i="7"/>
  <c r="G907" i="7"/>
  <c r="H907" i="7"/>
  <c r="I907" i="7"/>
  <c r="J907" i="7"/>
  <c r="K907" i="7"/>
  <c r="L907" i="7"/>
  <c r="M907" i="7"/>
  <c r="G908" i="7"/>
  <c r="H908" i="7"/>
  <c r="I908" i="7"/>
  <c r="J908" i="7"/>
  <c r="K908" i="7"/>
  <c r="L908" i="7"/>
  <c r="M908" i="7"/>
  <c r="G909" i="7"/>
  <c r="H909" i="7"/>
  <c r="I909" i="7"/>
  <c r="J909" i="7"/>
  <c r="K909" i="7"/>
  <c r="L909" i="7"/>
  <c r="M909" i="7"/>
  <c r="G910" i="7"/>
  <c r="H910" i="7"/>
  <c r="I910" i="7"/>
  <c r="J910" i="7"/>
  <c r="K910" i="7"/>
  <c r="L910" i="7"/>
  <c r="M910" i="7"/>
  <c r="G911" i="7"/>
  <c r="H911" i="7"/>
  <c r="I911" i="7"/>
  <c r="J911" i="7"/>
  <c r="K911" i="7"/>
  <c r="L911" i="7"/>
  <c r="M911" i="7"/>
  <c r="G912" i="7"/>
  <c r="H912" i="7"/>
  <c r="I912" i="7"/>
  <c r="J912" i="7"/>
  <c r="K912" i="7"/>
  <c r="L912" i="7"/>
  <c r="M912" i="7"/>
  <c r="G913" i="7"/>
  <c r="H913" i="7"/>
  <c r="I913" i="7"/>
  <c r="J913" i="7"/>
  <c r="K913" i="7"/>
  <c r="L913" i="7"/>
  <c r="M913" i="7"/>
  <c r="G914" i="7"/>
  <c r="H914" i="7"/>
  <c r="I914" i="7"/>
  <c r="J914" i="7"/>
  <c r="K914" i="7"/>
  <c r="L914" i="7"/>
  <c r="M914" i="7"/>
  <c r="G915" i="7"/>
  <c r="H915" i="7"/>
  <c r="I915" i="7"/>
  <c r="J915" i="7"/>
  <c r="K915" i="7"/>
  <c r="L915" i="7"/>
  <c r="M915" i="7"/>
  <c r="G916" i="7"/>
  <c r="H916" i="7"/>
  <c r="I916" i="7"/>
  <c r="J916" i="7"/>
  <c r="K916" i="7"/>
  <c r="L916" i="7"/>
  <c r="M916" i="7"/>
  <c r="G917" i="7"/>
  <c r="H917" i="7"/>
  <c r="I917" i="7"/>
  <c r="J917" i="7"/>
  <c r="K917" i="7"/>
  <c r="L917" i="7"/>
  <c r="M917" i="7"/>
  <c r="G918" i="7"/>
  <c r="H918" i="7"/>
  <c r="I918" i="7"/>
  <c r="J918" i="7"/>
  <c r="K918" i="7"/>
  <c r="L918" i="7"/>
  <c r="M918" i="7"/>
  <c r="G919" i="7"/>
  <c r="H919" i="7"/>
  <c r="I919" i="7"/>
  <c r="J919" i="7"/>
  <c r="K919" i="7"/>
  <c r="L919" i="7"/>
  <c r="M919" i="7"/>
  <c r="G920" i="7"/>
  <c r="H920" i="7"/>
  <c r="I920" i="7"/>
  <c r="J920" i="7"/>
  <c r="K920" i="7"/>
  <c r="L920" i="7"/>
  <c r="M920" i="7"/>
  <c r="G921" i="7"/>
  <c r="H921" i="7"/>
  <c r="I921" i="7"/>
  <c r="J921" i="7"/>
  <c r="K921" i="7"/>
  <c r="L921" i="7"/>
  <c r="M921" i="7"/>
  <c r="G922" i="7"/>
  <c r="H922" i="7"/>
  <c r="I922" i="7"/>
  <c r="J922" i="7"/>
  <c r="K922" i="7"/>
  <c r="L922" i="7"/>
  <c r="M922" i="7"/>
  <c r="G923" i="7"/>
  <c r="H923" i="7"/>
  <c r="I923" i="7"/>
  <c r="J923" i="7"/>
  <c r="K923" i="7"/>
  <c r="L923" i="7"/>
  <c r="M923" i="7"/>
  <c r="G924" i="7"/>
  <c r="H924" i="7"/>
  <c r="I924" i="7"/>
  <c r="J924" i="7"/>
  <c r="K924" i="7"/>
  <c r="L924" i="7"/>
  <c r="M924" i="7"/>
  <c r="G925" i="7"/>
  <c r="H925" i="7"/>
  <c r="I925" i="7"/>
  <c r="J925" i="7"/>
  <c r="K925" i="7"/>
  <c r="L925" i="7"/>
  <c r="M925" i="7"/>
  <c r="G926" i="7"/>
  <c r="H926" i="7"/>
  <c r="I926" i="7"/>
  <c r="J926" i="7"/>
  <c r="K926" i="7"/>
  <c r="L926" i="7"/>
  <c r="M926" i="7"/>
  <c r="G927" i="7"/>
  <c r="H927" i="7"/>
  <c r="I927" i="7"/>
  <c r="J927" i="7"/>
  <c r="K927" i="7"/>
  <c r="L927" i="7"/>
  <c r="M927" i="7"/>
  <c r="G928" i="7"/>
  <c r="H928" i="7"/>
  <c r="I928" i="7"/>
  <c r="J928" i="7"/>
  <c r="K928" i="7"/>
  <c r="L928" i="7"/>
  <c r="M928" i="7"/>
  <c r="G929" i="7"/>
  <c r="H929" i="7"/>
  <c r="I929" i="7"/>
  <c r="J929" i="7"/>
  <c r="K929" i="7"/>
  <c r="L929" i="7"/>
  <c r="M929" i="7"/>
  <c r="G930" i="7"/>
  <c r="H930" i="7"/>
  <c r="I930" i="7"/>
  <c r="J930" i="7"/>
  <c r="K930" i="7"/>
  <c r="L930" i="7"/>
  <c r="M930" i="7"/>
  <c r="G931" i="7"/>
  <c r="H931" i="7"/>
  <c r="I931" i="7"/>
  <c r="J931" i="7"/>
  <c r="K931" i="7"/>
  <c r="L931" i="7"/>
  <c r="M931" i="7"/>
  <c r="G932" i="7"/>
  <c r="H932" i="7"/>
  <c r="I932" i="7"/>
  <c r="J932" i="7"/>
  <c r="K932" i="7"/>
  <c r="L932" i="7"/>
  <c r="M932" i="7"/>
  <c r="G933" i="7"/>
  <c r="H933" i="7"/>
  <c r="I933" i="7"/>
  <c r="J933" i="7"/>
  <c r="K933" i="7"/>
  <c r="L933" i="7"/>
  <c r="M933" i="7"/>
  <c r="G934" i="7"/>
  <c r="H934" i="7"/>
  <c r="I934" i="7"/>
  <c r="J934" i="7"/>
  <c r="K934" i="7"/>
  <c r="L934" i="7"/>
  <c r="M934" i="7"/>
  <c r="G935" i="7"/>
  <c r="H935" i="7"/>
  <c r="I935" i="7"/>
  <c r="J935" i="7"/>
  <c r="K935" i="7"/>
  <c r="L935" i="7"/>
  <c r="M935" i="7"/>
  <c r="G936" i="7"/>
  <c r="H936" i="7"/>
  <c r="I936" i="7"/>
  <c r="J936" i="7"/>
  <c r="K936" i="7"/>
  <c r="L936" i="7"/>
  <c r="M936" i="7"/>
  <c r="G937" i="7"/>
  <c r="H937" i="7"/>
  <c r="I937" i="7"/>
  <c r="J937" i="7"/>
  <c r="K937" i="7"/>
  <c r="L937" i="7"/>
  <c r="M937" i="7"/>
  <c r="G938" i="7"/>
  <c r="H938" i="7"/>
  <c r="I938" i="7"/>
  <c r="J938" i="7"/>
  <c r="K938" i="7"/>
  <c r="L938" i="7"/>
  <c r="M938" i="7"/>
  <c r="G939" i="7"/>
  <c r="H939" i="7"/>
  <c r="I939" i="7"/>
  <c r="J939" i="7"/>
  <c r="K939" i="7"/>
  <c r="L939" i="7"/>
  <c r="M939" i="7"/>
  <c r="G940" i="7"/>
  <c r="H940" i="7"/>
  <c r="I940" i="7"/>
  <c r="J940" i="7"/>
  <c r="K940" i="7"/>
  <c r="L940" i="7"/>
  <c r="M940" i="7"/>
  <c r="G941" i="7"/>
  <c r="H941" i="7"/>
  <c r="I941" i="7"/>
  <c r="J941" i="7"/>
  <c r="K941" i="7"/>
  <c r="L941" i="7"/>
  <c r="M941" i="7"/>
  <c r="G942" i="7"/>
  <c r="H942" i="7"/>
  <c r="I942" i="7"/>
  <c r="J942" i="7"/>
  <c r="K942" i="7"/>
  <c r="L942" i="7"/>
  <c r="M942" i="7"/>
  <c r="G943" i="7"/>
  <c r="H943" i="7"/>
  <c r="I943" i="7"/>
  <c r="J943" i="7"/>
  <c r="K943" i="7"/>
  <c r="L943" i="7"/>
  <c r="M943" i="7"/>
  <c r="G944" i="7"/>
  <c r="H944" i="7"/>
  <c r="I944" i="7"/>
  <c r="J944" i="7"/>
  <c r="K944" i="7"/>
  <c r="L944" i="7"/>
  <c r="M944" i="7"/>
  <c r="G945" i="7"/>
  <c r="H945" i="7"/>
  <c r="I945" i="7"/>
  <c r="J945" i="7"/>
  <c r="K945" i="7"/>
  <c r="L945" i="7"/>
  <c r="M945" i="7"/>
  <c r="G946" i="7"/>
  <c r="H946" i="7"/>
  <c r="I946" i="7"/>
  <c r="J946" i="7"/>
  <c r="K946" i="7"/>
  <c r="L946" i="7"/>
  <c r="M946" i="7"/>
  <c r="G947" i="7"/>
  <c r="H947" i="7"/>
  <c r="I947" i="7"/>
  <c r="J947" i="7"/>
  <c r="K947" i="7"/>
  <c r="L947" i="7"/>
  <c r="M947" i="7"/>
  <c r="G948" i="7"/>
  <c r="H948" i="7"/>
  <c r="I948" i="7"/>
  <c r="J948" i="7"/>
  <c r="K948" i="7"/>
  <c r="L948" i="7"/>
  <c r="M948" i="7"/>
  <c r="G949" i="7"/>
  <c r="H949" i="7"/>
  <c r="I949" i="7"/>
  <c r="J949" i="7"/>
  <c r="K949" i="7"/>
  <c r="L949" i="7"/>
  <c r="M949" i="7"/>
  <c r="G950" i="7"/>
  <c r="H950" i="7"/>
  <c r="I950" i="7"/>
  <c r="J950" i="7"/>
  <c r="K950" i="7"/>
  <c r="L950" i="7"/>
  <c r="M950" i="7"/>
  <c r="G951" i="7"/>
  <c r="H951" i="7"/>
  <c r="I951" i="7"/>
  <c r="J951" i="7"/>
  <c r="K951" i="7"/>
  <c r="L951" i="7"/>
  <c r="M951" i="7"/>
  <c r="G952" i="7"/>
  <c r="H952" i="7"/>
  <c r="I952" i="7"/>
  <c r="J952" i="7"/>
  <c r="K952" i="7"/>
  <c r="L952" i="7"/>
  <c r="M952" i="7"/>
  <c r="G953" i="7"/>
  <c r="H953" i="7"/>
  <c r="I953" i="7"/>
  <c r="J953" i="7"/>
  <c r="K953" i="7"/>
  <c r="L953" i="7"/>
  <c r="M953" i="7"/>
  <c r="G954" i="7"/>
  <c r="H954" i="7"/>
  <c r="I954" i="7"/>
  <c r="J954" i="7"/>
  <c r="K954" i="7"/>
  <c r="L954" i="7"/>
  <c r="M954" i="7"/>
  <c r="G955" i="7"/>
  <c r="H955" i="7"/>
  <c r="I955" i="7"/>
  <c r="J955" i="7"/>
  <c r="K955" i="7"/>
  <c r="L955" i="7"/>
  <c r="M955" i="7"/>
  <c r="G956" i="7"/>
  <c r="H956" i="7"/>
  <c r="I956" i="7"/>
  <c r="J956" i="7"/>
  <c r="K956" i="7"/>
  <c r="L956" i="7"/>
  <c r="M956" i="7"/>
  <c r="G957" i="7"/>
  <c r="H957" i="7"/>
  <c r="I957" i="7"/>
  <c r="J957" i="7"/>
  <c r="K957" i="7"/>
  <c r="L957" i="7"/>
  <c r="M957" i="7"/>
  <c r="G958" i="7"/>
  <c r="H958" i="7"/>
  <c r="I958" i="7"/>
  <c r="J958" i="7"/>
  <c r="K958" i="7"/>
  <c r="L958" i="7"/>
  <c r="M958" i="7"/>
  <c r="G959" i="7"/>
  <c r="H959" i="7"/>
  <c r="I959" i="7"/>
  <c r="J959" i="7"/>
  <c r="K959" i="7"/>
  <c r="L959" i="7"/>
  <c r="M959" i="7"/>
  <c r="G960" i="7"/>
  <c r="H960" i="7"/>
  <c r="I960" i="7"/>
  <c r="J960" i="7"/>
  <c r="K960" i="7"/>
  <c r="L960" i="7"/>
  <c r="M960" i="7"/>
  <c r="G961" i="7"/>
  <c r="H961" i="7"/>
  <c r="I961" i="7"/>
  <c r="J961" i="7"/>
  <c r="K961" i="7"/>
  <c r="L961" i="7"/>
  <c r="M961" i="7"/>
  <c r="G962" i="7"/>
  <c r="H962" i="7"/>
  <c r="I962" i="7"/>
  <c r="J962" i="7"/>
  <c r="K962" i="7"/>
  <c r="L962" i="7"/>
  <c r="M962" i="7"/>
  <c r="G963" i="7"/>
  <c r="H963" i="7"/>
  <c r="I963" i="7"/>
  <c r="J963" i="7"/>
  <c r="K963" i="7"/>
  <c r="L963" i="7"/>
  <c r="M963" i="7"/>
  <c r="G964" i="7"/>
  <c r="H964" i="7"/>
  <c r="I964" i="7"/>
  <c r="J964" i="7"/>
  <c r="K964" i="7"/>
  <c r="L964" i="7"/>
  <c r="M964" i="7"/>
  <c r="G965" i="7"/>
  <c r="H965" i="7"/>
  <c r="I965" i="7"/>
  <c r="J965" i="7"/>
  <c r="K965" i="7"/>
  <c r="L965" i="7"/>
  <c r="M965" i="7"/>
  <c r="G966" i="7"/>
  <c r="H966" i="7"/>
  <c r="I966" i="7"/>
  <c r="J966" i="7"/>
  <c r="K966" i="7"/>
  <c r="L966" i="7"/>
  <c r="M966" i="7"/>
  <c r="G967" i="7"/>
  <c r="H967" i="7"/>
  <c r="I967" i="7"/>
  <c r="J967" i="7"/>
  <c r="K967" i="7"/>
  <c r="L967" i="7"/>
  <c r="M967" i="7"/>
  <c r="G968" i="7"/>
  <c r="H968" i="7"/>
  <c r="I968" i="7"/>
  <c r="J968" i="7"/>
  <c r="K968" i="7"/>
  <c r="L968" i="7"/>
  <c r="M968" i="7"/>
  <c r="G969" i="7"/>
  <c r="H969" i="7"/>
  <c r="I969" i="7"/>
  <c r="J969" i="7"/>
  <c r="K969" i="7"/>
  <c r="L969" i="7"/>
  <c r="M969" i="7"/>
  <c r="G970" i="7"/>
  <c r="H970" i="7"/>
  <c r="I970" i="7"/>
  <c r="J970" i="7"/>
  <c r="K970" i="7"/>
  <c r="L970" i="7"/>
  <c r="M970" i="7"/>
  <c r="G971" i="7"/>
  <c r="H971" i="7"/>
  <c r="I971" i="7"/>
  <c r="J971" i="7"/>
  <c r="K971" i="7"/>
  <c r="L971" i="7"/>
  <c r="M971" i="7"/>
  <c r="G972" i="7"/>
  <c r="H972" i="7"/>
  <c r="I972" i="7"/>
  <c r="J972" i="7"/>
  <c r="K972" i="7"/>
  <c r="L972" i="7"/>
  <c r="M972" i="7"/>
  <c r="G973" i="7"/>
  <c r="H973" i="7"/>
  <c r="I973" i="7"/>
  <c r="J973" i="7"/>
  <c r="K973" i="7"/>
  <c r="L973" i="7"/>
  <c r="M973" i="7"/>
  <c r="G974" i="7"/>
  <c r="H974" i="7"/>
  <c r="I974" i="7"/>
  <c r="J974" i="7"/>
  <c r="K974" i="7"/>
  <c r="L974" i="7"/>
  <c r="M974" i="7"/>
  <c r="G975" i="7"/>
  <c r="H975" i="7"/>
  <c r="I975" i="7"/>
  <c r="J975" i="7"/>
  <c r="K975" i="7"/>
  <c r="L975" i="7"/>
  <c r="M975" i="7"/>
  <c r="G976" i="7"/>
  <c r="H976" i="7"/>
  <c r="I976" i="7"/>
  <c r="J976" i="7"/>
  <c r="K976" i="7"/>
  <c r="L976" i="7"/>
  <c r="M976" i="7"/>
  <c r="G977" i="7"/>
  <c r="H977" i="7"/>
  <c r="I977" i="7"/>
  <c r="J977" i="7"/>
  <c r="K977" i="7"/>
  <c r="L977" i="7"/>
  <c r="M977" i="7"/>
  <c r="G978" i="7"/>
  <c r="H978" i="7"/>
  <c r="I978" i="7"/>
  <c r="J978" i="7"/>
  <c r="K978" i="7"/>
  <c r="L978" i="7"/>
  <c r="M978" i="7"/>
  <c r="G979" i="7"/>
  <c r="H979" i="7"/>
  <c r="I979" i="7"/>
  <c r="J979" i="7"/>
  <c r="K979" i="7"/>
  <c r="L979" i="7"/>
  <c r="M979" i="7"/>
  <c r="G980" i="7"/>
  <c r="H980" i="7"/>
  <c r="I980" i="7"/>
  <c r="J980" i="7"/>
  <c r="K980" i="7"/>
  <c r="L980" i="7"/>
  <c r="M980" i="7"/>
  <c r="G981" i="7"/>
  <c r="H981" i="7"/>
  <c r="I981" i="7"/>
  <c r="J981" i="7"/>
  <c r="K981" i="7"/>
  <c r="L981" i="7"/>
  <c r="M981" i="7"/>
  <c r="G982" i="7"/>
  <c r="H982" i="7"/>
  <c r="I982" i="7"/>
  <c r="J982" i="7"/>
  <c r="K982" i="7"/>
  <c r="L982" i="7"/>
  <c r="M982" i="7"/>
  <c r="G983" i="7"/>
  <c r="H983" i="7"/>
  <c r="I983" i="7"/>
  <c r="J983" i="7"/>
  <c r="K983" i="7"/>
  <c r="L983" i="7"/>
  <c r="M983" i="7"/>
  <c r="G984" i="7"/>
  <c r="H984" i="7"/>
  <c r="I984" i="7"/>
  <c r="J984" i="7"/>
  <c r="K984" i="7"/>
  <c r="L984" i="7"/>
  <c r="M984" i="7"/>
  <c r="G985" i="7"/>
  <c r="H985" i="7"/>
  <c r="I985" i="7"/>
  <c r="J985" i="7"/>
  <c r="K985" i="7"/>
  <c r="L985" i="7"/>
  <c r="M985" i="7"/>
  <c r="G986" i="7"/>
  <c r="H986" i="7"/>
  <c r="I986" i="7"/>
  <c r="J986" i="7"/>
  <c r="K986" i="7"/>
  <c r="L986" i="7"/>
  <c r="M986" i="7"/>
  <c r="G987" i="7"/>
  <c r="H987" i="7"/>
  <c r="I987" i="7"/>
  <c r="J987" i="7"/>
  <c r="K987" i="7"/>
  <c r="L987" i="7"/>
  <c r="M987" i="7"/>
  <c r="G988" i="7"/>
  <c r="H988" i="7"/>
  <c r="I988" i="7"/>
  <c r="J988" i="7"/>
  <c r="K988" i="7"/>
  <c r="L988" i="7"/>
  <c r="M988" i="7"/>
  <c r="G989" i="7"/>
  <c r="H989" i="7"/>
  <c r="I989" i="7"/>
  <c r="J989" i="7"/>
  <c r="K989" i="7"/>
  <c r="L989" i="7"/>
  <c r="M989" i="7"/>
  <c r="G990" i="7"/>
  <c r="H990" i="7"/>
  <c r="I990" i="7"/>
  <c r="J990" i="7"/>
  <c r="K990" i="7"/>
  <c r="L990" i="7"/>
  <c r="M990" i="7"/>
  <c r="G991" i="7"/>
  <c r="H991" i="7"/>
  <c r="I991" i="7"/>
  <c r="J991" i="7"/>
  <c r="K991" i="7"/>
  <c r="L991" i="7"/>
  <c r="M991" i="7"/>
  <c r="G992" i="7"/>
  <c r="H992" i="7"/>
  <c r="I992" i="7"/>
  <c r="J992" i="7"/>
  <c r="K992" i="7"/>
  <c r="L992" i="7"/>
  <c r="M992" i="7"/>
  <c r="G993" i="7"/>
  <c r="H993" i="7"/>
  <c r="I993" i="7"/>
  <c r="J993" i="7"/>
  <c r="K993" i="7"/>
  <c r="L993" i="7"/>
  <c r="M993" i="7"/>
  <c r="G994" i="7"/>
  <c r="H994" i="7"/>
  <c r="I994" i="7"/>
  <c r="J994" i="7"/>
  <c r="K994" i="7"/>
  <c r="L994" i="7"/>
  <c r="M994" i="7"/>
  <c r="G995" i="7"/>
  <c r="H995" i="7"/>
  <c r="I995" i="7"/>
  <c r="J995" i="7"/>
  <c r="K995" i="7"/>
  <c r="L995" i="7"/>
  <c r="M995" i="7"/>
  <c r="G996" i="7"/>
  <c r="H996" i="7"/>
  <c r="I996" i="7"/>
  <c r="J996" i="7"/>
  <c r="K996" i="7"/>
  <c r="L996" i="7"/>
  <c r="M996" i="7"/>
  <c r="G997" i="7"/>
  <c r="H997" i="7"/>
  <c r="I997" i="7"/>
  <c r="J997" i="7"/>
  <c r="K997" i="7"/>
  <c r="L997" i="7"/>
  <c r="M997" i="7"/>
  <c r="G998" i="7"/>
  <c r="H998" i="7"/>
  <c r="I998" i="7"/>
  <c r="J998" i="7"/>
  <c r="K998" i="7"/>
  <c r="L998" i="7"/>
  <c r="M998" i="7"/>
  <c r="G999" i="7"/>
  <c r="H999" i="7"/>
  <c r="I999" i="7"/>
  <c r="J999" i="7"/>
  <c r="K999" i="7"/>
  <c r="L999" i="7"/>
  <c r="M999" i="7"/>
  <c r="G1000" i="7"/>
  <c r="H1000" i="7"/>
  <c r="I1000" i="7"/>
  <c r="J1000" i="7"/>
  <c r="K1000" i="7"/>
  <c r="L1000" i="7"/>
  <c r="M1000" i="7"/>
  <c r="G1001" i="7"/>
  <c r="H1001" i="7"/>
  <c r="I1001" i="7"/>
  <c r="J1001" i="7"/>
  <c r="K1001" i="7"/>
  <c r="L1001" i="7"/>
  <c r="M1001" i="7"/>
  <c r="G1002" i="7"/>
  <c r="H1002" i="7"/>
  <c r="I1002" i="7"/>
  <c r="J1002" i="7"/>
  <c r="K1002" i="7"/>
  <c r="L1002" i="7"/>
  <c r="M1002" i="7"/>
  <c r="G1003" i="7"/>
  <c r="H1003" i="7"/>
  <c r="I1003" i="7"/>
  <c r="J1003" i="7"/>
  <c r="K1003" i="7"/>
  <c r="L1003" i="7"/>
  <c r="M1003" i="7"/>
  <c r="G1004" i="7"/>
  <c r="H1004" i="7"/>
  <c r="I1004" i="7"/>
  <c r="J1004" i="7"/>
  <c r="K1004" i="7"/>
  <c r="L1004" i="7"/>
  <c r="M1004" i="7"/>
  <c r="G1005" i="7"/>
  <c r="H1005" i="7"/>
  <c r="I1005" i="7"/>
  <c r="J1005" i="7"/>
  <c r="K1005" i="7"/>
  <c r="L1005" i="7"/>
  <c r="M1005" i="7"/>
  <c r="G1006" i="7"/>
  <c r="H1006" i="7"/>
  <c r="I1006" i="7"/>
  <c r="J1006" i="7"/>
  <c r="K1006" i="7"/>
  <c r="L1006" i="7"/>
  <c r="M1006" i="7"/>
  <c r="G1007" i="7"/>
  <c r="H1007" i="7"/>
  <c r="I1007" i="7"/>
  <c r="J1007" i="7"/>
  <c r="K1007" i="7"/>
  <c r="L1007" i="7"/>
  <c r="M1007" i="7"/>
  <c r="G1008" i="7"/>
  <c r="H1008" i="7"/>
  <c r="I1008" i="7"/>
  <c r="J1008" i="7"/>
  <c r="K1008" i="7"/>
  <c r="L1008" i="7"/>
  <c r="M1008" i="7"/>
  <c r="G1009" i="7"/>
  <c r="H1009" i="7"/>
  <c r="I1009" i="7"/>
  <c r="J1009" i="7"/>
  <c r="K1009" i="7"/>
  <c r="L1009" i="7"/>
  <c r="M1009" i="7"/>
  <c r="G1010" i="7"/>
  <c r="H1010" i="7"/>
  <c r="I1010" i="7"/>
  <c r="J1010" i="7"/>
  <c r="K1010" i="7"/>
  <c r="L1010" i="7"/>
  <c r="M1010" i="7"/>
  <c r="G1011" i="7"/>
  <c r="H1011" i="7"/>
  <c r="I1011" i="7"/>
  <c r="J1011" i="7"/>
  <c r="K1011" i="7"/>
  <c r="L1011" i="7"/>
  <c r="M1011" i="7"/>
  <c r="G1012" i="7"/>
  <c r="H1012" i="7"/>
  <c r="I1012" i="7"/>
  <c r="J1012" i="7"/>
  <c r="K1012" i="7"/>
  <c r="L1012" i="7"/>
  <c r="M1012" i="7"/>
  <c r="G1013" i="7"/>
  <c r="H1013" i="7"/>
  <c r="I1013" i="7"/>
  <c r="J1013" i="7"/>
  <c r="K1013" i="7"/>
  <c r="L1013" i="7"/>
  <c r="M1013" i="7"/>
  <c r="G1014" i="7"/>
  <c r="H1014" i="7"/>
  <c r="I1014" i="7"/>
  <c r="J1014" i="7"/>
  <c r="K1014" i="7"/>
  <c r="L1014" i="7"/>
  <c r="M1014" i="7"/>
  <c r="G1015" i="7"/>
  <c r="H1015" i="7"/>
  <c r="I1015" i="7"/>
  <c r="J1015" i="7"/>
  <c r="K1015" i="7"/>
  <c r="L1015" i="7"/>
  <c r="M1015" i="7"/>
  <c r="G1016" i="7"/>
  <c r="H1016" i="7"/>
  <c r="I1016" i="7"/>
  <c r="J1016" i="7"/>
  <c r="K1016" i="7"/>
  <c r="L1016" i="7"/>
  <c r="M1016" i="7"/>
  <c r="G1017" i="7"/>
  <c r="H1017" i="7"/>
  <c r="I1017" i="7"/>
  <c r="J1017" i="7"/>
  <c r="K1017" i="7"/>
  <c r="L1017" i="7"/>
  <c r="M1017" i="7"/>
  <c r="G1018" i="7"/>
  <c r="H1018" i="7"/>
  <c r="I1018" i="7"/>
  <c r="J1018" i="7"/>
  <c r="K1018" i="7"/>
  <c r="L1018" i="7"/>
  <c r="M1018" i="7"/>
  <c r="G1019" i="7"/>
  <c r="H1019" i="7"/>
  <c r="I1019" i="7"/>
  <c r="J1019" i="7"/>
  <c r="K1019" i="7"/>
  <c r="L1019" i="7"/>
  <c r="M1019" i="7"/>
  <c r="G1020" i="7"/>
  <c r="H1020" i="7"/>
  <c r="I1020" i="7"/>
  <c r="J1020" i="7"/>
  <c r="K1020" i="7"/>
  <c r="L1020" i="7"/>
  <c r="M1020" i="7"/>
  <c r="G1021" i="7"/>
  <c r="H1021" i="7"/>
  <c r="I1021" i="7"/>
  <c r="J1021" i="7"/>
  <c r="K1021" i="7"/>
  <c r="L1021" i="7"/>
  <c r="M1021" i="7"/>
  <c r="G1022" i="7"/>
  <c r="H1022" i="7"/>
  <c r="I1022" i="7"/>
  <c r="J1022" i="7"/>
  <c r="K1022" i="7"/>
  <c r="L1022" i="7"/>
  <c r="M1022" i="7"/>
  <c r="G1023" i="7"/>
  <c r="H1023" i="7"/>
  <c r="I1023" i="7"/>
  <c r="J1023" i="7"/>
  <c r="K1023" i="7"/>
  <c r="L1023" i="7"/>
  <c r="M1023" i="7"/>
  <c r="G1024" i="7"/>
  <c r="H1024" i="7"/>
  <c r="I1024" i="7"/>
  <c r="J1024" i="7"/>
  <c r="K1024" i="7"/>
  <c r="L1024" i="7"/>
  <c r="M1024" i="7"/>
  <c r="G1025" i="7"/>
  <c r="H1025" i="7"/>
  <c r="I1025" i="7"/>
  <c r="J1025" i="7"/>
  <c r="K1025" i="7"/>
  <c r="L1025" i="7"/>
  <c r="M1025" i="7"/>
  <c r="G1026" i="7"/>
  <c r="H1026" i="7"/>
  <c r="I1026" i="7"/>
  <c r="J1026" i="7"/>
  <c r="K1026" i="7"/>
  <c r="L1026" i="7"/>
  <c r="M1026" i="7"/>
  <c r="G1027" i="7"/>
  <c r="H1027" i="7"/>
  <c r="I1027" i="7"/>
  <c r="J1027" i="7"/>
  <c r="K1027" i="7"/>
  <c r="L1027" i="7"/>
  <c r="M1027" i="7"/>
  <c r="G1028" i="7"/>
  <c r="H1028" i="7"/>
  <c r="I1028" i="7"/>
  <c r="J1028" i="7"/>
  <c r="K1028" i="7"/>
  <c r="L1028" i="7"/>
  <c r="M1028" i="7"/>
  <c r="G1029" i="7"/>
  <c r="H1029" i="7"/>
  <c r="I1029" i="7"/>
  <c r="J1029" i="7"/>
  <c r="K1029" i="7"/>
  <c r="L1029" i="7"/>
  <c r="M1029" i="7"/>
  <c r="G1030" i="7"/>
  <c r="H1030" i="7"/>
  <c r="I1030" i="7"/>
  <c r="J1030" i="7"/>
  <c r="K1030" i="7"/>
  <c r="L1030" i="7"/>
  <c r="M1030" i="7"/>
  <c r="G1031" i="7"/>
  <c r="H1031" i="7"/>
  <c r="I1031" i="7"/>
  <c r="J1031" i="7"/>
  <c r="K1031" i="7"/>
  <c r="L1031" i="7"/>
  <c r="M1031" i="7"/>
  <c r="G1032" i="7"/>
  <c r="H1032" i="7"/>
  <c r="I1032" i="7"/>
  <c r="J1032" i="7"/>
  <c r="K1032" i="7"/>
  <c r="L1032" i="7"/>
  <c r="M1032" i="7"/>
  <c r="G1033" i="7"/>
  <c r="H1033" i="7"/>
  <c r="I1033" i="7"/>
  <c r="J1033" i="7"/>
  <c r="K1033" i="7"/>
  <c r="L1033" i="7"/>
  <c r="M1033" i="7"/>
  <c r="G1034" i="7"/>
  <c r="H1034" i="7"/>
  <c r="I1034" i="7"/>
  <c r="J1034" i="7"/>
  <c r="K1034" i="7"/>
  <c r="L1034" i="7"/>
  <c r="M1034" i="7"/>
  <c r="G1035" i="7"/>
  <c r="H1035" i="7"/>
  <c r="I1035" i="7"/>
  <c r="J1035" i="7"/>
  <c r="K1035" i="7"/>
  <c r="L1035" i="7"/>
  <c r="M1035" i="7"/>
  <c r="G1036" i="7"/>
  <c r="H1036" i="7"/>
  <c r="I1036" i="7"/>
  <c r="J1036" i="7"/>
  <c r="K1036" i="7"/>
  <c r="L1036" i="7"/>
  <c r="M1036" i="7"/>
  <c r="G1037" i="7"/>
  <c r="H1037" i="7"/>
  <c r="I1037" i="7"/>
  <c r="J1037" i="7"/>
  <c r="K1037" i="7"/>
  <c r="L1037" i="7"/>
  <c r="M1037" i="7"/>
  <c r="G1038" i="7"/>
  <c r="H1038" i="7"/>
  <c r="I1038" i="7"/>
  <c r="J1038" i="7"/>
  <c r="K1038" i="7"/>
  <c r="L1038" i="7"/>
  <c r="M1038" i="7"/>
  <c r="G1039" i="7"/>
  <c r="H1039" i="7"/>
  <c r="I1039" i="7"/>
  <c r="J1039" i="7"/>
  <c r="K1039" i="7"/>
  <c r="L1039" i="7"/>
  <c r="M1039" i="7"/>
  <c r="G1040" i="7"/>
  <c r="H1040" i="7"/>
  <c r="I1040" i="7"/>
  <c r="J1040" i="7"/>
  <c r="K1040" i="7"/>
  <c r="L1040" i="7"/>
  <c r="M1040" i="7"/>
  <c r="G1041" i="7"/>
  <c r="H1041" i="7"/>
  <c r="I1041" i="7"/>
  <c r="J1041" i="7"/>
  <c r="K1041" i="7"/>
  <c r="L1041" i="7"/>
  <c r="M1041" i="7"/>
  <c r="G1042" i="7"/>
  <c r="H1042" i="7"/>
  <c r="I1042" i="7"/>
  <c r="J1042" i="7"/>
  <c r="K1042" i="7"/>
  <c r="L1042" i="7"/>
  <c r="M1042" i="7"/>
  <c r="G1043" i="7"/>
  <c r="H1043" i="7"/>
  <c r="I1043" i="7"/>
  <c r="J1043" i="7"/>
  <c r="K1043" i="7"/>
  <c r="L1043" i="7"/>
  <c r="M1043" i="7"/>
  <c r="G1044" i="7"/>
  <c r="H1044" i="7"/>
  <c r="I1044" i="7"/>
  <c r="J1044" i="7"/>
  <c r="K1044" i="7"/>
  <c r="L1044" i="7"/>
  <c r="M1044" i="7"/>
  <c r="G1045" i="7"/>
  <c r="H1045" i="7"/>
  <c r="I1045" i="7"/>
  <c r="J1045" i="7"/>
  <c r="K1045" i="7"/>
  <c r="L1045" i="7"/>
  <c r="M1045" i="7"/>
  <c r="G1046" i="7"/>
  <c r="H1046" i="7"/>
  <c r="I1046" i="7"/>
  <c r="J1046" i="7"/>
  <c r="K1046" i="7"/>
  <c r="L1046" i="7"/>
  <c r="M1046" i="7"/>
  <c r="G1047" i="7"/>
  <c r="H1047" i="7"/>
  <c r="I1047" i="7"/>
  <c r="J1047" i="7"/>
  <c r="K1047" i="7"/>
  <c r="L1047" i="7"/>
  <c r="M1047" i="7"/>
  <c r="G1048" i="7"/>
  <c r="H1048" i="7"/>
  <c r="I1048" i="7"/>
  <c r="J1048" i="7"/>
  <c r="K1048" i="7"/>
  <c r="L1048" i="7"/>
  <c r="M1048" i="7"/>
  <c r="G1049" i="7"/>
  <c r="H1049" i="7"/>
  <c r="I1049" i="7"/>
  <c r="J1049" i="7"/>
  <c r="K1049" i="7"/>
  <c r="L1049" i="7"/>
  <c r="M1049" i="7"/>
  <c r="G1050" i="7"/>
  <c r="H1050" i="7"/>
  <c r="I1050" i="7"/>
  <c r="J1050" i="7"/>
  <c r="K1050" i="7"/>
  <c r="L1050" i="7"/>
  <c r="M1050" i="7"/>
  <c r="G1051" i="7"/>
  <c r="H1051" i="7"/>
  <c r="I1051" i="7"/>
  <c r="J1051" i="7"/>
  <c r="K1051" i="7"/>
  <c r="L1051" i="7"/>
  <c r="M1051" i="7"/>
  <c r="G1052" i="7"/>
  <c r="H1052" i="7"/>
  <c r="I1052" i="7"/>
  <c r="J1052" i="7"/>
  <c r="K1052" i="7"/>
  <c r="L1052" i="7"/>
  <c r="M1052" i="7"/>
  <c r="G1053" i="7"/>
  <c r="H1053" i="7"/>
  <c r="I1053" i="7"/>
  <c r="J1053" i="7"/>
  <c r="K1053" i="7"/>
  <c r="L1053" i="7"/>
  <c r="M1053" i="7"/>
  <c r="G1054" i="7"/>
  <c r="H1054" i="7"/>
  <c r="I1054" i="7"/>
  <c r="J1054" i="7"/>
  <c r="K1054" i="7"/>
  <c r="L1054" i="7"/>
  <c r="M1054" i="7"/>
  <c r="G1055" i="7"/>
  <c r="H1055" i="7"/>
  <c r="I1055" i="7"/>
  <c r="J1055" i="7"/>
  <c r="K1055" i="7"/>
  <c r="L1055" i="7"/>
  <c r="M1055" i="7"/>
  <c r="G1056" i="7"/>
  <c r="H1056" i="7"/>
  <c r="I1056" i="7"/>
  <c r="J1056" i="7"/>
  <c r="K1056" i="7"/>
  <c r="L1056" i="7"/>
  <c r="M1056" i="7"/>
  <c r="G1057" i="7"/>
  <c r="H1057" i="7"/>
  <c r="I1057" i="7"/>
  <c r="J1057" i="7"/>
  <c r="K1057" i="7"/>
  <c r="L1057" i="7"/>
  <c r="M1057" i="7"/>
  <c r="G1058" i="7"/>
  <c r="H1058" i="7"/>
  <c r="I1058" i="7"/>
  <c r="J1058" i="7"/>
  <c r="K1058" i="7"/>
  <c r="L1058" i="7"/>
  <c r="M1058" i="7"/>
  <c r="G1059" i="7"/>
  <c r="H1059" i="7"/>
  <c r="I1059" i="7"/>
  <c r="J1059" i="7"/>
  <c r="K1059" i="7"/>
  <c r="L1059" i="7"/>
  <c r="M1059" i="7"/>
  <c r="G1060" i="7"/>
  <c r="H1060" i="7"/>
  <c r="I1060" i="7"/>
  <c r="J1060" i="7"/>
  <c r="K1060" i="7"/>
  <c r="L1060" i="7"/>
  <c r="M1060" i="7"/>
  <c r="G1061" i="7"/>
  <c r="H1061" i="7"/>
  <c r="I1061" i="7"/>
  <c r="J1061" i="7"/>
  <c r="K1061" i="7"/>
  <c r="L1061" i="7"/>
  <c r="M1061" i="7"/>
  <c r="G1062" i="7"/>
  <c r="H1062" i="7"/>
  <c r="I1062" i="7"/>
  <c r="J1062" i="7"/>
  <c r="K1062" i="7"/>
  <c r="L1062" i="7"/>
  <c r="M1062" i="7"/>
  <c r="G1063" i="7"/>
  <c r="H1063" i="7"/>
  <c r="I1063" i="7"/>
  <c r="J1063" i="7"/>
  <c r="K1063" i="7"/>
  <c r="L1063" i="7"/>
  <c r="M1063" i="7"/>
  <c r="G1064" i="7"/>
  <c r="H1064" i="7"/>
  <c r="I1064" i="7"/>
  <c r="J1064" i="7"/>
  <c r="K1064" i="7"/>
  <c r="L1064" i="7"/>
  <c r="M1064" i="7"/>
  <c r="G1065" i="7"/>
  <c r="H1065" i="7"/>
  <c r="I1065" i="7"/>
  <c r="J1065" i="7"/>
  <c r="K1065" i="7"/>
  <c r="L1065" i="7"/>
  <c r="M1065" i="7"/>
  <c r="G1066" i="7"/>
  <c r="H1066" i="7"/>
  <c r="I1066" i="7"/>
  <c r="J1066" i="7"/>
  <c r="K1066" i="7"/>
  <c r="L1066" i="7"/>
  <c r="M1066" i="7"/>
  <c r="G1067" i="7"/>
  <c r="H1067" i="7"/>
  <c r="I1067" i="7"/>
  <c r="J1067" i="7"/>
  <c r="K1067" i="7"/>
  <c r="L1067" i="7"/>
  <c r="M1067" i="7"/>
  <c r="G1068" i="7"/>
  <c r="H1068" i="7"/>
  <c r="I1068" i="7"/>
  <c r="J1068" i="7"/>
  <c r="K1068" i="7"/>
  <c r="L1068" i="7"/>
  <c r="M1068" i="7"/>
  <c r="G1069" i="7"/>
  <c r="H1069" i="7"/>
  <c r="I1069" i="7"/>
  <c r="J1069" i="7"/>
  <c r="K1069" i="7"/>
  <c r="L1069" i="7"/>
  <c r="M1069" i="7"/>
  <c r="G1070" i="7"/>
  <c r="H1070" i="7"/>
  <c r="I1070" i="7"/>
  <c r="J1070" i="7"/>
  <c r="K1070" i="7"/>
  <c r="L1070" i="7"/>
  <c r="M1070" i="7"/>
  <c r="G1071" i="7"/>
  <c r="H1071" i="7"/>
  <c r="I1071" i="7"/>
  <c r="J1071" i="7"/>
  <c r="K1071" i="7"/>
  <c r="L1071" i="7"/>
  <c r="M1071" i="7"/>
  <c r="G1072" i="7"/>
  <c r="H1072" i="7"/>
  <c r="I1072" i="7"/>
  <c r="J1072" i="7"/>
  <c r="K1072" i="7"/>
  <c r="L1072" i="7"/>
  <c r="M1072" i="7"/>
  <c r="G1073" i="7"/>
  <c r="H1073" i="7"/>
  <c r="I1073" i="7"/>
  <c r="J1073" i="7"/>
  <c r="K1073" i="7"/>
  <c r="L1073" i="7"/>
  <c r="M1073" i="7"/>
  <c r="G1074" i="7"/>
  <c r="H1074" i="7"/>
  <c r="I1074" i="7"/>
  <c r="J1074" i="7"/>
  <c r="K1074" i="7"/>
  <c r="L1074" i="7"/>
  <c r="M1074" i="7"/>
  <c r="G1075" i="7"/>
  <c r="H1075" i="7"/>
  <c r="I1075" i="7"/>
  <c r="J1075" i="7"/>
  <c r="K1075" i="7"/>
  <c r="L1075" i="7"/>
  <c r="M1075" i="7"/>
  <c r="G1076" i="7"/>
  <c r="H1076" i="7"/>
  <c r="I1076" i="7"/>
  <c r="J1076" i="7"/>
  <c r="K1076" i="7"/>
  <c r="L1076" i="7"/>
  <c r="M1076" i="7"/>
  <c r="G1077" i="7"/>
  <c r="H1077" i="7"/>
  <c r="I1077" i="7"/>
  <c r="J1077" i="7"/>
  <c r="K1077" i="7"/>
  <c r="L1077" i="7"/>
  <c r="M1077" i="7"/>
  <c r="G1078" i="7"/>
  <c r="H1078" i="7"/>
  <c r="I1078" i="7"/>
  <c r="J1078" i="7"/>
  <c r="K1078" i="7"/>
  <c r="L1078" i="7"/>
  <c r="M1078" i="7"/>
  <c r="G1079" i="7"/>
  <c r="H1079" i="7"/>
  <c r="I1079" i="7"/>
  <c r="J1079" i="7"/>
  <c r="K1079" i="7"/>
  <c r="L1079" i="7"/>
  <c r="M1079" i="7"/>
  <c r="G1080" i="7"/>
  <c r="H1080" i="7"/>
  <c r="I1080" i="7"/>
  <c r="J1080" i="7"/>
  <c r="K1080" i="7"/>
  <c r="L1080" i="7"/>
  <c r="M1080" i="7"/>
  <c r="G1081" i="7"/>
  <c r="H1081" i="7"/>
  <c r="I1081" i="7"/>
  <c r="J1081" i="7"/>
  <c r="K1081" i="7"/>
  <c r="L1081" i="7"/>
  <c r="M1081" i="7"/>
  <c r="G1082" i="7"/>
  <c r="H1082" i="7"/>
  <c r="I1082" i="7"/>
  <c r="J1082" i="7"/>
  <c r="K1082" i="7"/>
  <c r="L1082" i="7"/>
  <c r="M1082" i="7"/>
  <c r="G1083" i="7"/>
  <c r="H1083" i="7"/>
  <c r="I1083" i="7"/>
  <c r="J1083" i="7"/>
  <c r="K1083" i="7"/>
  <c r="L1083" i="7"/>
  <c r="M1083" i="7"/>
  <c r="G1084" i="7"/>
  <c r="H1084" i="7"/>
  <c r="I1084" i="7"/>
  <c r="J1084" i="7"/>
  <c r="K1084" i="7"/>
  <c r="L1084" i="7"/>
  <c r="M1084" i="7"/>
  <c r="G1085" i="7"/>
  <c r="H1085" i="7"/>
  <c r="I1085" i="7"/>
  <c r="J1085" i="7"/>
  <c r="K1085" i="7"/>
  <c r="L1085" i="7"/>
  <c r="M1085" i="7"/>
  <c r="G1086" i="7"/>
  <c r="H1086" i="7"/>
  <c r="I1086" i="7"/>
  <c r="J1086" i="7"/>
  <c r="K1086" i="7"/>
  <c r="L1086" i="7"/>
  <c r="M1086" i="7"/>
  <c r="G1087" i="7"/>
  <c r="H1087" i="7"/>
  <c r="I1087" i="7"/>
  <c r="J1087" i="7"/>
  <c r="K1087" i="7"/>
  <c r="L1087" i="7"/>
  <c r="M1087" i="7"/>
  <c r="G1088" i="7"/>
  <c r="H1088" i="7"/>
  <c r="I1088" i="7"/>
  <c r="J1088" i="7"/>
  <c r="K1088" i="7"/>
  <c r="L1088" i="7"/>
  <c r="M1088" i="7"/>
  <c r="G1089" i="7"/>
  <c r="H1089" i="7"/>
  <c r="I1089" i="7"/>
  <c r="J1089" i="7"/>
  <c r="K1089" i="7"/>
  <c r="L1089" i="7"/>
  <c r="M1089" i="7"/>
  <c r="G1090" i="7"/>
  <c r="H1090" i="7"/>
  <c r="I1090" i="7"/>
  <c r="J1090" i="7"/>
  <c r="K1090" i="7"/>
  <c r="L1090" i="7"/>
  <c r="M1090" i="7"/>
  <c r="G1091" i="7"/>
  <c r="H1091" i="7"/>
  <c r="I1091" i="7"/>
  <c r="J1091" i="7"/>
  <c r="K1091" i="7"/>
  <c r="L1091" i="7"/>
  <c r="M1091" i="7"/>
  <c r="G1092" i="7"/>
  <c r="H1092" i="7"/>
  <c r="I1092" i="7"/>
  <c r="J1092" i="7"/>
  <c r="K1092" i="7"/>
  <c r="L1092" i="7"/>
  <c r="M1092" i="7"/>
  <c r="G1093" i="7"/>
  <c r="H1093" i="7"/>
  <c r="I1093" i="7"/>
  <c r="J1093" i="7"/>
  <c r="K1093" i="7"/>
  <c r="L1093" i="7"/>
  <c r="M1093" i="7"/>
  <c r="G1094" i="7"/>
  <c r="H1094" i="7"/>
  <c r="I1094" i="7"/>
  <c r="J1094" i="7"/>
  <c r="K1094" i="7"/>
  <c r="L1094" i="7"/>
  <c r="M1094" i="7"/>
  <c r="G1095" i="7"/>
  <c r="H1095" i="7"/>
  <c r="I1095" i="7"/>
  <c r="J1095" i="7"/>
  <c r="K1095" i="7"/>
  <c r="L1095" i="7"/>
  <c r="M1095" i="7"/>
  <c r="G1096" i="7"/>
  <c r="H1096" i="7"/>
  <c r="I1096" i="7"/>
  <c r="J1096" i="7"/>
  <c r="K1096" i="7"/>
  <c r="L1096" i="7"/>
  <c r="M1096" i="7"/>
  <c r="G1097" i="7"/>
  <c r="H1097" i="7"/>
  <c r="I1097" i="7"/>
  <c r="J1097" i="7"/>
  <c r="K1097" i="7"/>
  <c r="L1097" i="7"/>
  <c r="M1097" i="7"/>
  <c r="G1098" i="7"/>
  <c r="H1098" i="7"/>
  <c r="I1098" i="7"/>
  <c r="J1098" i="7"/>
  <c r="K1098" i="7"/>
  <c r="L1098" i="7"/>
  <c r="M1098" i="7"/>
  <c r="G1099" i="7"/>
  <c r="H1099" i="7"/>
  <c r="I1099" i="7"/>
  <c r="J1099" i="7"/>
  <c r="K1099" i="7"/>
  <c r="L1099" i="7"/>
  <c r="M1099" i="7"/>
  <c r="G1100" i="7"/>
  <c r="H1100" i="7"/>
  <c r="I1100" i="7"/>
  <c r="J1100" i="7"/>
  <c r="K1100" i="7"/>
  <c r="L1100" i="7"/>
  <c r="M1100" i="7"/>
  <c r="G1101" i="7"/>
  <c r="H1101" i="7"/>
  <c r="I1101" i="7"/>
  <c r="J1101" i="7"/>
  <c r="K1101" i="7"/>
  <c r="L1101" i="7"/>
  <c r="M1101" i="7"/>
  <c r="G1102" i="7"/>
  <c r="H1102" i="7"/>
  <c r="I1102" i="7"/>
  <c r="J1102" i="7"/>
  <c r="K1102" i="7"/>
  <c r="L1102" i="7"/>
  <c r="M1102" i="7"/>
  <c r="G1103" i="7"/>
  <c r="H1103" i="7"/>
  <c r="I1103" i="7"/>
  <c r="J1103" i="7"/>
  <c r="K1103" i="7"/>
  <c r="L1103" i="7"/>
  <c r="M1103" i="7"/>
  <c r="G1104" i="7"/>
  <c r="H1104" i="7"/>
  <c r="I1104" i="7"/>
  <c r="J1104" i="7"/>
  <c r="K1104" i="7"/>
  <c r="L1104" i="7"/>
  <c r="M1104" i="7"/>
  <c r="G1105" i="7"/>
  <c r="H1105" i="7"/>
  <c r="I1105" i="7"/>
  <c r="J1105" i="7"/>
  <c r="K1105" i="7"/>
  <c r="L1105" i="7"/>
  <c r="M1105" i="7"/>
  <c r="G1106" i="7"/>
  <c r="H1106" i="7"/>
  <c r="I1106" i="7"/>
  <c r="J1106" i="7"/>
  <c r="K1106" i="7"/>
  <c r="L1106" i="7"/>
  <c r="M1106" i="7"/>
  <c r="G1107" i="7"/>
  <c r="H1107" i="7"/>
  <c r="I1107" i="7"/>
  <c r="J1107" i="7"/>
  <c r="K1107" i="7"/>
  <c r="L1107" i="7"/>
  <c r="M1107" i="7"/>
  <c r="G1108" i="7"/>
  <c r="H1108" i="7"/>
  <c r="I1108" i="7"/>
  <c r="J1108" i="7"/>
  <c r="K1108" i="7"/>
  <c r="L1108" i="7"/>
  <c r="M1108" i="7"/>
  <c r="G1109" i="7"/>
  <c r="H1109" i="7"/>
  <c r="I1109" i="7"/>
  <c r="J1109" i="7"/>
  <c r="K1109" i="7"/>
  <c r="L1109" i="7"/>
  <c r="M1109" i="7"/>
  <c r="G1110" i="7"/>
  <c r="H1110" i="7"/>
  <c r="I1110" i="7"/>
  <c r="J1110" i="7"/>
  <c r="K1110" i="7"/>
  <c r="L1110" i="7"/>
  <c r="M1110" i="7"/>
  <c r="G1111" i="7"/>
  <c r="H1111" i="7"/>
  <c r="I1111" i="7"/>
  <c r="J1111" i="7"/>
  <c r="K1111" i="7"/>
  <c r="L1111" i="7"/>
  <c r="M1111" i="7"/>
  <c r="G1112" i="7"/>
  <c r="H1112" i="7"/>
  <c r="I1112" i="7"/>
  <c r="J1112" i="7"/>
  <c r="K1112" i="7"/>
  <c r="L1112" i="7"/>
  <c r="M1112" i="7"/>
  <c r="G1113" i="7"/>
  <c r="H1113" i="7"/>
  <c r="I1113" i="7"/>
  <c r="J1113" i="7"/>
  <c r="K1113" i="7"/>
  <c r="L1113" i="7"/>
  <c r="M1113" i="7"/>
  <c r="G1114" i="7"/>
  <c r="H1114" i="7"/>
  <c r="I1114" i="7"/>
  <c r="J1114" i="7"/>
  <c r="K1114" i="7"/>
  <c r="L1114" i="7"/>
  <c r="M1114" i="7"/>
  <c r="G1115" i="7"/>
  <c r="H1115" i="7"/>
  <c r="I1115" i="7"/>
  <c r="J1115" i="7"/>
  <c r="K1115" i="7"/>
  <c r="L1115" i="7"/>
  <c r="M1115" i="7"/>
  <c r="G1116" i="7"/>
  <c r="H1116" i="7"/>
  <c r="I1116" i="7"/>
  <c r="J1116" i="7"/>
  <c r="K1116" i="7"/>
  <c r="L1116" i="7"/>
  <c r="M1116" i="7"/>
  <c r="G1117" i="7"/>
  <c r="H1117" i="7"/>
  <c r="I1117" i="7"/>
  <c r="J1117" i="7"/>
  <c r="K1117" i="7"/>
  <c r="L1117" i="7"/>
  <c r="M1117" i="7"/>
  <c r="G1118" i="7"/>
  <c r="H1118" i="7"/>
  <c r="I1118" i="7"/>
  <c r="J1118" i="7"/>
  <c r="K1118" i="7"/>
  <c r="L1118" i="7"/>
  <c r="M1118" i="7"/>
  <c r="G1119" i="7"/>
  <c r="H1119" i="7"/>
  <c r="I1119" i="7"/>
  <c r="J1119" i="7"/>
  <c r="K1119" i="7"/>
  <c r="L1119" i="7"/>
  <c r="M1119" i="7"/>
  <c r="G1120" i="7"/>
  <c r="H1120" i="7"/>
  <c r="I1120" i="7"/>
  <c r="J1120" i="7"/>
  <c r="K1120" i="7"/>
  <c r="L1120" i="7"/>
  <c r="M1120" i="7"/>
  <c r="G1121" i="7"/>
  <c r="H1121" i="7"/>
  <c r="I1121" i="7"/>
  <c r="J1121" i="7"/>
  <c r="K1121" i="7"/>
  <c r="L1121" i="7"/>
  <c r="M1121" i="7"/>
  <c r="G1122" i="7"/>
  <c r="H1122" i="7"/>
  <c r="I1122" i="7"/>
  <c r="J1122" i="7"/>
  <c r="K1122" i="7"/>
  <c r="L1122" i="7"/>
  <c r="M1122" i="7"/>
  <c r="G1123" i="7"/>
  <c r="H1123" i="7"/>
  <c r="I1123" i="7"/>
  <c r="J1123" i="7"/>
  <c r="K1123" i="7"/>
  <c r="L1123" i="7"/>
  <c r="M1123" i="7"/>
  <c r="G1124" i="7"/>
  <c r="H1124" i="7"/>
  <c r="I1124" i="7"/>
  <c r="J1124" i="7"/>
  <c r="K1124" i="7"/>
  <c r="L1124" i="7"/>
  <c r="M1124" i="7"/>
  <c r="G1125" i="7"/>
  <c r="H1125" i="7"/>
  <c r="I1125" i="7"/>
  <c r="J1125" i="7"/>
  <c r="K1125" i="7"/>
  <c r="L1125" i="7"/>
  <c r="M1125" i="7"/>
  <c r="G1126" i="7"/>
  <c r="H1126" i="7"/>
  <c r="I1126" i="7"/>
  <c r="J1126" i="7"/>
  <c r="K1126" i="7"/>
  <c r="L1126" i="7"/>
  <c r="M1126" i="7"/>
  <c r="G1127" i="7"/>
  <c r="H1127" i="7"/>
  <c r="I1127" i="7"/>
  <c r="J1127" i="7"/>
  <c r="K1127" i="7"/>
  <c r="L1127" i="7"/>
  <c r="M1127" i="7"/>
  <c r="G1128" i="7"/>
  <c r="H1128" i="7"/>
  <c r="I1128" i="7"/>
  <c r="J1128" i="7"/>
  <c r="K1128" i="7"/>
  <c r="L1128" i="7"/>
  <c r="M1128" i="7"/>
  <c r="G1129" i="7"/>
  <c r="H1129" i="7"/>
  <c r="I1129" i="7"/>
  <c r="J1129" i="7"/>
  <c r="K1129" i="7"/>
  <c r="L1129" i="7"/>
  <c r="M1129" i="7"/>
  <c r="G1130" i="7"/>
  <c r="H1130" i="7"/>
  <c r="I1130" i="7"/>
  <c r="J1130" i="7"/>
  <c r="K1130" i="7"/>
  <c r="L1130" i="7"/>
  <c r="M1130" i="7"/>
  <c r="G1131" i="7"/>
  <c r="H1131" i="7"/>
  <c r="I1131" i="7"/>
  <c r="J1131" i="7"/>
  <c r="K1131" i="7"/>
  <c r="L1131" i="7"/>
  <c r="M1131" i="7"/>
  <c r="G1132" i="7"/>
  <c r="H1132" i="7"/>
  <c r="I1132" i="7"/>
  <c r="J1132" i="7"/>
  <c r="K1132" i="7"/>
  <c r="L1132" i="7"/>
  <c r="M1132" i="7"/>
  <c r="G1133" i="7"/>
  <c r="H1133" i="7"/>
  <c r="I1133" i="7"/>
  <c r="J1133" i="7"/>
  <c r="K1133" i="7"/>
  <c r="L1133" i="7"/>
  <c r="M1133" i="7"/>
  <c r="G1134" i="7"/>
  <c r="H1134" i="7"/>
  <c r="I1134" i="7"/>
  <c r="J1134" i="7"/>
  <c r="K1134" i="7"/>
  <c r="L1134" i="7"/>
  <c r="M1134" i="7"/>
  <c r="G1135" i="7"/>
  <c r="H1135" i="7"/>
  <c r="I1135" i="7"/>
  <c r="J1135" i="7"/>
  <c r="K1135" i="7"/>
  <c r="L1135" i="7"/>
  <c r="M1135" i="7"/>
  <c r="G1136" i="7"/>
  <c r="H1136" i="7"/>
  <c r="I1136" i="7"/>
  <c r="J1136" i="7"/>
  <c r="K1136" i="7"/>
  <c r="L1136" i="7"/>
  <c r="M1136" i="7"/>
  <c r="G1137" i="7"/>
  <c r="H1137" i="7"/>
  <c r="I1137" i="7"/>
  <c r="J1137" i="7"/>
  <c r="K1137" i="7"/>
  <c r="L1137" i="7"/>
  <c r="M1137" i="7"/>
  <c r="G1138" i="7"/>
  <c r="H1138" i="7"/>
  <c r="I1138" i="7"/>
  <c r="J1138" i="7"/>
  <c r="K1138" i="7"/>
  <c r="L1138" i="7"/>
  <c r="M1138" i="7"/>
  <c r="G1139" i="7"/>
  <c r="H1139" i="7"/>
  <c r="I1139" i="7"/>
  <c r="J1139" i="7"/>
  <c r="K1139" i="7"/>
  <c r="L1139" i="7"/>
  <c r="M1139" i="7"/>
  <c r="G1140" i="7"/>
  <c r="H1140" i="7"/>
  <c r="I1140" i="7"/>
  <c r="J1140" i="7"/>
  <c r="K1140" i="7"/>
  <c r="L1140" i="7"/>
  <c r="M1140" i="7"/>
  <c r="G1141" i="7"/>
  <c r="H1141" i="7"/>
  <c r="I1141" i="7"/>
  <c r="J1141" i="7"/>
  <c r="K1141" i="7"/>
  <c r="L1141" i="7"/>
  <c r="M1141" i="7"/>
  <c r="G1142" i="7"/>
  <c r="H1142" i="7"/>
  <c r="I1142" i="7"/>
  <c r="J1142" i="7"/>
  <c r="K1142" i="7"/>
  <c r="L1142" i="7"/>
  <c r="M1142" i="7"/>
  <c r="G1143" i="7"/>
  <c r="H1143" i="7"/>
  <c r="I1143" i="7"/>
  <c r="J1143" i="7"/>
  <c r="K1143" i="7"/>
  <c r="L1143" i="7"/>
  <c r="M1143" i="7"/>
  <c r="G1144" i="7"/>
  <c r="H1144" i="7"/>
  <c r="I1144" i="7"/>
  <c r="J1144" i="7"/>
  <c r="K1144" i="7"/>
  <c r="L1144" i="7"/>
  <c r="M1144" i="7"/>
  <c r="G1145" i="7"/>
  <c r="H1145" i="7"/>
  <c r="I1145" i="7"/>
  <c r="J1145" i="7"/>
  <c r="K1145" i="7"/>
  <c r="L1145" i="7"/>
  <c r="M1145" i="7"/>
  <c r="G1146" i="7"/>
  <c r="H1146" i="7"/>
  <c r="I1146" i="7"/>
  <c r="J1146" i="7"/>
  <c r="K1146" i="7"/>
  <c r="L1146" i="7"/>
  <c r="M1146" i="7"/>
  <c r="G1147" i="7"/>
  <c r="H1147" i="7"/>
  <c r="I1147" i="7"/>
  <c r="J1147" i="7"/>
  <c r="K1147" i="7"/>
  <c r="L1147" i="7"/>
  <c r="M1147" i="7"/>
  <c r="G1148" i="7"/>
  <c r="H1148" i="7"/>
  <c r="I1148" i="7"/>
  <c r="J1148" i="7"/>
  <c r="K1148" i="7"/>
  <c r="L1148" i="7"/>
  <c r="M1148" i="7"/>
  <c r="G1149" i="7"/>
  <c r="H1149" i="7"/>
  <c r="I1149" i="7"/>
  <c r="J1149" i="7"/>
  <c r="K1149" i="7"/>
  <c r="L1149" i="7"/>
  <c r="M1149" i="7"/>
  <c r="G1150" i="7"/>
  <c r="H1150" i="7"/>
  <c r="I1150" i="7"/>
  <c r="J1150" i="7"/>
  <c r="K1150" i="7"/>
  <c r="L1150" i="7"/>
  <c r="M1150" i="7"/>
  <c r="G1151" i="7"/>
  <c r="H1151" i="7"/>
  <c r="I1151" i="7"/>
  <c r="J1151" i="7"/>
  <c r="K1151" i="7"/>
  <c r="L1151" i="7"/>
  <c r="M1151" i="7"/>
  <c r="G1152" i="7"/>
  <c r="H1152" i="7"/>
  <c r="I1152" i="7"/>
  <c r="J1152" i="7"/>
  <c r="K1152" i="7"/>
  <c r="L1152" i="7"/>
  <c r="M1152" i="7"/>
  <c r="G1153" i="7"/>
  <c r="H1153" i="7"/>
  <c r="I1153" i="7"/>
  <c r="J1153" i="7"/>
  <c r="K1153" i="7"/>
  <c r="L1153" i="7"/>
  <c r="M1153" i="7"/>
  <c r="G1154" i="7"/>
  <c r="H1154" i="7"/>
  <c r="I1154" i="7"/>
  <c r="J1154" i="7"/>
  <c r="K1154" i="7"/>
  <c r="L1154" i="7"/>
  <c r="M1154" i="7"/>
  <c r="G1155" i="7"/>
  <c r="H1155" i="7"/>
  <c r="I1155" i="7"/>
  <c r="J1155" i="7"/>
  <c r="K1155" i="7"/>
  <c r="L1155" i="7"/>
  <c r="M1155" i="7"/>
  <c r="G1156" i="7"/>
  <c r="H1156" i="7"/>
  <c r="I1156" i="7"/>
  <c r="J1156" i="7"/>
  <c r="K1156" i="7"/>
  <c r="L1156" i="7"/>
  <c r="M1156" i="7"/>
  <c r="G1157" i="7"/>
  <c r="H1157" i="7"/>
  <c r="I1157" i="7"/>
  <c r="J1157" i="7"/>
  <c r="K1157" i="7"/>
  <c r="L1157" i="7"/>
  <c r="M1157" i="7"/>
  <c r="G1158" i="7"/>
  <c r="H1158" i="7"/>
  <c r="I1158" i="7"/>
  <c r="J1158" i="7"/>
  <c r="K1158" i="7"/>
  <c r="L1158" i="7"/>
  <c r="M1158" i="7"/>
  <c r="G1159" i="7"/>
  <c r="H1159" i="7"/>
  <c r="I1159" i="7"/>
  <c r="J1159" i="7"/>
  <c r="K1159" i="7"/>
  <c r="L1159" i="7"/>
  <c r="M1159" i="7"/>
  <c r="G1160" i="7"/>
  <c r="H1160" i="7"/>
  <c r="I1160" i="7"/>
  <c r="J1160" i="7"/>
  <c r="K1160" i="7"/>
  <c r="L1160" i="7"/>
  <c r="M1160" i="7"/>
  <c r="G1161" i="7"/>
  <c r="H1161" i="7"/>
  <c r="I1161" i="7"/>
  <c r="J1161" i="7"/>
  <c r="K1161" i="7"/>
  <c r="L1161" i="7"/>
  <c r="M1161" i="7"/>
  <c r="G1162" i="7"/>
  <c r="H1162" i="7"/>
  <c r="I1162" i="7"/>
  <c r="J1162" i="7"/>
  <c r="K1162" i="7"/>
  <c r="L1162" i="7"/>
  <c r="M1162" i="7"/>
  <c r="G1163" i="7"/>
  <c r="H1163" i="7"/>
  <c r="I1163" i="7"/>
  <c r="J1163" i="7"/>
  <c r="K1163" i="7"/>
  <c r="L1163" i="7"/>
  <c r="M1163" i="7"/>
  <c r="G1164" i="7"/>
  <c r="H1164" i="7"/>
  <c r="I1164" i="7"/>
  <c r="J1164" i="7"/>
  <c r="K1164" i="7"/>
  <c r="L1164" i="7"/>
  <c r="M1164" i="7"/>
  <c r="G1165" i="7"/>
  <c r="H1165" i="7"/>
  <c r="I1165" i="7"/>
  <c r="J1165" i="7"/>
  <c r="K1165" i="7"/>
  <c r="L1165" i="7"/>
  <c r="M1165" i="7"/>
  <c r="G1166" i="7"/>
  <c r="H1166" i="7"/>
  <c r="I1166" i="7"/>
  <c r="J1166" i="7"/>
  <c r="K1166" i="7"/>
  <c r="L1166" i="7"/>
  <c r="M1166" i="7"/>
  <c r="G1167" i="7"/>
  <c r="H1167" i="7"/>
  <c r="I1167" i="7"/>
  <c r="J1167" i="7"/>
  <c r="K1167" i="7"/>
  <c r="L1167" i="7"/>
  <c r="M1167" i="7"/>
  <c r="G1168" i="7"/>
  <c r="H1168" i="7"/>
  <c r="I1168" i="7"/>
  <c r="J1168" i="7"/>
  <c r="K1168" i="7"/>
  <c r="L1168" i="7"/>
  <c r="M1168" i="7"/>
  <c r="G1169" i="7"/>
  <c r="H1169" i="7"/>
  <c r="I1169" i="7"/>
  <c r="J1169" i="7"/>
  <c r="K1169" i="7"/>
  <c r="L1169" i="7"/>
  <c r="M1169" i="7"/>
  <c r="G1170" i="7"/>
  <c r="H1170" i="7"/>
  <c r="I1170" i="7"/>
  <c r="J1170" i="7"/>
  <c r="K1170" i="7"/>
  <c r="L1170" i="7"/>
  <c r="M1170" i="7"/>
  <c r="G1171" i="7"/>
  <c r="H1171" i="7"/>
  <c r="I1171" i="7"/>
  <c r="J1171" i="7"/>
  <c r="K1171" i="7"/>
  <c r="L1171" i="7"/>
  <c r="M1171" i="7"/>
  <c r="G1172" i="7"/>
  <c r="H1172" i="7"/>
  <c r="I1172" i="7"/>
  <c r="J1172" i="7"/>
  <c r="K1172" i="7"/>
  <c r="L1172" i="7"/>
  <c r="M1172" i="7"/>
  <c r="G1173" i="7"/>
  <c r="H1173" i="7"/>
  <c r="I1173" i="7"/>
  <c r="J1173" i="7"/>
  <c r="K1173" i="7"/>
  <c r="L1173" i="7"/>
  <c r="M1173" i="7"/>
  <c r="G1174" i="7"/>
  <c r="H1174" i="7"/>
  <c r="I1174" i="7"/>
  <c r="J1174" i="7"/>
  <c r="K1174" i="7"/>
  <c r="L1174" i="7"/>
  <c r="M1174" i="7"/>
  <c r="G1175" i="7"/>
  <c r="H1175" i="7"/>
  <c r="I1175" i="7"/>
  <c r="J1175" i="7"/>
  <c r="K1175" i="7"/>
  <c r="L1175" i="7"/>
  <c r="M1175" i="7"/>
  <c r="G1176" i="7"/>
  <c r="H1176" i="7"/>
  <c r="I1176" i="7"/>
  <c r="J1176" i="7"/>
  <c r="K1176" i="7"/>
  <c r="L1176" i="7"/>
  <c r="M1176" i="7"/>
  <c r="G1177" i="7"/>
  <c r="H1177" i="7"/>
  <c r="I1177" i="7"/>
  <c r="J1177" i="7"/>
  <c r="K1177" i="7"/>
  <c r="L1177" i="7"/>
  <c r="M1177" i="7"/>
  <c r="G1178" i="7"/>
  <c r="H1178" i="7"/>
  <c r="I1178" i="7"/>
  <c r="J1178" i="7"/>
  <c r="K1178" i="7"/>
  <c r="L1178" i="7"/>
  <c r="M1178" i="7"/>
  <c r="G1179" i="7"/>
  <c r="H1179" i="7"/>
  <c r="I1179" i="7"/>
  <c r="J1179" i="7"/>
  <c r="K1179" i="7"/>
  <c r="L1179" i="7"/>
  <c r="M1179" i="7"/>
  <c r="G1180" i="7"/>
  <c r="H1180" i="7"/>
  <c r="I1180" i="7"/>
  <c r="J1180" i="7"/>
  <c r="K1180" i="7"/>
  <c r="L1180" i="7"/>
  <c r="M1180" i="7"/>
  <c r="G1181" i="7"/>
  <c r="H1181" i="7"/>
  <c r="I1181" i="7"/>
  <c r="J1181" i="7"/>
  <c r="K1181" i="7"/>
  <c r="L1181" i="7"/>
  <c r="M1181" i="7"/>
  <c r="G1182" i="7"/>
  <c r="H1182" i="7"/>
  <c r="I1182" i="7"/>
  <c r="J1182" i="7"/>
  <c r="K1182" i="7"/>
  <c r="L1182" i="7"/>
  <c r="M1182" i="7"/>
  <c r="G1183" i="7"/>
  <c r="H1183" i="7"/>
  <c r="I1183" i="7"/>
  <c r="J1183" i="7"/>
  <c r="K1183" i="7"/>
  <c r="L1183" i="7"/>
  <c r="M1183" i="7"/>
  <c r="G1184" i="7"/>
  <c r="H1184" i="7"/>
  <c r="I1184" i="7"/>
  <c r="J1184" i="7"/>
  <c r="K1184" i="7"/>
  <c r="L1184" i="7"/>
  <c r="M1184" i="7"/>
  <c r="G1185" i="7"/>
  <c r="H1185" i="7"/>
  <c r="I1185" i="7"/>
  <c r="J1185" i="7"/>
  <c r="K1185" i="7"/>
  <c r="L1185" i="7"/>
  <c r="M1185" i="7"/>
  <c r="G1186" i="7"/>
  <c r="H1186" i="7"/>
  <c r="I1186" i="7"/>
  <c r="J1186" i="7"/>
  <c r="K1186" i="7"/>
  <c r="L1186" i="7"/>
  <c r="M1186" i="7"/>
  <c r="G1187" i="7"/>
  <c r="H1187" i="7"/>
  <c r="I1187" i="7"/>
  <c r="J1187" i="7"/>
  <c r="K1187" i="7"/>
  <c r="L1187" i="7"/>
  <c r="M1187" i="7"/>
  <c r="G1188" i="7"/>
  <c r="H1188" i="7"/>
  <c r="I1188" i="7"/>
  <c r="J1188" i="7"/>
  <c r="K1188" i="7"/>
  <c r="L1188" i="7"/>
  <c r="M1188" i="7"/>
  <c r="G1189" i="7"/>
  <c r="H1189" i="7"/>
  <c r="I1189" i="7"/>
  <c r="J1189" i="7"/>
  <c r="K1189" i="7"/>
  <c r="L1189" i="7"/>
  <c r="M1189" i="7"/>
  <c r="G1190" i="7"/>
  <c r="H1190" i="7"/>
  <c r="I1190" i="7"/>
  <c r="J1190" i="7"/>
  <c r="K1190" i="7"/>
  <c r="L1190" i="7"/>
  <c r="M1190" i="7"/>
  <c r="G1191" i="7"/>
  <c r="H1191" i="7"/>
  <c r="I1191" i="7"/>
  <c r="J1191" i="7"/>
  <c r="K1191" i="7"/>
  <c r="L1191" i="7"/>
  <c r="M1191" i="7"/>
  <c r="G1192" i="7"/>
  <c r="H1192" i="7"/>
  <c r="I1192" i="7"/>
  <c r="J1192" i="7"/>
  <c r="K1192" i="7"/>
  <c r="L1192" i="7"/>
  <c r="M1192" i="7"/>
  <c r="G1193" i="7"/>
  <c r="H1193" i="7"/>
  <c r="I1193" i="7"/>
  <c r="J1193" i="7"/>
  <c r="K1193" i="7"/>
  <c r="L1193" i="7"/>
  <c r="M1193" i="7"/>
  <c r="G1194" i="7"/>
  <c r="H1194" i="7"/>
  <c r="I1194" i="7"/>
  <c r="J1194" i="7"/>
  <c r="K1194" i="7"/>
  <c r="L1194" i="7"/>
  <c r="M1194" i="7"/>
  <c r="G1195" i="7"/>
  <c r="H1195" i="7"/>
  <c r="I1195" i="7"/>
  <c r="J1195" i="7"/>
  <c r="K1195" i="7"/>
  <c r="L1195" i="7"/>
  <c r="M1195" i="7"/>
  <c r="G1196" i="7"/>
  <c r="H1196" i="7"/>
  <c r="I1196" i="7"/>
  <c r="J1196" i="7"/>
  <c r="K1196" i="7"/>
  <c r="L1196" i="7"/>
  <c r="M1196" i="7"/>
  <c r="G1197" i="7"/>
  <c r="H1197" i="7"/>
  <c r="I1197" i="7"/>
  <c r="J1197" i="7"/>
  <c r="K1197" i="7"/>
  <c r="L1197" i="7"/>
  <c r="M1197" i="7"/>
  <c r="G1198" i="7"/>
  <c r="H1198" i="7"/>
  <c r="I1198" i="7"/>
  <c r="J1198" i="7"/>
  <c r="K1198" i="7"/>
  <c r="L1198" i="7"/>
  <c r="M1198" i="7"/>
  <c r="G1199" i="7"/>
  <c r="H1199" i="7"/>
  <c r="I1199" i="7"/>
  <c r="J1199" i="7"/>
  <c r="K1199" i="7"/>
  <c r="L1199" i="7"/>
  <c r="M1199" i="7"/>
  <c r="G1200" i="7"/>
  <c r="H1200" i="7"/>
  <c r="I1200" i="7"/>
  <c r="J1200" i="7"/>
  <c r="K1200" i="7"/>
  <c r="L1200" i="7"/>
  <c r="M1200" i="7"/>
  <c r="G1201" i="7"/>
  <c r="H1201" i="7"/>
  <c r="I1201" i="7"/>
  <c r="J1201" i="7"/>
  <c r="K1201" i="7"/>
  <c r="L1201" i="7"/>
  <c r="M1201" i="7"/>
  <c r="G1202" i="7"/>
  <c r="H1202" i="7"/>
  <c r="I1202" i="7"/>
  <c r="J1202" i="7"/>
  <c r="K1202" i="7"/>
  <c r="L1202" i="7"/>
  <c r="M1202" i="7"/>
  <c r="G1203" i="7"/>
  <c r="H1203" i="7"/>
  <c r="I1203" i="7"/>
  <c r="J1203" i="7"/>
  <c r="K1203" i="7"/>
  <c r="L1203" i="7"/>
  <c r="M1203" i="7"/>
  <c r="G1204" i="7"/>
  <c r="H1204" i="7"/>
  <c r="I1204" i="7"/>
  <c r="J1204" i="7"/>
  <c r="K1204" i="7"/>
  <c r="L1204" i="7"/>
  <c r="M1204" i="7"/>
  <c r="G1205" i="7"/>
  <c r="H1205" i="7"/>
  <c r="I1205" i="7"/>
  <c r="J1205" i="7"/>
  <c r="K1205" i="7"/>
  <c r="L1205" i="7"/>
  <c r="M1205" i="7"/>
  <c r="G1206" i="7"/>
  <c r="H1206" i="7"/>
  <c r="I1206" i="7"/>
  <c r="J1206" i="7"/>
  <c r="K1206" i="7"/>
  <c r="L1206" i="7"/>
  <c r="M1206" i="7"/>
  <c r="G1207" i="7"/>
  <c r="H1207" i="7"/>
  <c r="I1207" i="7"/>
  <c r="J1207" i="7"/>
  <c r="K1207" i="7"/>
  <c r="L1207" i="7"/>
  <c r="M1207" i="7"/>
  <c r="G1208" i="7"/>
  <c r="H1208" i="7"/>
  <c r="I1208" i="7"/>
  <c r="J1208" i="7"/>
  <c r="K1208" i="7"/>
  <c r="L1208" i="7"/>
  <c r="M1208" i="7"/>
  <c r="G1209" i="7"/>
  <c r="H1209" i="7"/>
  <c r="I1209" i="7"/>
  <c r="J1209" i="7"/>
  <c r="K1209" i="7"/>
  <c r="L1209" i="7"/>
  <c r="M1209" i="7"/>
  <c r="G1210" i="7"/>
  <c r="H1210" i="7"/>
  <c r="I1210" i="7"/>
  <c r="J1210" i="7"/>
  <c r="K1210" i="7"/>
  <c r="L1210" i="7"/>
  <c r="M1210" i="7"/>
  <c r="G1211" i="7"/>
  <c r="H1211" i="7"/>
  <c r="I1211" i="7"/>
  <c r="J1211" i="7"/>
  <c r="K1211" i="7"/>
  <c r="L1211" i="7"/>
  <c r="M1211" i="7"/>
  <c r="G1212" i="7"/>
  <c r="H1212" i="7"/>
  <c r="I1212" i="7"/>
  <c r="J1212" i="7"/>
  <c r="K1212" i="7"/>
  <c r="L1212" i="7"/>
  <c r="M1212" i="7"/>
  <c r="G1213" i="7"/>
  <c r="H1213" i="7"/>
  <c r="I1213" i="7"/>
  <c r="J1213" i="7"/>
  <c r="K1213" i="7"/>
  <c r="L1213" i="7"/>
  <c r="M1213" i="7"/>
  <c r="G1214" i="7"/>
  <c r="H1214" i="7"/>
  <c r="I1214" i="7"/>
  <c r="J1214" i="7"/>
  <c r="K1214" i="7"/>
  <c r="L1214" i="7"/>
  <c r="M1214" i="7"/>
  <c r="G1215" i="7"/>
  <c r="H1215" i="7"/>
  <c r="I1215" i="7"/>
  <c r="J1215" i="7"/>
  <c r="K1215" i="7"/>
  <c r="L1215" i="7"/>
  <c r="M1215" i="7"/>
  <c r="G1216" i="7"/>
  <c r="H1216" i="7"/>
  <c r="I1216" i="7"/>
  <c r="J1216" i="7"/>
  <c r="K1216" i="7"/>
  <c r="L1216" i="7"/>
  <c r="M1216" i="7"/>
  <c r="G1217" i="7"/>
  <c r="H1217" i="7"/>
  <c r="I1217" i="7"/>
  <c r="J1217" i="7"/>
  <c r="K1217" i="7"/>
  <c r="L1217" i="7"/>
  <c r="M1217" i="7"/>
  <c r="G1218" i="7"/>
  <c r="H1218" i="7"/>
  <c r="I1218" i="7"/>
  <c r="J1218" i="7"/>
  <c r="K1218" i="7"/>
  <c r="L1218" i="7"/>
  <c r="M1218" i="7"/>
  <c r="G1219" i="7"/>
  <c r="H1219" i="7"/>
  <c r="I1219" i="7"/>
  <c r="J1219" i="7"/>
  <c r="K1219" i="7"/>
  <c r="L1219" i="7"/>
  <c r="M1219" i="7"/>
  <c r="G1220" i="7"/>
  <c r="H1220" i="7"/>
  <c r="I1220" i="7"/>
  <c r="J1220" i="7"/>
  <c r="K1220" i="7"/>
  <c r="L1220" i="7"/>
  <c r="M1220" i="7"/>
  <c r="G1221" i="7"/>
  <c r="H1221" i="7"/>
  <c r="I1221" i="7"/>
  <c r="J1221" i="7"/>
  <c r="K1221" i="7"/>
  <c r="L1221" i="7"/>
  <c r="M1221" i="7"/>
  <c r="G1222" i="7"/>
  <c r="H1222" i="7"/>
  <c r="I1222" i="7"/>
  <c r="J1222" i="7"/>
  <c r="K1222" i="7"/>
  <c r="L1222" i="7"/>
  <c r="M1222" i="7"/>
  <c r="G1223" i="7"/>
  <c r="H1223" i="7"/>
  <c r="I1223" i="7"/>
  <c r="J1223" i="7"/>
  <c r="K1223" i="7"/>
  <c r="L1223" i="7"/>
  <c r="M1223" i="7"/>
  <c r="G1224" i="7"/>
  <c r="H1224" i="7"/>
  <c r="I1224" i="7"/>
  <c r="J1224" i="7"/>
  <c r="K1224" i="7"/>
  <c r="L1224" i="7"/>
  <c r="M1224" i="7"/>
  <c r="G1225" i="7"/>
  <c r="H1225" i="7"/>
  <c r="I1225" i="7"/>
  <c r="J1225" i="7"/>
  <c r="K1225" i="7"/>
  <c r="L1225" i="7"/>
  <c r="M1225" i="7"/>
  <c r="G1226" i="7"/>
  <c r="H1226" i="7"/>
  <c r="I1226" i="7"/>
  <c r="J1226" i="7"/>
  <c r="K1226" i="7"/>
  <c r="L1226" i="7"/>
  <c r="M1226" i="7"/>
  <c r="G1227" i="7"/>
  <c r="H1227" i="7"/>
  <c r="I1227" i="7"/>
  <c r="J1227" i="7"/>
  <c r="K1227" i="7"/>
  <c r="L1227" i="7"/>
  <c r="M1227" i="7"/>
  <c r="G1228" i="7"/>
  <c r="H1228" i="7"/>
  <c r="I1228" i="7"/>
  <c r="J1228" i="7"/>
  <c r="K1228" i="7"/>
  <c r="L1228" i="7"/>
  <c r="M1228" i="7"/>
  <c r="G1229" i="7"/>
  <c r="H1229" i="7"/>
  <c r="I1229" i="7"/>
  <c r="J1229" i="7"/>
  <c r="K1229" i="7"/>
  <c r="L1229" i="7"/>
  <c r="M1229" i="7"/>
  <c r="G1230" i="7"/>
  <c r="H1230" i="7"/>
  <c r="I1230" i="7"/>
  <c r="J1230" i="7"/>
  <c r="K1230" i="7"/>
  <c r="L1230" i="7"/>
  <c r="M1230" i="7"/>
  <c r="G1231" i="7"/>
  <c r="H1231" i="7"/>
  <c r="I1231" i="7"/>
  <c r="J1231" i="7"/>
  <c r="K1231" i="7"/>
  <c r="L1231" i="7"/>
  <c r="M1231" i="7"/>
  <c r="G1232" i="7"/>
  <c r="H1232" i="7"/>
  <c r="I1232" i="7"/>
  <c r="J1232" i="7"/>
  <c r="K1232" i="7"/>
  <c r="L1232" i="7"/>
  <c r="M1232" i="7"/>
  <c r="G1233" i="7"/>
  <c r="H1233" i="7"/>
  <c r="I1233" i="7"/>
  <c r="J1233" i="7"/>
  <c r="K1233" i="7"/>
  <c r="L1233" i="7"/>
  <c r="M1233" i="7"/>
  <c r="G1234" i="7"/>
  <c r="H1234" i="7"/>
  <c r="I1234" i="7"/>
  <c r="J1234" i="7"/>
  <c r="K1234" i="7"/>
  <c r="L1234" i="7"/>
  <c r="M1234" i="7"/>
  <c r="G1235" i="7"/>
  <c r="H1235" i="7"/>
  <c r="I1235" i="7"/>
  <c r="J1235" i="7"/>
  <c r="K1235" i="7"/>
  <c r="L1235" i="7"/>
  <c r="M1235" i="7"/>
  <c r="G1236" i="7"/>
  <c r="H1236" i="7"/>
  <c r="I1236" i="7"/>
  <c r="J1236" i="7"/>
  <c r="K1236" i="7"/>
  <c r="L1236" i="7"/>
  <c r="M1236" i="7"/>
  <c r="G1237" i="7"/>
  <c r="H1237" i="7"/>
  <c r="I1237" i="7"/>
  <c r="J1237" i="7"/>
  <c r="K1237" i="7"/>
  <c r="L1237" i="7"/>
  <c r="M1237" i="7"/>
  <c r="G1238" i="7"/>
  <c r="H1238" i="7"/>
  <c r="I1238" i="7"/>
  <c r="J1238" i="7"/>
  <c r="K1238" i="7"/>
  <c r="L1238" i="7"/>
  <c r="M1238" i="7"/>
  <c r="G1239" i="7"/>
  <c r="H1239" i="7"/>
  <c r="I1239" i="7"/>
  <c r="J1239" i="7"/>
  <c r="K1239" i="7"/>
  <c r="L1239" i="7"/>
  <c r="M1239" i="7"/>
  <c r="G1240" i="7"/>
  <c r="H1240" i="7"/>
  <c r="I1240" i="7"/>
  <c r="J1240" i="7"/>
  <c r="K1240" i="7"/>
  <c r="L1240" i="7"/>
  <c r="M1240" i="7"/>
  <c r="G1241" i="7"/>
  <c r="H1241" i="7"/>
  <c r="I1241" i="7"/>
  <c r="J1241" i="7"/>
  <c r="K1241" i="7"/>
  <c r="L1241" i="7"/>
  <c r="M1241" i="7"/>
  <c r="G1242" i="7"/>
  <c r="H1242" i="7"/>
  <c r="I1242" i="7"/>
  <c r="J1242" i="7"/>
  <c r="K1242" i="7"/>
  <c r="L1242" i="7"/>
  <c r="M1242" i="7"/>
  <c r="G1243" i="7"/>
  <c r="H1243" i="7"/>
  <c r="I1243" i="7"/>
  <c r="J1243" i="7"/>
  <c r="K1243" i="7"/>
  <c r="L1243" i="7"/>
  <c r="M1243" i="7"/>
  <c r="G1244" i="7"/>
  <c r="H1244" i="7"/>
  <c r="I1244" i="7"/>
  <c r="J1244" i="7"/>
  <c r="K1244" i="7"/>
  <c r="L1244" i="7"/>
  <c r="M1244" i="7"/>
  <c r="G1245" i="7"/>
  <c r="H1245" i="7"/>
  <c r="I1245" i="7"/>
  <c r="J1245" i="7"/>
  <c r="K1245" i="7"/>
  <c r="L1245" i="7"/>
  <c r="M1245" i="7"/>
  <c r="G1246" i="7"/>
  <c r="H1246" i="7"/>
  <c r="I1246" i="7"/>
  <c r="J1246" i="7"/>
  <c r="K1246" i="7"/>
  <c r="L1246" i="7"/>
  <c r="M1246" i="7"/>
  <c r="G1247" i="7"/>
  <c r="H1247" i="7"/>
  <c r="I1247" i="7"/>
  <c r="J1247" i="7"/>
  <c r="K1247" i="7"/>
  <c r="L1247" i="7"/>
  <c r="M1247" i="7"/>
  <c r="G1248" i="7"/>
  <c r="H1248" i="7"/>
  <c r="I1248" i="7"/>
  <c r="J1248" i="7"/>
  <c r="K1248" i="7"/>
  <c r="L1248" i="7"/>
  <c r="M1248" i="7"/>
  <c r="G1249" i="7"/>
  <c r="H1249" i="7"/>
  <c r="I1249" i="7"/>
  <c r="J1249" i="7"/>
  <c r="K1249" i="7"/>
  <c r="L1249" i="7"/>
  <c r="M1249" i="7"/>
  <c r="G1250" i="7"/>
  <c r="H1250" i="7"/>
  <c r="I1250" i="7"/>
  <c r="J1250" i="7"/>
  <c r="K1250" i="7"/>
  <c r="L1250" i="7"/>
  <c r="M1250" i="7"/>
  <c r="G1251" i="7"/>
  <c r="H1251" i="7"/>
  <c r="I1251" i="7"/>
  <c r="J1251" i="7"/>
  <c r="K1251" i="7"/>
  <c r="L1251" i="7"/>
  <c r="M1251" i="7"/>
  <c r="G1252" i="7"/>
  <c r="H1252" i="7"/>
  <c r="I1252" i="7"/>
  <c r="J1252" i="7"/>
  <c r="K1252" i="7"/>
  <c r="L1252" i="7"/>
  <c r="M1252" i="7"/>
  <c r="G1253" i="7"/>
  <c r="H1253" i="7"/>
  <c r="I1253" i="7"/>
  <c r="J1253" i="7"/>
  <c r="K1253" i="7"/>
  <c r="L1253" i="7"/>
  <c r="M1253" i="7"/>
  <c r="G1254" i="7"/>
  <c r="H1254" i="7"/>
  <c r="I1254" i="7"/>
  <c r="J1254" i="7"/>
  <c r="K1254" i="7"/>
  <c r="L1254" i="7"/>
  <c r="M1254" i="7"/>
  <c r="G1255" i="7"/>
  <c r="H1255" i="7"/>
  <c r="I1255" i="7"/>
  <c r="J1255" i="7"/>
  <c r="K1255" i="7"/>
  <c r="L1255" i="7"/>
  <c r="M1255" i="7"/>
  <c r="G1256" i="7"/>
  <c r="H1256" i="7"/>
  <c r="I1256" i="7"/>
  <c r="J1256" i="7"/>
  <c r="K1256" i="7"/>
  <c r="L1256" i="7"/>
  <c r="M1256" i="7"/>
  <c r="G1257" i="7"/>
  <c r="H1257" i="7"/>
  <c r="I1257" i="7"/>
  <c r="J1257" i="7"/>
  <c r="K1257" i="7"/>
  <c r="L1257" i="7"/>
  <c r="M1257" i="7"/>
  <c r="G1258" i="7"/>
  <c r="H1258" i="7"/>
  <c r="I1258" i="7"/>
  <c r="J1258" i="7"/>
  <c r="K1258" i="7"/>
  <c r="L1258" i="7"/>
  <c r="M1258" i="7"/>
  <c r="G1259" i="7"/>
  <c r="H1259" i="7"/>
  <c r="I1259" i="7"/>
  <c r="J1259" i="7"/>
  <c r="K1259" i="7"/>
  <c r="L1259" i="7"/>
  <c r="M1259" i="7"/>
  <c r="G1260" i="7"/>
  <c r="H1260" i="7"/>
  <c r="I1260" i="7"/>
  <c r="J1260" i="7"/>
  <c r="K1260" i="7"/>
  <c r="L1260" i="7"/>
  <c r="M1260" i="7"/>
  <c r="G1261" i="7"/>
  <c r="H1261" i="7"/>
  <c r="I1261" i="7"/>
  <c r="J1261" i="7"/>
  <c r="K1261" i="7"/>
  <c r="L1261" i="7"/>
  <c r="M1261" i="7"/>
  <c r="G1262" i="7"/>
  <c r="H1262" i="7"/>
  <c r="I1262" i="7"/>
  <c r="J1262" i="7"/>
  <c r="K1262" i="7"/>
  <c r="L1262" i="7"/>
  <c r="M1262" i="7"/>
  <c r="G1263" i="7"/>
  <c r="H1263" i="7"/>
  <c r="I1263" i="7"/>
  <c r="J1263" i="7"/>
  <c r="K1263" i="7"/>
  <c r="L1263" i="7"/>
  <c r="M1263" i="7"/>
  <c r="G1264" i="7"/>
  <c r="H1264" i="7"/>
  <c r="I1264" i="7"/>
  <c r="J1264" i="7"/>
  <c r="K1264" i="7"/>
  <c r="L1264" i="7"/>
  <c r="M1264" i="7"/>
  <c r="G1265" i="7"/>
  <c r="H1265" i="7"/>
  <c r="I1265" i="7"/>
  <c r="J1265" i="7"/>
  <c r="K1265" i="7"/>
  <c r="L1265" i="7"/>
  <c r="M1265" i="7"/>
  <c r="G1266" i="7"/>
  <c r="H1266" i="7"/>
  <c r="I1266" i="7"/>
  <c r="J1266" i="7"/>
  <c r="K1266" i="7"/>
  <c r="L1266" i="7"/>
  <c r="M1266" i="7"/>
  <c r="G1267" i="7"/>
  <c r="H1267" i="7"/>
  <c r="I1267" i="7"/>
  <c r="J1267" i="7"/>
  <c r="K1267" i="7"/>
  <c r="L1267" i="7"/>
  <c r="M1267" i="7"/>
  <c r="G1268" i="7"/>
  <c r="H1268" i="7"/>
  <c r="I1268" i="7"/>
  <c r="J1268" i="7"/>
  <c r="K1268" i="7"/>
  <c r="L1268" i="7"/>
  <c r="M1268" i="7"/>
  <c r="G1269" i="7"/>
  <c r="H1269" i="7"/>
  <c r="I1269" i="7"/>
  <c r="J1269" i="7"/>
  <c r="K1269" i="7"/>
  <c r="L1269" i="7"/>
  <c r="M1269" i="7"/>
  <c r="G1270" i="7"/>
  <c r="H1270" i="7"/>
  <c r="I1270" i="7"/>
  <c r="J1270" i="7"/>
  <c r="K1270" i="7"/>
  <c r="L1270" i="7"/>
  <c r="M1270" i="7"/>
  <c r="G1271" i="7"/>
  <c r="H1271" i="7"/>
  <c r="I1271" i="7"/>
  <c r="J1271" i="7"/>
  <c r="K1271" i="7"/>
  <c r="L1271" i="7"/>
  <c r="M1271" i="7"/>
  <c r="G1272" i="7"/>
  <c r="H1272" i="7"/>
  <c r="I1272" i="7"/>
  <c r="J1272" i="7"/>
  <c r="K1272" i="7"/>
  <c r="L1272" i="7"/>
  <c r="M1272" i="7"/>
  <c r="G1273" i="7"/>
  <c r="H1273" i="7"/>
  <c r="I1273" i="7"/>
  <c r="J1273" i="7"/>
  <c r="K1273" i="7"/>
  <c r="L1273" i="7"/>
  <c r="M1273" i="7"/>
  <c r="G1274" i="7"/>
  <c r="H1274" i="7"/>
  <c r="I1274" i="7"/>
  <c r="J1274" i="7"/>
  <c r="K1274" i="7"/>
  <c r="L1274" i="7"/>
  <c r="M1274" i="7"/>
  <c r="G1275" i="7"/>
  <c r="H1275" i="7"/>
  <c r="I1275" i="7"/>
  <c r="J1275" i="7"/>
  <c r="K1275" i="7"/>
  <c r="L1275" i="7"/>
  <c r="M1275" i="7"/>
  <c r="G1276" i="7"/>
  <c r="H1276" i="7"/>
  <c r="I1276" i="7"/>
  <c r="J1276" i="7"/>
  <c r="K1276" i="7"/>
  <c r="L1276" i="7"/>
  <c r="M1276" i="7"/>
  <c r="G1277" i="7"/>
  <c r="H1277" i="7"/>
  <c r="I1277" i="7"/>
  <c r="J1277" i="7"/>
  <c r="K1277" i="7"/>
  <c r="L1277" i="7"/>
  <c r="M1277" i="7"/>
  <c r="G1278" i="7"/>
  <c r="H1278" i="7"/>
  <c r="I1278" i="7"/>
  <c r="J1278" i="7"/>
  <c r="K1278" i="7"/>
  <c r="L1278" i="7"/>
  <c r="M1278" i="7"/>
  <c r="G1279" i="7"/>
  <c r="H1279" i="7"/>
  <c r="I1279" i="7"/>
  <c r="J1279" i="7"/>
  <c r="K1279" i="7"/>
  <c r="L1279" i="7"/>
  <c r="M1279" i="7"/>
  <c r="G1280" i="7"/>
  <c r="H1280" i="7"/>
  <c r="I1280" i="7"/>
  <c r="J1280" i="7"/>
  <c r="K1280" i="7"/>
  <c r="L1280" i="7"/>
  <c r="M1280" i="7"/>
  <c r="G1281" i="7"/>
  <c r="H1281" i="7"/>
  <c r="I1281" i="7"/>
  <c r="J1281" i="7"/>
  <c r="K1281" i="7"/>
  <c r="L1281" i="7"/>
  <c r="M1281" i="7"/>
  <c r="G1282" i="7"/>
  <c r="H1282" i="7"/>
  <c r="I1282" i="7"/>
  <c r="J1282" i="7"/>
  <c r="K1282" i="7"/>
  <c r="L1282" i="7"/>
  <c r="M1282" i="7"/>
  <c r="G1283" i="7"/>
  <c r="H1283" i="7"/>
  <c r="I1283" i="7"/>
  <c r="J1283" i="7"/>
  <c r="K1283" i="7"/>
  <c r="L1283" i="7"/>
  <c r="M1283" i="7"/>
  <c r="G1284" i="7"/>
  <c r="H1284" i="7"/>
  <c r="I1284" i="7"/>
  <c r="J1284" i="7"/>
  <c r="K1284" i="7"/>
  <c r="L1284" i="7"/>
  <c r="M1284" i="7"/>
  <c r="G1285" i="7"/>
  <c r="H1285" i="7"/>
  <c r="I1285" i="7"/>
  <c r="J1285" i="7"/>
  <c r="K1285" i="7"/>
  <c r="L1285" i="7"/>
  <c r="M1285" i="7"/>
  <c r="G1286" i="7"/>
  <c r="H1286" i="7"/>
  <c r="I1286" i="7"/>
  <c r="J1286" i="7"/>
  <c r="K1286" i="7"/>
  <c r="L1286" i="7"/>
  <c r="M1286" i="7"/>
  <c r="G1287" i="7"/>
  <c r="H1287" i="7"/>
  <c r="I1287" i="7"/>
  <c r="J1287" i="7"/>
  <c r="K1287" i="7"/>
  <c r="L1287" i="7"/>
  <c r="M1287" i="7"/>
  <c r="G1288" i="7"/>
  <c r="H1288" i="7"/>
  <c r="I1288" i="7"/>
  <c r="J1288" i="7"/>
  <c r="K1288" i="7"/>
  <c r="L1288" i="7"/>
  <c r="M1288" i="7"/>
  <c r="G1289" i="7"/>
  <c r="H1289" i="7"/>
  <c r="I1289" i="7"/>
  <c r="J1289" i="7"/>
  <c r="K1289" i="7"/>
  <c r="L1289" i="7"/>
  <c r="M1289" i="7"/>
  <c r="G1290" i="7"/>
  <c r="H1290" i="7"/>
  <c r="I1290" i="7"/>
  <c r="J1290" i="7"/>
  <c r="K1290" i="7"/>
  <c r="L1290" i="7"/>
  <c r="M1290" i="7"/>
  <c r="G1291" i="7"/>
  <c r="H1291" i="7"/>
  <c r="I1291" i="7"/>
  <c r="J1291" i="7"/>
  <c r="K1291" i="7"/>
  <c r="L1291" i="7"/>
  <c r="M1291" i="7"/>
  <c r="G1292" i="7"/>
  <c r="H1292" i="7"/>
  <c r="I1292" i="7"/>
  <c r="J1292" i="7"/>
  <c r="K1292" i="7"/>
  <c r="L1292" i="7"/>
  <c r="M1292" i="7"/>
  <c r="G1293" i="7"/>
  <c r="H1293" i="7"/>
  <c r="I1293" i="7"/>
  <c r="J1293" i="7"/>
  <c r="K1293" i="7"/>
  <c r="L1293" i="7"/>
  <c r="M1293" i="7"/>
  <c r="G1294" i="7"/>
  <c r="H1294" i="7"/>
  <c r="I1294" i="7"/>
  <c r="J1294" i="7"/>
  <c r="K1294" i="7"/>
  <c r="L1294" i="7"/>
  <c r="M1294" i="7"/>
  <c r="G1295" i="7"/>
  <c r="H1295" i="7"/>
  <c r="I1295" i="7"/>
  <c r="J1295" i="7"/>
  <c r="K1295" i="7"/>
  <c r="L1295" i="7"/>
  <c r="M1295" i="7"/>
  <c r="G1296" i="7"/>
  <c r="H1296" i="7"/>
  <c r="I1296" i="7"/>
  <c r="J1296" i="7"/>
  <c r="K1296" i="7"/>
  <c r="L1296" i="7"/>
  <c r="M1296" i="7"/>
  <c r="G1297" i="7"/>
  <c r="H1297" i="7"/>
  <c r="I1297" i="7"/>
  <c r="J1297" i="7"/>
  <c r="K1297" i="7"/>
  <c r="L1297" i="7"/>
  <c r="M1297" i="7"/>
  <c r="G1298" i="7"/>
  <c r="H1298" i="7"/>
  <c r="I1298" i="7"/>
  <c r="J1298" i="7"/>
  <c r="K1298" i="7"/>
  <c r="L1298" i="7"/>
  <c r="M1298" i="7"/>
  <c r="G1299" i="7"/>
  <c r="H1299" i="7"/>
  <c r="I1299" i="7"/>
  <c r="J1299" i="7"/>
  <c r="K1299" i="7"/>
  <c r="L1299" i="7"/>
  <c r="M1299" i="7"/>
  <c r="G1300" i="7"/>
  <c r="H1300" i="7"/>
  <c r="I1300" i="7"/>
  <c r="J1300" i="7"/>
  <c r="K1300" i="7"/>
  <c r="L1300" i="7"/>
  <c r="M1300" i="7"/>
  <c r="G1301" i="7"/>
  <c r="H1301" i="7"/>
  <c r="I1301" i="7"/>
  <c r="J1301" i="7"/>
  <c r="K1301" i="7"/>
  <c r="L1301" i="7"/>
  <c r="M1301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G2" i="7"/>
  <c r="H2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3" i="7"/>
  <c r="F9" i="5"/>
  <c r="F3" i="5"/>
  <c r="F4" i="5"/>
  <c r="F5" i="5"/>
  <c r="F18" i="4"/>
  <c r="D18" i="4"/>
  <c r="D17" i="4"/>
  <c r="C25" i="3"/>
  <c r="C24" i="3"/>
  <c r="C5" i="4"/>
  <c r="C7" i="4"/>
  <c r="C8" i="4"/>
  <c r="D5" i="4"/>
  <c r="D7" i="4"/>
  <c r="D8" i="4"/>
  <c r="E5" i="4"/>
  <c r="E7" i="4"/>
  <c r="E8" i="4"/>
  <c r="F5" i="4"/>
  <c r="F7" i="4"/>
  <c r="F8" i="4"/>
  <c r="G5" i="4"/>
  <c r="G7" i="4"/>
  <c r="G8" i="4"/>
  <c r="B8" i="4"/>
  <c r="B12" i="4"/>
  <c r="E18" i="3"/>
  <c r="E14" i="3"/>
  <c r="E9" i="3"/>
  <c r="E5" i="3"/>
  <c r="C12" i="2"/>
  <c r="D12" i="2" s="1"/>
  <c r="C7" i="2"/>
  <c r="C8" i="2" s="1"/>
  <c r="E8" i="3" l="1"/>
  <c r="E15" i="3"/>
  <c r="E16" i="3"/>
  <c r="G16" i="3" s="1"/>
  <c r="E10" i="3"/>
  <c r="G15" i="3"/>
  <c r="G18" i="3"/>
  <c r="G19" i="3"/>
  <c r="G17" i="3"/>
  <c r="C13" i="2"/>
  <c r="D13" i="2"/>
  <c r="E12" i="2"/>
  <c r="D7" i="2"/>
  <c r="D15" i="10"/>
  <c r="E7" i="2" l="1"/>
  <c r="D8" i="2"/>
  <c r="E13" i="2"/>
  <c r="F12" i="2"/>
  <c r="G12" i="2" l="1"/>
  <c r="F13" i="2"/>
  <c r="E8" i="2"/>
  <c r="F7" i="2"/>
  <c r="F8" i="2" l="1"/>
  <c r="G7" i="2"/>
  <c r="G13" i="2"/>
  <c r="H12" i="2"/>
  <c r="H13" i="2" l="1"/>
  <c r="I12" i="2"/>
  <c r="G8" i="2"/>
  <c r="H7" i="2"/>
  <c r="H8" i="2" l="1"/>
  <c r="I7" i="2"/>
  <c r="I13" i="2"/>
  <c r="J12" i="2"/>
  <c r="J13" i="2" l="1"/>
  <c r="K12" i="2"/>
  <c r="J7" i="2"/>
  <c r="I8" i="2"/>
  <c r="J8" i="2" l="1"/>
  <c r="K7" i="2"/>
  <c r="L12" i="2"/>
  <c r="K13" i="2"/>
  <c r="M12" i="2" l="1"/>
  <c r="L13" i="2"/>
  <c r="K8" i="2"/>
  <c r="L7" i="2"/>
  <c r="L8" i="2" l="1"/>
  <c r="M7" i="2"/>
  <c r="M13" i="2"/>
  <c r="N12" i="2"/>
  <c r="M8" i="2" l="1"/>
  <c r="N7" i="2"/>
  <c r="N13" i="2"/>
  <c r="O12" i="2"/>
  <c r="O7" i="2" l="1"/>
  <c r="N8" i="2"/>
  <c r="O13" i="2"/>
  <c r="P12" i="2"/>
  <c r="P7" i="2" l="1"/>
  <c r="O8" i="2"/>
  <c r="P13" i="2"/>
  <c r="Q12" i="2"/>
  <c r="Q7" i="2" l="1"/>
  <c r="P8" i="2"/>
  <c r="Q13" i="2"/>
  <c r="R12" i="2"/>
  <c r="R7" i="2" l="1"/>
  <c r="Q8" i="2"/>
  <c r="R13" i="2"/>
  <c r="S12" i="2"/>
  <c r="S7" i="2" l="1"/>
  <c r="R8" i="2"/>
  <c r="T12" i="2"/>
  <c r="S13" i="2"/>
  <c r="T7" i="2" l="1"/>
  <c r="S8" i="2"/>
  <c r="T13" i="2"/>
  <c r="U12" i="2"/>
  <c r="U7" i="2" l="1"/>
  <c r="T8" i="2"/>
  <c r="U13" i="2"/>
  <c r="V12" i="2"/>
  <c r="V7" i="2" l="1"/>
  <c r="U8" i="2"/>
  <c r="W12" i="2"/>
  <c r="V13" i="2"/>
  <c r="W7" i="2" l="1"/>
  <c r="V8" i="2"/>
  <c r="W13" i="2"/>
  <c r="X12" i="2"/>
  <c r="X7" i="2" l="1"/>
  <c r="W8" i="2"/>
  <c r="X13" i="2"/>
  <c r="Y12" i="2"/>
  <c r="Y7" i="2" l="1"/>
  <c r="X8" i="2"/>
  <c r="Y13" i="2"/>
  <c r="Z12" i="2"/>
  <c r="Z7" i="2" l="1"/>
  <c r="Y8" i="2"/>
  <c r="Z13" i="2"/>
  <c r="AA12" i="2"/>
  <c r="Z8" i="2" l="1"/>
  <c r="AA7" i="2"/>
  <c r="AA8" i="2" s="1"/>
  <c r="B8" i="2" s="1"/>
  <c r="AB12" i="2"/>
  <c r="AA13" i="2"/>
  <c r="AB13" i="2" l="1"/>
  <c r="AC12" i="2"/>
  <c r="AC13" i="2" l="1"/>
  <c r="AD12" i="2"/>
  <c r="AE12" i="2" l="1"/>
  <c r="AD13" i="2"/>
  <c r="AE13" i="2" l="1"/>
  <c r="AF12" i="2"/>
  <c r="AG12" i="2" l="1"/>
  <c r="AF13" i="2"/>
  <c r="AG13" i="2" l="1"/>
  <c r="AH12" i="2"/>
  <c r="AH13" i="2" l="1"/>
  <c r="AI12" i="2"/>
  <c r="AJ12" i="2" l="1"/>
  <c r="AI13" i="2"/>
  <c r="AJ13" i="2" l="1"/>
  <c r="AK12" i="2"/>
  <c r="AK13" i="2" l="1"/>
  <c r="AL12" i="2"/>
  <c r="AM12" i="2" l="1"/>
  <c r="AL13" i="2"/>
  <c r="AM13" i="2" l="1"/>
  <c r="AN12" i="2"/>
  <c r="AN13" i="2" l="1"/>
  <c r="AO12" i="2"/>
  <c r="AO13" i="2" l="1"/>
  <c r="AP12" i="2"/>
  <c r="AP13" i="2" l="1"/>
  <c r="AQ12" i="2"/>
  <c r="AQ13" i="2" l="1"/>
  <c r="AR12" i="2"/>
  <c r="AS12" i="2" l="1"/>
  <c r="AR13" i="2"/>
  <c r="AT12" i="2" l="1"/>
  <c r="AS13" i="2"/>
  <c r="AT13" i="2" l="1"/>
  <c r="AU12" i="2"/>
  <c r="AU13" i="2" l="1"/>
  <c r="AV12" i="2"/>
  <c r="AW12" i="2" l="1"/>
  <c r="AV13" i="2"/>
  <c r="AW13" i="2" l="1"/>
  <c r="AX12" i="2"/>
  <c r="AX13" i="2" l="1"/>
  <c r="AY12" i="2"/>
  <c r="AZ12" i="2" l="1"/>
  <c r="AY13" i="2"/>
  <c r="AZ13" i="2" l="1"/>
  <c r="BA12" i="2"/>
  <c r="BA13" i="2" l="1"/>
  <c r="BB12" i="2"/>
  <c r="BC12" i="2" l="1"/>
  <c r="BB13" i="2"/>
  <c r="BC13" i="2" l="1"/>
  <c r="BD12" i="2"/>
  <c r="BD13" i="2" l="1"/>
  <c r="BE12" i="2"/>
  <c r="BE13" i="2" l="1"/>
  <c r="BF12" i="2"/>
  <c r="BF13" i="2" l="1"/>
  <c r="BG12" i="2"/>
  <c r="BH12" i="2" l="1"/>
  <c r="BG13" i="2"/>
  <c r="BH13" i="2" l="1"/>
  <c r="BI12" i="2"/>
  <c r="BJ12" i="2" l="1"/>
  <c r="BI13" i="2"/>
  <c r="BK12" i="2" l="1"/>
  <c r="BJ13" i="2"/>
  <c r="BK13" i="2" l="1"/>
  <c r="BL12" i="2"/>
  <c r="BL13" i="2" l="1"/>
  <c r="BM12" i="2"/>
  <c r="BM13" i="2" l="1"/>
  <c r="BN12" i="2"/>
  <c r="BN13" i="2" l="1"/>
  <c r="BO12" i="2"/>
  <c r="BP12" i="2" l="1"/>
  <c r="BO13" i="2"/>
  <c r="BP13" i="2" l="1"/>
  <c r="BQ12" i="2"/>
  <c r="BQ13" i="2" l="1"/>
  <c r="BR12" i="2"/>
  <c r="BS12" i="2" l="1"/>
  <c r="BR13" i="2"/>
  <c r="BS13" i="2" l="1"/>
  <c r="BT12" i="2"/>
  <c r="BT13" i="2" l="1"/>
  <c r="BU12" i="2"/>
  <c r="BU13" i="2" l="1"/>
  <c r="BV12" i="2"/>
  <c r="BV13" i="2" l="1"/>
  <c r="BW12" i="2"/>
  <c r="BX12" i="2" l="1"/>
  <c r="BW13" i="2"/>
  <c r="BX13" i="2" l="1"/>
  <c r="BY12" i="2"/>
  <c r="BY13" i="2" s="1"/>
  <c r="B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5" authorId="0" shapeId="0" xr:uid="{00000000-0006-0000-0300-000001000000}">
      <text>
        <r>
          <rPr>
            <b/>
            <sz val="10"/>
            <color rgb="FF000000"/>
            <rFont val="Calibri"/>
            <family val="2"/>
          </rPr>
          <t>Rick: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It is easy to see the Effective Annual Rate from here. C24:C26 checks it.</t>
        </r>
      </text>
    </comment>
  </commentList>
</comments>
</file>

<file path=xl/sharedStrings.xml><?xml version="1.0" encoding="utf-8"?>
<sst xmlns="http://schemas.openxmlformats.org/spreadsheetml/2006/main" count="90" uniqueCount="54">
  <si>
    <t>Face</t>
  </si>
  <si>
    <t>Coupon</t>
  </si>
  <si>
    <t>annual, paid annually</t>
  </si>
  <si>
    <t>Life</t>
  </si>
  <si>
    <t>years</t>
  </si>
  <si>
    <t>Cash flows</t>
  </si>
  <si>
    <t>Coupons</t>
  </si>
  <si>
    <t>Total</t>
  </si>
  <si>
    <t>Sells for:</t>
  </si>
  <si>
    <t>Yield</t>
  </si>
  <si>
    <t>(i.e., the market rate of interest implied by the bond selling for $1,100)</t>
  </si>
  <si>
    <t>PV of cash flows @ yield rate:</t>
  </si>
  <si>
    <t>PV at t=0 of Cash Flow Received at :</t>
  </si>
  <si>
    <t>Face Value</t>
  </si>
  <si>
    <t>Coupon Rate</t>
  </si>
  <si>
    <t>Total Cash Flows</t>
  </si>
  <si>
    <t>Yield Rate</t>
  </si>
  <si>
    <t>Amount</t>
  </si>
  <si>
    <t>Growth_Rate</t>
  </si>
  <si>
    <t>Interest_Rate</t>
  </si>
  <si>
    <t>25 year life</t>
  </si>
  <si>
    <t>Cash Flow</t>
  </si>
  <si>
    <t>PV</t>
  </si>
  <si>
    <t>75 year life</t>
  </si>
  <si>
    <t>Interest Rate</t>
  </si>
  <si>
    <t>Term</t>
  </si>
  <si>
    <t>FV Factors</t>
  </si>
  <si>
    <t>1 year</t>
  </si>
  <si>
    <t>3 years</t>
  </si>
  <si>
    <t>Annual</t>
  </si>
  <si>
    <t>Semi-annual</t>
  </si>
  <si>
    <t>Monthly</t>
  </si>
  <si>
    <t>Weekly</t>
  </si>
  <si>
    <t>Daily</t>
  </si>
  <si>
    <t>Continuously</t>
  </si>
  <si>
    <t>$1 billion</t>
  </si>
  <si>
    <t>Increase over Annual</t>
  </si>
  <si>
    <t>EAR</t>
  </si>
  <si>
    <t>coupon</t>
  </si>
  <si>
    <t>interest rate</t>
  </si>
  <si>
    <t>face</t>
  </si>
  <si>
    <t>maturity</t>
  </si>
  <si>
    <t>Interest rate</t>
  </si>
  <si>
    <t>Week</t>
  </si>
  <si>
    <t>Semiannual</t>
  </si>
  <si>
    <t>Quarterly</t>
  </si>
  <si>
    <t>Continuous</t>
  </si>
  <si>
    <t>Compounding period</t>
  </si>
  <si>
    <t>Semi annual</t>
  </si>
  <si>
    <t>0.5 years</t>
  </si>
  <si>
    <t>0.25 years</t>
  </si>
  <si>
    <t>0.083333 years</t>
  </si>
  <si>
    <t>.019231 years</t>
  </si>
  <si>
    <t>.0027973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</si>
</sst>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0%"/>
    <numFmt numFmtId="165" formatCode="&quot;$&quot;#,##0"/>
    <numFmt numFmtId="166" formatCode="0.00000%"/>
    <numFmt numFmtId="167" formatCode="_(&quot;$&quot;* #,##0_);_(&quot;$&quot;* \(#,##0\);_(&quot;$&quot;* &quot;-&quot;??_);_(@_)"/>
    <numFmt numFmtId="168" formatCode="0.000000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6" fontId="0" fillId="0" borderId="0" xfId="0" applyNumberFormat="1"/>
    <xf numFmtId="9" fontId="0" fillId="0" borderId="0" xfId="0" applyNumberFormat="1"/>
    <xf numFmtId="166" fontId="0" fillId="0" borderId="0" xfId="5" applyNumberFormat="1" applyFont="1"/>
    <xf numFmtId="44" fontId="0" fillId="0" borderId="0" xfId="0" applyNumberFormat="1"/>
    <xf numFmtId="44" fontId="0" fillId="0" borderId="0" xfId="8" applyFont="1"/>
    <xf numFmtId="0" fontId="4" fillId="0" borderId="0" xfId="0" applyFont="1"/>
    <xf numFmtId="0" fontId="0" fillId="0" borderId="1" xfId="0" applyBorder="1" applyAlignment="1">
      <alignment horizontal="center"/>
    </xf>
    <xf numFmtId="6" fontId="0" fillId="0" borderId="2" xfId="0" applyNumberFormat="1" applyBorder="1"/>
    <xf numFmtId="6" fontId="4" fillId="2" borderId="0" xfId="0" applyNumberFormat="1" applyFont="1" applyFill="1"/>
    <xf numFmtId="9" fontId="4" fillId="2" borderId="0" xfId="0" applyNumberFormat="1" applyFont="1" applyFill="1"/>
    <xf numFmtId="0" fontId="4" fillId="2" borderId="0" xfId="0" applyFont="1" applyFill="1"/>
    <xf numFmtId="164" fontId="0" fillId="3" borderId="0" xfId="0" applyNumberFormat="1" applyFill="1"/>
    <xf numFmtId="6" fontId="0" fillId="3" borderId="2" xfId="0" applyNumberFormat="1" applyFill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4" fillId="0" borderId="1" xfId="0" applyFont="1" applyBorder="1" applyAlignment="1">
      <alignment horizontal="center"/>
    </xf>
    <xf numFmtId="6" fontId="4" fillId="4" borderId="0" xfId="0" applyNumberFormat="1" applyFont="1" applyFill="1"/>
    <xf numFmtId="9" fontId="4" fillId="4" borderId="0" xfId="0" applyNumberFormat="1" applyFont="1" applyFill="1"/>
    <xf numFmtId="0" fontId="4" fillId="4" borderId="0" xfId="0" applyFont="1" applyFill="1"/>
    <xf numFmtId="0" fontId="4" fillId="0" borderId="3" xfId="0" applyFont="1" applyBorder="1" applyAlignment="1">
      <alignment horizontal="center" vertical="center"/>
    </xf>
    <xf numFmtId="8" fontId="0" fillId="5" borderId="0" xfId="0" applyNumberFormat="1" applyFill="1"/>
    <xf numFmtId="168" fontId="0" fillId="5" borderId="0" xfId="0" applyNumberFormat="1" applyFill="1"/>
    <xf numFmtId="165" fontId="0" fillId="5" borderId="0" xfId="0" applyNumberFormat="1" applyFill="1"/>
    <xf numFmtId="165" fontId="4" fillId="5" borderId="0" xfId="0" applyNumberFormat="1" applyFont="1" applyFill="1"/>
    <xf numFmtId="6" fontId="0" fillId="4" borderId="0" xfId="0" applyNumberFormat="1" applyFill="1"/>
    <xf numFmtId="9" fontId="0" fillId="4" borderId="0" xfId="0" applyNumberFormat="1" applyFill="1"/>
    <xf numFmtId="0" fontId="0" fillId="4" borderId="0" xfId="0" applyFill="1"/>
    <xf numFmtId="44" fontId="0" fillId="5" borderId="0" xfId="8" applyFont="1" applyFill="1"/>
    <xf numFmtId="167" fontId="0" fillId="4" borderId="0" xfId="8" applyNumberFormat="1" applyFont="1" applyFill="1"/>
    <xf numFmtId="164" fontId="4" fillId="5" borderId="0" xfId="0" applyNumberFormat="1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9">
    <cellStyle name="Currency" xfId="8" builtinId="4"/>
    <cellStyle name="Followed Hyperlink" xfId="2" builtinId="9" hidden="1"/>
    <cellStyle name="Followed Hyperlink" xfId="4" builtinId="9" hidden="1"/>
    <cellStyle name="Followed Hyperlink" xfId="7" builtinId="9" hidden="1"/>
    <cellStyle name="Hyperlink" xfId="1" builtinId="8" hidden="1"/>
    <cellStyle name="Hyperlink" xfId="3" builtinId="8" hidden="1"/>
    <cellStyle name="Hyperlink" xfId="6" builtinId="8" hidden="1"/>
    <cellStyle name="Normal" xfId="0" builtinId="0"/>
    <cellStyle name="Percent" xfId="5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 Values Over 25 Years of $1,000 Invested</a:t>
            </a:r>
            <a:r>
              <a:rPr lang="en-US" baseline="0"/>
              <a:t> at 10% with Different Compounding Periods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7190140763883298E-2"/>
          <c:y val="3.6363636363636397E-2"/>
          <c:w val="0.75567217348197502"/>
          <c:h val="0.90580481985206396"/>
        </c:manualLayout>
      </c:layout>
      <c:lineChart>
        <c:grouping val="standard"/>
        <c:varyColors val="0"/>
        <c:ser>
          <c:idx val="0"/>
          <c:order val="7"/>
          <c:tx>
            <c:strRef>
              <c:f>'Compounding within 1 year'!$G$1</c:f>
              <c:strCache>
                <c:ptCount val="1"/>
                <c:pt idx="0">
                  <c:v>Annual</c:v>
                </c:pt>
              </c:strCache>
            </c:strRef>
          </c:tx>
          <c:marker>
            <c:symbol val="none"/>
          </c:marker>
          <c:val>
            <c:numRef>
              <c:f>'Compounding within 1 year'!$G$2:$G$1363</c:f>
              <c:numCache>
                <c:formatCode>_("$"* #,##0.00_);_("$"* \(#,##0.00\);_("$"* "-"??_);_(@_)</c:formatCode>
                <c:ptCount val="1362"/>
                <c:pt idx="0">
                  <c:v>1001.8345908742408</c:v>
                </c:pt>
                <c:pt idx="1">
                  <c:v>1003.6725474721575</c:v>
                </c:pt>
                <c:pt idx="2">
                  <c:v>1005.5138759684759</c:v>
                </c:pt>
                <c:pt idx="3">
                  <c:v>1007.3585825492502</c:v>
                </c:pt>
                <c:pt idx="4">
                  <c:v>1009.2066734118832</c:v>
                </c:pt>
                <c:pt idx="5">
                  <c:v>1011.0581547651474</c:v>
                </c:pt>
                <c:pt idx="6">
                  <c:v>1012.9130328292064</c:v>
                </c:pt>
                <c:pt idx="7">
                  <c:v>1014.7713138356343</c:v>
                </c:pt>
                <c:pt idx="8">
                  <c:v>1016.6330040274385</c:v>
                </c:pt>
                <c:pt idx="9">
                  <c:v>1018.4981096590793</c:v>
                </c:pt>
                <c:pt idx="10">
                  <c:v>1020.3666369964913</c:v>
                </c:pt>
                <c:pt idx="11">
                  <c:v>1022.2385923171049</c:v>
                </c:pt>
                <c:pt idx="12">
                  <c:v>1024.1139819098667</c:v>
                </c:pt>
                <c:pt idx="13">
                  <c:v>1025.9928120752609</c:v>
                </c:pt>
                <c:pt idx="14">
                  <c:v>1027.8750891253308</c:v>
                </c:pt>
                <c:pt idx="15">
                  <c:v>1029.7608193836995</c:v>
                </c:pt>
                <c:pt idx="16">
                  <c:v>1031.6500091855917</c:v>
                </c:pt>
                <c:pt idx="17">
                  <c:v>1033.5426648778539</c:v>
                </c:pt>
                <c:pt idx="18">
                  <c:v>1035.4387928189772</c:v>
                </c:pt>
                <c:pt idx="19">
                  <c:v>1037.3383993791178</c:v>
                </c:pt>
                <c:pt idx="20">
                  <c:v>1039.2414909401184</c:v>
                </c:pt>
                <c:pt idx="21">
                  <c:v>1041.1480738955295</c:v>
                </c:pt>
                <c:pt idx="22">
                  <c:v>1043.0581546506316</c:v>
                </c:pt>
                <c:pt idx="23">
                  <c:v>1044.971739622456</c:v>
                </c:pt>
                <c:pt idx="24">
                  <c:v>1046.8888352398069</c:v>
                </c:pt>
                <c:pt idx="25">
                  <c:v>1048.8094479432825</c:v>
                </c:pt>
                <c:pt idx="26">
                  <c:v>1050.7335841852966</c:v>
                </c:pt>
                <c:pt idx="27">
                  <c:v>1052.6612504301013</c:v>
                </c:pt>
                <c:pt idx="28">
                  <c:v>1054.5924531538074</c:v>
                </c:pt>
                <c:pt idx="29">
                  <c:v>1056.5271988444065</c:v>
                </c:pt>
                <c:pt idx="30">
                  <c:v>1058.4654940017938</c:v>
                </c:pt>
                <c:pt idx="31">
                  <c:v>1060.4073451377883</c:v>
                </c:pt>
                <c:pt idx="32">
                  <c:v>1062.352758776156</c:v>
                </c:pt>
                <c:pt idx="33">
                  <c:v>1064.3017414526309</c:v>
                </c:pt>
                <c:pt idx="34">
                  <c:v>1066.2542997149387</c:v>
                </c:pt>
                <c:pt idx="35">
                  <c:v>1068.2104401228157</c:v>
                </c:pt>
                <c:pt idx="36">
                  <c:v>1070.170169248034</c:v>
                </c:pt>
                <c:pt idx="37">
                  <c:v>1072.1334936744208</c:v>
                </c:pt>
                <c:pt idx="38">
                  <c:v>1074.1004199978838</c:v>
                </c:pt>
                <c:pt idx="39">
                  <c:v>1076.0709548264301</c:v>
                </c:pt>
                <c:pt idx="40">
                  <c:v>1078.0451047801905</c:v>
                </c:pt>
                <c:pt idx="41">
                  <c:v>1080.0228764914402</c:v>
                </c:pt>
                <c:pt idx="42">
                  <c:v>1082.0042766046224</c:v>
                </c:pt>
                <c:pt idx="43">
                  <c:v>1083.9893117763709</c:v>
                </c:pt>
                <c:pt idx="44">
                  <c:v>1085.9779886755302</c:v>
                </c:pt>
                <c:pt idx="45">
                  <c:v>1087.9703139831809</c:v>
                </c:pt>
                <c:pt idx="46">
                  <c:v>1089.9662943926594</c:v>
                </c:pt>
                <c:pt idx="47">
                  <c:v>1091.9659366095823</c:v>
                </c:pt>
                <c:pt idx="48">
                  <c:v>1093.9692473518678</c:v>
                </c:pt>
                <c:pt idx="49">
                  <c:v>1095.9762333497595</c:v>
                </c:pt>
                <c:pt idx="50">
                  <c:v>1097.9869013458479</c:v>
                </c:pt>
                <c:pt idx="51">
                  <c:v>1100.0012580950929</c:v>
                </c:pt>
                <c:pt idx="52">
                  <c:v>1102.0193103648476</c:v>
                </c:pt>
                <c:pt idx="53">
                  <c:v>1104.0410649348803</c:v>
                </c:pt>
                <c:pt idx="54">
                  <c:v>1106.0665285973967</c:v>
                </c:pt>
                <c:pt idx="55">
                  <c:v>1108.0957081570646</c:v>
                </c:pt>
                <c:pt idx="56">
                  <c:v>1110.128610431035</c:v>
                </c:pt>
                <c:pt idx="57">
                  <c:v>1112.1652422489653</c:v>
                </c:pt>
                <c:pt idx="58">
                  <c:v>1114.2056104530432</c:v>
                </c:pt>
                <c:pt idx="59">
                  <c:v>1116.2497218980081</c:v>
                </c:pt>
                <c:pt idx="60">
                  <c:v>1118.297583451176</c:v>
                </c:pt>
                <c:pt idx="61">
                  <c:v>1120.3492019924613</c:v>
                </c:pt>
                <c:pt idx="62">
                  <c:v>1122.4045844143996</c:v>
                </c:pt>
                <c:pt idx="63">
                  <c:v>1124.4637376221722</c:v>
                </c:pt>
                <c:pt idx="64">
                  <c:v>1126.5266685336287</c:v>
                </c:pt>
                <c:pt idx="65">
                  <c:v>1128.5933840793091</c:v>
                </c:pt>
                <c:pt idx="66">
                  <c:v>1130.6638912024696</c:v>
                </c:pt>
                <c:pt idx="67">
                  <c:v>1132.7381968591033</c:v>
                </c:pt>
                <c:pt idx="68">
                  <c:v>1134.816308017965</c:v>
                </c:pt>
                <c:pt idx="69">
                  <c:v>1136.8982316605943</c:v>
                </c:pt>
                <c:pt idx="70">
                  <c:v>1138.9839747813394</c:v>
                </c:pt>
                <c:pt idx="71">
                  <c:v>1141.0735443873796</c:v>
                </c:pt>
                <c:pt idx="72">
                  <c:v>1143.1669474987502</c:v>
                </c:pt>
                <c:pt idx="73">
                  <c:v>1145.2641911483652</c:v>
                </c:pt>
                <c:pt idx="74">
                  <c:v>1147.3652823820407</c:v>
                </c:pt>
                <c:pt idx="75">
                  <c:v>1149.4702282585197</c:v>
                </c:pt>
                <c:pt idx="76">
                  <c:v>1151.5790358494942</c:v>
                </c:pt>
                <c:pt idx="77">
                  <c:v>1153.6917122396305</c:v>
                </c:pt>
                <c:pt idx="78">
                  <c:v>1155.8082645265929</c:v>
                </c:pt>
                <c:pt idx="79">
                  <c:v>1157.9286998210653</c:v>
                </c:pt>
                <c:pt idx="80">
                  <c:v>1160.0530252467784</c:v>
                </c:pt>
                <c:pt idx="81">
                  <c:v>1162.1812479405316</c:v>
                </c:pt>
                <c:pt idx="82">
                  <c:v>1164.3133750522172</c:v>
                </c:pt>
                <c:pt idx="83">
                  <c:v>1166.4494137448444</c:v>
                </c:pt>
                <c:pt idx="84">
                  <c:v>1168.5893711945644</c:v>
                </c:pt>
                <c:pt idx="85">
                  <c:v>1170.7332545906925</c:v>
                </c:pt>
                <c:pt idx="86">
                  <c:v>1172.8810711357348</c:v>
                </c:pt>
                <c:pt idx="87">
                  <c:v>1175.0328280454103</c:v>
                </c:pt>
                <c:pt idx="88">
                  <c:v>1177.1885325486758</c:v>
                </c:pt>
                <c:pt idx="89">
                  <c:v>1179.3481918877503</c:v>
                </c:pt>
                <c:pt idx="90">
                  <c:v>1181.5118133181402</c:v>
                </c:pt>
                <c:pt idx="91">
                  <c:v>1183.6794041086612</c:v>
                </c:pt>
                <c:pt idx="92">
                  <c:v>1185.8509715414657</c:v>
                </c:pt>
                <c:pt idx="93">
                  <c:v>1188.0265229120653</c:v>
                </c:pt>
                <c:pt idx="94">
                  <c:v>1190.2060655293558</c:v>
                </c:pt>
                <c:pt idx="95">
                  <c:v>1192.389606715642</c:v>
                </c:pt>
                <c:pt idx="96">
                  <c:v>1194.5771538066622</c:v>
                </c:pt>
                <c:pt idx="97">
                  <c:v>1196.7687141516124</c:v>
                </c:pt>
                <c:pt idx="98">
                  <c:v>1198.9642951131718</c:v>
                </c:pt>
                <c:pt idx="99">
                  <c:v>1201.1639040675268</c:v>
                </c:pt>
                <c:pt idx="100">
                  <c:v>1203.3675484043965</c:v>
                </c:pt>
                <c:pt idx="101">
                  <c:v>1205.5752355270567</c:v>
                </c:pt>
                <c:pt idx="102">
                  <c:v>1207.7869728523656</c:v>
                </c:pt>
                <c:pt idx="103">
                  <c:v>1210.0027678107874</c:v>
                </c:pt>
                <c:pt idx="104">
                  <c:v>1212.2226278464191</c:v>
                </c:pt>
                <c:pt idx="105">
                  <c:v>1214.4465604170143</c:v>
                </c:pt>
                <c:pt idx="106">
                  <c:v>1216.6745729940085</c:v>
                </c:pt>
                <c:pt idx="107">
                  <c:v>1218.9066730625441</c:v>
                </c:pt>
                <c:pt idx="108">
                  <c:v>1221.1428681214959</c:v>
                </c:pt>
                <c:pt idx="109">
                  <c:v>1223.3831656834957</c:v>
                </c:pt>
                <c:pt idx="110">
                  <c:v>1225.6275732749584</c:v>
                </c:pt>
                <c:pt idx="111">
                  <c:v>1227.8760984361065</c:v>
                </c:pt>
                <c:pt idx="112">
                  <c:v>1230.1287487209959</c:v>
                </c:pt>
                <c:pt idx="113">
                  <c:v>1232.3855316975407</c:v>
                </c:pt>
                <c:pt idx="114">
                  <c:v>1234.6464549475393</c:v>
                </c:pt>
                <c:pt idx="115">
                  <c:v>1236.9115260666999</c:v>
                </c:pt>
                <c:pt idx="116">
                  <c:v>1239.1807526646653</c:v>
                </c:pt>
                <c:pt idx="117">
                  <c:v>1241.4541423650385</c:v>
                </c:pt>
                <c:pt idx="118">
                  <c:v>1243.7317028054099</c:v>
                </c:pt>
                <c:pt idx="119">
                  <c:v>1246.0134416373808</c:v>
                </c:pt>
                <c:pt idx="120">
                  <c:v>1248.2993665265901</c:v>
                </c:pt>
                <c:pt idx="121">
                  <c:v>1250.5894851527401</c:v>
                </c:pt>
                <c:pt idx="122">
                  <c:v>1252.883805209623</c:v>
                </c:pt>
                <c:pt idx="123">
                  <c:v>1255.1823344051445</c:v>
                </c:pt>
                <c:pt idx="124">
                  <c:v>1257.4850804613525</c:v>
                </c:pt>
                <c:pt idx="125">
                  <c:v>1259.7920511144607</c:v>
                </c:pt>
                <c:pt idx="126">
                  <c:v>1262.1032541148766</c:v>
                </c:pt>
                <c:pt idx="127">
                  <c:v>1264.4186972272253</c:v>
                </c:pt>
                <c:pt idx="128">
                  <c:v>1266.7383882303777</c:v>
                </c:pt>
                <c:pt idx="129">
                  <c:v>1269.0623349174757</c:v>
                </c:pt>
                <c:pt idx="130">
                  <c:v>1271.390545095958</c:v>
                </c:pt>
                <c:pt idx="131">
                  <c:v>1273.7230265875869</c:v>
                </c:pt>
                <c:pt idx="132">
                  <c:v>1276.059787228475</c:v>
                </c:pt>
                <c:pt idx="133">
                  <c:v>1278.40083486911</c:v>
                </c:pt>
                <c:pt idx="134">
                  <c:v>1280.7461773743826</c:v>
                </c:pt>
                <c:pt idx="135">
                  <c:v>1283.0958226236125</c:v>
                </c:pt>
                <c:pt idx="136">
                  <c:v>1285.4497785105743</c:v>
                </c:pt>
                <c:pt idx="137">
                  <c:v>1287.8080529435244</c:v>
                </c:pt>
                <c:pt idx="138">
                  <c:v>1290.1706538452286</c:v>
                </c:pt>
                <c:pt idx="139">
                  <c:v>1292.5375891529861</c:v>
                </c:pt>
                <c:pt idx="140">
                  <c:v>1294.9088668186596</c:v>
                </c:pt>
                <c:pt idx="141">
                  <c:v>1297.2844948086986</c:v>
                </c:pt>
                <c:pt idx="142">
                  <c:v>1299.6644811041685</c:v>
                </c:pt>
                <c:pt idx="143">
                  <c:v>1302.0488337007771</c:v>
                </c:pt>
                <c:pt idx="144">
                  <c:v>1304.4375606089006</c:v>
                </c:pt>
                <c:pt idx="145">
                  <c:v>1306.8306698536107</c:v>
                </c:pt>
                <c:pt idx="146">
                  <c:v>1309.2281694747021</c:v>
                </c:pt>
                <c:pt idx="147">
                  <c:v>1311.6300675267194</c:v>
                </c:pt>
                <c:pt idx="148">
                  <c:v>1314.0363720789835</c:v>
                </c:pt>
                <c:pt idx="149">
                  <c:v>1316.4470912156203</c:v>
                </c:pt>
                <c:pt idx="150">
                  <c:v>1318.8622330355852</c:v>
                </c:pt>
                <c:pt idx="151">
                  <c:v>1321.2818056526933</c:v>
                </c:pt>
                <c:pt idx="152">
                  <c:v>1323.7058171956439</c:v>
                </c:pt>
                <c:pt idx="153">
                  <c:v>1326.1342758080505</c:v>
                </c:pt>
                <c:pt idx="154">
                  <c:v>1328.567189648466</c:v>
                </c:pt>
                <c:pt idx="155">
                  <c:v>1331.0045668904106</c:v>
                </c:pt>
                <c:pt idx="156">
                  <c:v>1333.4464157224006</c:v>
                </c:pt>
                <c:pt idx="157">
                  <c:v>1335.892744347974</c:v>
                </c:pt>
                <c:pt idx="158">
                  <c:v>1338.3435609857193</c:v>
                </c:pt>
                <c:pt idx="159">
                  <c:v>1340.7988738693027</c:v>
                </c:pt>
                <c:pt idx="160">
                  <c:v>1343.2586912474956</c:v>
                </c:pt>
                <c:pt idx="161">
                  <c:v>1345.7230213842029</c:v>
                </c:pt>
                <c:pt idx="162">
                  <c:v>1348.1918725584901</c:v>
                </c:pt>
                <c:pt idx="163">
                  <c:v>1350.6652530646115</c:v>
                </c:pt>
                <c:pt idx="164">
                  <c:v>1353.1431712120382</c:v>
                </c:pt>
                <c:pt idx="165">
                  <c:v>1355.6256353254848</c:v>
                </c:pt>
                <c:pt idx="166">
                  <c:v>1358.1126537449397</c:v>
                </c:pt>
                <c:pt idx="167">
                  <c:v>1360.6042348256913</c:v>
                </c:pt>
                <c:pt idx="168">
                  <c:v>1363.1003869383558</c:v>
                </c:pt>
                <c:pt idx="169">
                  <c:v>1365.6011184689069</c:v>
                </c:pt>
                <c:pt idx="170">
                  <c:v>1368.1064378187032</c:v>
                </c:pt>
                <c:pt idx="171">
                  <c:v>1370.6163534045152</c:v>
                </c:pt>
                <c:pt idx="172">
                  <c:v>1373.1308736585565</c:v>
                </c:pt>
                <c:pt idx="173">
                  <c:v>1375.6500070285088</c:v>
                </c:pt>
                <c:pt idx="174">
                  <c:v>1378.1737619775524</c:v>
                </c:pt>
                <c:pt idx="175">
                  <c:v>1380.7021469843946</c:v>
                </c:pt>
                <c:pt idx="176">
                  <c:v>1383.2351705432968</c:v>
                </c:pt>
                <c:pt idx="177">
                  <c:v>1385.7728411641046</c:v>
                </c:pt>
                <c:pt idx="178">
                  <c:v>1388.3151673722748</c:v>
                </c:pt>
                <c:pt idx="179">
                  <c:v>1390.8621577089061</c:v>
                </c:pt>
                <c:pt idx="180">
                  <c:v>1393.4138207307658</c:v>
                </c:pt>
                <c:pt idx="181">
                  <c:v>1395.9701650103193</c:v>
                </c:pt>
                <c:pt idx="182">
                  <c:v>1398.5311991357596</c:v>
                </c:pt>
                <c:pt idx="183">
                  <c:v>1401.0969317110353</c:v>
                </c:pt>
                <c:pt idx="184">
                  <c:v>1403.6673713558791</c:v>
                </c:pt>
                <c:pt idx="185">
                  <c:v>1406.2425267058381</c:v>
                </c:pt>
                <c:pt idx="186">
                  <c:v>1408.8224064123021</c:v>
                </c:pt>
                <c:pt idx="187">
                  <c:v>1411.4070191425319</c:v>
                </c:pt>
                <c:pt idx="188">
                  <c:v>1413.9963735796903</c:v>
                </c:pt>
                <c:pt idx="189">
                  <c:v>1416.5904784228692</c:v>
                </c:pt>
                <c:pt idx="190">
                  <c:v>1419.18934238712</c:v>
                </c:pt>
                <c:pt idx="191">
                  <c:v>1421.7929742034835</c:v>
                </c:pt>
                <c:pt idx="192">
                  <c:v>1424.4013826190167</c:v>
                </c:pt>
                <c:pt idx="193">
                  <c:v>1427.0145763968255</c:v>
                </c:pt>
                <c:pt idx="194">
                  <c:v>1429.6325643160917</c:v>
                </c:pt>
                <c:pt idx="195">
                  <c:v>1432.2553551721035</c:v>
                </c:pt>
                <c:pt idx="196">
                  <c:v>1434.8829577762847</c:v>
                </c:pt>
                <c:pt idx="197">
                  <c:v>1437.5153809562246</c:v>
                </c:pt>
                <c:pt idx="198">
                  <c:v>1440.1526335557078</c:v>
                </c:pt>
                <c:pt idx="199">
                  <c:v>1442.7947244347431</c:v>
                </c:pt>
                <c:pt idx="200">
                  <c:v>1445.4416624695937</c:v>
                </c:pt>
                <c:pt idx="201">
                  <c:v>1448.0934565528078</c:v>
                </c:pt>
                <c:pt idx="202">
                  <c:v>1450.7501155932473</c:v>
                </c:pt>
                <c:pt idx="203">
                  <c:v>1453.4116485161187</c:v>
                </c:pt>
                <c:pt idx="204">
                  <c:v>1456.0780642630016</c:v>
                </c:pt>
                <c:pt idx="205">
                  <c:v>1458.7493717918808</c:v>
                </c:pt>
                <c:pt idx="206">
                  <c:v>1461.4255800771746</c:v>
                </c:pt>
                <c:pt idx="207">
                  <c:v>1464.1066981097661</c:v>
                </c:pt>
                <c:pt idx="208">
                  <c:v>1466.7927348970331</c:v>
                </c:pt>
                <c:pt idx="209">
                  <c:v>1469.4836994628779</c:v>
                </c:pt>
                <c:pt idx="210">
                  <c:v>1472.1796008477581</c:v>
                </c:pt>
                <c:pt idx="211">
                  <c:v>1474.8804481087168</c:v>
                </c:pt>
                <c:pt idx="212">
                  <c:v>1477.5862503194132</c:v>
                </c:pt>
                <c:pt idx="213">
                  <c:v>1480.2970165701529</c:v>
                </c:pt>
                <c:pt idx="214">
                  <c:v>1483.0127559679183</c:v>
                </c:pt>
                <c:pt idx="215">
                  <c:v>1485.7334776363998</c:v>
                </c:pt>
                <c:pt idx="216">
                  <c:v>1488.4591907160257</c:v>
                </c:pt>
                <c:pt idx="217">
                  <c:v>1491.189904363993</c:v>
                </c:pt>
                <c:pt idx="218">
                  <c:v>1493.9256277542991</c:v>
                </c:pt>
                <c:pt idx="219">
                  <c:v>1496.6663700777715</c:v>
                </c:pt>
                <c:pt idx="220">
                  <c:v>1499.4121405420995</c:v>
                </c:pt>
                <c:pt idx="221">
                  <c:v>1502.1629483718639</c:v>
                </c:pt>
                <c:pt idx="222">
                  <c:v>1504.9188028085694</c:v>
                </c:pt>
                <c:pt idx="223">
                  <c:v>1507.6797131106757</c:v>
                </c:pt>
                <c:pt idx="224">
                  <c:v>1510.445688553626</c:v>
                </c:pt>
                <c:pt idx="225">
                  <c:v>1513.2167384298832</c:v>
                </c:pt>
                <c:pt idx="226">
                  <c:v>1515.992872048955</c:v>
                </c:pt>
                <c:pt idx="227">
                  <c:v>1518.77409873743</c:v>
                </c:pt>
                <c:pt idx="228">
                  <c:v>1521.5604278390072</c:v>
                </c:pt>
                <c:pt idx="229">
                  <c:v>1524.3518687145263</c:v>
                </c:pt>
                <c:pt idx="230">
                  <c:v>1527.1484307420021</c:v>
                </c:pt>
                <c:pt idx="231">
                  <c:v>1529.9501233166525</c:v>
                </c:pt>
                <c:pt idx="232">
                  <c:v>1532.7569558509326</c:v>
                </c:pt>
                <c:pt idx="233">
                  <c:v>1535.5689377745659</c:v>
                </c:pt>
                <c:pt idx="234">
                  <c:v>1538.3860785345746</c:v>
                </c:pt>
                <c:pt idx="235">
                  <c:v>1541.2083875953133</c:v>
                </c:pt>
                <c:pt idx="236">
                  <c:v>1544.0358744384989</c:v>
                </c:pt>
                <c:pt idx="237">
                  <c:v>1546.8685485632443</c:v>
                </c:pt>
                <c:pt idx="238">
                  <c:v>1549.7064194860886</c:v>
                </c:pt>
                <c:pt idx="239">
                  <c:v>1552.54949674103</c:v>
                </c:pt>
                <c:pt idx="240">
                  <c:v>1555.3977898795583</c:v>
                </c:pt>
                <c:pt idx="241">
                  <c:v>1558.2513084706857</c:v>
                </c:pt>
                <c:pt idx="242">
                  <c:v>1561.1100621009796</c:v>
                </c:pt>
                <c:pt idx="243">
                  <c:v>1563.9740603745956</c:v>
                </c:pt>
                <c:pt idx="244">
                  <c:v>1566.8433129133082</c:v>
                </c:pt>
                <c:pt idx="245">
                  <c:v>1569.7178293565444</c:v>
                </c:pt>
                <c:pt idx="246">
                  <c:v>1572.5976193614149</c:v>
                </c:pt>
                <c:pt idx="247">
                  <c:v>1575.4826926027481</c:v>
                </c:pt>
                <c:pt idx="248">
                  <c:v>1578.3730587731213</c:v>
                </c:pt>
                <c:pt idx="249">
                  <c:v>1581.2687275828941</c:v>
                </c:pt>
                <c:pt idx="250">
                  <c:v>1584.1697087602399</c:v>
                </c:pt>
                <c:pt idx="251">
                  <c:v>1587.0760120511802</c:v>
                </c:pt>
                <c:pt idx="252">
                  <c:v>1589.9876472196156</c:v>
                </c:pt>
                <c:pt idx="253">
                  <c:v>1592.9046240473604</c:v>
                </c:pt>
                <c:pt idx="254">
                  <c:v>1595.8269523341737</c:v>
                </c:pt>
                <c:pt idx="255">
                  <c:v>1598.7546418977936</c:v>
                </c:pt>
                <c:pt idx="256">
                  <c:v>1601.6877025739693</c:v>
                </c:pt>
                <c:pt idx="257">
                  <c:v>1604.626144216495</c:v>
                </c:pt>
                <c:pt idx="258">
                  <c:v>1607.569976697243</c:v>
                </c:pt>
                <c:pt idx="259">
                  <c:v>1610.5192099061951</c:v>
                </c:pt>
                <c:pt idx="260">
                  <c:v>1613.4738537514786</c:v>
                </c:pt>
                <c:pt idx="261">
                  <c:v>1616.4339181593971</c:v>
                </c:pt>
                <c:pt idx="262">
                  <c:v>1619.3994130744659</c:v>
                </c:pt>
                <c:pt idx="263">
                  <c:v>1622.370348459443</c:v>
                </c:pt>
                <c:pt idx="264">
                  <c:v>1625.3467342953656</c:v>
                </c:pt>
                <c:pt idx="265">
                  <c:v>1628.3285805815808</c:v>
                </c:pt>
                <c:pt idx="266">
                  <c:v>1631.3158973357813</c:v>
                </c:pt>
                <c:pt idx="267">
                  <c:v>1634.3086945940374</c:v>
                </c:pt>
                <c:pt idx="268">
                  <c:v>1637.3069824108322</c:v>
                </c:pt>
                <c:pt idx="269">
                  <c:v>1640.3107708590935</c:v>
                </c:pt>
                <c:pt idx="270">
                  <c:v>1643.3200700302307</c:v>
                </c:pt>
                <c:pt idx="271">
                  <c:v>1646.3348900341648</c:v>
                </c:pt>
                <c:pt idx="272">
                  <c:v>1649.3552409993656</c:v>
                </c:pt>
                <c:pt idx="273">
                  <c:v>1652.3811330728843</c:v>
                </c:pt>
                <c:pt idx="274">
                  <c:v>1655.4125764203877</c:v>
                </c:pt>
                <c:pt idx="275">
                  <c:v>1658.4495812261919</c:v>
                </c:pt>
                <c:pt idx="276">
                  <c:v>1661.4921576932979</c:v>
                </c:pt>
                <c:pt idx="277">
                  <c:v>1664.5403160434246</c:v>
                </c:pt>
                <c:pt idx="278">
                  <c:v>1667.594066517044</c:v>
                </c:pt>
                <c:pt idx="279">
                  <c:v>1670.653419373414</c:v>
                </c:pt>
                <c:pt idx="280">
                  <c:v>1673.7183848906159</c:v>
                </c:pt>
                <c:pt idx="281">
                  <c:v>1676.7889733655852</c:v>
                </c:pt>
                <c:pt idx="282">
                  <c:v>1679.8651951141492</c:v>
                </c:pt>
                <c:pt idx="283">
                  <c:v>1682.9470604710602</c:v>
                </c:pt>
                <c:pt idx="284">
                  <c:v>1686.0345797900309</c:v>
                </c:pt>
                <c:pt idx="285">
                  <c:v>1689.1277634437681</c:v>
                </c:pt>
                <c:pt idx="286">
                  <c:v>1692.2266218240088</c:v>
                </c:pt>
                <c:pt idx="287">
                  <c:v>1695.3311653415544</c:v>
                </c:pt>
                <c:pt idx="288">
                  <c:v>1698.441404426306</c:v>
                </c:pt>
                <c:pt idx="289">
                  <c:v>1701.5573495272993</c:v>
                </c:pt>
                <c:pt idx="290">
                  <c:v>1704.6790111127395</c:v>
                </c:pt>
                <c:pt idx="291">
                  <c:v>1707.8063996700366</c:v>
                </c:pt>
                <c:pt idx="292">
                  <c:v>1710.9395257058413</c:v>
                </c:pt>
                <c:pt idx="293">
                  <c:v>1714.0783997460792</c:v>
                </c:pt>
                <c:pt idx="294">
                  <c:v>1717.2230323359865</c:v>
                </c:pt>
                <c:pt idx="295">
                  <c:v>1720.3734340401461</c:v>
                </c:pt>
                <c:pt idx="296">
                  <c:v>1723.5296154425225</c:v>
                </c:pt>
                <c:pt idx="297">
                  <c:v>1726.6915871464969</c:v>
                </c:pt>
                <c:pt idx="298">
                  <c:v>1729.8593597749045</c:v>
                </c:pt>
                <c:pt idx="299">
                  <c:v>1733.0329439700677</c:v>
                </c:pt>
                <c:pt idx="300">
                  <c:v>1736.2123503938337</c:v>
                </c:pt>
                <c:pt idx="301">
                  <c:v>1739.3975897276102</c:v>
                </c:pt>
                <c:pt idx="302">
                  <c:v>1742.5886726724009</c:v>
                </c:pt>
                <c:pt idx="303">
                  <c:v>1745.7856099488411</c:v>
                </c:pt>
                <c:pt idx="304">
                  <c:v>1748.9884122972344</c:v>
                </c:pt>
                <c:pt idx="305">
                  <c:v>1752.1970904775876</c:v>
                </c:pt>
                <c:pt idx="306">
                  <c:v>1755.4116552696491</c:v>
                </c:pt>
                <c:pt idx="307">
                  <c:v>1758.6321174729424</c:v>
                </c:pt>
                <c:pt idx="308">
                  <c:v>1761.8584879068053</c:v>
                </c:pt>
                <c:pt idx="309">
                  <c:v>1765.0907774104228</c:v>
                </c:pt>
                <c:pt idx="310">
                  <c:v>1768.3289968428667</c:v>
                </c:pt>
                <c:pt idx="311">
                  <c:v>1771.5731570831297</c:v>
                </c:pt>
                <c:pt idx="312">
                  <c:v>1774.8232690301645</c:v>
                </c:pt>
                <c:pt idx="313">
                  <c:v>1778.0793436029173</c:v>
                </c:pt>
                <c:pt idx="314">
                  <c:v>1781.3413917403675</c:v>
                </c:pt>
                <c:pt idx="315">
                  <c:v>1784.6094244015615</c:v>
                </c:pt>
                <c:pt idx="316">
                  <c:v>1787.8834525656528</c:v>
                </c:pt>
                <c:pt idx="317">
                  <c:v>1791.1634872319357</c:v>
                </c:pt>
                <c:pt idx="318">
                  <c:v>1794.449539419885</c:v>
                </c:pt>
                <c:pt idx="319">
                  <c:v>1797.7416201691904</c:v>
                </c:pt>
                <c:pt idx="320">
                  <c:v>1801.0397405397955</c:v>
                </c:pt>
                <c:pt idx="321">
                  <c:v>1804.3439116119346</c:v>
                </c:pt>
                <c:pt idx="322">
                  <c:v>1807.65414448617</c:v>
                </c:pt>
                <c:pt idx="323">
                  <c:v>1810.9704502834279</c:v>
                </c:pt>
                <c:pt idx="324">
                  <c:v>1814.2928401450379</c:v>
                </c:pt>
                <c:pt idx="325">
                  <c:v>1817.6213252327682</c:v>
                </c:pt>
                <c:pt idx="326">
                  <c:v>1820.9559167288655</c:v>
                </c:pt>
                <c:pt idx="327">
                  <c:v>1824.2966258360912</c:v>
                </c:pt>
                <c:pt idx="328">
                  <c:v>1827.6434637777584</c:v>
                </c:pt>
                <c:pt idx="329">
                  <c:v>1830.9964417977706</c:v>
                </c:pt>
                <c:pt idx="330">
                  <c:v>1834.3555711606602</c:v>
                </c:pt>
                <c:pt idx="331">
                  <c:v>1837.7208631516241</c:v>
                </c:pt>
                <c:pt idx="332">
                  <c:v>1841.0923290765643</c:v>
                </c:pt>
                <c:pt idx="333">
                  <c:v>1844.4699802621228</c:v>
                </c:pt>
                <c:pt idx="334">
                  <c:v>1847.8538280557229</c:v>
                </c:pt>
                <c:pt idx="335">
                  <c:v>1851.2438838256048</c:v>
                </c:pt>
                <c:pt idx="336">
                  <c:v>1854.6401589608652</c:v>
                </c:pt>
                <c:pt idx="337">
                  <c:v>1858.0426648714954</c:v>
                </c:pt>
                <c:pt idx="338">
                  <c:v>1861.4514129884187</c:v>
                </c:pt>
                <c:pt idx="339">
                  <c:v>1864.86641476353</c:v>
                </c:pt>
                <c:pt idx="340">
                  <c:v>1868.287681669733</c:v>
                </c:pt>
                <c:pt idx="341">
                  <c:v>1871.7152252009807</c:v>
                </c:pt>
                <c:pt idx="342">
                  <c:v>1875.1490568723123</c:v>
                </c:pt>
                <c:pt idx="343">
                  <c:v>1878.5891882198912</c:v>
                </c:pt>
                <c:pt idx="344">
                  <c:v>1882.0356308010471</c:v>
                </c:pt>
                <c:pt idx="345">
                  <c:v>1885.4883961943108</c:v>
                </c:pt>
                <c:pt idx="346">
                  <c:v>1888.9474959994557</c:v>
                </c:pt>
                <c:pt idx="347">
                  <c:v>1892.4129418375362</c:v>
                </c:pt>
                <c:pt idx="348">
                  <c:v>1895.8847453509266</c:v>
                </c:pt>
                <c:pt idx="349">
                  <c:v>1899.3629182033596</c:v>
                </c:pt>
                <c:pt idx="350">
                  <c:v>1902.8474720799668</c:v>
                </c:pt>
                <c:pt idx="351">
                  <c:v>1906.338418687317</c:v>
                </c:pt>
                <c:pt idx="352">
                  <c:v>1909.8357697534555</c:v>
                </c:pt>
                <c:pt idx="353">
                  <c:v>1913.3395370279436</c:v>
                </c:pt>
                <c:pt idx="354">
                  <c:v>1916.8497322818994</c:v>
                </c:pt>
                <c:pt idx="355">
                  <c:v>1920.3663673080343</c:v>
                </c:pt>
                <c:pt idx="356">
                  <c:v>1923.8894539206967</c:v>
                </c:pt>
                <c:pt idx="357">
                  <c:v>1927.4190039559076</c:v>
                </c:pt>
                <c:pt idx="358">
                  <c:v>1930.9550292714034</c:v>
                </c:pt>
                <c:pt idx="359">
                  <c:v>1934.4975417466744</c:v>
                </c:pt>
                <c:pt idx="360">
                  <c:v>1938.0465532830037</c:v>
                </c:pt>
                <c:pt idx="361">
                  <c:v>1941.6020758035106</c:v>
                </c:pt>
                <c:pt idx="362">
                  <c:v>1945.164121253187</c:v>
                </c:pt>
                <c:pt idx="363">
                  <c:v>1948.7327015989383</c:v>
                </c:pt>
                <c:pt idx="364">
                  <c:v>1952.3078288296267</c:v>
                </c:pt>
                <c:pt idx="365">
                  <c:v>1955.889514956106</c:v>
                </c:pt>
                <c:pt idx="366">
                  <c:v>1959.4777720112679</c:v>
                </c:pt>
                <c:pt idx="367">
                  <c:v>1963.0726120500774</c:v>
                </c:pt>
                <c:pt idx="368">
                  <c:v>1966.6740471496166</c:v>
                </c:pt>
                <c:pt idx="369">
                  <c:v>1970.2820894091235</c:v>
                </c:pt>
                <c:pt idx="370">
                  <c:v>1973.8967509500333</c:v>
                </c:pt>
                <c:pt idx="371">
                  <c:v>1977.5180439160199</c:v>
                </c:pt>
                <c:pt idx="372">
                  <c:v>1981.145980473035</c:v>
                </c:pt>
                <c:pt idx="373">
                  <c:v>1984.7805728093495</c:v>
                </c:pt>
                <c:pt idx="374">
                  <c:v>1988.421833135596</c:v>
                </c:pt>
                <c:pt idx="375">
                  <c:v>1992.0697736848074</c:v>
                </c:pt>
                <c:pt idx="376">
                  <c:v>1995.7244067124607</c:v>
                </c:pt>
                <c:pt idx="377">
                  <c:v>1999.3857444965149</c:v>
                </c:pt>
                <c:pt idx="378">
                  <c:v>2003.0537993374553</c:v>
                </c:pt>
                <c:pt idx="379">
                  <c:v>2006.728583558333</c:v>
                </c:pt>
                <c:pt idx="380">
                  <c:v>2010.4101095048077</c:v>
                </c:pt>
                <c:pt idx="381">
                  <c:v>2014.0983895451866</c:v>
                </c:pt>
                <c:pt idx="382">
                  <c:v>2017.7934360704692</c:v>
                </c:pt>
                <c:pt idx="383">
                  <c:v>2021.4952614943873</c:v>
                </c:pt>
                <c:pt idx="384">
                  <c:v>2025.2038782534457</c:v>
                </c:pt>
                <c:pt idx="385">
                  <c:v>2028.9192988069665</c:v>
                </c:pt>
                <c:pt idx="386">
                  <c:v>2032.6415356371288</c:v>
                </c:pt>
                <c:pt idx="387">
                  <c:v>2036.3706012490118</c:v>
                </c:pt>
                <c:pt idx="388">
                  <c:v>2040.1065081706352</c:v>
                </c:pt>
                <c:pt idx="389">
                  <c:v>2043.8492689530042</c:v>
                </c:pt>
                <c:pt idx="390">
                  <c:v>2047.5988961701489</c:v>
                </c:pt>
                <c:pt idx="391">
                  <c:v>2051.3554024191681</c:v>
                </c:pt>
                <c:pt idx="392">
                  <c:v>2055.118800320271</c:v>
                </c:pt>
                <c:pt idx="393">
                  <c:v>2058.8891025168195</c:v>
                </c:pt>
                <c:pt idx="394">
                  <c:v>2062.6663216753705</c:v>
                </c:pt>
                <c:pt idx="395">
                  <c:v>2066.45047048572</c:v>
                </c:pt>
                <c:pt idx="396">
                  <c:v>2070.2415616609437</c:v>
                </c:pt>
                <c:pt idx="397">
                  <c:v>2074.0396079374409</c:v>
                </c:pt>
                <c:pt idx="398">
                  <c:v>2077.8446220749765</c:v>
                </c:pt>
                <c:pt idx="399">
                  <c:v>2081.656616856726</c:v>
                </c:pt>
                <c:pt idx="400">
                  <c:v>2085.4756050893138</c:v>
                </c:pt>
                <c:pt idx="401">
                  <c:v>2089.3015996028626</c:v>
                </c:pt>
                <c:pt idx="402">
                  <c:v>2093.1346132510307</c:v>
                </c:pt>
                <c:pt idx="403">
                  <c:v>2096.9746589110591</c:v>
                </c:pt>
                <c:pt idx="404">
                  <c:v>2100.8217494838109</c:v>
                </c:pt>
                <c:pt idx="405">
                  <c:v>2104.675897893821</c:v>
                </c:pt>
                <c:pt idx="406">
                  <c:v>2108.5371170893313</c:v>
                </c:pt>
                <c:pt idx="407">
                  <c:v>2112.4054200423416</c:v>
                </c:pt>
                <c:pt idx="408">
                  <c:v>2116.2808197486479</c:v>
                </c:pt>
                <c:pt idx="409">
                  <c:v>2120.1633292278898</c:v>
                </c:pt>
                <c:pt idx="410">
                  <c:v>2124.052961523591</c:v>
                </c:pt>
                <c:pt idx="411">
                  <c:v>2127.9497297032062</c:v>
                </c:pt>
                <c:pt idx="412">
                  <c:v>2131.8536468581628</c:v>
                </c:pt>
                <c:pt idx="413">
                  <c:v>2135.764726103906</c:v>
                </c:pt>
                <c:pt idx="414">
                  <c:v>2139.6829805799412</c:v>
                </c:pt>
                <c:pt idx="415">
                  <c:v>2143.6084234498817</c:v>
                </c:pt>
                <c:pt idx="416">
                  <c:v>2147.5410679014885</c:v>
                </c:pt>
                <c:pt idx="417">
                  <c:v>2151.4809271467179</c:v>
                </c:pt>
                <c:pt idx="418">
                  <c:v>2155.4280144217641</c:v>
                </c:pt>
                <c:pt idx="419">
                  <c:v>2159.3823429871059</c:v>
                </c:pt>
                <c:pt idx="420">
                  <c:v>2163.3439261275466</c:v>
                </c:pt>
                <c:pt idx="421">
                  <c:v>2167.3127771522641</c:v>
                </c:pt>
                <c:pt idx="422">
                  <c:v>2171.2889093948538</c:v>
                </c:pt>
                <c:pt idx="423">
                  <c:v>2175.2723362133693</c:v>
                </c:pt>
                <c:pt idx="424">
                  <c:v>2179.2630709903747</c:v>
                </c:pt>
                <c:pt idx="425">
                  <c:v>2183.2611271329838</c:v>
                </c:pt>
                <c:pt idx="426">
                  <c:v>2187.2665180729068</c:v>
                </c:pt>
                <c:pt idx="427">
                  <c:v>2191.2792572664957</c:v>
                </c:pt>
                <c:pt idx="428">
                  <c:v>2195.2993581947899</c:v>
                </c:pt>
                <c:pt idx="429">
                  <c:v>2199.3268343635605</c:v>
                </c:pt>
                <c:pt idx="430">
                  <c:v>2203.361699303357</c:v>
                </c:pt>
                <c:pt idx="431">
                  <c:v>2207.4039665695504</c:v>
                </c:pt>
                <c:pt idx="432">
                  <c:v>2211.4536497423819</c:v>
                </c:pt>
                <c:pt idx="433">
                  <c:v>2215.5107624270058</c:v>
                </c:pt>
                <c:pt idx="434">
                  <c:v>2219.5753182535368</c:v>
                </c:pt>
                <c:pt idx="435">
                  <c:v>2223.6473308770946</c:v>
                </c:pt>
                <c:pt idx="436">
                  <c:v>2227.7268139778516</c:v>
                </c:pt>
                <c:pt idx="437">
                  <c:v>2231.8137812610771</c:v>
                </c:pt>
                <c:pt idx="438">
                  <c:v>2235.9082464571834</c:v>
                </c:pt>
                <c:pt idx="439">
                  <c:v>2240.0102233217735</c:v>
                </c:pt>
                <c:pt idx="440">
                  <c:v>2244.1197256356859</c:v>
                </c:pt>
                <c:pt idx="441">
                  <c:v>2248.2367672050405</c:v>
                </c:pt>
                <c:pt idx="442">
                  <c:v>2252.3613618612876</c:v>
                </c:pt>
                <c:pt idx="443">
                  <c:v>2256.4935234612508</c:v>
                </c:pt>
                <c:pt idx="444">
                  <c:v>2260.6332658871761</c:v>
                </c:pt>
                <c:pt idx="445">
                  <c:v>2264.7806030467777</c:v>
                </c:pt>
                <c:pt idx="446">
                  <c:v>2268.9355488732854</c:v>
                </c:pt>
                <c:pt idx="447">
                  <c:v>2273.0981173254891</c:v>
                </c:pt>
                <c:pt idx="448">
                  <c:v>2277.268322387788</c:v>
                </c:pt>
                <c:pt idx="449">
                  <c:v>2281.4461780702381</c:v>
                </c:pt>
                <c:pt idx="450">
                  <c:v>2285.6316984085975</c:v>
                </c:pt>
                <c:pt idx="451">
                  <c:v>2289.8248974643734</c:v>
                </c:pt>
                <c:pt idx="452">
                  <c:v>2294.0257893248709</c:v>
                </c:pt>
                <c:pt idx="453">
                  <c:v>2298.2343881032393</c:v>
                </c:pt>
                <c:pt idx="454">
                  <c:v>2302.4507079385203</c:v>
                </c:pt>
                <c:pt idx="455">
                  <c:v>2306.6747629956931</c:v>
                </c:pt>
                <c:pt idx="456">
                  <c:v>2310.9065674657263</c:v>
                </c:pt>
                <c:pt idx="457">
                  <c:v>2315.146135565622</c:v>
                </c:pt>
                <c:pt idx="458">
                  <c:v>2319.393481538465</c:v>
                </c:pt>
                <c:pt idx="459">
                  <c:v>2323.6486196534688</c:v>
                </c:pt>
                <c:pt idx="460">
                  <c:v>2327.9115642060269</c:v>
                </c:pt>
                <c:pt idx="461">
                  <c:v>2332.1823295177592</c:v>
                </c:pt>
                <c:pt idx="462">
                  <c:v>2336.4609299365584</c:v>
                </c:pt>
                <c:pt idx="463">
                  <c:v>2340.74737983664</c:v>
                </c:pt>
                <c:pt idx="464">
                  <c:v>2345.0416936185911</c:v>
                </c:pt>
                <c:pt idx="465">
                  <c:v>2349.3438857094179</c:v>
                </c:pt>
                <c:pt idx="466">
                  <c:v>2353.6539705625942</c:v>
                </c:pt>
                <c:pt idx="467">
                  <c:v>2357.9719626581086</c:v>
                </c:pt>
                <c:pt idx="468">
                  <c:v>2362.2978765025168</c:v>
                </c:pt>
                <c:pt idx="469">
                  <c:v>2366.6317266289866</c:v>
                </c:pt>
                <c:pt idx="470">
                  <c:v>2370.9735275973489</c:v>
                </c:pt>
                <c:pt idx="471">
                  <c:v>2375.3232939941458</c:v>
                </c:pt>
                <c:pt idx="472">
                  <c:v>2379.6810404326793</c:v>
                </c:pt>
                <c:pt idx="473">
                  <c:v>2384.0467815530606</c:v>
                </c:pt>
                <c:pt idx="474">
                  <c:v>2388.4205320222609</c:v>
                </c:pt>
                <c:pt idx="475">
                  <c:v>2392.8023065341581</c:v>
                </c:pt>
                <c:pt idx="476">
                  <c:v>2397.1921198095879</c:v>
                </c:pt>
                <c:pt idx="477">
                  <c:v>2401.5899865963925</c:v>
                </c:pt>
                <c:pt idx="478">
                  <c:v>2405.995921669471</c:v>
                </c:pt>
                <c:pt idx="479">
                  <c:v>2410.4099398308263</c:v>
                </c:pt>
                <c:pt idx="480">
                  <c:v>2414.8320559096187</c:v>
                </c:pt>
                <c:pt idx="481">
                  <c:v>2419.2622847622147</c:v>
                </c:pt>
                <c:pt idx="482">
                  <c:v>2423.7006412722344</c:v>
                </c:pt>
                <c:pt idx="483">
                  <c:v>2428.1471403506039</c:v>
                </c:pt>
                <c:pt idx="484">
                  <c:v>2432.6017969356049</c:v>
                </c:pt>
                <c:pt idx="485">
                  <c:v>2437.0646259929249</c:v>
                </c:pt>
                <c:pt idx="486">
                  <c:v>2441.535642515707</c:v>
                </c:pt>
                <c:pt idx="487">
                  <c:v>2446.0148615245994</c:v>
                </c:pt>
                <c:pt idx="488">
                  <c:v>2450.5022980678095</c:v>
                </c:pt>
                <c:pt idx="489">
                  <c:v>2454.9979672211507</c:v>
                </c:pt>
                <c:pt idx="490">
                  <c:v>2459.5018840880953</c:v>
                </c:pt>
                <c:pt idx="491">
                  <c:v>2464.0140637998211</c:v>
                </c:pt>
                <c:pt idx="492">
                  <c:v>2468.5345215152693</c:v>
                </c:pt>
                <c:pt idx="493">
                  <c:v>2473.0632724211896</c:v>
                </c:pt>
                <c:pt idx="494">
                  <c:v>2477.6003317321934</c:v>
                </c:pt>
                <c:pt idx="495">
                  <c:v>2482.1457146908051</c:v>
                </c:pt>
                <c:pt idx="496">
                  <c:v>2486.6994365675127</c:v>
                </c:pt>
                <c:pt idx="497">
                  <c:v>2491.2615126608193</c:v>
                </c:pt>
                <c:pt idx="498">
                  <c:v>2495.8319582972945</c:v>
                </c:pt>
                <c:pt idx="499">
                  <c:v>2500.4107888316248</c:v>
                </c:pt>
                <c:pt idx="500">
                  <c:v>2504.9980196466681</c:v>
                </c:pt>
                <c:pt idx="501">
                  <c:v>2509.5936661535034</c:v>
                </c:pt>
                <c:pt idx="502">
                  <c:v>2514.1977437914811</c:v>
                </c:pt>
                <c:pt idx="503">
                  <c:v>2518.8102680282782</c:v>
                </c:pt>
                <c:pt idx="504">
                  <c:v>2523.4312543599463</c:v>
                </c:pt>
                <c:pt idx="505">
                  <c:v>2528.0607183109687</c:v>
                </c:pt>
                <c:pt idx="506">
                  <c:v>2532.6986754343093</c:v>
                </c:pt>
                <c:pt idx="507">
                  <c:v>2537.3451413114626</c:v>
                </c:pt>
                <c:pt idx="508">
                  <c:v>2542.0001315525119</c:v>
                </c:pt>
                <c:pt idx="509">
                  <c:v>2546.6636617961767</c:v>
                </c:pt>
                <c:pt idx="510">
                  <c:v>2551.3357477098689</c:v>
                </c:pt>
                <c:pt idx="511">
                  <c:v>2556.0164049897417</c:v>
                </c:pt>
                <c:pt idx="512">
                  <c:v>2560.7056493607456</c:v>
                </c:pt>
                <c:pt idx="513">
                  <c:v>2565.40349657668</c:v>
                </c:pt>
                <c:pt idx="514">
                  <c:v>2570.1099624202448</c:v>
                </c:pt>
                <c:pt idx="515">
                  <c:v>2574.8250627030961</c:v>
                </c:pt>
                <c:pt idx="516">
                  <c:v>2579.5488132658975</c:v>
                </c:pt>
                <c:pt idx="517">
                  <c:v>2584.2812299783745</c:v>
                </c:pt>
                <c:pt idx="518">
                  <c:v>2589.0223287393646</c:v>
                </c:pt>
                <c:pt idx="519">
                  <c:v>2593.7721254768749</c:v>
                </c:pt>
                <c:pt idx="520">
                  <c:v>2598.5306361481353</c:v>
                </c:pt>
                <c:pt idx="521">
                  <c:v>2603.297876739648</c:v>
                </c:pt>
                <c:pt idx="522">
                  <c:v>2608.0738632672446</c:v>
                </c:pt>
                <c:pt idx="523">
                  <c:v>2612.8586117761406</c:v>
                </c:pt>
                <c:pt idx="524">
                  <c:v>2617.6521383409863</c:v>
                </c:pt>
                <c:pt idx="525">
                  <c:v>2622.4544590659243</c:v>
                </c:pt>
                <c:pt idx="526">
                  <c:v>2627.2655900846385</c:v>
                </c:pt>
                <c:pt idx="527">
                  <c:v>2632.0855475604144</c:v>
                </c:pt>
                <c:pt idx="528">
                  <c:v>2636.9143476861896</c:v>
                </c:pt>
                <c:pt idx="529">
                  <c:v>2641.7520066846096</c:v>
                </c:pt>
                <c:pt idx="530">
                  <c:v>2646.5985408080805</c:v>
                </c:pt>
                <c:pt idx="531">
                  <c:v>2651.4539663388259</c:v>
                </c:pt>
                <c:pt idx="532">
                  <c:v>2656.3182995889406</c:v>
                </c:pt>
                <c:pt idx="533">
                  <c:v>2661.1915569004454</c:v>
                </c:pt>
                <c:pt idx="534">
                  <c:v>2666.0737546453415</c:v>
                </c:pt>
                <c:pt idx="535">
                  <c:v>2670.9649092256668</c:v>
                </c:pt>
                <c:pt idx="536">
                  <c:v>2675.8650370735495</c:v>
                </c:pt>
                <c:pt idx="537">
                  <c:v>2680.7741546512648</c:v>
                </c:pt>
                <c:pt idx="538">
                  <c:v>2685.6922784512885</c:v>
                </c:pt>
                <c:pt idx="539">
                  <c:v>2690.6194249963542</c:v>
                </c:pt>
                <c:pt idx="540">
                  <c:v>2695.5556108395076</c:v>
                </c:pt>
                <c:pt idx="541">
                  <c:v>2700.5008525641624</c:v>
                </c:pt>
                <c:pt idx="542">
                  <c:v>2705.4551667841561</c:v>
                </c:pt>
                <c:pt idx="543">
                  <c:v>2710.4185701438059</c:v>
                </c:pt>
                <c:pt idx="544">
                  <c:v>2715.3910793179639</c:v>
                </c:pt>
                <c:pt idx="545">
                  <c:v>2720.3727110120763</c:v>
                </c:pt>
                <c:pt idx="546">
                  <c:v>2725.3634819622321</c:v>
                </c:pt>
                <c:pt idx="547">
                  <c:v>2730.3634089352295</c:v>
                </c:pt>
                <c:pt idx="548">
                  <c:v>2735.3725087286225</c:v>
                </c:pt>
                <c:pt idx="549">
                  <c:v>2740.3907981707862</c:v>
                </c:pt>
                <c:pt idx="550">
                  <c:v>2745.4182941209629</c:v>
                </c:pt>
                <c:pt idx="551">
                  <c:v>2750.4550134693309</c:v>
                </c:pt>
                <c:pt idx="552">
                  <c:v>2755.5009731370519</c:v>
                </c:pt>
                <c:pt idx="553">
                  <c:v>2760.5561900763305</c:v>
                </c:pt>
                <c:pt idx="554">
                  <c:v>2765.6206812704736</c:v>
                </c:pt>
                <c:pt idx="555">
                  <c:v>2770.6944637339438</c:v>
                </c:pt>
                <c:pt idx="556">
                  <c:v>2775.7775545124191</c:v>
                </c:pt>
                <c:pt idx="557">
                  <c:v>2780.8699706828511</c:v>
                </c:pt>
                <c:pt idx="558">
                  <c:v>2785.9717293535159</c:v>
                </c:pt>
                <c:pt idx="559">
                  <c:v>2791.0828476640804</c:v>
                </c:pt>
                <c:pt idx="560">
                  <c:v>2796.203342785655</c:v>
                </c:pt>
                <c:pt idx="561">
                  <c:v>2801.3332319208516</c:v>
                </c:pt>
                <c:pt idx="562">
                  <c:v>2806.472532303841</c:v>
                </c:pt>
                <c:pt idx="563">
                  <c:v>2811.6212612004128</c:v>
                </c:pt>
                <c:pt idx="564">
                  <c:v>2816.7794359080317</c:v>
                </c:pt>
                <c:pt idx="565">
                  <c:v>2821.9470737558986</c:v>
                </c:pt>
                <c:pt idx="566">
                  <c:v>2827.1241921050014</c:v>
                </c:pt>
                <c:pt idx="567">
                  <c:v>2832.3108083481825</c:v>
                </c:pt>
                <c:pt idx="568">
                  <c:v>2837.5069399101912</c:v>
                </c:pt>
                <c:pt idx="569">
                  <c:v>2842.7126042477462</c:v>
                </c:pt>
                <c:pt idx="570">
                  <c:v>2847.9278188495887</c:v>
                </c:pt>
                <c:pt idx="571">
                  <c:v>2853.1526012365462</c:v>
                </c:pt>
                <c:pt idx="572">
                  <c:v>2858.3869689615908</c:v>
                </c:pt>
                <c:pt idx="573">
                  <c:v>2863.6309396098968</c:v>
                </c:pt>
                <c:pt idx="574">
                  <c:v>2868.8845307988986</c:v>
                </c:pt>
                <c:pt idx="575">
                  <c:v>2874.1477601783527</c:v>
                </c:pt>
                <c:pt idx="576">
                  <c:v>2879.4206454303953</c:v>
                </c:pt>
                <c:pt idx="577">
                  <c:v>2884.7032042696032</c:v>
                </c:pt>
                <c:pt idx="578">
                  <c:v>2889.9954544430489</c:v>
                </c:pt>
                <c:pt idx="579">
                  <c:v>2895.2974137303677</c:v>
                </c:pt>
                <c:pt idx="580">
                  <c:v>2900.6090999438097</c:v>
                </c:pt>
                <c:pt idx="581">
                  <c:v>2905.9305309283072</c:v>
                </c:pt>
                <c:pt idx="582">
                  <c:v>2911.2617245615261</c:v>
                </c:pt>
                <c:pt idx="583">
                  <c:v>2916.6026987539331</c:v>
                </c:pt>
                <c:pt idx="584">
                  <c:v>2921.9534714488523</c:v>
                </c:pt>
                <c:pt idx="585">
                  <c:v>2927.3140606225293</c:v>
                </c:pt>
                <c:pt idx="586">
                  <c:v>2932.6844842841838</c:v>
                </c:pt>
                <c:pt idx="587">
                  <c:v>2938.0647604760793</c:v>
                </c:pt>
                <c:pt idx="588">
                  <c:v>2943.4549072735767</c:v>
                </c:pt>
                <c:pt idx="589">
                  <c:v>2948.8549427852008</c:v>
                </c:pt>
                <c:pt idx="590">
                  <c:v>2954.2648851526942</c:v>
                </c:pt>
                <c:pt idx="591">
                  <c:v>2959.6847525510852</c:v>
                </c:pt>
                <c:pt idx="592">
                  <c:v>2965.1145631887453</c:v>
                </c:pt>
                <c:pt idx="593">
                  <c:v>2970.5543353074495</c:v>
                </c:pt>
                <c:pt idx="594">
                  <c:v>2976.0040871824408</c:v>
                </c:pt>
                <c:pt idx="595">
                  <c:v>2981.4638371224887</c:v>
                </c:pt>
                <c:pt idx="596">
                  <c:v>2986.9336034699527</c:v>
                </c:pt>
                <c:pt idx="597">
                  <c:v>2992.4134046008421</c:v>
                </c:pt>
                <c:pt idx="598">
                  <c:v>2997.9032589248791</c:v>
                </c:pt>
                <c:pt idx="599">
                  <c:v>3003.4031848855589</c:v>
                </c:pt>
                <c:pt idx="600">
                  <c:v>3008.9132009602158</c:v>
                </c:pt>
                <c:pt idx="601">
                  <c:v>3014.4333256600808</c:v>
                </c:pt>
                <c:pt idx="602">
                  <c:v>3019.9635775303436</c:v>
                </c:pt>
                <c:pt idx="603">
                  <c:v>3025.50397515022</c:v>
                </c:pt>
                <c:pt idx="604">
                  <c:v>3031.0545371330095</c:v>
                </c:pt>
                <c:pt idx="605">
                  <c:v>3036.6152821261603</c:v>
                </c:pt>
                <c:pt idx="606">
                  <c:v>3042.1862288113289</c:v>
                </c:pt>
                <c:pt idx="607">
                  <c:v>3047.7673959044473</c:v>
                </c:pt>
                <c:pt idx="608">
                  <c:v>3053.3588021557821</c:v>
                </c:pt>
                <c:pt idx="609">
                  <c:v>3058.9604663500004</c:v>
                </c:pt>
                <c:pt idx="610">
                  <c:v>3064.5724073062293</c:v>
                </c:pt>
                <c:pt idx="611">
                  <c:v>3070.1946438781233</c:v>
                </c:pt>
                <c:pt idx="612">
                  <c:v>3075.8271949539248</c:v>
                </c:pt>
                <c:pt idx="613">
                  <c:v>3081.4700794565288</c:v>
                </c:pt>
                <c:pt idx="614">
                  <c:v>3087.1233163435459</c:v>
                </c:pt>
                <c:pt idx="615">
                  <c:v>3092.7869246073656</c:v>
                </c:pt>
                <c:pt idx="616">
                  <c:v>3098.4609232752214</c:v>
                </c:pt>
                <c:pt idx="617">
                  <c:v>3104.1453314092546</c:v>
                </c:pt>
                <c:pt idx="618">
                  <c:v>3109.8401681065752</c:v>
                </c:pt>
                <c:pt idx="619">
                  <c:v>3115.5454524993306</c:v>
                </c:pt>
                <c:pt idx="620">
                  <c:v>3121.2612037547683</c:v>
                </c:pt>
                <c:pt idx="621">
                  <c:v>3126.9874410752991</c:v>
                </c:pt>
                <c:pt idx="622">
                  <c:v>3132.7241836985604</c:v>
                </c:pt>
                <c:pt idx="623">
                  <c:v>3138.4714508974876</c:v>
                </c:pt>
                <c:pt idx="624">
                  <c:v>3144.2292619803693</c:v>
                </c:pt>
                <c:pt idx="625">
                  <c:v>3149.9976362909192</c:v>
                </c:pt>
                <c:pt idx="626">
                  <c:v>3155.7765932083389</c:v>
                </c:pt>
                <c:pt idx="627">
                  <c:v>3161.5661521473817</c:v>
                </c:pt>
                <c:pt idx="628">
                  <c:v>3167.3663325584193</c:v>
                </c:pt>
                <c:pt idx="629">
                  <c:v>3173.1771539275092</c:v>
                </c:pt>
                <c:pt idx="630">
                  <c:v>3178.9986357764542</c:v>
                </c:pt>
                <c:pt idx="631">
                  <c:v>3184.8307976628735</c:v>
                </c:pt>
                <c:pt idx="632">
                  <c:v>3190.6736591802669</c:v>
                </c:pt>
                <c:pt idx="633">
                  <c:v>3196.527239958079</c:v>
                </c:pt>
                <c:pt idx="634">
                  <c:v>3202.391559661768</c:v>
                </c:pt>
                <c:pt idx="635">
                  <c:v>3208.2666379928692</c:v>
                </c:pt>
                <c:pt idx="636">
                  <c:v>3214.1524946890622</c:v>
                </c:pt>
                <c:pt idx="637">
                  <c:v>3220.0491495242372</c:v>
                </c:pt>
                <c:pt idx="638">
                  <c:v>3225.9566223085612</c:v>
                </c:pt>
                <c:pt idx="639">
                  <c:v>3231.8749328885451</c:v>
                </c:pt>
                <c:pt idx="640">
                  <c:v>3237.8041011471105</c:v>
                </c:pt>
                <c:pt idx="641">
                  <c:v>3243.7441470036547</c:v>
                </c:pt>
                <c:pt idx="642">
                  <c:v>3249.6950904141186</c:v>
                </c:pt>
                <c:pt idx="643">
                  <c:v>3255.6569513710569</c:v>
                </c:pt>
                <c:pt idx="644">
                  <c:v>3261.6297499037014</c:v>
                </c:pt>
                <c:pt idx="645">
                  <c:v>3267.6135060780275</c:v>
                </c:pt>
                <c:pt idx="646">
                  <c:v>3273.6082399968236</c:v>
                </c:pt>
                <c:pt idx="647">
                  <c:v>3279.6139717997617</c:v>
                </c:pt>
                <c:pt idx="648">
                  <c:v>3285.6307216634582</c:v>
                </c:pt>
                <c:pt idx="649">
                  <c:v>3291.6585098015471</c:v>
                </c:pt>
                <c:pt idx="650">
                  <c:v>3297.697356464746</c:v>
                </c:pt>
                <c:pt idx="651">
                  <c:v>3303.747281940924</c:v>
                </c:pt>
                <c:pt idx="652">
                  <c:v>3309.8083065551705</c:v>
                </c:pt>
                <c:pt idx="653">
                  <c:v>3315.880450669863</c:v>
                </c:pt>
                <c:pt idx="654">
                  <c:v>3321.9637346847353</c:v>
                </c:pt>
                <c:pt idx="655">
                  <c:v>3328.0581790369465</c:v>
                </c:pt>
                <c:pt idx="656">
                  <c:v>3334.1638042011509</c:v>
                </c:pt>
                <c:pt idx="657">
                  <c:v>3340.2806306895623</c:v>
                </c:pt>
                <c:pt idx="658">
                  <c:v>3346.4086790520282</c:v>
                </c:pt>
                <c:pt idx="659">
                  <c:v>3352.5479698760973</c:v>
                </c:pt>
                <c:pt idx="660">
                  <c:v>3358.6985237870872</c:v>
                </c:pt>
                <c:pt idx="661">
                  <c:v>3364.8603614481522</c:v>
                </c:pt>
                <c:pt idx="662">
                  <c:v>3371.0335035603593</c:v>
                </c:pt>
                <c:pt idx="663">
                  <c:v>3377.2179708627509</c:v>
                </c:pt>
                <c:pt idx="664">
                  <c:v>3383.4137841324186</c:v>
                </c:pt>
                <c:pt idx="665">
                  <c:v>3389.620964184568</c:v>
                </c:pt>
                <c:pt idx="666">
                  <c:v>3395.8395318725961</c:v>
                </c:pt>
                <c:pt idx="667">
                  <c:v>3402.0695080881555</c:v>
                </c:pt>
                <c:pt idx="668">
                  <c:v>3408.3109137612278</c:v>
                </c:pt>
                <c:pt idx="669">
                  <c:v>3414.563769860189</c:v>
                </c:pt>
                <c:pt idx="670">
                  <c:v>3420.8280973918882</c:v>
                </c:pt>
                <c:pt idx="671">
                  <c:v>3427.1039174017096</c:v>
                </c:pt>
                <c:pt idx="672">
                  <c:v>3433.3912509736492</c:v>
                </c:pt>
                <c:pt idx="673">
                  <c:v>3439.690119230384</c:v>
                </c:pt>
                <c:pt idx="674">
                  <c:v>3446.0005433333399</c:v>
                </c:pt>
                <c:pt idx="675">
                  <c:v>3452.3225444827681</c:v>
                </c:pt>
                <c:pt idx="676">
                  <c:v>3458.6561439178122</c:v>
                </c:pt>
                <c:pt idx="677">
                  <c:v>3465.001362916581</c:v>
                </c:pt>
                <c:pt idx="678">
                  <c:v>3471.3582227962193</c:v>
                </c:pt>
                <c:pt idx="679">
                  <c:v>3477.7267449129822</c:v>
                </c:pt>
                <c:pt idx="680">
                  <c:v>3484.1069506623026</c:v>
                </c:pt>
                <c:pt idx="681">
                  <c:v>3490.4988614788663</c:v>
                </c:pt>
                <c:pt idx="682">
                  <c:v>3496.9024988366832</c:v>
                </c:pt>
                <c:pt idx="683">
                  <c:v>3503.3178842491584</c:v>
                </c:pt>
                <c:pt idx="684">
                  <c:v>3509.7450392691671</c:v>
                </c:pt>
                <c:pt idx="685">
                  <c:v>3516.1839854891223</c:v>
                </c:pt>
                <c:pt idx="686">
                  <c:v>3522.634744541052</c:v>
                </c:pt>
                <c:pt idx="687">
                  <c:v>3529.0973380966702</c:v>
                </c:pt>
                <c:pt idx="688">
                  <c:v>3535.5717878674509</c:v>
                </c:pt>
                <c:pt idx="689">
                  <c:v>3542.0581156046956</c:v>
                </c:pt>
                <c:pt idx="690">
                  <c:v>3548.556343099614</c:v>
                </c:pt>
                <c:pt idx="691">
                  <c:v>3555.0664921833936</c:v>
                </c:pt>
                <c:pt idx="692">
                  <c:v>3561.588584727273</c:v>
                </c:pt>
                <c:pt idx="693">
                  <c:v>3568.1226426426133</c:v>
                </c:pt>
                <c:pt idx="694">
                  <c:v>3574.6686878809774</c:v>
                </c:pt>
                <c:pt idx="695">
                  <c:v>3581.2267424341976</c:v>
                </c:pt>
                <c:pt idx="696">
                  <c:v>3587.7968283344553</c:v>
                </c:pt>
                <c:pt idx="697">
                  <c:v>3594.3789676543474</c:v>
                </c:pt>
                <c:pt idx="698">
                  <c:v>3600.9731825069694</c:v>
                </c:pt>
                <c:pt idx="699">
                  <c:v>3607.5794950459822</c:v>
                </c:pt>
                <c:pt idx="700">
                  <c:v>3614.1979274656915</c:v>
                </c:pt>
                <c:pt idx="701">
                  <c:v>3620.8285020011203</c:v>
                </c:pt>
                <c:pt idx="702">
                  <c:v>3627.4712409280824</c:v>
                </c:pt>
                <c:pt idx="703">
                  <c:v>3634.1261665632596</c:v>
                </c:pt>
                <c:pt idx="704">
                  <c:v>3640.793301264277</c:v>
                </c:pt>
                <c:pt idx="705">
                  <c:v>3647.4726674297731</c:v>
                </c:pt>
                <c:pt idx="706">
                  <c:v>3654.1642874994827</c:v>
                </c:pt>
                <c:pt idx="707">
                  <c:v>3660.868183954306</c:v>
                </c:pt>
                <c:pt idx="708">
                  <c:v>3667.5843793163872</c:v>
                </c:pt>
                <c:pt idx="709">
                  <c:v>3674.3128961491893</c:v>
                </c:pt>
                <c:pt idx="710">
                  <c:v>3681.0537570575693</c:v>
                </c:pt>
                <c:pt idx="711">
                  <c:v>3687.806984687857</c:v>
                </c:pt>
                <c:pt idx="712">
                  <c:v>3694.5726017279267</c:v>
                </c:pt>
                <c:pt idx="713">
                  <c:v>3701.3506309072768</c:v>
                </c:pt>
                <c:pt idx="714">
                  <c:v>3708.1410949971041</c:v>
                </c:pt>
                <c:pt idx="715">
                  <c:v>3714.9440168103833</c:v>
                </c:pt>
                <c:pt idx="716">
                  <c:v>3721.7594192019401</c:v>
                </c:pt>
                <c:pt idx="717">
                  <c:v>3728.5873250685272</c:v>
                </c:pt>
                <c:pt idx="718">
                  <c:v>3735.4277573489076</c:v>
                </c:pt>
                <c:pt idx="719">
                  <c:v>3742.2807390239259</c:v>
                </c:pt>
                <c:pt idx="720">
                  <c:v>3749.1462931165856</c:v>
                </c:pt>
                <c:pt idx="721">
                  <c:v>3756.0244426921308</c:v>
                </c:pt>
                <c:pt idx="722">
                  <c:v>3762.9152108581193</c:v>
                </c:pt>
                <c:pt idx="723">
                  <c:v>3769.8186207645012</c:v>
                </c:pt>
                <c:pt idx="724">
                  <c:v>3776.7346956036999</c:v>
                </c:pt>
                <c:pt idx="725">
                  <c:v>3783.6634586106825</c:v>
                </c:pt>
                <c:pt idx="726">
                  <c:v>3790.6049330630476</c:v>
                </c:pt>
                <c:pt idx="727">
                  <c:v>3797.5591422810971</c:v>
                </c:pt>
                <c:pt idx="728">
                  <c:v>3804.5261096279164</c:v>
                </c:pt>
                <c:pt idx="729">
                  <c:v>3811.5058585094507</c:v>
                </c:pt>
                <c:pt idx="730">
                  <c:v>3818.4984123745871</c:v>
                </c:pt>
                <c:pt idx="731">
                  <c:v>3825.5037947152318</c:v>
                </c:pt>
                <c:pt idx="732">
                  <c:v>3832.5220290663906</c:v>
                </c:pt>
                <c:pt idx="733">
                  <c:v>3839.5531390062424</c:v>
                </c:pt>
                <c:pt idx="734">
                  <c:v>3846.5971481562256</c:v>
                </c:pt>
                <c:pt idx="735">
                  <c:v>3853.6540801811138</c:v>
                </c:pt>
                <c:pt idx="736">
                  <c:v>3860.7239587890954</c:v>
                </c:pt>
                <c:pt idx="737">
                  <c:v>3867.806807731853</c:v>
                </c:pt>
                <c:pt idx="738">
                  <c:v>3874.9026508046436</c:v>
                </c:pt>
                <c:pt idx="739">
                  <c:v>3882.0115118463814</c:v>
                </c:pt>
                <c:pt idx="740">
                  <c:v>3889.133414739712</c:v>
                </c:pt>
                <c:pt idx="741">
                  <c:v>3896.2683834110985</c:v>
                </c:pt>
                <c:pt idx="742">
                  <c:v>3903.4164418308974</c:v>
                </c:pt>
                <c:pt idx="743">
                  <c:v>3910.5776140134412</c:v>
                </c:pt>
                <c:pt idx="744">
                  <c:v>3917.7519240171214</c:v>
                </c:pt>
                <c:pt idx="745">
                  <c:v>3924.9393959444628</c:v>
                </c:pt>
                <c:pt idx="746">
                  <c:v>3932.1400539422102</c:v>
                </c:pt>
                <c:pt idx="747">
                  <c:v>3939.3539222014092</c:v>
                </c:pt>
                <c:pt idx="748">
                  <c:v>3946.5810249574856</c:v>
                </c:pt>
                <c:pt idx="749">
                  <c:v>3953.8213864903241</c:v>
                </c:pt>
                <c:pt idx="750">
                  <c:v>3961.0750311243573</c:v>
                </c:pt>
                <c:pt idx="751">
                  <c:v>3968.3419832286399</c:v>
                </c:pt>
                <c:pt idx="752">
                  <c:v>3975.6222672169388</c:v>
                </c:pt>
                <c:pt idx="753">
                  <c:v>3982.9159075478033</c:v>
                </c:pt>
                <c:pt idx="754">
                  <c:v>3990.2229287246587</c:v>
                </c:pt>
                <c:pt idx="755">
                  <c:v>3997.5433552958834</c:v>
                </c:pt>
                <c:pt idx="756">
                  <c:v>4004.8772118548914</c:v>
                </c:pt>
                <c:pt idx="757">
                  <c:v>4012.2245230402154</c:v>
                </c:pt>
                <c:pt idx="758">
                  <c:v>4019.5853135355896</c:v>
                </c:pt>
                <c:pt idx="759">
                  <c:v>4026.9596080700348</c:v>
                </c:pt>
                <c:pt idx="760">
                  <c:v>4034.3474314179366</c:v>
                </c:pt>
                <c:pt idx="761">
                  <c:v>4041.7488083991316</c:v>
                </c:pt>
                <c:pt idx="762">
                  <c:v>4049.1637638789948</c:v>
                </c:pt>
                <c:pt idx="763">
                  <c:v>4056.5923227685134</c:v>
                </c:pt>
                <c:pt idx="764">
                  <c:v>4064.0345100243803</c:v>
                </c:pt>
                <c:pt idx="765">
                  <c:v>4071.4903506490705</c:v>
                </c:pt>
                <c:pt idx="766">
                  <c:v>4078.9598696909311</c:v>
                </c:pt>
                <c:pt idx="767">
                  <c:v>4086.4430922442612</c:v>
                </c:pt>
                <c:pt idx="768">
                  <c:v>4093.9400434493959</c:v>
                </c:pt>
                <c:pt idx="769">
                  <c:v>4101.4507484927972</c:v>
                </c:pt>
                <c:pt idx="770">
                  <c:v>4108.9752326071293</c:v>
                </c:pt>
                <c:pt idx="771">
                  <c:v>4116.5135210713524</c:v>
                </c:pt>
                <c:pt idx="772">
                  <c:v>4124.0656392107985</c:v>
                </c:pt>
                <c:pt idx="773">
                  <c:v>4131.6316123972647</c:v>
                </c:pt>
                <c:pt idx="774">
                  <c:v>4139.2114660490934</c:v>
                </c:pt>
                <c:pt idx="775">
                  <c:v>4146.8052256312612</c:v>
                </c:pt>
                <c:pt idx="776">
                  <c:v>4154.4129166554576</c:v>
                </c:pt>
                <c:pt idx="777">
                  <c:v>4162.0345646801816</c:v>
                </c:pt>
                <c:pt idx="778">
                  <c:v>4169.6701953108186</c:v>
                </c:pt>
                <c:pt idx="779">
                  <c:v>4177.3198341997295</c:v>
                </c:pt>
                <c:pt idx="780">
                  <c:v>4184.9835070463369</c:v>
                </c:pt>
                <c:pt idx="781">
                  <c:v>4192.6612395972124</c:v>
                </c:pt>
                <c:pt idx="782">
                  <c:v>4200.3530576461608</c:v>
                </c:pt>
                <c:pt idx="783">
                  <c:v>4208.0589870343083</c:v>
                </c:pt>
                <c:pt idx="784">
                  <c:v>4215.7790536501889</c:v>
                </c:pt>
                <c:pt idx="785">
                  <c:v>4223.5132834298302</c:v>
                </c:pt>
                <c:pt idx="786">
                  <c:v>4231.2617023568455</c:v>
                </c:pt>
                <c:pt idx="787">
                  <c:v>4239.0243364625148</c:v>
                </c:pt>
                <c:pt idx="788">
                  <c:v>4246.801211825873</c:v>
                </c:pt>
                <c:pt idx="789">
                  <c:v>4254.5923545738024</c:v>
                </c:pt>
                <c:pt idx="790">
                  <c:v>4262.3977908811175</c:v>
                </c:pt>
                <c:pt idx="791">
                  <c:v>4270.2175469706535</c:v>
                </c:pt>
                <c:pt idx="792">
                  <c:v>4278.0516491133485</c:v>
                </c:pt>
                <c:pt idx="793">
                  <c:v>4285.900123628343</c:v>
                </c:pt>
                <c:pt idx="794">
                  <c:v>4293.7629968830588</c:v>
                </c:pt>
                <c:pt idx="795">
                  <c:v>4301.640295293294</c:v>
                </c:pt>
                <c:pt idx="796">
                  <c:v>4309.5320453233053</c:v>
                </c:pt>
                <c:pt idx="797">
                  <c:v>4317.4382734859037</c:v>
                </c:pt>
                <c:pt idx="798">
                  <c:v>4325.359006342539</c:v>
                </c:pt>
                <c:pt idx="799">
                  <c:v>4333.2942705033893</c:v>
                </c:pt>
                <c:pt idx="800">
                  <c:v>4341.2440926274548</c:v>
                </c:pt>
                <c:pt idx="801">
                  <c:v>4349.2084994226407</c:v>
                </c:pt>
                <c:pt idx="802">
                  <c:v>4357.1875176458525</c:v>
                </c:pt>
                <c:pt idx="803">
                  <c:v>4365.1811741030815</c:v>
                </c:pt>
                <c:pt idx="804">
                  <c:v>4373.189495649498</c:v>
                </c:pt>
                <c:pt idx="805">
                  <c:v>4381.2125091895423</c:v>
                </c:pt>
                <c:pt idx="806">
                  <c:v>4389.2502416770112</c:v>
                </c:pt>
                <c:pt idx="807">
                  <c:v>4397.3027201151526</c:v>
                </c:pt>
                <c:pt idx="808">
                  <c:v>4405.3699715567491</c:v>
                </c:pt>
                <c:pt idx="809">
                  <c:v>4413.4520231042206</c:v>
                </c:pt>
                <c:pt idx="810">
                  <c:v>4421.5489019097067</c:v>
                </c:pt>
                <c:pt idx="811">
                  <c:v>4429.6606351751607</c:v>
                </c:pt>
                <c:pt idx="812">
                  <c:v>4437.7872501524371</c:v>
                </c:pt>
                <c:pt idx="813">
                  <c:v>4445.9287741433882</c:v>
                </c:pt>
                <c:pt idx="814">
                  <c:v>4454.0852344999566</c:v>
                </c:pt>
                <c:pt idx="815">
                  <c:v>4462.256658624261</c:v>
                </c:pt>
                <c:pt idx="816">
                  <c:v>4470.4430739686932</c:v>
                </c:pt>
                <c:pt idx="817">
                  <c:v>4478.644508036009</c:v>
                </c:pt>
                <c:pt idx="818">
                  <c:v>4486.8609883794197</c:v>
                </c:pt>
                <c:pt idx="819">
                  <c:v>4495.0925426026879</c:v>
                </c:pt>
                <c:pt idx="820">
                  <c:v>4503.3391983602151</c:v>
                </c:pt>
                <c:pt idx="821">
                  <c:v>4511.600983357137</c:v>
                </c:pt>
                <c:pt idx="822">
                  <c:v>4519.8779253494195</c:v>
                </c:pt>
                <c:pt idx="823">
                  <c:v>4528.1700521439489</c:v>
                </c:pt>
                <c:pt idx="824">
                  <c:v>4536.4773915986225</c:v>
                </c:pt>
                <c:pt idx="825">
                  <c:v>4544.7999716224485</c:v>
                </c:pt>
                <c:pt idx="826">
                  <c:v>4553.137820175637</c:v>
                </c:pt>
                <c:pt idx="827">
                  <c:v>4561.4909652696924</c:v>
                </c:pt>
                <c:pt idx="828">
                  <c:v>4569.8594349675077</c:v>
                </c:pt>
                <c:pt idx="829">
                  <c:v>4578.2432573834622</c:v>
                </c:pt>
                <c:pt idx="830">
                  <c:v>4586.6424606835117</c:v>
                </c:pt>
                <c:pt idx="831">
                  <c:v>4595.0570730852878</c:v>
                </c:pt>
                <c:pt idx="832">
                  <c:v>4603.4871228581842</c:v>
                </c:pt>
                <c:pt idx="833">
                  <c:v>4611.9326383234657</c:v>
                </c:pt>
                <c:pt idx="834">
                  <c:v>4620.3936478543483</c:v>
                </c:pt>
                <c:pt idx="835">
                  <c:v>4628.8701798761003</c:v>
                </c:pt>
                <c:pt idx="836">
                  <c:v>4637.3622628661478</c:v>
                </c:pt>
                <c:pt idx="837">
                  <c:v>4645.8699253541499</c:v>
                </c:pt>
                <c:pt idx="838">
                  <c:v>4654.3931959221145</c:v>
                </c:pt>
                <c:pt idx="839">
                  <c:v>4662.9321032044818</c:v>
                </c:pt>
                <c:pt idx="840">
                  <c:v>4671.4866758882245</c:v>
                </c:pt>
                <c:pt idx="841">
                  <c:v>4680.0569427129467</c:v>
                </c:pt>
                <c:pt idx="842">
                  <c:v>4688.6429324709761</c:v>
                </c:pt>
                <c:pt idx="843">
                  <c:v>4697.2446740074602</c:v>
                </c:pt>
                <c:pt idx="844">
                  <c:v>4705.8621962204707</c:v>
                </c:pt>
                <c:pt idx="845">
                  <c:v>4714.495528061092</c:v>
                </c:pt>
                <c:pt idx="846">
                  <c:v>4723.1446985335215</c:v>
                </c:pt>
                <c:pt idx="847">
                  <c:v>4731.8097366951688</c:v>
                </c:pt>
                <c:pt idx="848">
                  <c:v>4740.4906716567539</c:v>
                </c:pt>
                <c:pt idx="849">
                  <c:v>4749.1875325823985</c:v>
                </c:pt>
                <c:pt idx="850">
                  <c:v>4757.9003486897336</c:v>
                </c:pt>
                <c:pt idx="851">
                  <c:v>4766.6291492499859</c:v>
                </c:pt>
                <c:pt idx="852">
                  <c:v>4775.3739635880902</c:v>
                </c:pt>
                <c:pt idx="853">
                  <c:v>4784.1348210827773</c:v>
                </c:pt>
                <c:pt idx="854">
                  <c:v>4792.9117511666718</c:v>
                </c:pt>
                <c:pt idx="855">
                  <c:v>4801.704783326405</c:v>
                </c:pt>
                <c:pt idx="856">
                  <c:v>4810.5139471026923</c:v>
                </c:pt>
                <c:pt idx="857">
                  <c:v>4819.3392720904558</c:v>
                </c:pt>
                <c:pt idx="858">
                  <c:v>4828.1807879389034</c:v>
                </c:pt>
                <c:pt idx="859">
                  <c:v>4837.0385243516412</c:v>
                </c:pt>
                <c:pt idx="860">
                  <c:v>4845.9125110867672</c:v>
                </c:pt>
                <c:pt idx="861">
                  <c:v>4854.8027779569775</c:v>
                </c:pt>
                <c:pt idx="862">
                  <c:v>4863.7093548296543</c:v>
                </c:pt>
                <c:pt idx="863">
                  <c:v>4872.6322716269851</c:v>
                </c:pt>
                <c:pt idx="864">
                  <c:v>4881.5715583260426</c:v>
                </c:pt>
                <c:pt idx="865">
                  <c:v>4890.527244958902</c:v>
                </c:pt>
                <c:pt idx="866">
                  <c:v>4899.4993616127285</c:v>
                </c:pt>
                <c:pt idx="867">
                  <c:v>4908.487938429892</c:v>
                </c:pt>
                <c:pt idx="868">
                  <c:v>4917.4930056080566</c:v>
                </c:pt>
                <c:pt idx="869">
                  <c:v>4926.5145934002894</c:v>
                </c:pt>
                <c:pt idx="870">
                  <c:v>4935.552732115154</c:v>
                </c:pt>
                <c:pt idx="871">
                  <c:v>4944.6074521168266</c:v>
                </c:pt>
                <c:pt idx="872">
                  <c:v>4953.6787838251821</c:v>
                </c:pt>
                <c:pt idx="873">
                  <c:v>4962.76675771591</c:v>
                </c:pt>
                <c:pt idx="874">
                  <c:v>4971.8714043206019</c:v>
                </c:pt>
                <c:pt idx="875">
                  <c:v>4980.9927542268651</c:v>
                </c:pt>
                <c:pt idx="876">
                  <c:v>4990.1308380784303</c:v>
                </c:pt>
                <c:pt idx="877">
                  <c:v>4999.2856865752374</c:v>
                </c:pt>
                <c:pt idx="878">
                  <c:v>5008.4573304735495</c:v>
                </c:pt>
                <c:pt idx="879">
                  <c:v>5017.6458005860613</c:v>
                </c:pt>
                <c:pt idx="880">
                  <c:v>5026.8511277819871</c:v>
                </c:pt>
                <c:pt idx="881">
                  <c:v>5036.0733429871843</c:v>
                </c:pt>
                <c:pt idx="882">
                  <c:v>5045.3124771842367</c:v>
                </c:pt>
                <c:pt idx="883">
                  <c:v>5054.5685614125714</c:v>
                </c:pt>
                <c:pt idx="884">
                  <c:v>5063.8416267685643</c:v>
                </c:pt>
                <c:pt idx="885">
                  <c:v>5073.131704405635</c:v>
                </c:pt>
                <c:pt idx="886">
                  <c:v>5082.4388255343583</c:v>
                </c:pt>
                <c:pt idx="887">
                  <c:v>5091.763021422571</c:v>
                </c:pt>
                <c:pt idx="888">
                  <c:v>5101.1043233954688</c:v>
                </c:pt>
                <c:pt idx="889">
                  <c:v>5110.4627628357202</c:v>
                </c:pt>
                <c:pt idx="890">
                  <c:v>5119.8383711835668</c:v>
                </c:pt>
                <c:pt idx="891">
                  <c:v>5129.2311799369263</c:v>
                </c:pt>
                <c:pt idx="892">
                  <c:v>5138.6412206515115</c:v>
                </c:pt>
                <c:pt idx="893">
                  <c:v>5148.0685249409171</c:v>
                </c:pt>
                <c:pt idx="894">
                  <c:v>5157.513124476739</c:v>
                </c:pt>
                <c:pt idx="895">
                  <c:v>5166.9750509886817</c:v>
                </c:pt>
                <c:pt idx="896">
                  <c:v>5176.4543362646555</c:v>
                </c:pt>
                <c:pt idx="897">
                  <c:v>5185.9510121508902</c:v>
                </c:pt>
                <c:pt idx="898">
                  <c:v>5195.4651105520416</c:v>
                </c:pt>
                <c:pt idx="899">
                  <c:v>5204.9966634312959</c:v>
                </c:pt>
                <c:pt idx="900">
                  <c:v>5214.545702810482</c:v>
                </c:pt>
                <c:pt idx="901">
                  <c:v>5224.1122607701709</c:v>
                </c:pt>
                <c:pt idx="902">
                  <c:v>5233.6963694497872</c:v>
                </c:pt>
                <c:pt idx="903">
                  <c:v>5243.298061047728</c:v>
                </c:pt>
                <c:pt idx="904">
                  <c:v>5252.917367821452</c:v>
                </c:pt>
                <c:pt idx="905">
                  <c:v>5262.5543220875961</c:v>
                </c:pt>
                <c:pt idx="906">
                  <c:v>5272.2089562220945</c:v>
                </c:pt>
                <c:pt idx="907">
                  <c:v>5281.8813026602702</c:v>
                </c:pt>
                <c:pt idx="908">
                  <c:v>5291.5713938969539</c:v>
                </c:pt>
                <c:pt idx="909">
                  <c:v>5301.2792624865915</c:v>
                </c:pt>
                <c:pt idx="910">
                  <c:v>5311.0049410433503</c:v>
                </c:pt>
                <c:pt idx="911">
                  <c:v>5320.7484622412376</c:v>
                </c:pt>
                <c:pt idx="912">
                  <c:v>5330.5098588141964</c:v>
                </c:pt>
                <c:pt idx="913">
                  <c:v>5340.2891635562264</c:v>
                </c:pt>
                <c:pt idx="914">
                  <c:v>5350.0864093214941</c:v>
                </c:pt>
                <c:pt idx="915">
                  <c:v>5359.9016290244344</c:v>
                </c:pt>
                <c:pt idx="916">
                  <c:v>5369.7348556398711</c:v>
                </c:pt>
                <c:pt idx="917">
                  <c:v>5379.5861222031208</c:v>
                </c:pt>
                <c:pt idx="918">
                  <c:v>5389.4554618101056</c:v>
                </c:pt>
                <c:pt idx="919">
                  <c:v>5399.3429076174707</c:v>
                </c:pt>
                <c:pt idx="920">
                  <c:v>5409.2484928426838</c:v>
                </c:pt>
                <c:pt idx="921">
                  <c:v>5419.1722507641525</c:v>
                </c:pt>
                <c:pt idx="922">
                  <c:v>5429.1142147213441</c:v>
                </c:pt>
                <c:pt idx="923">
                  <c:v>5439.0744181148812</c:v>
                </c:pt>
                <c:pt idx="924">
                  <c:v>5449.0528944066718</c:v>
                </c:pt>
                <c:pt idx="925">
                  <c:v>5459.0496771200069</c:v>
                </c:pt>
                <c:pt idx="926">
                  <c:v>5469.0647998396771</c:v>
                </c:pt>
                <c:pt idx="927">
                  <c:v>5479.0982962120943</c:v>
                </c:pt>
                <c:pt idx="928">
                  <c:v>5489.1501999453949</c:v>
                </c:pt>
                <c:pt idx="929">
                  <c:v>5499.220544809551</c:v>
                </c:pt>
                <c:pt idx="930">
                  <c:v>5509.309364636496</c:v>
                </c:pt>
                <c:pt idx="931">
                  <c:v>5519.4166933202268</c:v>
                </c:pt>
                <c:pt idx="932">
                  <c:v>5529.5425648169248</c:v>
                </c:pt>
                <c:pt idx="933">
                  <c:v>5539.6870131450651</c:v>
                </c:pt>
                <c:pt idx="934">
                  <c:v>5549.8500723855295</c:v>
                </c:pt>
                <c:pt idx="935">
                  <c:v>5560.0317766817334</c:v>
                </c:pt>
                <c:pt idx="936">
                  <c:v>5570.2321602397224</c:v>
                </c:pt>
                <c:pt idx="937">
                  <c:v>5580.4512573283</c:v>
                </c:pt>
                <c:pt idx="938">
                  <c:v>5590.6891022791406</c:v>
                </c:pt>
                <c:pt idx="939">
                  <c:v>5600.945729486898</c:v>
                </c:pt>
                <c:pt idx="940">
                  <c:v>5611.2211734093335</c:v>
                </c:pt>
                <c:pt idx="941">
                  <c:v>5621.5154685674179</c:v>
                </c:pt>
                <c:pt idx="942">
                  <c:v>5631.828649545454</c:v>
                </c:pt>
                <c:pt idx="943">
                  <c:v>5642.1607509911992</c:v>
                </c:pt>
                <c:pt idx="944">
                  <c:v>5652.511807615967</c:v>
                </c:pt>
                <c:pt idx="945">
                  <c:v>5662.8818541947576</c:v>
                </c:pt>
                <c:pt idx="946">
                  <c:v>5673.2709255663658</c:v>
                </c:pt>
                <c:pt idx="947">
                  <c:v>5683.6790566335067</c:v>
                </c:pt>
                <c:pt idx="948">
                  <c:v>5694.106282362919</c:v>
                </c:pt>
                <c:pt idx="949">
                  <c:v>5704.5526377855003</c:v>
                </c:pt>
                <c:pt idx="950">
                  <c:v>5715.0181579964064</c:v>
                </c:pt>
                <c:pt idx="951">
                  <c:v>5725.5028781551882</c:v>
                </c:pt>
                <c:pt idx="952">
                  <c:v>5736.0068334858925</c:v>
                </c:pt>
                <c:pt idx="953">
                  <c:v>5746.5300592771864</c:v>
                </c:pt>
                <c:pt idx="954">
                  <c:v>5757.0725908824879</c:v>
                </c:pt>
                <c:pt idx="955">
                  <c:v>5767.6344637200618</c:v>
                </c:pt>
                <c:pt idx="956">
                  <c:v>5778.2157132731591</c:v>
                </c:pt>
                <c:pt idx="957">
                  <c:v>5788.8163750901258</c:v>
                </c:pt>
                <c:pt idx="958">
                  <c:v>5799.43648478452</c:v>
                </c:pt>
                <c:pt idx="959">
                  <c:v>5810.0760780352466</c:v>
                </c:pt>
                <c:pt idx="960">
                  <c:v>5820.7351905866553</c:v>
                </c:pt>
                <c:pt idx="961">
                  <c:v>5831.4138582486758</c:v>
                </c:pt>
                <c:pt idx="962">
                  <c:v>5842.1121168969421</c:v>
                </c:pt>
                <c:pt idx="963">
                  <c:v>5852.8300024728915</c:v>
                </c:pt>
                <c:pt idx="964">
                  <c:v>5863.5675509839111</c:v>
                </c:pt>
                <c:pt idx="965">
                  <c:v>5874.3247985034404</c:v>
                </c:pt>
                <c:pt idx="966">
                  <c:v>5885.1017811711017</c:v>
                </c:pt>
                <c:pt idx="967">
                  <c:v>5895.8985351928159</c:v>
                </c:pt>
                <c:pt idx="968">
                  <c:v>5906.7150968409314</c:v>
                </c:pt>
                <c:pt idx="969">
                  <c:v>5917.5515024543347</c:v>
                </c:pt>
                <c:pt idx="970">
                  <c:v>5928.4077884385879</c:v>
                </c:pt>
                <c:pt idx="971">
                  <c:v>5939.2839912660338</c:v>
                </c:pt>
                <c:pt idx="972">
                  <c:v>5950.1801474759368</c:v>
                </c:pt>
                <c:pt idx="973">
                  <c:v>5961.0962936745855</c:v>
                </c:pt>
                <c:pt idx="974">
                  <c:v>5972.0324665354301</c:v>
                </c:pt>
                <c:pt idx="975">
                  <c:v>5982.9887027992054</c:v>
                </c:pt>
                <c:pt idx="976">
                  <c:v>5993.9650392740477</c:v>
                </c:pt>
                <c:pt idx="977">
                  <c:v>6004.9615128356163</c:v>
                </c:pt>
                <c:pt idx="978">
                  <c:v>6015.978160427233</c:v>
                </c:pt>
                <c:pt idx="979">
                  <c:v>6027.0150190599834</c:v>
                </c:pt>
                <c:pt idx="980">
                  <c:v>6038.0721258128642</c:v>
                </c:pt>
                <c:pt idx="981">
                  <c:v>6049.1495178328896</c:v>
                </c:pt>
                <c:pt idx="982">
                  <c:v>6060.2472323352213</c:v>
                </c:pt>
                <c:pt idx="983">
                  <c:v>6071.3653066033085</c:v>
                </c:pt>
                <c:pt idx="984">
                  <c:v>6082.5037779889844</c:v>
                </c:pt>
                <c:pt idx="985">
                  <c:v>6093.6626839126184</c:v>
                </c:pt>
                <c:pt idx="986">
                  <c:v>6104.8420618632263</c:v>
                </c:pt>
                <c:pt idx="987">
                  <c:v>6116.0419493986019</c:v>
                </c:pt>
                <c:pt idx="988">
                  <c:v>6127.2623841454415</c:v>
                </c:pt>
                <c:pt idx="989">
                  <c:v>6138.5034037994747</c:v>
                </c:pt>
                <c:pt idx="990">
                  <c:v>6149.7650461255798</c:v>
                </c:pt>
                <c:pt idx="991">
                  <c:v>6161.0473489579281</c:v>
                </c:pt>
                <c:pt idx="992">
                  <c:v>6172.3503502000931</c:v>
                </c:pt>
                <c:pt idx="993">
                  <c:v>6183.6740878251849</c:v>
                </c:pt>
                <c:pt idx="994">
                  <c:v>6195.0185998759898</c:v>
                </c:pt>
                <c:pt idx="995">
                  <c:v>6206.3839244650726</c:v>
                </c:pt>
                <c:pt idx="996">
                  <c:v>6217.7700997749307</c:v>
                </c:pt>
                <c:pt idx="997">
                  <c:v>6229.1771640581064</c:v>
                </c:pt>
                <c:pt idx="998">
                  <c:v>6240.605155637315</c:v>
                </c:pt>
                <c:pt idx="999">
                  <c:v>6252.0541129055882</c:v>
                </c:pt>
                <c:pt idx="1000">
                  <c:v>6263.5240743263857</c:v>
                </c:pt>
                <c:pt idx="1001">
                  <c:v>6275.0150784337302</c:v>
                </c:pt>
                <c:pt idx="1002">
                  <c:v>6286.5271638323502</c:v>
                </c:pt>
                <c:pt idx="1003">
                  <c:v>6298.0603691977822</c:v>
                </c:pt>
                <c:pt idx="1004">
                  <c:v>6309.6147332765313</c:v>
                </c:pt>
                <c:pt idx="1005">
                  <c:v>6321.1902948861743</c:v>
                </c:pt>
                <c:pt idx="1006">
                  <c:v>6332.7870929155124</c:v>
                </c:pt>
                <c:pt idx="1007">
                  <c:v>6344.4051663246846</c:v>
                </c:pt>
                <c:pt idx="1008">
                  <c:v>6356.0445541453118</c:v>
                </c:pt>
                <c:pt idx="1009">
                  <c:v>6367.7052954806122</c:v>
                </c:pt>
                <c:pt idx="1010">
                  <c:v>6379.3874295055575</c:v>
                </c:pt>
                <c:pt idx="1011">
                  <c:v>6391.0909954669733</c:v>
                </c:pt>
                <c:pt idx="1012">
                  <c:v>6402.8160326837005</c:v>
                </c:pt>
                <c:pt idx="1013">
                  <c:v>6414.5625805467062</c:v>
                </c:pt>
                <c:pt idx="1014">
                  <c:v>6426.3306785192217</c:v>
                </c:pt>
                <c:pt idx="1015">
                  <c:v>6438.1203661368863</c:v>
                </c:pt>
                <c:pt idx="1016">
                  <c:v>6449.931683007866</c:v>
                </c:pt>
                <c:pt idx="1017">
                  <c:v>6461.7646688129871</c:v>
                </c:pt>
                <c:pt idx="1018">
                  <c:v>6473.6193633058847</c:v>
                </c:pt>
                <c:pt idx="1019">
                  <c:v>6485.4958063131116</c:v>
                </c:pt>
                <c:pt idx="1020">
                  <c:v>6497.3940377343015</c:v>
                </c:pt>
                <c:pt idx="1021">
                  <c:v>6509.3140975422775</c:v>
                </c:pt>
                <c:pt idx="1022">
                  <c:v>6521.2560257831938</c:v>
                </c:pt>
                <c:pt idx="1023">
                  <c:v>6533.219862576685</c:v>
                </c:pt>
                <c:pt idx="1024">
                  <c:v>6545.2056481159761</c:v>
                </c:pt>
                <c:pt idx="1025">
                  <c:v>6557.2134226680382</c:v>
                </c:pt>
                <c:pt idx="1026">
                  <c:v>6569.2432265737143</c:v>
                </c:pt>
                <c:pt idx="1027">
                  <c:v>6581.2951002478558</c:v>
                </c:pt>
                <c:pt idx="1028">
                  <c:v>6593.3690841794541</c:v>
                </c:pt>
                <c:pt idx="1029">
                  <c:v>6605.4652189317931</c:v>
                </c:pt>
                <c:pt idx="1030">
                  <c:v>6617.5835451425583</c:v>
                </c:pt>
                <c:pt idx="1031">
                  <c:v>6629.724103524004</c:v>
                </c:pt>
                <c:pt idx="1032">
                  <c:v>6641.8869348630651</c:v>
                </c:pt>
                <c:pt idx="1033">
                  <c:v>6654.0720800215013</c:v>
                </c:pt>
                <c:pt idx="1034">
                  <c:v>6666.2795799360501</c:v>
                </c:pt>
                <c:pt idx="1035">
                  <c:v>6678.509475618539</c:v>
                </c:pt>
                <c:pt idx="1036">
                  <c:v>6690.7618081560386</c:v>
                </c:pt>
                <c:pt idx="1037">
                  <c:v>6703.0366187110012</c:v>
                </c:pt>
                <c:pt idx="1038">
                  <c:v>6715.3339485213892</c:v>
                </c:pt>
                <c:pt idx="1039">
                  <c:v>6727.6538389008265</c:v>
                </c:pt>
                <c:pt idx="1040">
                  <c:v>6739.9963312387263</c:v>
                </c:pt>
                <c:pt idx="1041">
                  <c:v>6752.3614670004317</c:v>
                </c:pt>
                <c:pt idx="1042">
                  <c:v>6764.7492877273671</c:v>
                </c:pt>
                <c:pt idx="1043">
                  <c:v>6777.1598350371587</c:v>
                </c:pt>
                <c:pt idx="1044">
                  <c:v>6789.5931506237885</c:v>
                </c:pt>
                <c:pt idx="1045">
                  <c:v>6802.0492762577305</c:v>
                </c:pt>
                <c:pt idx="1046">
                  <c:v>6814.5282537860876</c:v>
                </c:pt>
                <c:pt idx="1047">
                  <c:v>6827.0301251327401</c:v>
                </c:pt>
                <c:pt idx="1048">
                  <c:v>6839.5549322984771</c:v>
                </c:pt>
                <c:pt idx="1049">
                  <c:v>6852.1027173611392</c:v>
                </c:pt>
                <c:pt idx="1050">
                  <c:v>6864.6735224757722</c:v>
                </c:pt>
                <c:pt idx="1051">
                  <c:v>6877.2673898747489</c:v>
                </c:pt>
                <c:pt idx="1052">
                  <c:v>6889.8843618679257</c:v>
                </c:pt>
                <c:pt idx="1053">
                  <c:v>6902.5244808427824</c:v>
                </c:pt>
                <c:pt idx="1054">
                  <c:v>6915.1877892645598</c:v>
                </c:pt>
                <c:pt idx="1055">
                  <c:v>6927.874329676406</c:v>
                </c:pt>
                <c:pt idx="1056">
                  <c:v>6940.5841446995182</c:v>
                </c:pt>
                <c:pt idx="1057">
                  <c:v>6953.3172770332831</c:v>
                </c:pt>
                <c:pt idx="1058">
                  <c:v>6966.0737694554309</c:v>
                </c:pt>
                <c:pt idx="1059">
                  <c:v>6978.8536648221625</c:v>
                </c:pt>
                <c:pt idx="1060">
                  <c:v>6991.6570060683061</c:v>
                </c:pt>
                <c:pt idx="1061">
                  <c:v>7004.4838362074606</c:v>
                </c:pt>
                <c:pt idx="1062">
                  <c:v>7017.3341983321325</c:v>
                </c:pt>
                <c:pt idx="1063">
                  <c:v>7030.2081356138924</c:v>
                </c:pt>
                <c:pt idx="1064">
                  <c:v>7043.1056913035018</c:v>
                </c:pt>
                <c:pt idx="1065">
                  <c:v>7056.0269087310799</c:v>
                </c:pt>
                <c:pt idx="1066">
                  <c:v>7068.9718313062367</c:v>
                </c:pt>
                <c:pt idx="1067">
                  <c:v>7081.9405025182177</c:v>
                </c:pt>
                <c:pt idx="1068">
                  <c:v>7094.9329659360519</c:v>
                </c:pt>
                <c:pt idx="1069">
                  <c:v>7107.9492652087101</c:v>
                </c:pt>
                <c:pt idx="1070">
                  <c:v>7120.9894440652261</c:v>
                </c:pt>
                <c:pt idx="1071">
                  <c:v>7134.0535463148744</c:v>
                </c:pt>
                <c:pt idx="1072">
                  <c:v>7147.1416158472884</c:v>
                </c:pt>
                <c:pt idx="1073">
                  <c:v>7160.2536966326279</c:v>
                </c:pt>
                <c:pt idx="1074">
                  <c:v>7173.3898327217194</c:v>
                </c:pt>
                <c:pt idx="1075">
                  <c:v>7186.5500682462034</c:v>
                </c:pt>
                <c:pt idx="1076">
                  <c:v>7199.7344474186812</c:v>
                </c:pt>
                <c:pt idx="1077">
                  <c:v>7212.9430145328733</c:v>
                </c:pt>
                <c:pt idx="1078">
                  <c:v>7226.1758139637532</c:v>
                </c:pt>
                <c:pt idx="1079">
                  <c:v>7239.4328901677109</c:v>
                </c:pt>
                <c:pt idx="1080">
                  <c:v>7252.7142876826929</c:v>
                </c:pt>
                <c:pt idx="1081">
                  <c:v>7266.0200511283501</c:v>
                </c:pt>
                <c:pt idx="1082">
                  <c:v>7279.3502252062008</c:v>
                </c:pt>
                <c:pt idx="1083">
                  <c:v>7292.7048546997676</c:v>
                </c:pt>
                <c:pt idx="1084">
                  <c:v>7306.0839844747297</c:v>
                </c:pt>
                <c:pt idx="1085">
                  <c:v>7319.487659479084</c:v>
                </c:pt>
                <c:pt idx="1086">
                  <c:v>7332.9159247432808</c:v>
                </c:pt>
                <c:pt idx="1087">
                  <c:v>7346.3688253803912</c:v>
                </c:pt>
                <c:pt idx="1088">
                  <c:v>7359.8464065862427</c:v>
                </c:pt>
                <c:pt idx="1089">
                  <c:v>7373.3487136395779</c:v>
                </c:pt>
                <c:pt idx="1090">
                  <c:v>7386.8757919022173</c:v>
                </c:pt>
                <c:pt idx="1091">
                  <c:v>7400.427686819191</c:v>
                </c:pt>
                <c:pt idx="1092">
                  <c:v>7414.0044439189078</c:v>
                </c:pt>
                <c:pt idx="1093">
                  <c:v>7427.6061088133019</c:v>
                </c:pt>
                <c:pt idx="1094">
                  <c:v>7441.2327271979866</c:v>
                </c:pt>
                <c:pt idx="1095">
                  <c:v>7454.8843448524049</c:v>
                </c:pt>
                <c:pt idx="1096">
                  <c:v>7468.5610076399953</c:v>
                </c:pt>
                <c:pt idx="1097">
                  <c:v>7482.2627615083193</c:v>
                </c:pt>
                <c:pt idx="1098">
                  <c:v>7495.9896524892538</c:v>
                </c:pt>
                <c:pt idx="1099">
                  <c:v>7509.741726699117</c:v>
                </c:pt>
                <c:pt idx="1100">
                  <c:v>7523.5190303388208</c:v>
                </c:pt>
                <c:pt idx="1101">
                  <c:v>7537.3216096940605</c:v>
                </c:pt>
                <c:pt idx="1102">
                  <c:v>7551.1495111354188</c:v>
                </c:pt>
                <c:pt idx="1103">
                  <c:v>7565.0027811185792</c:v>
                </c:pt>
                <c:pt idx="1104">
                  <c:v>7578.8814661844253</c:v>
                </c:pt>
                <c:pt idx="1105">
                  <c:v>7592.7856129592392</c:v>
                </c:pt>
                <c:pt idx="1106">
                  <c:v>7606.7152681548405</c:v>
                </c:pt>
                <c:pt idx="1107">
                  <c:v>7620.6704785687461</c:v>
                </c:pt>
                <c:pt idx="1108">
                  <c:v>7634.6512910843239</c:v>
                </c:pt>
                <c:pt idx="1109">
                  <c:v>7648.657752670958</c:v>
                </c:pt>
                <c:pt idx="1110">
                  <c:v>7662.6899103841988</c:v>
                </c:pt>
                <c:pt idx="1111">
                  <c:v>7676.7478113659263</c:v>
                </c:pt>
                <c:pt idx="1112">
                  <c:v>7690.8315028445095</c:v>
                </c:pt>
                <c:pt idx="1113">
                  <c:v>7704.9410321349478</c:v>
                </c:pt>
                <c:pt idx="1114">
                  <c:v>7719.0764466390692</c:v>
                </c:pt>
                <c:pt idx="1115">
                  <c:v>7733.2377938456402</c:v>
                </c:pt>
                <c:pt idx="1116">
                  <c:v>7747.4251213305624</c:v>
                </c:pt>
                <c:pt idx="1117">
                  <c:v>7761.6384767570189</c:v>
                </c:pt>
                <c:pt idx="1118">
                  <c:v>7775.8779078756334</c:v>
                </c:pt>
                <c:pt idx="1119">
                  <c:v>7790.143462524632</c:v>
                </c:pt>
                <c:pt idx="1120">
                  <c:v>7804.4351886300065</c:v>
                </c:pt>
                <c:pt idx="1121">
                  <c:v>7818.7531342056709</c:v>
                </c:pt>
                <c:pt idx="1122">
                  <c:v>7833.0973473536251</c:v>
                </c:pt>
                <c:pt idx="1123">
                  <c:v>7847.4678762641233</c:v>
                </c:pt>
                <c:pt idx="1124">
                  <c:v>7861.864769215812</c:v>
                </c:pt>
                <c:pt idx="1125">
                  <c:v>7876.2880745759339</c:v>
                </c:pt>
                <c:pt idx="1126">
                  <c:v>7890.7378408004388</c:v>
                </c:pt>
                <c:pt idx="1127">
                  <c:v>7905.2141164342011</c:v>
                </c:pt>
                <c:pt idx="1128">
                  <c:v>7919.7169501111293</c:v>
                </c:pt>
                <c:pt idx="1129">
                  <c:v>7934.24639055437</c:v>
                </c:pt>
                <c:pt idx="1130">
                  <c:v>7948.8024865764628</c:v>
                </c:pt>
                <c:pt idx="1131">
                  <c:v>7963.3852870794781</c:v>
                </c:pt>
                <c:pt idx="1132">
                  <c:v>7977.994841055217</c:v>
                </c:pt>
                <c:pt idx="1133">
                  <c:v>7992.6311975853559</c:v>
                </c:pt>
                <c:pt idx="1134">
                  <c:v>8007.2944058416178</c:v>
                </c:pt>
                <c:pt idx="1135">
                  <c:v>8021.9845150859346</c:v>
                </c:pt>
                <c:pt idx="1136">
                  <c:v>8036.701574670612</c:v>
                </c:pt>
                <c:pt idx="1137">
                  <c:v>8051.4456340384995</c:v>
                </c:pt>
                <c:pt idx="1138">
                  <c:v>8066.2167427231516</c:v>
                </c:pt>
                <c:pt idx="1139">
                  <c:v>8081.0149503490029</c:v>
                </c:pt>
                <c:pt idx="1140">
                  <c:v>8095.8403066315141</c:v>
                </c:pt>
                <c:pt idx="1141">
                  <c:v>8110.6928613773734</c:v>
                </c:pt>
                <c:pt idx="1142">
                  <c:v>8125.5726644846218</c:v>
                </c:pt>
                <c:pt idx="1143">
                  <c:v>8140.4797659428696</c:v>
                </c:pt>
                <c:pt idx="1144">
                  <c:v>8155.4142158334098</c:v>
                </c:pt>
                <c:pt idx="1145">
                  <c:v>8170.3760643294318</c:v>
                </c:pt>
                <c:pt idx="1146">
                  <c:v>8185.3653616961656</c:v>
                </c:pt>
                <c:pt idx="1147">
                  <c:v>8200.3821582910605</c:v>
                </c:pt>
                <c:pt idx="1148">
                  <c:v>8215.4265045639477</c:v>
                </c:pt>
                <c:pt idx="1149">
                  <c:v>8230.4984510572158</c:v>
                </c:pt>
                <c:pt idx="1150">
                  <c:v>8245.5980484059764</c:v>
                </c:pt>
                <c:pt idx="1151">
                  <c:v>8260.7253473382407</c:v>
                </c:pt>
                <c:pt idx="1152">
                  <c:v>8275.8803986750791</c:v>
                </c:pt>
                <c:pt idx="1153">
                  <c:v>8291.0632533307944</c:v>
                </c:pt>
                <c:pt idx="1154">
                  <c:v>8306.273962313111</c:v>
                </c:pt>
                <c:pt idx="1155">
                  <c:v>8321.5125767233149</c:v>
                </c:pt>
                <c:pt idx="1156">
                  <c:v>8336.7791477564497</c:v>
                </c:pt>
                <c:pt idx="1157">
                  <c:v>8352.0737267014847</c:v>
                </c:pt>
                <c:pt idx="1158">
                  <c:v>8367.3963649414782</c:v>
                </c:pt>
                <c:pt idx="1159">
                  <c:v>8382.7471139537556</c:v>
                </c:pt>
                <c:pt idx="1160">
                  <c:v>8398.1260253100827</c:v>
                </c:pt>
                <c:pt idx="1161">
                  <c:v>8413.5331506768398</c:v>
                </c:pt>
                <c:pt idx="1162">
                  <c:v>8428.9685418151948</c:v>
                </c:pt>
                <c:pt idx="1163">
                  <c:v>8444.4322505812743</c:v>
                </c:pt>
                <c:pt idx="1164">
                  <c:v>8459.9243289263304</c:v>
                </c:pt>
                <c:pt idx="1165">
                  <c:v>8475.4448288969506</c:v>
                </c:pt>
                <c:pt idx="1166">
                  <c:v>8490.9938026351756</c:v>
                </c:pt>
                <c:pt idx="1167">
                  <c:v>8506.5713023787266</c:v>
                </c:pt>
                <c:pt idx="1168">
                  <c:v>8522.1773804611475</c:v>
                </c:pt>
                <c:pt idx="1169">
                  <c:v>8537.8120893119976</c:v>
                </c:pt>
                <c:pt idx="1170">
                  <c:v>8553.4754814570369</c:v>
                </c:pt>
                <c:pt idx="1171">
                  <c:v>8569.1676095183593</c:v>
                </c:pt>
                <c:pt idx="1172">
                  <c:v>8584.8885262146214</c:v>
                </c:pt>
                <c:pt idx="1173">
                  <c:v>8600.6382843611882</c:v>
                </c:pt>
                <c:pt idx="1174">
                  <c:v>8616.4169368703278</c:v>
                </c:pt>
                <c:pt idx="1175">
                  <c:v>8632.2245367513606</c:v>
                </c:pt>
                <c:pt idx="1176">
                  <c:v>8648.0611371108807</c:v>
                </c:pt>
                <c:pt idx="1177">
                  <c:v>8663.9267911529023</c:v>
                </c:pt>
                <c:pt idx="1178">
                  <c:v>8679.8215521790407</c:v>
                </c:pt>
                <c:pt idx="1179">
                  <c:v>8695.7454735887095</c:v>
                </c:pt>
                <c:pt idx="1180">
                  <c:v>8711.6986088792728</c:v>
                </c:pt>
                <c:pt idx="1181">
                  <c:v>8727.681011646262</c:v>
                </c:pt>
                <c:pt idx="1182">
                  <c:v>8743.6927355835123</c:v>
                </c:pt>
                <c:pt idx="1183">
                  <c:v>8759.7338344833788</c:v>
                </c:pt>
                <c:pt idx="1184">
                  <c:v>8775.8043622369005</c:v>
                </c:pt>
                <c:pt idx="1185">
                  <c:v>8791.9043728339821</c:v>
                </c:pt>
                <c:pt idx="1186">
                  <c:v>8808.0339203635813</c:v>
                </c:pt>
                <c:pt idx="1187">
                  <c:v>8824.1930590138836</c:v>
                </c:pt>
                <c:pt idx="1188">
                  <c:v>8840.3818430724896</c:v>
                </c:pt>
                <c:pt idx="1189">
                  <c:v>8856.600326926593</c:v>
                </c:pt>
                <c:pt idx="1190">
                  <c:v>8872.8485650631737</c:v>
                </c:pt>
                <c:pt idx="1191">
                  <c:v>8889.1266120691562</c:v>
                </c:pt>
                <c:pt idx="1192">
                  <c:v>8905.4345226316327</c:v>
                </c:pt>
                <c:pt idx="1193">
                  <c:v>8921.7723515379967</c:v>
                </c:pt>
                <c:pt idx="1194">
                  <c:v>8938.1401536761859</c:v>
                </c:pt>
                <c:pt idx="1195">
                  <c:v>8954.5379840348032</c:v>
                </c:pt>
                <c:pt idx="1196">
                  <c:v>8970.9658977033559</c:v>
                </c:pt>
                <c:pt idx="1197">
                  <c:v>8987.4239498724073</c:v>
                </c:pt>
                <c:pt idx="1198">
                  <c:v>9003.9121958337782</c:v>
                </c:pt>
                <c:pt idx="1199">
                  <c:v>9020.4306909807183</c:v>
                </c:pt>
                <c:pt idx="1200">
                  <c:v>9036.979490808113</c:v>
                </c:pt>
                <c:pt idx="1201">
                  <c:v>9053.5586509126515</c:v>
                </c:pt>
                <c:pt idx="1202">
                  <c:v>9070.1682269930188</c:v>
                </c:pt>
                <c:pt idx="1203">
                  <c:v>9086.8082748500929</c:v>
                </c:pt>
                <c:pt idx="1204">
                  <c:v>9103.4788503871041</c:v>
                </c:pt>
                <c:pt idx="1205">
                  <c:v>9120.1800096098723</c:v>
                </c:pt>
                <c:pt idx="1206">
                  <c:v>9136.9118086269355</c:v>
                </c:pt>
                <c:pt idx="1207">
                  <c:v>9153.674303649781</c:v>
                </c:pt>
                <c:pt idx="1208">
                  <c:v>9170.467550993033</c:v>
                </c:pt>
                <c:pt idx="1209">
                  <c:v>9187.2916070746014</c:v>
                </c:pt>
                <c:pt idx="1210">
                  <c:v>9204.1465284159331</c:v>
                </c:pt>
                <c:pt idx="1211">
                  <c:v>9221.0323716421408</c:v>
                </c:pt>
                <c:pt idx="1212">
                  <c:v>9237.9491934822327</c:v>
                </c:pt>
                <c:pt idx="1213">
                  <c:v>9254.8970507692957</c:v>
                </c:pt>
                <c:pt idx="1214">
                  <c:v>9271.876000440674</c:v>
                </c:pt>
                <c:pt idx="1215">
                  <c:v>9288.8860995381747</c:v>
                </c:pt>
                <c:pt idx="1216">
                  <c:v>9305.9274052082492</c:v>
                </c:pt>
                <c:pt idx="1217">
                  <c:v>9322.999974702192</c:v>
                </c:pt>
                <c:pt idx="1218">
                  <c:v>9340.103865376328</c:v>
                </c:pt>
                <c:pt idx="1219">
                  <c:v>9357.2391346922104</c:v>
                </c:pt>
                <c:pt idx="1220">
                  <c:v>9374.405840216803</c:v>
                </c:pt>
                <c:pt idx="1221">
                  <c:v>9391.6040396226963</c:v>
                </c:pt>
                <c:pt idx="1222">
                  <c:v>9408.8337906882716</c:v>
                </c:pt>
                <c:pt idx="1223">
                  <c:v>9426.0951512979173</c:v>
                </c:pt>
                <c:pt idx="1224">
                  <c:v>9443.3881794422123</c:v>
                </c:pt>
                <c:pt idx="1225">
                  <c:v>9460.7129332181321</c:v>
                </c:pt>
                <c:pt idx="1226">
                  <c:v>9478.0694708292249</c:v>
                </c:pt>
                <c:pt idx="1227">
                  <c:v>9495.4578505858281</c:v>
                </c:pt>
                <c:pt idx="1228">
                  <c:v>9512.8781309052501</c:v>
                </c:pt>
                <c:pt idx="1229">
                  <c:v>9530.3303703119727</c:v>
                </c:pt>
                <c:pt idx="1230">
                  <c:v>9547.8146274378523</c:v>
                </c:pt>
                <c:pt idx="1231">
                  <c:v>9565.3309610222877</c:v>
                </c:pt>
                <c:pt idx="1232">
                  <c:v>9582.8794299124747</c:v>
                </c:pt>
                <c:pt idx="1233">
                  <c:v>9600.460093063537</c:v>
                </c:pt>
                <c:pt idx="1234">
                  <c:v>9618.073009538788</c:v>
                </c:pt>
                <c:pt idx="1235">
                  <c:v>9635.7182385098695</c:v>
                </c:pt>
                <c:pt idx="1236">
                  <c:v>9653.3958392569966</c:v>
                </c:pt>
                <c:pt idx="1237">
                  <c:v>9671.1058711691312</c:v>
                </c:pt>
                <c:pt idx="1238">
                  <c:v>9688.8483937441924</c:v>
                </c:pt>
                <c:pt idx="1239">
                  <c:v>9706.6234665892589</c:v>
                </c:pt>
                <c:pt idx="1240">
                  <c:v>9724.4311494207541</c:v>
                </c:pt>
                <c:pt idx="1241">
                  <c:v>9742.2715020646647</c:v>
                </c:pt>
                <c:pt idx="1242">
                  <c:v>9760.1445844567261</c:v>
                </c:pt>
                <c:pt idx="1243">
                  <c:v>9778.050456642648</c:v>
                </c:pt>
                <c:pt idx="1244">
                  <c:v>9795.9891787782653</c:v>
                </c:pt>
                <c:pt idx="1245">
                  <c:v>9813.9608111298112</c:v>
                </c:pt>
                <c:pt idx="1246">
                  <c:v>9831.9654140740713</c:v>
                </c:pt>
                <c:pt idx="1247">
                  <c:v>9850.0030480985788</c:v>
                </c:pt>
                <c:pt idx="1248">
                  <c:v>9868.073773801867</c:v>
                </c:pt>
                <c:pt idx="1249">
                  <c:v>9886.1776518936149</c:v>
                </c:pt>
                <c:pt idx="1250">
                  <c:v>9904.3147431949074</c:v>
                </c:pt>
                <c:pt idx="1251">
                  <c:v>9922.4851086383806</c:v>
                </c:pt>
                <c:pt idx="1252">
                  <c:v>9940.6888092684785</c:v>
                </c:pt>
                <c:pt idx="1253">
                  <c:v>9958.9259062416295</c:v>
                </c:pt>
                <c:pt idx="1254">
                  <c:v>9977.1964608264607</c:v>
                </c:pt>
                <c:pt idx="1255">
                  <c:v>9995.5005344040001</c:v>
                </c:pt>
                <c:pt idx="1256">
                  <c:v>10013.838188467886</c:v>
                </c:pt>
                <c:pt idx="1257">
                  <c:v>10032.209484624573</c:v>
                </c:pt>
                <c:pt idx="1258">
                  <c:v>10050.614484593536</c:v>
                </c:pt>
                <c:pt idx="1259">
                  <c:v>10069.053250207489</c:v>
                </c:pt>
                <c:pt idx="1260">
                  <c:v>10087.525843412559</c:v>
                </c:pt>
                <c:pt idx="1261">
                  <c:v>10106.032326268556</c:v>
                </c:pt>
                <c:pt idx="1262">
                  <c:v>10124.572760949111</c:v>
                </c:pt>
                <c:pt idx="1263">
                  <c:v>10143.147209741934</c:v>
                </c:pt>
                <c:pt idx="1264">
                  <c:v>10161.755735049006</c:v>
                </c:pt>
                <c:pt idx="1265">
                  <c:v>10180.398399386791</c:v>
                </c:pt>
                <c:pt idx="1266">
                  <c:v>10199.075265386442</c:v>
                </c:pt>
                <c:pt idx="1267">
                  <c:v>10217.786395794015</c:v>
                </c:pt>
                <c:pt idx="1268">
                  <c:v>10236.531853470678</c:v>
                </c:pt>
                <c:pt idx="1269">
                  <c:v>10255.311701392931</c:v>
                </c:pt>
                <c:pt idx="1270">
                  <c:v>10274.126002652805</c:v>
                </c:pt>
                <c:pt idx="1271">
                  <c:v>10292.974820458066</c:v>
                </c:pt>
                <c:pt idx="1272">
                  <c:v>10311.858218132475</c:v>
                </c:pt>
                <c:pt idx="1273">
                  <c:v>10330.776259115921</c:v>
                </c:pt>
                <c:pt idx="1274">
                  <c:v>10349.729006964722</c:v>
                </c:pt>
                <c:pt idx="1275">
                  <c:v>10368.716525351765</c:v>
                </c:pt>
                <c:pt idx="1276">
                  <c:v>10387.738878066764</c:v>
                </c:pt>
                <c:pt idx="1277">
                  <c:v>10406.796129016462</c:v>
                </c:pt>
                <c:pt idx="1278">
                  <c:v>10425.88834222484</c:v>
                </c:pt>
                <c:pt idx="1279">
                  <c:v>10445.015581833339</c:v>
                </c:pt>
                <c:pt idx="1280">
                  <c:v>10464.177912101071</c:v>
                </c:pt>
                <c:pt idx="1281">
                  <c:v>10483.375397405049</c:v>
                </c:pt>
                <c:pt idx="1282">
                  <c:v>10502.608102240363</c:v>
                </c:pt>
                <c:pt idx="1283">
                  <c:v>10521.876091220465</c:v>
                </c:pt>
                <c:pt idx="1284">
                  <c:v>10541.179429077305</c:v>
                </c:pt>
                <c:pt idx="1285">
                  <c:v>10560.518180661624</c:v>
                </c:pt>
                <c:pt idx="1286">
                  <c:v>10579.892410943126</c:v>
                </c:pt>
                <c:pt idx="1287">
                  <c:v>10599.302185010685</c:v>
                </c:pt>
                <c:pt idx="1288">
                  <c:v>10618.747568072631</c:v>
                </c:pt>
                <c:pt idx="1289">
                  <c:v>10638.228625456884</c:v>
                </c:pt>
                <c:pt idx="1290">
                  <c:v>10657.745422611233</c:v>
                </c:pt>
                <c:pt idx="1291">
                  <c:v>10677.298025103537</c:v>
                </c:pt>
                <c:pt idx="1292">
                  <c:v>10696.886498621941</c:v>
                </c:pt>
                <c:pt idx="1293">
                  <c:v>10716.510908975102</c:v>
                </c:pt>
                <c:pt idx="1294">
                  <c:v>10736.17132209241</c:v>
                </c:pt>
                <c:pt idx="1295">
                  <c:v>10755.867804024205</c:v>
                </c:pt>
                <c:pt idx="1296">
                  <c:v>10775.60042094201</c:v>
                </c:pt>
                <c:pt idx="1297">
                  <c:v>10795.369239138738</c:v>
                </c:pt>
                <c:pt idx="1298">
                  <c:v>10815.174325028916</c:v>
                </c:pt>
                <c:pt idx="1299">
                  <c:v>10835.015745148941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E-CB44-BB91-0055E0FEF7DF}"/>
            </c:ext>
          </c:extLst>
        </c:ser>
        <c:ser>
          <c:idx val="8"/>
          <c:order val="8"/>
          <c:tx>
            <c:strRef>
              <c:f>'Compounding within 1 year'!$H$1</c:f>
              <c:strCache>
                <c:ptCount val="1"/>
                <c:pt idx="0">
                  <c:v>Semiannual</c:v>
                </c:pt>
              </c:strCache>
            </c:strRef>
          </c:tx>
          <c:marker>
            <c:symbol val="none"/>
          </c:marker>
          <c:val>
            <c:numRef>
              <c:f>'Compounding within 1 year'!$H$2:$H$1363</c:f>
              <c:numCache>
                <c:formatCode>_("$"* #,##0.00_);_("$"* \(#,##0.00\);_("$"* "-"??_);_(@_)</c:formatCode>
                <c:ptCount val="1362"/>
                <c:pt idx="0">
                  <c:v>1001.8783291485967</c:v>
                </c:pt>
                <c:pt idx="1">
                  <c:v>1003.7601864175838</c:v>
                </c:pt>
                <c:pt idx="2">
                  <c:v>1005.6455784339329</c:v>
                </c:pt>
                <c:pt idx="3">
                  <c:v>1007.5345118370626</c:v>
                </c:pt>
                <c:pt idx="4">
                  <c:v>1009.4269932788635</c:v>
                </c:pt>
                <c:pt idx="5">
                  <c:v>1011.3230294237194</c:v>
                </c:pt>
                <c:pt idx="6">
                  <c:v>1013.2226269485332</c:v>
                </c:pt>
                <c:pt idx="7">
                  <c:v>1015.1257925427484</c:v>
                </c:pt>
                <c:pt idx="8">
                  <c:v>1017.0325329083738</c:v>
                </c:pt>
                <c:pt idx="9">
                  <c:v>1018.9428547600068</c:v>
                </c:pt>
                <c:pt idx="10">
                  <c:v>1020.8567648248568</c:v>
                </c:pt>
                <c:pt idx="11">
                  <c:v>1022.7742698427695</c:v>
                </c:pt>
                <c:pt idx="12">
                  <c:v>1024.6953765662499</c:v>
                </c:pt>
                <c:pt idx="13">
                  <c:v>1026.6200917604865</c:v>
                </c:pt>
                <c:pt idx="14">
                  <c:v>1028.5484222033751</c:v>
                </c:pt>
                <c:pt idx="15">
                  <c:v>1030.4803746855432</c:v>
                </c:pt>
                <c:pt idx="16">
                  <c:v>1032.4159560103719</c:v>
                </c:pt>
                <c:pt idx="17">
                  <c:v>1034.3551729940223</c:v>
                </c:pt>
                <c:pt idx="18">
                  <c:v>1036.2980324654588</c:v>
                </c:pt>
                <c:pt idx="19">
                  <c:v>1038.244541266472</c:v>
                </c:pt>
                <c:pt idx="20">
                  <c:v>1040.1947062517042</c:v>
                </c:pt>
                <c:pt idx="21">
                  <c:v>1042.1485342886729</c:v>
                </c:pt>
                <c:pt idx="22">
                  <c:v>1044.1060322577946</c:v>
                </c:pt>
                <c:pt idx="23">
                  <c:v>1046.0672070524101</c:v>
                </c:pt>
                <c:pt idx="24">
                  <c:v>1048.0320655788078</c:v>
                </c:pt>
                <c:pt idx="25">
                  <c:v>1050.0006147562485</c:v>
                </c:pt>
                <c:pt idx="26">
                  <c:v>1051.9728615169897</c:v>
                </c:pt>
                <c:pt idx="27">
                  <c:v>1053.9488128063097</c:v>
                </c:pt>
                <c:pt idx="28">
                  <c:v>1055.9284755825327</c:v>
                </c:pt>
                <c:pt idx="29">
                  <c:v>1057.9118568170527</c:v>
                </c:pt>
                <c:pt idx="30">
                  <c:v>1059.8989634943582</c:v>
                </c:pt>
                <c:pt idx="31">
                  <c:v>1061.8898026120571</c:v>
                </c:pt>
                <c:pt idx="32">
                  <c:v>1063.8843811809008</c:v>
                </c:pt>
                <c:pt idx="33">
                  <c:v>1065.8827062248097</c:v>
                </c:pt>
                <c:pt idx="34">
                  <c:v>1067.884784780897</c:v>
                </c:pt>
                <c:pt idx="35">
                  <c:v>1069.8906238994939</c:v>
                </c:pt>
                <c:pt idx="36">
                  <c:v>1071.9002306441748</c:v>
                </c:pt>
                <c:pt idx="37">
                  <c:v>1073.9136120917813</c:v>
                </c:pt>
                <c:pt idx="38">
                  <c:v>1075.9307753324479</c:v>
                </c:pt>
                <c:pt idx="39">
                  <c:v>1077.951727469627</c:v>
                </c:pt>
                <c:pt idx="40">
                  <c:v>1079.9764756201137</c:v>
                </c:pt>
                <c:pt idx="41">
                  <c:v>1082.0050269140695</c:v>
                </c:pt>
                <c:pt idx="42">
                  <c:v>1084.0373884950504</c:v>
                </c:pt>
                <c:pt idx="43">
                  <c:v>1086.0735675200292</c:v>
                </c:pt>
                <c:pt idx="44">
                  <c:v>1088.1135711594225</c:v>
                </c:pt>
                <c:pt idx="45">
                  <c:v>1090.1574065971149</c:v>
                </c:pt>
                <c:pt idx="46">
                  <c:v>1092.205081030485</c:v>
                </c:pt>
                <c:pt idx="47">
                  <c:v>1094.25660167043</c:v>
                </c:pt>
                <c:pt idx="48">
                  <c:v>1096.311975741392</c:v>
                </c:pt>
                <c:pt idx="49">
                  <c:v>1098.3712104813826</c:v>
                </c:pt>
                <c:pt idx="50">
                  <c:v>1100.4343131420094</c:v>
                </c:pt>
                <c:pt idx="51">
                  <c:v>1102.5012909884999</c:v>
                </c:pt>
                <c:pt idx="52">
                  <c:v>1104.5721512997291</c:v>
                </c:pt>
                <c:pt idx="53">
                  <c:v>1106.6469013682436</c:v>
                </c:pt>
                <c:pt idx="54">
                  <c:v>1108.7255485002879</c:v>
                </c:pt>
                <c:pt idx="55">
                  <c:v>1110.8081000158297</c:v>
                </c:pt>
                <c:pt idx="56">
                  <c:v>1112.8945632485868</c:v>
                </c:pt>
                <c:pt idx="57">
                  <c:v>1114.9849455460514</c:v>
                </c:pt>
                <c:pt idx="58">
                  <c:v>1117.0792542695172</c:v>
                </c:pt>
                <c:pt idx="59">
                  <c:v>1119.1774967941042</c:v>
                </c:pt>
                <c:pt idx="60">
                  <c:v>1121.2796805087862</c:v>
                </c:pt>
                <c:pt idx="61">
                  <c:v>1123.385812816415</c:v>
                </c:pt>
                <c:pt idx="62">
                  <c:v>1125.495901133748</c:v>
                </c:pt>
                <c:pt idx="63">
                  <c:v>1127.6099528914735</c:v>
                </c:pt>
                <c:pt idx="64">
                  <c:v>1129.7279755342374</c:v>
                </c:pt>
                <c:pt idx="65">
                  <c:v>1131.8499765206686</c:v>
                </c:pt>
                <c:pt idx="66">
                  <c:v>1133.9759633234059</c:v>
                </c:pt>
                <c:pt idx="67">
                  <c:v>1136.1059434291244</c:v>
                </c:pt>
                <c:pt idx="68">
                  <c:v>1138.2399243385612</c:v>
                </c:pt>
                <c:pt idx="69">
                  <c:v>1140.3779135665429</c:v>
                </c:pt>
                <c:pt idx="70">
                  <c:v>1142.5199186420107</c:v>
                </c:pt>
                <c:pt idx="71">
                  <c:v>1144.6659471080482</c:v>
                </c:pt>
                <c:pt idx="72">
                  <c:v>1146.8160065219074</c:v>
                </c:pt>
                <c:pt idx="73">
                  <c:v>1148.970104455035</c:v>
                </c:pt>
                <c:pt idx="74">
                  <c:v>1151.1282484930989</c:v>
                </c:pt>
                <c:pt idx="75">
                  <c:v>1153.2904462360166</c:v>
                </c:pt>
                <c:pt idx="76">
                  <c:v>1155.4567052979799</c:v>
                </c:pt>
                <c:pt idx="77">
                  <c:v>1157.6270333074824</c:v>
                </c:pt>
                <c:pt idx="78">
                  <c:v>1159.8014379073475</c:v>
                </c:pt>
                <c:pt idx="79">
                  <c:v>1161.9799267547533</c:v>
                </c:pt>
                <c:pt idx="80">
                  <c:v>1164.162507521261</c:v>
                </c:pt>
                <c:pt idx="81">
                  <c:v>1166.3491878928417</c:v>
                </c:pt>
                <c:pt idx="82">
                  <c:v>1168.5399755699029</c:v>
                </c:pt>
                <c:pt idx="83">
                  <c:v>1170.7348782673164</c:v>
                </c:pt>
                <c:pt idx="84">
                  <c:v>1172.9339037144446</c:v>
                </c:pt>
                <c:pt idx="85">
                  <c:v>1175.137059655169</c:v>
                </c:pt>
                <c:pt idx="86">
                  <c:v>1177.3443538479153</c:v>
                </c:pt>
                <c:pt idx="87">
                  <c:v>1179.5557940656836</c:v>
                </c:pt>
                <c:pt idx="88">
                  <c:v>1181.7713880960735</c:v>
                </c:pt>
                <c:pt idx="89">
                  <c:v>1183.9911437413118</c:v>
                </c:pt>
                <c:pt idx="90">
                  <c:v>1186.2150688182815</c:v>
                </c:pt>
                <c:pt idx="91">
                  <c:v>1188.4431711585476</c:v>
                </c:pt>
                <c:pt idx="92">
                  <c:v>1190.6754586083855</c:v>
                </c:pt>
                <c:pt idx="93">
                  <c:v>1192.9119390288081</c:v>
                </c:pt>
                <c:pt idx="94">
                  <c:v>1195.1526202955952</c:v>
                </c:pt>
                <c:pt idx="95">
                  <c:v>1197.3975102993179</c:v>
                </c:pt>
                <c:pt idx="96">
                  <c:v>1199.6466169453704</c:v>
                </c:pt>
                <c:pt idx="97">
                  <c:v>1201.8999481539943</c:v>
                </c:pt>
                <c:pt idx="98">
                  <c:v>1204.1575118603087</c:v>
                </c:pt>
                <c:pt idx="99">
                  <c:v>1206.4193160143377</c:v>
                </c:pt>
                <c:pt idx="100">
                  <c:v>1208.6853685810374</c:v>
                </c:pt>
                <c:pt idx="101">
                  <c:v>1210.9556775403257</c:v>
                </c:pt>
                <c:pt idx="102">
                  <c:v>1213.2302508871085</c:v>
                </c:pt>
                <c:pt idx="103">
                  <c:v>1215.5090966313089</c:v>
                </c:pt>
                <c:pt idx="104">
                  <c:v>1217.7922227978959</c:v>
                </c:pt>
                <c:pt idx="105">
                  <c:v>1220.0796374269116</c:v>
                </c:pt>
                <c:pt idx="106">
                  <c:v>1222.3713485735</c:v>
                </c:pt>
                <c:pt idx="107">
                  <c:v>1224.6673643079348</c:v>
                </c:pt>
                <c:pt idx="108">
                  <c:v>1226.9676927156497</c:v>
                </c:pt>
                <c:pt idx="109">
                  <c:v>1229.2723418972639</c:v>
                </c:pt>
                <c:pt idx="110">
                  <c:v>1231.5813199686131</c:v>
                </c:pt>
                <c:pt idx="111">
                  <c:v>1233.8946350607775</c:v>
                </c:pt>
                <c:pt idx="112">
                  <c:v>1236.2122953201094</c:v>
                </c:pt>
                <c:pt idx="113">
                  <c:v>1238.5343089082628</c:v>
                </c:pt>
                <c:pt idx="114">
                  <c:v>1240.8606840022223</c:v>
                </c:pt>
                <c:pt idx="115">
                  <c:v>1243.1914287943314</c:v>
                </c:pt>
                <c:pt idx="116">
                  <c:v>1245.5265514923212</c:v>
                </c:pt>
                <c:pt idx="117">
                  <c:v>1247.8660603193402</c:v>
                </c:pt>
                <c:pt idx="118">
                  <c:v>1250.2099635139828</c:v>
                </c:pt>
                <c:pt idx="119">
                  <c:v>1252.5582693303172</c:v>
                </c:pt>
                <c:pt idx="120">
                  <c:v>1254.9109860379162</c:v>
                </c:pt>
                <c:pt idx="121">
                  <c:v>1257.2681219218853</c:v>
                </c:pt>
                <c:pt idx="122">
                  <c:v>1259.6296852828928</c:v>
                </c:pt>
                <c:pt idx="123">
                  <c:v>1261.995684437197</c:v>
                </c:pt>
                <c:pt idx="124">
                  <c:v>1264.3661277166789</c:v>
                </c:pt>
                <c:pt idx="125">
                  <c:v>1266.7410234688673</c:v>
                </c:pt>
                <c:pt idx="126">
                  <c:v>1269.1203800569724</c:v>
                </c:pt>
                <c:pt idx="127">
                  <c:v>1271.5042058599115</c:v>
                </c:pt>
                <c:pt idx="128">
                  <c:v>1273.8925092723414</c:v>
                </c:pt>
                <c:pt idx="129">
                  <c:v>1276.2852987046867</c:v>
                </c:pt>
                <c:pt idx="130">
                  <c:v>1278.6825825831691</c:v>
                </c:pt>
                <c:pt idx="131">
                  <c:v>1281.084369349838</c:v>
                </c:pt>
                <c:pt idx="132">
                  <c:v>1283.4906674625995</c:v>
                </c:pt>
                <c:pt idx="133">
                  <c:v>1285.9014853952465</c:v>
                </c:pt>
                <c:pt idx="134">
                  <c:v>1288.3168316374879</c:v>
                </c:pt>
                <c:pt idx="135">
                  <c:v>1290.7367146949805</c:v>
                </c:pt>
                <c:pt idx="136">
                  <c:v>1293.1611430893558</c:v>
                </c:pt>
                <c:pt idx="137">
                  <c:v>1295.5901253582533</c:v>
                </c:pt>
                <c:pt idx="138">
                  <c:v>1298.0236700553478</c:v>
                </c:pt>
                <c:pt idx="139">
                  <c:v>1300.4617857503813</c:v>
                </c:pt>
                <c:pt idx="140">
                  <c:v>1302.9044810291923</c:v>
                </c:pt>
                <c:pt idx="141">
                  <c:v>1305.3517644937467</c:v>
                </c:pt>
                <c:pt idx="142">
                  <c:v>1307.8036447621676</c:v>
                </c:pt>
                <c:pt idx="143">
                  <c:v>1310.2601304687653</c:v>
                </c:pt>
                <c:pt idx="144">
                  <c:v>1312.7212302640689</c:v>
                </c:pt>
                <c:pt idx="145">
                  <c:v>1315.1869528148557</c:v>
                </c:pt>
                <c:pt idx="146">
                  <c:v>1317.6573068041819</c:v>
                </c:pt>
                <c:pt idx="147">
                  <c:v>1320.1323009314137</c:v>
                </c:pt>
                <c:pt idx="148">
                  <c:v>1322.6119439122572</c:v>
                </c:pt>
                <c:pt idx="149">
                  <c:v>1325.0962444787897</c:v>
                </c:pt>
                <c:pt idx="150">
                  <c:v>1327.5852113794904</c:v>
                </c:pt>
                <c:pt idx="151">
                  <c:v>1330.0788533792702</c:v>
                </c:pt>
                <c:pt idx="152">
                  <c:v>1332.5771792595046</c:v>
                </c:pt>
                <c:pt idx="153">
                  <c:v>1335.0801978180627</c:v>
                </c:pt>
                <c:pt idx="154">
                  <c:v>1337.5879178693385</c:v>
                </c:pt>
                <c:pt idx="155">
                  <c:v>1340.1003482442832</c:v>
                </c:pt>
                <c:pt idx="156">
                  <c:v>1342.617497790435</c:v>
                </c:pt>
                <c:pt idx="157">
                  <c:v>1345.139375371951</c:v>
                </c:pt>
                <c:pt idx="158">
                  <c:v>1347.6659898696373</c:v>
                </c:pt>
                <c:pt idx="159">
                  <c:v>1350.1973501809819</c:v>
                </c:pt>
                <c:pt idx="160">
                  <c:v>1352.7334652201848</c:v>
                </c:pt>
                <c:pt idx="161">
                  <c:v>1355.27434391819</c:v>
                </c:pt>
                <c:pt idx="162">
                  <c:v>1357.8199952227169</c:v>
                </c:pt>
                <c:pt idx="163">
                  <c:v>1360.3704280982911</c:v>
                </c:pt>
                <c:pt idx="164">
                  <c:v>1362.9256515262773</c:v>
                </c:pt>
                <c:pt idx="165">
                  <c:v>1365.4856745049092</c:v>
                </c:pt>
                <c:pt idx="166">
                  <c:v>1368.0505060493228</c:v>
                </c:pt>
                <c:pt idx="167">
                  <c:v>1370.6201551915881</c:v>
                </c:pt>
                <c:pt idx="168">
                  <c:v>1373.1946309807383</c:v>
                </c:pt>
                <c:pt idx="169">
                  <c:v>1375.773942482806</c:v>
                </c:pt>
                <c:pt idx="170">
                  <c:v>1378.3580987808512</c:v>
                </c:pt>
                <c:pt idx="171">
                  <c:v>1380.9471089749959</c:v>
                </c:pt>
                <c:pt idx="172">
                  <c:v>1383.5409821824537</c:v>
                </c:pt>
                <c:pt idx="173">
                  <c:v>1386.1397275375652</c:v>
                </c:pt>
                <c:pt idx="174">
                  <c:v>1388.7433541918269</c:v>
                </c:pt>
                <c:pt idx="175">
                  <c:v>1391.3518713139254</c:v>
                </c:pt>
                <c:pt idx="176">
                  <c:v>1393.965288089769</c:v>
                </c:pt>
                <c:pt idx="177">
                  <c:v>1396.5836137225201</c:v>
                </c:pt>
                <c:pt idx="178">
                  <c:v>1399.2068574326274</c:v>
                </c:pt>
                <c:pt idx="179">
                  <c:v>1401.8350284578598</c:v>
                </c:pt>
                <c:pt idx="180">
                  <c:v>1404.4681360533359</c:v>
                </c:pt>
                <c:pt idx="181">
                  <c:v>1407.1061894915601</c:v>
                </c:pt>
                <c:pt idx="182">
                  <c:v>1409.7491980624529</c:v>
                </c:pt>
                <c:pt idx="183">
                  <c:v>1412.3971710733847</c:v>
                </c:pt>
                <c:pt idx="184">
                  <c:v>1415.0501178492073</c:v>
                </c:pt>
                <c:pt idx="185">
                  <c:v>1417.7080477322888</c:v>
                </c:pt>
                <c:pt idx="186">
                  <c:v>1420.3709700825443</c:v>
                </c:pt>
                <c:pt idx="187">
                  <c:v>1423.0388942774709</c:v>
                </c:pt>
                <c:pt idx="188">
                  <c:v>1425.7118297121792</c:v>
                </c:pt>
                <c:pt idx="189">
                  <c:v>1428.3897857994268</c:v>
                </c:pt>
                <c:pt idx="190">
                  <c:v>1431.0727719696517</c:v>
                </c:pt>
                <c:pt idx="191">
                  <c:v>1433.7607976710053</c:v>
                </c:pt>
                <c:pt idx="192">
                  <c:v>1436.4538723693861</c:v>
                </c:pt>
                <c:pt idx="193">
                  <c:v>1439.1520055484721</c:v>
                </c:pt>
                <c:pt idx="194">
                  <c:v>1441.8552067097553</c:v>
                </c:pt>
                <c:pt idx="195">
                  <c:v>1444.5634853725742</c:v>
                </c:pt>
                <c:pt idx="196">
                  <c:v>1447.2768510741478</c:v>
                </c:pt>
                <c:pt idx="197">
                  <c:v>1449.9953133696097</c:v>
                </c:pt>
                <c:pt idx="198">
                  <c:v>1452.7188818320406</c:v>
                </c:pt>
                <c:pt idx="199">
                  <c:v>1455.4475660525025</c:v>
                </c:pt>
                <c:pt idx="200">
                  <c:v>1458.1813756400729</c:v>
                </c:pt>
                <c:pt idx="201">
                  <c:v>1460.9203202218785</c:v>
                </c:pt>
                <c:pt idx="202">
                  <c:v>1463.6644094431285</c:v>
                </c:pt>
                <c:pt idx="203">
                  <c:v>1466.4136529671491</c:v>
                </c:pt>
                <c:pt idx="204">
                  <c:v>1469.1680604754176</c:v>
                </c:pt>
                <c:pt idx="205">
                  <c:v>1471.9276416675959</c:v>
                </c:pt>
                <c:pt idx="206">
                  <c:v>1474.6924062615653</c:v>
                </c:pt>
                <c:pt idx="207">
                  <c:v>1477.4623639934605</c:v>
                </c:pt>
                <c:pt idx="208">
                  <c:v>1480.2375246177039</c:v>
                </c:pt>
                <c:pt idx="209">
                  <c:v>1483.0178979070404</c:v>
                </c:pt>
                <c:pt idx="210">
                  <c:v>1485.8034936525696</c:v>
                </c:pt>
                <c:pt idx="211">
                  <c:v>1488.5943216637843</c:v>
                </c:pt>
                <c:pt idx="212">
                  <c:v>1491.3903917686007</c:v>
                </c:pt>
                <c:pt idx="213">
                  <c:v>1494.1917138133967</c:v>
                </c:pt>
                <c:pt idx="214">
                  <c:v>1496.998297663044</c:v>
                </c:pt>
                <c:pt idx="215">
                  <c:v>1499.8101532009443</c:v>
                </c:pt>
                <c:pt idx="216">
                  <c:v>1502.627290329063</c:v>
                </c:pt>
                <c:pt idx="217">
                  <c:v>1505.4497189679651</c:v>
                </c:pt>
                <c:pt idx="218">
                  <c:v>1508.277449056849</c:v>
                </c:pt>
                <c:pt idx="219">
                  <c:v>1511.1104905535838</c:v>
                </c:pt>
                <c:pt idx="220">
                  <c:v>1513.9488534347406</c:v>
                </c:pt>
                <c:pt idx="221">
                  <c:v>1516.7925476956318</c:v>
                </c:pt>
                <c:pt idx="222">
                  <c:v>1519.6415833503427</c:v>
                </c:pt>
                <c:pt idx="223">
                  <c:v>1522.4959704317696</c:v>
                </c:pt>
                <c:pt idx="224">
                  <c:v>1525.3557189916526</c:v>
                </c:pt>
                <c:pt idx="225">
                  <c:v>1528.2208391006134</c:v>
                </c:pt>
                <c:pt idx="226">
                  <c:v>1531.0913408481888</c:v>
                </c:pt>
                <c:pt idx="227">
                  <c:v>1533.9672343428679</c:v>
                </c:pt>
                <c:pt idx="228">
                  <c:v>1536.8485297121263</c:v>
                </c:pt>
                <c:pt idx="229">
                  <c:v>1539.7352371024629</c:v>
                </c:pt>
                <c:pt idx="230">
                  <c:v>1542.6273666794336</c:v>
                </c:pt>
                <c:pt idx="231">
                  <c:v>1545.5249286276908</c:v>
                </c:pt>
                <c:pt idx="232">
                  <c:v>1548.4279331510149</c:v>
                </c:pt>
                <c:pt idx="233">
                  <c:v>1551.3363904723537</c:v>
                </c:pt>
                <c:pt idx="234">
                  <c:v>1554.2503108338569</c:v>
                </c:pt>
                <c:pt idx="235">
                  <c:v>1557.1697044969117</c:v>
                </c:pt>
                <c:pt idx="236">
                  <c:v>1560.0945817421798</c:v>
                </c:pt>
                <c:pt idx="237">
                  <c:v>1563.024952869634</c:v>
                </c:pt>
                <c:pt idx="238">
                  <c:v>1565.9608281985932</c:v>
                </c:pt>
                <c:pt idx="239">
                  <c:v>1568.9022180677591</c:v>
                </c:pt>
                <c:pt idx="240">
                  <c:v>1571.8491328352541</c:v>
                </c:pt>
                <c:pt idx="241">
                  <c:v>1574.8015828786547</c:v>
                </c:pt>
                <c:pt idx="242">
                  <c:v>1577.7595785950321</c:v>
                </c:pt>
                <c:pt idx="243">
                  <c:v>1580.7231304009847</c:v>
                </c:pt>
                <c:pt idx="244">
                  <c:v>1583.6922487326779</c:v>
                </c:pt>
                <c:pt idx="245">
                  <c:v>1586.6669440458793</c:v>
                </c:pt>
                <c:pt idx="246">
                  <c:v>1589.6472268159953</c:v>
                </c:pt>
                <c:pt idx="247">
                  <c:v>1592.6331075381099</c:v>
                </c:pt>
                <c:pt idx="248">
                  <c:v>1595.6245967270188</c:v>
                </c:pt>
                <c:pt idx="249">
                  <c:v>1598.621704917269</c:v>
                </c:pt>
                <c:pt idx="250">
                  <c:v>1601.6244426631945</c:v>
                </c:pt>
                <c:pt idx="251">
                  <c:v>1604.6328205389539</c:v>
                </c:pt>
                <c:pt idx="252">
                  <c:v>1607.6468491385672</c:v>
                </c:pt>
                <c:pt idx="253">
                  <c:v>1610.6665390759538</c:v>
                </c:pt>
                <c:pt idx="254">
                  <c:v>1613.6919009849696</c:v>
                </c:pt>
                <c:pt idx="255">
                  <c:v>1616.722945519444</c:v>
                </c:pt>
                <c:pt idx="256">
                  <c:v>1619.7596833532184</c:v>
                </c:pt>
                <c:pt idx="257">
                  <c:v>1622.8021251801824</c:v>
                </c:pt>
                <c:pt idx="258">
                  <c:v>1625.8502817143133</c:v>
                </c:pt>
                <c:pt idx="259">
                  <c:v>1628.9041636897111</c:v>
                </c:pt>
                <c:pt idx="260">
                  <c:v>1631.9637818606402</c:v>
                </c:pt>
                <c:pt idx="261">
                  <c:v>1635.0291470015632</c:v>
                </c:pt>
                <c:pt idx="262">
                  <c:v>1638.1002699071814</c:v>
                </c:pt>
                <c:pt idx="263">
                  <c:v>1641.1771613924723</c:v>
                </c:pt>
                <c:pt idx="264">
                  <c:v>1644.2598322927272</c:v>
                </c:pt>
                <c:pt idx="265">
                  <c:v>1647.348293463589</c:v>
                </c:pt>
                <c:pt idx="266">
                  <c:v>1650.4425557810928</c:v>
                </c:pt>
                <c:pt idx="267">
                  <c:v>1653.5426301417008</c:v>
                </c:pt>
                <c:pt idx="268">
                  <c:v>1656.6485274623433</c:v>
                </c:pt>
                <c:pt idx="269">
                  <c:v>1659.7602586804555</c:v>
                </c:pt>
                <c:pt idx="270">
                  <c:v>1662.8778347540176</c:v>
                </c:pt>
                <c:pt idx="271">
                  <c:v>1666.0012666615914</c:v>
                </c:pt>
                <c:pt idx="272">
                  <c:v>1669.1305654023611</c:v>
                </c:pt>
                <c:pt idx="273">
                  <c:v>1672.2657419961699</c:v>
                </c:pt>
                <c:pt idx="274">
                  <c:v>1675.4068074835611</c:v>
                </c:pt>
                <c:pt idx="275">
                  <c:v>1678.5537729258149</c:v>
                </c:pt>
                <c:pt idx="276">
                  <c:v>1681.7066494049884</c:v>
                </c:pt>
                <c:pt idx="277">
                  <c:v>1684.8654480239547</c:v>
                </c:pt>
                <c:pt idx="278">
                  <c:v>1688.0301799064414</c:v>
                </c:pt>
                <c:pt idx="279">
                  <c:v>1691.2008561970706</c:v>
                </c:pt>
                <c:pt idx="280">
                  <c:v>1694.3774880613973</c:v>
                </c:pt>
                <c:pt idx="281">
                  <c:v>1697.560086685949</c:v>
                </c:pt>
                <c:pt idx="282">
                  <c:v>1700.7486632782659</c:v>
                </c:pt>
                <c:pt idx="283">
                  <c:v>1703.9432290669381</c:v>
                </c:pt>
                <c:pt idx="284">
                  <c:v>1707.1437953016487</c:v>
                </c:pt>
                <c:pt idx="285">
                  <c:v>1710.3503732532097</c:v>
                </c:pt>
                <c:pt idx="286">
                  <c:v>1713.5629742136048</c:v>
                </c:pt>
                <c:pt idx="287">
                  <c:v>1716.781609496026</c:v>
                </c:pt>
                <c:pt idx="288">
                  <c:v>1720.0062904349174</c:v>
                </c:pt>
                <c:pt idx="289">
                  <c:v>1723.2370283860107</c:v>
                </c:pt>
                <c:pt idx="290">
                  <c:v>1726.4738347263692</c:v>
                </c:pt>
                <c:pt idx="291">
                  <c:v>1729.7167208544254</c:v>
                </c:pt>
                <c:pt idx="292">
                  <c:v>1732.9656981900214</c:v>
                </c:pt>
                <c:pt idx="293">
                  <c:v>1736.2207781744498</c:v>
                </c:pt>
                <c:pt idx="294">
                  <c:v>1739.4819722704945</c:v>
                </c:pt>
                <c:pt idx="295">
                  <c:v>1742.7492919624685</c:v>
                </c:pt>
                <c:pt idx="296">
                  <c:v>1746.0227487562581</c:v>
                </c:pt>
                <c:pt idx="297">
                  <c:v>1749.3023541793598</c:v>
                </c:pt>
                <c:pt idx="298">
                  <c:v>1752.588119780924</c:v>
                </c:pt>
                <c:pt idx="299">
                  <c:v>1755.8800571317925</c:v>
                </c:pt>
                <c:pt idx="300">
                  <c:v>1759.1781778245429</c:v>
                </c:pt>
                <c:pt idx="301">
                  <c:v>1762.4824934735259</c:v>
                </c:pt>
                <c:pt idx="302">
                  <c:v>1765.793015714909</c:v>
                </c:pt>
                <c:pt idx="303">
                  <c:v>1769.1097562067146</c:v>
                </c:pt>
                <c:pt idx="304">
                  <c:v>1772.4327266288644</c:v>
                </c:pt>
                <c:pt idx="305">
                  <c:v>1775.761938683218</c:v>
                </c:pt>
                <c:pt idx="306">
                  <c:v>1779.0974040936153</c:v>
                </c:pt>
                <c:pt idx="307">
                  <c:v>1782.4391346059172</c:v>
                </c:pt>
                <c:pt idx="308">
                  <c:v>1785.7871419880471</c:v>
                </c:pt>
                <c:pt idx="309">
                  <c:v>1789.1414380300323</c:v>
                </c:pt>
                <c:pt idx="310">
                  <c:v>1792.5020345440466</c:v>
                </c:pt>
                <c:pt idx="311">
                  <c:v>1795.8689433644495</c:v>
                </c:pt>
                <c:pt idx="312">
                  <c:v>1799.2421763478305</c:v>
                </c:pt>
                <c:pt idx="313">
                  <c:v>1802.6217453730492</c:v>
                </c:pt>
                <c:pt idx="314">
                  <c:v>1806.0076623412776</c:v>
                </c:pt>
                <c:pt idx="315">
                  <c:v>1809.3999391760422</c:v>
                </c:pt>
                <c:pt idx="316">
                  <c:v>1812.798587823266</c:v>
                </c:pt>
                <c:pt idx="317">
                  <c:v>1816.2036202513093</c:v>
                </c:pt>
                <c:pt idx="318">
                  <c:v>1819.615048451014</c:v>
                </c:pt>
                <c:pt idx="319">
                  <c:v>1823.0328844357446</c:v>
                </c:pt>
                <c:pt idx="320">
                  <c:v>1826.4571402414306</c:v>
                </c:pt>
                <c:pt idx="321">
                  <c:v>1829.8878279266089</c:v>
                </c:pt>
                <c:pt idx="322">
                  <c:v>1833.3249595724656</c:v>
                </c:pt>
                <c:pt idx="323">
                  <c:v>1836.7685472828805</c:v>
                </c:pt>
                <c:pt idx="324">
                  <c:v>1840.2186031844676</c:v>
                </c:pt>
                <c:pt idx="325">
                  <c:v>1843.6751394266189</c:v>
                </c:pt>
                <c:pt idx="326">
                  <c:v>1847.1381681815471</c:v>
                </c:pt>
                <c:pt idx="327">
                  <c:v>1850.607701644328</c:v>
                </c:pt>
                <c:pt idx="328">
                  <c:v>1854.0837520329442</c:v>
                </c:pt>
                <c:pt idx="329">
                  <c:v>1857.5663315883273</c:v>
                </c:pt>
                <c:pt idx="330">
                  <c:v>1861.0554525744017</c:v>
                </c:pt>
                <c:pt idx="331">
                  <c:v>1864.5511272781268</c:v>
                </c:pt>
                <c:pt idx="332">
                  <c:v>1868.0533680095421</c:v>
                </c:pt>
                <c:pt idx="333">
                  <c:v>1871.5621871018086</c:v>
                </c:pt>
                <c:pt idx="334">
                  <c:v>1875.0775969112535</c:v>
                </c:pt>
                <c:pt idx="335">
                  <c:v>1878.5996098174126</c:v>
                </c:pt>
                <c:pt idx="336">
                  <c:v>1882.128238223075</c:v>
                </c:pt>
                <c:pt idx="337">
                  <c:v>1885.6634945543262</c:v>
                </c:pt>
                <c:pt idx="338">
                  <c:v>1889.2053912605927</c:v>
                </c:pt>
                <c:pt idx="339">
                  <c:v>1892.7539408146831</c:v>
                </c:pt>
                <c:pt idx="340">
                  <c:v>1896.3091557128369</c:v>
                </c:pt>
                <c:pt idx="341">
                  <c:v>1899.8710484747633</c:v>
                </c:pt>
                <c:pt idx="342">
                  <c:v>1903.4396316436882</c:v>
                </c:pt>
                <c:pt idx="343">
                  <c:v>1907.0149177863989</c:v>
                </c:pt>
                <c:pt idx="344">
                  <c:v>1910.5969194932859</c:v>
                </c:pt>
                <c:pt idx="345">
                  <c:v>1914.1856493783891</c:v>
                </c:pt>
                <c:pt idx="346">
                  <c:v>1917.781120079442</c:v>
                </c:pt>
                <c:pt idx="347">
                  <c:v>1921.3833442579155</c:v>
                </c:pt>
                <c:pt idx="348">
                  <c:v>1924.9923345990635</c:v>
                </c:pt>
                <c:pt idx="349">
                  <c:v>1928.608103811966</c:v>
                </c:pt>
                <c:pt idx="350">
                  <c:v>1932.2306646295763</c:v>
                </c:pt>
                <c:pt idx="351">
                  <c:v>1935.860029808762</c:v>
                </c:pt>
                <c:pt idx="352">
                  <c:v>1939.4962121303554</c:v>
                </c:pt>
                <c:pt idx="353">
                  <c:v>1943.1392243991925</c:v>
                </c:pt>
                <c:pt idx="354">
                  <c:v>1946.7890794441635</c:v>
                </c:pt>
                <c:pt idx="355">
                  <c:v>1950.4457901182529</c:v>
                </c:pt>
                <c:pt idx="356">
                  <c:v>1954.1093692985901</c:v>
                </c:pt>
                <c:pt idx="357">
                  <c:v>1957.7798298864893</c:v>
                </c:pt>
                <c:pt idx="358">
                  <c:v>1961.4571848074997</c:v>
                </c:pt>
                <c:pt idx="359">
                  <c:v>1965.1414470114482</c:v>
                </c:pt>
                <c:pt idx="360">
                  <c:v>1968.8326294724855</c:v>
                </c:pt>
                <c:pt idx="361">
                  <c:v>1972.5307451891317</c:v>
                </c:pt>
                <c:pt idx="362">
                  <c:v>1976.2358071843237</c:v>
                </c:pt>
                <c:pt idx="363">
                  <c:v>1979.9478285054586</c:v>
                </c:pt>
                <c:pt idx="364">
                  <c:v>1983.6668222244411</c:v>
                </c:pt>
                <c:pt idx="365">
                  <c:v>1987.3928014377295</c:v>
                </c:pt>
                <c:pt idx="366">
                  <c:v>1991.1257792663814</c:v>
                </c:pt>
                <c:pt idx="367">
                  <c:v>1994.8657688560997</c:v>
                </c:pt>
                <c:pt idx="368">
                  <c:v>1998.61278337728</c:v>
                </c:pt>
                <c:pt idx="369">
                  <c:v>2002.3668360250554</c:v>
                </c:pt>
                <c:pt idx="370">
                  <c:v>2006.1279400193448</c:v>
                </c:pt>
                <c:pt idx="371">
                  <c:v>2009.8961086048973</c:v>
                </c:pt>
                <c:pt idx="372">
                  <c:v>2013.6713550513407</c:v>
                </c:pt>
                <c:pt idx="373">
                  <c:v>2017.4536926532282</c:v>
                </c:pt>
                <c:pt idx="374">
                  <c:v>2021.2431347300828</c:v>
                </c:pt>
                <c:pt idx="375">
                  <c:v>2025.039694626447</c:v>
                </c:pt>
                <c:pt idx="376">
                  <c:v>2028.8433857119296</c:v>
                </c:pt>
                <c:pt idx="377">
                  <c:v>2032.6542213812497</c:v>
                </c:pt>
                <c:pt idx="378">
                  <c:v>2036.4722150542884</c:v>
                </c:pt>
                <c:pt idx="379">
                  <c:v>2040.2973801761323</c:v>
                </c:pt>
                <c:pt idx="380">
                  <c:v>2044.1297302171226</c:v>
                </c:pt>
                <c:pt idx="381">
                  <c:v>2047.9692786729026</c:v>
                </c:pt>
                <c:pt idx="382">
                  <c:v>2051.8160390644648</c:v>
                </c:pt>
                <c:pt idx="383">
                  <c:v>2055.6700249381979</c:v>
                </c:pt>
                <c:pt idx="384">
                  <c:v>2059.5312498659359</c:v>
                </c:pt>
                <c:pt idx="385">
                  <c:v>2063.3997274450048</c:v>
                </c:pt>
                <c:pt idx="386">
                  <c:v>2067.275471298271</c:v>
                </c:pt>
                <c:pt idx="387">
                  <c:v>2071.1584950741899</c:v>
                </c:pt>
                <c:pt idx="388">
                  <c:v>2075.0488124468511</c:v>
                </c:pt>
                <c:pt idx="389">
                  <c:v>2078.9464371160311</c:v>
                </c:pt>
                <c:pt idx="390">
                  <c:v>2082.8513828072373</c:v>
                </c:pt>
                <c:pt idx="391">
                  <c:v>2086.763663271759</c:v>
                </c:pt>
                <c:pt idx="392">
                  <c:v>2090.6832922867147</c:v>
                </c:pt>
                <c:pt idx="393">
                  <c:v>2094.6102836551013</c:v>
                </c:pt>
                <c:pt idx="394">
                  <c:v>2098.5446512058406</c:v>
                </c:pt>
                <c:pt idx="395">
                  <c:v>2102.4864087938327</c:v>
                </c:pt>
                <c:pt idx="396">
                  <c:v>2106.4355702999987</c:v>
                </c:pt>
                <c:pt idx="397">
                  <c:v>2110.3921496313342</c:v>
                </c:pt>
                <c:pt idx="398">
                  <c:v>2114.3561607209563</c:v>
                </c:pt>
                <c:pt idx="399">
                  <c:v>2118.3276175281535</c:v>
                </c:pt>
                <c:pt idx="400">
                  <c:v>2122.3065340384342</c:v>
                </c:pt>
                <c:pt idx="401">
                  <c:v>2126.292924263576</c:v>
                </c:pt>
                <c:pt idx="402">
                  <c:v>2130.2868022416746</c:v>
                </c:pt>
                <c:pt idx="403">
                  <c:v>2134.2881820371963</c:v>
                </c:pt>
                <c:pt idx="404">
                  <c:v>2138.2970777410223</c:v>
                </c:pt>
                <c:pt idx="405">
                  <c:v>2142.3135034705024</c:v>
                </c:pt>
                <c:pt idx="406">
                  <c:v>2146.3374733695032</c:v>
                </c:pt>
                <c:pt idx="407">
                  <c:v>2150.3690016084588</c:v>
                </c:pt>
                <c:pt idx="408">
                  <c:v>2154.4081023844187</c:v>
                </c:pt>
                <c:pt idx="409">
                  <c:v>2158.4547899211002</c:v>
                </c:pt>
                <c:pt idx="410">
                  <c:v>2162.5090784689373</c:v>
                </c:pt>
                <c:pt idx="411">
                  <c:v>2166.5709823051307</c:v>
                </c:pt>
                <c:pt idx="412">
                  <c:v>2170.6405157336981</c:v>
                </c:pt>
                <c:pt idx="413">
                  <c:v>2174.7176930855258</c:v>
                </c:pt>
                <c:pt idx="414">
                  <c:v>2178.8025287184173</c:v>
                </c:pt>
                <c:pt idx="415">
                  <c:v>2182.8950370171451</c:v>
                </c:pt>
                <c:pt idx="416">
                  <c:v>2186.9952323935013</c:v>
                </c:pt>
                <c:pt idx="417">
                  <c:v>2191.1031292863477</c:v>
                </c:pt>
                <c:pt idx="418">
                  <c:v>2195.2187421616686</c:v>
                </c:pt>
                <c:pt idx="419">
                  <c:v>2199.3420855126164</c:v>
                </c:pt>
                <c:pt idx="420">
                  <c:v>2203.4731738595701</c:v>
                </c:pt>
                <c:pt idx="421">
                  <c:v>2207.6120217501812</c:v>
                </c:pt>
                <c:pt idx="422">
                  <c:v>2211.7586437594277</c:v>
                </c:pt>
                <c:pt idx="423">
                  <c:v>2215.9130544896616</c:v>
                </c:pt>
                <c:pt idx="424">
                  <c:v>2220.0752685706652</c:v>
                </c:pt>
                <c:pt idx="425">
                  <c:v>2224.2453006597007</c:v>
                </c:pt>
                <c:pt idx="426">
                  <c:v>2228.4231654415589</c:v>
                </c:pt>
                <c:pt idx="427">
                  <c:v>2232.608877628616</c:v>
                </c:pt>
                <c:pt idx="428">
                  <c:v>2236.8024519608812</c:v>
                </c:pt>
                <c:pt idx="429">
                  <c:v>2241.0039032060517</c:v>
                </c:pt>
                <c:pt idx="430">
                  <c:v>2245.2132461595629</c:v>
                </c:pt>
                <c:pt idx="431">
                  <c:v>2249.4304956446404</c:v>
                </c:pt>
                <c:pt idx="432">
                  <c:v>2253.6556665123517</c:v>
                </c:pt>
                <c:pt idx="433">
                  <c:v>2257.8887736416618</c:v>
                </c:pt>
                <c:pt idx="434">
                  <c:v>2262.1298319394823</c:v>
                </c:pt>
                <c:pt idx="435">
                  <c:v>2266.3788563407247</c:v>
                </c:pt>
                <c:pt idx="436">
                  <c:v>2270.6358618083527</c:v>
                </c:pt>
                <c:pt idx="437">
                  <c:v>2274.9008633334361</c:v>
                </c:pt>
                <c:pt idx="438">
                  <c:v>2279.1738759352033</c:v>
                </c:pt>
                <c:pt idx="439">
                  <c:v>2283.4549146610925</c:v>
                </c:pt>
                <c:pt idx="440">
                  <c:v>2287.7439945868068</c:v>
                </c:pt>
                <c:pt idx="441">
                  <c:v>2292.0411308163666</c:v>
                </c:pt>
                <c:pt idx="442">
                  <c:v>2296.3463384821612</c:v>
                </c:pt>
                <c:pt idx="443">
                  <c:v>2300.6596327450056</c:v>
                </c:pt>
                <c:pt idx="444">
                  <c:v>2304.9810287941905</c:v>
                </c:pt>
                <c:pt idx="445">
                  <c:v>2309.3105418475366</c:v>
                </c:pt>
                <c:pt idx="446">
                  <c:v>2313.6481871514511</c:v>
                </c:pt>
                <c:pt idx="447">
                  <c:v>2317.9939799809754</c:v>
                </c:pt>
                <c:pt idx="448">
                  <c:v>2322.3479356398452</c:v>
                </c:pt>
                <c:pt idx="449">
                  <c:v>2326.7100694605406</c:v>
                </c:pt>
                <c:pt idx="450">
                  <c:v>2331.0803968043429</c:v>
                </c:pt>
                <c:pt idx="451">
                  <c:v>2335.4589330613826</c:v>
                </c:pt>
                <c:pt idx="452">
                  <c:v>2339.8456936507023</c:v>
                </c:pt>
                <c:pt idx="453">
                  <c:v>2344.2406940203045</c:v>
                </c:pt>
                <c:pt idx="454">
                  <c:v>2348.6439496472099</c:v>
                </c:pt>
                <c:pt idx="455">
                  <c:v>2353.0554760375071</c:v>
                </c:pt>
                <c:pt idx="456">
                  <c:v>2357.4752887264135</c:v>
                </c:pt>
                <c:pt idx="457">
                  <c:v>2361.9034032783247</c:v>
                </c:pt>
                <c:pt idx="458">
                  <c:v>2366.3398352868726</c:v>
                </c:pt>
                <c:pt idx="459">
                  <c:v>2370.7846003749773</c:v>
                </c:pt>
                <c:pt idx="460">
                  <c:v>2375.2377141949055</c:v>
                </c:pt>
                <c:pt idx="461">
                  <c:v>2379.6991924283238</c:v>
                </c:pt>
                <c:pt idx="462">
                  <c:v>2384.1690507863545</c:v>
                </c:pt>
                <c:pt idx="463">
                  <c:v>2388.6473050096288</c:v>
                </c:pt>
                <c:pt idx="464">
                  <c:v>2393.1339708683449</c:v>
                </c:pt>
                <c:pt idx="465">
                  <c:v>2397.6290641623241</c:v>
                </c:pt>
                <c:pt idx="466">
                  <c:v>2402.1326007210632</c:v>
                </c:pt>
                <c:pt idx="467">
                  <c:v>2406.6445964037916</c:v>
                </c:pt>
                <c:pt idx="468">
                  <c:v>2411.1650670995296</c:v>
                </c:pt>
                <c:pt idx="469">
                  <c:v>2415.6940287271409</c:v>
                </c:pt>
                <c:pt idx="470">
                  <c:v>2420.2314972353906</c:v>
                </c:pt>
                <c:pt idx="471">
                  <c:v>2424.7774886029993</c:v>
                </c:pt>
                <c:pt idx="472">
                  <c:v>2429.3320188387029</c:v>
                </c:pt>
                <c:pt idx="473">
                  <c:v>2433.8951039813073</c:v>
                </c:pt>
                <c:pt idx="474">
                  <c:v>2438.4667600997427</c:v>
                </c:pt>
                <c:pt idx="475">
                  <c:v>2443.0470032931216</c:v>
                </c:pt>
                <c:pt idx="476">
                  <c:v>2447.6358496907992</c:v>
                </c:pt>
                <c:pt idx="477">
                  <c:v>2452.2333154524235</c:v>
                </c:pt>
                <c:pt idx="478">
                  <c:v>2456.8394167679985</c:v>
                </c:pt>
                <c:pt idx="479">
                  <c:v>2461.4541698579346</c:v>
                </c:pt>
                <c:pt idx="480">
                  <c:v>2466.0775909731137</c:v>
                </c:pt>
                <c:pt idx="481">
                  <c:v>2470.7096963949398</c:v>
                </c:pt>
                <c:pt idx="482">
                  <c:v>2475.350502435399</c:v>
                </c:pt>
                <c:pt idx="483">
                  <c:v>2480.0000254371166</c:v>
                </c:pt>
                <c:pt idx="484">
                  <c:v>2484.6582817734156</c:v>
                </c:pt>
                <c:pt idx="485">
                  <c:v>2489.3252878483727</c:v>
                </c:pt>
                <c:pt idx="486">
                  <c:v>2494.0010600968776</c:v>
                </c:pt>
                <c:pt idx="487">
                  <c:v>2498.6856149846885</c:v>
                </c:pt>
                <c:pt idx="488">
                  <c:v>2503.3789690084936</c:v>
                </c:pt>
                <c:pt idx="489">
                  <c:v>2508.0811386959663</c:v>
                </c:pt>
                <c:pt idx="490">
                  <c:v>2512.7921406058249</c:v>
                </c:pt>
                <c:pt idx="491">
                  <c:v>2517.5119913278895</c:v>
                </c:pt>
                <c:pt idx="492">
                  <c:v>2522.2407074831422</c:v>
                </c:pt>
                <c:pt idx="493">
                  <c:v>2526.9783057237846</c:v>
                </c:pt>
                <c:pt idx="494">
                  <c:v>2531.7248027332976</c:v>
                </c:pt>
                <c:pt idx="495">
                  <c:v>2536.4802152264965</c:v>
                </c:pt>
                <c:pt idx="496">
                  <c:v>2541.2445599495954</c:v>
                </c:pt>
                <c:pt idx="497">
                  <c:v>2546.0178536802614</c:v>
                </c:pt>
                <c:pt idx="498">
                  <c:v>2550.8001132276772</c:v>
                </c:pt>
                <c:pt idx="499">
                  <c:v>2555.5913554325966</c:v>
                </c:pt>
                <c:pt idx="500">
                  <c:v>2560.3915971674073</c:v>
                </c:pt>
                <c:pt idx="501">
                  <c:v>2565.2008553361884</c:v>
                </c:pt>
                <c:pt idx="502">
                  <c:v>2570.0191468747721</c:v>
                </c:pt>
                <c:pt idx="503">
                  <c:v>2574.8464887507985</c:v>
                </c:pt>
                <c:pt idx="504">
                  <c:v>2579.6828979637812</c:v>
                </c:pt>
                <c:pt idx="505">
                  <c:v>2584.5283915451628</c:v>
                </c:pt>
                <c:pt idx="506">
                  <c:v>2589.3829865583775</c:v>
                </c:pt>
                <c:pt idx="507">
                  <c:v>2594.2467000989109</c:v>
                </c:pt>
                <c:pt idx="508">
                  <c:v>2599.1195492943575</c:v>
                </c:pt>
                <c:pt idx="509">
                  <c:v>2604.0015513044846</c:v>
                </c:pt>
                <c:pt idx="510">
                  <c:v>2608.8927233212908</c:v>
                </c:pt>
                <c:pt idx="511">
                  <c:v>2613.7930825690669</c:v>
                </c:pt>
                <c:pt idx="512">
                  <c:v>2618.7026463044567</c:v>
                </c:pt>
                <c:pt idx="513">
                  <c:v>2623.6214318165185</c:v>
                </c:pt>
                <c:pt idx="514">
                  <c:v>2628.5494564267819</c:v>
                </c:pt>
                <c:pt idx="515">
                  <c:v>2633.4867374893165</c:v>
                </c:pt>
                <c:pt idx="516">
                  <c:v>2638.4332923907855</c:v>
                </c:pt>
                <c:pt idx="517">
                  <c:v>2643.3891385505117</c:v>
                </c:pt>
                <c:pt idx="518">
                  <c:v>2648.3542934205348</c:v>
                </c:pt>
                <c:pt idx="519">
                  <c:v>2653.328774485678</c:v>
                </c:pt>
                <c:pt idx="520">
                  <c:v>2658.3125992636046</c:v>
                </c:pt>
                <c:pt idx="521">
                  <c:v>2663.3057853048831</c:v>
                </c:pt>
                <c:pt idx="522">
                  <c:v>2668.3083501930478</c:v>
                </c:pt>
                <c:pt idx="523">
                  <c:v>2673.3203115446595</c:v>
                </c:pt>
                <c:pt idx="524">
                  <c:v>2678.3416870093693</c:v>
                </c:pt>
                <c:pt idx="525">
                  <c:v>2683.372494269981</c:v>
                </c:pt>
                <c:pt idx="526">
                  <c:v>2688.412751042511</c:v>
                </c:pt>
                <c:pt idx="527">
                  <c:v>2693.4624750762528</c:v>
                </c:pt>
                <c:pt idx="528">
                  <c:v>2698.5216841538399</c:v>
                </c:pt>
                <c:pt idx="529">
                  <c:v>2703.5903960913065</c:v>
                </c:pt>
                <c:pt idx="530">
                  <c:v>2708.6686287381513</c:v>
                </c:pt>
                <c:pt idx="531">
                  <c:v>2713.7563999773993</c:v>
                </c:pt>
                <c:pt idx="532">
                  <c:v>2718.8537277256673</c:v>
                </c:pt>
                <c:pt idx="533">
                  <c:v>2723.9606299332254</c:v>
                </c:pt>
                <c:pt idx="534">
                  <c:v>2729.0771245840588</c:v>
                </c:pt>
                <c:pt idx="535">
                  <c:v>2734.2032296959337</c:v>
                </c:pt>
                <c:pt idx="536">
                  <c:v>2739.3389633204588</c:v>
                </c:pt>
                <c:pt idx="537">
                  <c:v>2744.4843435431508</c:v>
                </c:pt>
                <c:pt idx="538">
                  <c:v>2749.6393884834947</c:v>
                </c:pt>
                <c:pt idx="539">
                  <c:v>2754.8041162950126</c:v>
                </c:pt>
                <c:pt idx="540">
                  <c:v>2759.9785451653238</c:v>
                </c:pt>
                <c:pt idx="541">
                  <c:v>2765.1626933162097</c:v>
                </c:pt>
                <c:pt idx="542">
                  <c:v>2770.3565790036778</c:v>
                </c:pt>
                <c:pt idx="543">
                  <c:v>2775.5602205180271</c:v>
                </c:pt>
                <c:pt idx="544">
                  <c:v>2780.7736361839111</c:v>
                </c:pt>
                <c:pt idx="545">
                  <c:v>2785.9968443604057</c:v>
                </c:pt>
                <c:pt idx="546">
                  <c:v>2791.2298634410663</c:v>
                </c:pt>
                <c:pt idx="547">
                  <c:v>2796.4727118540009</c:v>
                </c:pt>
                <c:pt idx="548">
                  <c:v>2801.7254080619314</c:v>
                </c:pt>
                <c:pt idx="549">
                  <c:v>2806.9879705622584</c:v>
                </c:pt>
                <c:pt idx="550">
                  <c:v>2812.2604178871261</c:v>
                </c:pt>
                <c:pt idx="551">
                  <c:v>2817.5427686034882</c:v>
                </c:pt>
                <c:pt idx="552">
                  <c:v>2822.8350413131739</c:v>
                </c:pt>
                <c:pt idx="553">
                  <c:v>2828.1372546529519</c:v>
                </c:pt>
                <c:pt idx="554">
                  <c:v>2833.449427294599</c:v>
                </c:pt>
                <c:pt idx="555">
                  <c:v>2838.7715779449618</c:v>
                </c:pt>
                <c:pt idx="556">
                  <c:v>2844.1037253460231</c:v>
                </c:pt>
                <c:pt idx="557">
                  <c:v>2849.4458882749727</c:v>
                </c:pt>
                <c:pt idx="558">
                  <c:v>2854.7980855442688</c:v>
                </c:pt>
                <c:pt idx="559">
                  <c:v>2860.1603360017048</c:v>
                </c:pt>
                <c:pt idx="560">
                  <c:v>2865.532658530477</c:v>
                </c:pt>
                <c:pt idx="561">
                  <c:v>2870.9150720492507</c:v>
                </c:pt>
                <c:pt idx="562">
                  <c:v>2876.3075955122263</c:v>
                </c:pt>
                <c:pt idx="563">
                  <c:v>2881.7102479092068</c:v>
                </c:pt>
                <c:pt idx="564">
                  <c:v>2887.1230482656647</c:v>
                </c:pt>
                <c:pt idx="565">
                  <c:v>2892.5460156428076</c:v>
                </c:pt>
                <c:pt idx="566">
                  <c:v>2897.9791691376467</c:v>
                </c:pt>
                <c:pt idx="567">
                  <c:v>2903.4225278830645</c:v>
                </c:pt>
                <c:pt idx="568">
                  <c:v>2908.876111047879</c:v>
                </c:pt>
                <c:pt idx="569">
                  <c:v>2914.3399378369177</c:v>
                </c:pt>
                <c:pt idx="570">
                  <c:v>2919.8140274910756</c:v>
                </c:pt>
                <c:pt idx="571">
                  <c:v>2925.2983992873942</c:v>
                </c:pt>
                <c:pt idx="572">
                  <c:v>2930.7930725391188</c:v>
                </c:pt>
                <c:pt idx="573">
                  <c:v>2936.2980665957743</c:v>
                </c:pt>
                <c:pt idx="574">
                  <c:v>2941.8134008432294</c:v>
                </c:pt>
                <c:pt idx="575">
                  <c:v>2947.3390947037656</c:v>
                </c:pt>
                <c:pt idx="576">
                  <c:v>2952.8751676361462</c:v>
                </c:pt>
                <c:pt idx="577">
                  <c:v>2958.4216391356854</c:v>
                </c:pt>
                <c:pt idx="578">
                  <c:v>2963.9785287343129</c:v>
                </c:pt>
                <c:pt idx="579">
                  <c:v>2969.5458560006491</c:v>
                </c:pt>
                <c:pt idx="580">
                  <c:v>2975.1236405400696</c:v>
                </c:pt>
                <c:pt idx="581">
                  <c:v>2980.711901994775</c:v>
                </c:pt>
                <c:pt idx="582">
                  <c:v>2986.3106600438609</c:v>
                </c:pt>
                <c:pt idx="583">
                  <c:v>2991.9199344033859</c:v>
                </c:pt>
                <c:pt idx="584">
                  <c:v>2997.5397448264443</c:v>
                </c:pt>
                <c:pt idx="585">
                  <c:v>3003.1701111032289</c:v>
                </c:pt>
                <c:pt idx="586">
                  <c:v>3008.8110530611079</c:v>
                </c:pt>
                <c:pt idx="587">
                  <c:v>3014.4625905646926</c:v>
                </c:pt>
                <c:pt idx="588">
                  <c:v>3020.1247435159044</c:v>
                </c:pt>
                <c:pt idx="589">
                  <c:v>3025.7975318540489</c:v>
                </c:pt>
                <c:pt idx="590">
                  <c:v>3031.4809755558827</c:v>
                </c:pt>
                <c:pt idx="591">
                  <c:v>3037.1750946356851</c:v>
                </c:pt>
                <c:pt idx="592">
                  <c:v>3042.8799091453311</c:v>
                </c:pt>
                <c:pt idx="593">
                  <c:v>3048.5954391743589</c:v>
                </c:pt>
                <c:pt idx="594">
                  <c:v>3054.3217048500392</c:v>
                </c:pt>
                <c:pt idx="595">
                  <c:v>3060.0587263374505</c:v>
                </c:pt>
                <c:pt idx="596">
                  <c:v>3065.8065238395475</c:v>
                </c:pt>
                <c:pt idx="597">
                  <c:v>3071.5651175972339</c:v>
                </c:pt>
                <c:pt idx="598">
                  <c:v>3077.3345278894294</c:v>
                </c:pt>
                <c:pt idx="599">
                  <c:v>3083.114775033147</c:v>
                </c:pt>
                <c:pt idx="600">
                  <c:v>3088.9058793835607</c:v>
                </c:pt>
                <c:pt idx="601">
                  <c:v>3094.7078613340791</c:v>
                </c:pt>
                <c:pt idx="602">
                  <c:v>3100.5207413164144</c:v>
                </c:pt>
                <c:pt idx="603">
                  <c:v>3106.3445398006575</c:v>
                </c:pt>
                <c:pt idx="604">
                  <c:v>3112.179277295349</c:v>
                </c:pt>
                <c:pt idx="605">
                  <c:v>3118.024974347552</c:v>
                </c:pt>
                <c:pt idx="606">
                  <c:v>3123.8816515429216</c:v>
                </c:pt>
                <c:pt idx="607">
                  <c:v>3129.7493295057807</c:v>
                </c:pt>
                <c:pt idx="608">
                  <c:v>3135.6280288991925</c:v>
                </c:pt>
                <c:pt idx="609">
                  <c:v>3141.5177704250304</c:v>
                </c:pt>
                <c:pt idx="610">
                  <c:v>3147.4185748240543</c:v>
                </c:pt>
                <c:pt idx="611">
                  <c:v>3153.3304628759811</c:v>
                </c:pt>
                <c:pt idx="612">
                  <c:v>3159.2534553995588</c:v>
                </c:pt>
                <c:pt idx="613">
                  <c:v>3165.187573252641</c:v>
                </c:pt>
                <c:pt idx="614">
                  <c:v>3171.1328373322572</c:v>
                </c:pt>
                <c:pt idx="615">
                  <c:v>3177.0892685746903</c:v>
                </c:pt>
                <c:pt idx="616">
                  <c:v>3183.0568879555485</c:v>
                </c:pt>
                <c:pt idx="617">
                  <c:v>3189.0357164898373</c:v>
                </c:pt>
                <c:pt idx="618">
                  <c:v>3195.0257752320358</c:v>
                </c:pt>
                <c:pt idx="619">
                  <c:v>3201.0270852761719</c:v>
                </c:pt>
                <c:pt idx="620">
                  <c:v>3207.0396677558938</c:v>
                </c:pt>
                <c:pt idx="621">
                  <c:v>3213.0635438445456</c:v>
                </c:pt>
                <c:pt idx="622">
                  <c:v>3219.0987347552423</c:v>
                </c:pt>
                <c:pt idx="623">
                  <c:v>3225.1452617409441</c:v>
                </c:pt>
                <c:pt idx="624">
                  <c:v>3231.20314609453</c:v>
                </c:pt>
                <c:pt idx="625">
                  <c:v>3237.2724091488772</c:v>
                </c:pt>
                <c:pt idx="626">
                  <c:v>3243.3530722769297</c:v>
                </c:pt>
                <c:pt idx="627">
                  <c:v>3249.445156891778</c:v>
                </c:pt>
                <c:pt idx="628">
                  <c:v>3255.5486844467341</c:v>
                </c:pt>
                <c:pt idx="629">
                  <c:v>3261.6636764354066</c:v>
                </c:pt>
                <c:pt idx="630">
                  <c:v>3267.7901543917742</c:v>
                </c:pt>
                <c:pt idx="631">
                  <c:v>3273.9281398902654</c:v>
                </c:pt>
                <c:pt idx="632">
                  <c:v>3280.077654545832</c:v>
                </c:pt>
                <c:pt idx="633">
                  <c:v>3286.238720014027</c:v>
                </c:pt>
                <c:pt idx="634">
                  <c:v>3292.4113579910763</c:v>
                </c:pt>
                <c:pt idx="635">
                  <c:v>3298.5955902139617</c:v>
                </c:pt>
                <c:pt idx="636">
                  <c:v>3304.7914384604933</c:v>
                </c:pt>
                <c:pt idx="637">
                  <c:v>3310.9989245493862</c:v>
                </c:pt>
                <c:pt idx="638">
                  <c:v>3317.2180703403392</c:v>
                </c:pt>
                <c:pt idx="639">
                  <c:v>3323.4488977341111</c:v>
                </c:pt>
                <c:pt idx="640">
                  <c:v>3329.6914286725973</c:v>
                </c:pt>
                <c:pt idx="641">
                  <c:v>3335.9456851389059</c:v>
                </c:pt>
                <c:pt idx="642">
                  <c:v>3342.2116891574374</c:v>
                </c:pt>
                <c:pt idx="643">
                  <c:v>3348.489462793962</c:v>
                </c:pt>
                <c:pt idx="644">
                  <c:v>3354.7790281556977</c:v>
                </c:pt>
                <c:pt idx="645">
                  <c:v>3361.0804073913832</c:v>
                </c:pt>
                <c:pt idx="646">
                  <c:v>3367.3936226913638</c:v>
                </c:pt>
                <c:pt idx="647">
                  <c:v>3373.7186962876631</c:v>
                </c:pt>
                <c:pt idx="648">
                  <c:v>3380.0556504540668</c:v>
                </c:pt>
                <c:pt idx="649">
                  <c:v>3386.4045075061931</c:v>
                </c:pt>
                <c:pt idx="650">
                  <c:v>3392.7652898015817</c:v>
                </c:pt>
                <c:pt idx="651">
                  <c:v>3399.138019739763</c:v>
                </c:pt>
                <c:pt idx="652">
                  <c:v>3405.522719762344</c:v>
                </c:pt>
                <c:pt idx="653">
                  <c:v>3411.9194123530815</c:v>
                </c:pt>
                <c:pt idx="654">
                  <c:v>3418.3281200379674</c:v>
                </c:pt>
                <c:pt idx="655">
                  <c:v>3424.748865385302</c:v>
                </c:pt>
                <c:pt idx="656">
                  <c:v>3431.1816710057792</c:v>
                </c:pt>
                <c:pt idx="657">
                  <c:v>3437.6265595525601</c:v>
                </c:pt>
                <c:pt idx="658">
                  <c:v>3444.0835537213579</c:v>
                </c:pt>
                <c:pt idx="659">
                  <c:v>3450.5526762505151</c:v>
                </c:pt>
                <c:pt idx="660">
                  <c:v>3457.0339499210854</c:v>
                </c:pt>
                <c:pt idx="661">
                  <c:v>3463.5273975569107</c:v>
                </c:pt>
                <c:pt idx="662">
                  <c:v>3470.0330420247051</c:v>
                </c:pt>
                <c:pt idx="663">
                  <c:v>3476.5509062341334</c:v>
                </c:pt>
                <c:pt idx="664">
                  <c:v>3483.0810131378935</c:v>
                </c:pt>
                <c:pt idx="665">
                  <c:v>3489.6233857317934</c:v>
                </c:pt>
                <c:pt idx="666">
                  <c:v>3496.1780470548383</c:v>
                </c:pt>
                <c:pt idx="667">
                  <c:v>3502.7450201893053</c:v>
                </c:pt>
                <c:pt idx="668">
                  <c:v>3509.3243282608296</c:v>
                </c:pt>
                <c:pt idx="669">
                  <c:v>3515.915994438481</c:v>
                </c:pt>
                <c:pt idx="670">
                  <c:v>3522.5200419348521</c:v>
                </c:pt>
                <c:pt idx="671">
                  <c:v>3529.1364940061339</c:v>
                </c:pt>
                <c:pt idx="672">
                  <c:v>3535.7653739522029</c:v>
                </c:pt>
                <c:pt idx="673">
                  <c:v>3542.4067051166962</c:v>
                </c:pt>
                <c:pt idx="674">
                  <c:v>3549.0605108871009</c:v>
                </c:pt>
                <c:pt idx="675">
                  <c:v>3555.7268146948336</c:v>
                </c:pt>
                <c:pt idx="676">
                  <c:v>3562.4056400153227</c:v>
                </c:pt>
                <c:pt idx="677">
                  <c:v>3569.0970103680888</c:v>
                </c:pt>
                <c:pt idx="678">
                  <c:v>3575.8009493168324</c:v>
                </c:pt>
                <c:pt idx="679">
                  <c:v>3582.5174804695139</c:v>
                </c:pt>
                <c:pt idx="680">
                  <c:v>3589.2466274784374</c:v>
                </c:pt>
                <c:pt idx="681">
                  <c:v>3595.9884140403324</c:v>
                </c:pt>
                <c:pt idx="682">
                  <c:v>3602.7428638964402</c:v>
                </c:pt>
                <c:pt idx="683">
                  <c:v>3609.5100008325953</c:v>
                </c:pt>
                <c:pt idx="684">
                  <c:v>3616.2898486793115</c:v>
                </c:pt>
                <c:pt idx="685">
                  <c:v>3623.0824313118601</c:v>
                </c:pt>
                <c:pt idx="686">
                  <c:v>3629.8877726503615</c:v>
                </c:pt>
                <c:pt idx="687">
                  <c:v>3636.7058966598652</c:v>
                </c:pt>
                <c:pt idx="688">
                  <c:v>3643.536827350435</c:v>
                </c:pt>
                <c:pt idx="689">
                  <c:v>3650.3805887772332</c:v>
                </c:pt>
                <c:pt idx="690">
                  <c:v>3657.2372050406052</c:v>
                </c:pt>
                <c:pt idx="691">
                  <c:v>3664.1067002861655</c:v>
                </c:pt>
                <c:pt idx="692">
                  <c:v>3670.9890987048811</c:v>
                </c:pt>
                <c:pt idx="693">
                  <c:v>3677.8844245331588</c:v>
                </c:pt>
                <c:pt idx="694">
                  <c:v>3684.7927020529296</c:v>
                </c:pt>
                <c:pt idx="695">
                  <c:v>3691.7139555917315</c:v>
                </c:pt>
                <c:pt idx="696">
                  <c:v>3698.6482095228012</c:v>
                </c:pt>
                <c:pt idx="697">
                  <c:v>3705.5954882651531</c:v>
                </c:pt>
                <c:pt idx="698">
                  <c:v>3712.5558162836696</c:v>
                </c:pt>
                <c:pt idx="699">
                  <c:v>3719.5292180891875</c:v>
                </c:pt>
                <c:pt idx="700">
                  <c:v>3726.5157182385819</c:v>
                </c:pt>
                <c:pt idx="701">
                  <c:v>3733.5153413348535</c:v>
                </c:pt>
                <c:pt idx="702">
                  <c:v>3740.5281120272152</c:v>
                </c:pt>
                <c:pt idx="703">
                  <c:v>3747.5540550111814</c:v>
                </c:pt>
                <c:pt idx="704">
                  <c:v>3754.5931950286513</c:v>
                </c:pt>
                <c:pt idx="705">
                  <c:v>3761.6455568679962</c:v>
                </c:pt>
                <c:pt idx="706">
                  <c:v>3768.7111653641505</c:v>
                </c:pt>
                <c:pt idx="707">
                  <c:v>3775.7900453986958</c:v>
                </c:pt>
                <c:pt idx="708">
                  <c:v>3782.8822218999503</c:v>
                </c:pt>
                <c:pt idx="709">
                  <c:v>3789.9877198430527</c:v>
                </c:pt>
                <c:pt idx="710">
                  <c:v>3797.1065642500575</c:v>
                </c:pt>
                <c:pt idx="711">
                  <c:v>3804.2387801900159</c:v>
                </c:pt>
                <c:pt idx="712">
                  <c:v>3811.3843927790695</c:v>
                </c:pt>
                <c:pt idx="713">
                  <c:v>3818.5434271805334</c:v>
                </c:pt>
                <c:pt idx="714">
                  <c:v>3825.7159086049883</c:v>
                </c:pt>
                <c:pt idx="715">
                  <c:v>3832.9018623103711</c:v>
                </c:pt>
                <c:pt idx="716">
                  <c:v>3840.1013136020592</c:v>
                </c:pt>
                <c:pt idx="717">
                  <c:v>3847.3142878329622</c:v>
                </c:pt>
                <c:pt idx="718">
                  <c:v>3854.5408104036123</c:v>
                </c:pt>
                <c:pt idx="719">
                  <c:v>3861.7809067622488</c:v>
                </c:pt>
                <c:pt idx="720">
                  <c:v>3869.0346024049145</c:v>
                </c:pt>
                <c:pt idx="721">
                  <c:v>3876.3019228755406</c:v>
                </c:pt>
                <c:pt idx="722">
                  <c:v>3883.582893766039</c:v>
                </c:pt>
                <c:pt idx="723">
                  <c:v>3890.8775407163907</c:v>
                </c:pt>
                <c:pt idx="724">
                  <c:v>3898.1858894147399</c:v>
                </c:pt>
                <c:pt idx="725">
                  <c:v>3905.507965597476</c:v>
                </c:pt>
                <c:pt idx="726">
                  <c:v>3912.8437950493339</c:v>
                </c:pt>
                <c:pt idx="727">
                  <c:v>3920.1934036034809</c:v>
                </c:pt>
                <c:pt idx="728">
                  <c:v>3927.5568171416066</c:v>
                </c:pt>
                <c:pt idx="729">
                  <c:v>3934.9340615940127</c:v>
                </c:pt>
                <c:pt idx="730">
                  <c:v>3942.3251629397109</c:v>
                </c:pt>
                <c:pt idx="731">
                  <c:v>3949.7301472065069</c:v>
                </c:pt>
                <c:pt idx="732">
                  <c:v>3957.1490404710967</c:v>
                </c:pt>
                <c:pt idx="733">
                  <c:v>3964.5818688591548</c:v>
                </c:pt>
                <c:pt idx="734">
                  <c:v>3972.0286585454305</c:v>
                </c:pt>
                <c:pt idx="735">
                  <c:v>3979.4894357538374</c:v>
                </c:pt>
                <c:pt idx="736">
                  <c:v>3986.9642267575473</c:v>
                </c:pt>
                <c:pt idx="737">
                  <c:v>3994.4530578790786</c:v>
                </c:pt>
                <c:pt idx="738">
                  <c:v>4001.955955490394</c:v>
                </c:pt>
                <c:pt idx="739">
                  <c:v>4009.4729460129911</c:v>
                </c:pt>
                <c:pt idx="740">
                  <c:v>4017.0040559179984</c:v>
                </c:pt>
                <c:pt idx="741">
                  <c:v>4024.5493117262604</c:v>
                </c:pt>
                <c:pt idx="742">
                  <c:v>4032.1087400084402</c:v>
                </c:pt>
                <c:pt idx="743">
                  <c:v>4039.682367385109</c:v>
                </c:pt>
                <c:pt idx="744">
                  <c:v>4047.2702205268406</c:v>
                </c:pt>
                <c:pt idx="745">
                  <c:v>4054.8723261543032</c:v>
                </c:pt>
                <c:pt idx="746">
                  <c:v>4062.488711038357</c:v>
                </c:pt>
                <c:pt idx="747">
                  <c:v>4070.1194020001462</c:v>
                </c:pt>
                <c:pt idx="748">
                  <c:v>4077.7644259111917</c:v>
                </c:pt>
                <c:pt idx="749">
                  <c:v>4085.4238096934914</c:v>
                </c:pt>
                <c:pt idx="750">
                  <c:v>4093.0975803196093</c:v>
                </c:pt>
                <c:pt idx="751">
                  <c:v>4100.7857648127738</c:v>
                </c:pt>
                <c:pt idx="752">
                  <c:v>4108.4883902469737</c:v>
                </c:pt>
                <c:pt idx="753">
                  <c:v>4116.205483747045</c:v>
                </c:pt>
                <c:pt idx="754">
                  <c:v>4123.9370724887813</c:v>
                </c:pt>
                <c:pt idx="755">
                  <c:v>4131.683183699015</c:v>
                </c:pt>
                <c:pt idx="756">
                  <c:v>4139.4438446557242</c:v>
                </c:pt>
                <c:pt idx="757">
                  <c:v>4147.2190826881197</c:v>
                </c:pt>
                <c:pt idx="758">
                  <c:v>4155.0089251767495</c:v>
                </c:pt>
                <c:pt idx="759">
                  <c:v>4162.8133995535882</c:v>
                </c:pt>
                <c:pt idx="760">
                  <c:v>4170.6325333021396</c:v>
                </c:pt>
                <c:pt idx="761">
                  <c:v>4178.4663539575267</c:v>
                </c:pt>
                <c:pt idx="762">
                  <c:v>4186.3148891065957</c:v>
                </c:pt>
                <c:pt idx="763">
                  <c:v>4194.1781663880083</c:v>
                </c:pt>
                <c:pt idx="764">
                  <c:v>4202.0562134923439</c:v>
                </c:pt>
                <c:pt idx="765">
                  <c:v>4209.9490581621876</c:v>
                </c:pt>
                <c:pt idx="766">
                  <c:v>4217.8567281922406</c:v>
                </c:pt>
                <c:pt idx="767">
                  <c:v>4225.7792514294106</c:v>
                </c:pt>
                <c:pt idx="768">
                  <c:v>4233.7166557729051</c:v>
                </c:pt>
                <c:pt idx="769">
                  <c:v>4241.6689691743422</c:v>
                </c:pt>
                <c:pt idx="770">
                  <c:v>4249.6362196378414</c:v>
                </c:pt>
                <c:pt idx="771">
                  <c:v>4257.618435220119</c:v>
                </c:pt>
                <c:pt idx="772">
                  <c:v>4265.6156440305958</c:v>
                </c:pt>
                <c:pt idx="773">
                  <c:v>4273.6278742314871</c:v>
                </c:pt>
                <c:pt idx="774">
                  <c:v>4281.6551540379123</c:v>
                </c:pt>
                <c:pt idx="775">
                  <c:v>4289.6975117179809</c:v>
                </c:pt>
                <c:pt idx="776">
                  <c:v>4297.754975592904</c:v>
                </c:pt>
                <c:pt idx="777">
                  <c:v>4305.8275740370864</c:v>
                </c:pt>
                <c:pt idx="778">
                  <c:v>4313.915335478232</c:v>
                </c:pt>
                <c:pt idx="779">
                  <c:v>4322.0182883974394</c:v>
                </c:pt>
                <c:pt idx="780">
                  <c:v>4330.1364613293044</c:v>
                </c:pt>
                <c:pt idx="781">
                  <c:v>4338.2698828620205</c:v>
                </c:pt>
                <c:pt idx="782">
                  <c:v>4346.4185816374793</c:v>
                </c:pt>
                <c:pt idx="783">
                  <c:v>4354.5825863513719</c:v>
                </c:pt>
                <c:pt idx="784">
                  <c:v>4362.761925753287</c:v>
                </c:pt>
                <c:pt idx="785">
                  <c:v>4370.9566286468171</c:v>
                </c:pt>
                <c:pt idx="786">
                  <c:v>4379.1667238896562</c:v>
                </c:pt>
                <c:pt idx="787">
                  <c:v>4387.392240393704</c:v>
                </c:pt>
                <c:pt idx="788">
                  <c:v>4395.6332071251627</c:v>
                </c:pt>
                <c:pt idx="789">
                  <c:v>4403.8896531046448</c:v>
                </c:pt>
                <c:pt idx="790">
                  <c:v>4412.1616074072754</c:v>
                </c:pt>
                <c:pt idx="791">
                  <c:v>4420.4490991627881</c:v>
                </c:pt>
                <c:pt idx="792">
                  <c:v>4428.7521575556329</c:v>
                </c:pt>
                <c:pt idx="793">
                  <c:v>4437.0708118250805</c:v>
                </c:pt>
                <c:pt idx="794">
                  <c:v>4445.4050912653192</c:v>
                </c:pt>
                <c:pt idx="795">
                  <c:v>4453.7550252255633</c:v>
                </c:pt>
                <c:pt idx="796">
                  <c:v>4462.1206431101537</c:v>
                </c:pt>
                <c:pt idx="797">
                  <c:v>4470.5019743786615</c:v>
                </c:pt>
                <c:pt idx="798">
                  <c:v>4478.8990485459972</c:v>
                </c:pt>
                <c:pt idx="799">
                  <c:v>4487.3118951825027</c:v>
                </c:pt>
                <c:pt idx="800">
                  <c:v>4495.7405439140684</c:v>
                </c:pt>
                <c:pt idx="801">
                  <c:v>4504.1850244222305</c:v>
                </c:pt>
                <c:pt idx="802">
                  <c:v>4512.6453664442752</c:v>
                </c:pt>
                <c:pt idx="803">
                  <c:v>4521.121599773347</c:v>
                </c:pt>
                <c:pt idx="804">
                  <c:v>4529.613754258552</c:v>
                </c:pt>
                <c:pt idx="805">
                  <c:v>4538.12185980506</c:v>
                </c:pt>
                <c:pt idx="806">
                  <c:v>4546.6459463742149</c:v>
                </c:pt>
                <c:pt idx="807">
                  <c:v>4555.18604398364</c:v>
                </c:pt>
                <c:pt idx="808">
                  <c:v>4563.7421827073349</c:v>
                </c:pt>
                <c:pt idx="809">
                  <c:v>4572.3143926757948</c:v>
                </c:pt>
                <c:pt idx="810">
                  <c:v>4580.9027040761057</c:v>
                </c:pt>
                <c:pt idx="811">
                  <c:v>4589.5071471520578</c:v>
                </c:pt>
                <c:pt idx="812">
                  <c:v>4598.1277522042465</c:v>
                </c:pt>
                <c:pt idx="813">
                  <c:v>4606.7645495901834</c:v>
                </c:pt>
                <c:pt idx="814">
                  <c:v>4615.4175697244</c:v>
                </c:pt>
                <c:pt idx="815">
                  <c:v>4624.0868430785604</c:v>
                </c:pt>
                <c:pt idx="816">
                  <c:v>4632.7724001815568</c:v>
                </c:pt>
                <c:pt idx="817">
                  <c:v>4641.4742716196315</c:v>
                </c:pt>
                <c:pt idx="818">
                  <c:v>4650.1924880364759</c:v>
                </c:pt>
                <c:pt idx="819">
                  <c:v>4658.9270801333414</c:v>
                </c:pt>
                <c:pt idx="820">
                  <c:v>4667.6780786691415</c:v>
                </c:pt>
                <c:pt idx="821">
                  <c:v>4676.4455144605718</c:v>
                </c:pt>
                <c:pt idx="822">
                  <c:v>4685.2294183822078</c:v>
                </c:pt>
                <c:pt idx="823">
                  <c:v>4694.0298213666183</c:v>
                </c:pt>
                <c:pt idx="824">
                  <c:v>4702.8467544044734</c:v>
                </c:pt>
                <c:pt idx="825">
                  <c:v>4711.6802485446542</c:v>
                </c:pt>
                <c:pt idx="826">
                  <c:v>4720.5303348943635</c:v>
                </c:pt>
                <c:pt idx="827">
                  <c:v>4729.3970446192297</c:v>
                </c:pt>
                <c:pt idx="828">
                  <c:v>4738.2804089434258</c:v>
                </c:pt>
                <c:pt idx="829">
                  <c:v>4747.1804591497685</c:v>
                </c:pt>
                <c:pt idx="830">
                  <c:v>4756.0972265798382</c:v>
                </c:pt>
                <c:pt idx="831">
                  <c:v>4765.0307426340833</c:v>
                </c:pt>
                <c:pt idx="832">
                  <c:v>4773.9810387719317</c:v>
                </c:pt>
                <c:pt idx="833">
                  <c:v>4782.9481465119052</c:v>
                </c:pt>
                <c:pt idx="834">
                  <c:v>4791.9320974317261</c:v>
                </c:pt>
                <c:pt idx="835">
                  <c:v>4800.9329231684278</c:v>
                </c:pt>
                <c:pt idx="836">
                  <c:v>4809.9506554184727</c:v>
                </c:pt>
                <c:pt idx="837">
                  <c:v>4818.9853259378579</c:v>
                </c:pt>
                <c:pt idx="838">
                  <c:v>4828.0369665422259</c:v>
                </c:pt>
                <c:pt idx="839">
                  <c:v>4837.1056091069859</c:v>
                </c:pt>
                <c:pt idx="840">
                  <c:v>4846.19128556741</c:v>
                </c:pt>
                <c:pt idx="841">
                  <c:v>4855.2940279187678</c:v>
                </c:pt>
                <c:pt idx="842">
                  <c:v>4864.4138682164157</c:v>
                </c:pt>
                <c:pt idx="843">
                  <c:v>4873.5508385759231</c:v>
                </c:pt>
                <c:pt idx="844">
                  <c:v>4882.7049711731897</c:v>
                </c:pt>
                <c:pt idx="845">
                  <c:v>4891.8762982445423</c:v>
                </c:pt>
                <c:pt idx="846">
                  <c:v>4901.0648520868644</c:v>
                </c:pt>
                <c:pt idx="847">
                  <c:v>4910.270665057702</c:v>
                </c:pt>
                <c:pt idx="848">
                  <c:v>4919.4937695753779</c:v>
                </c:pt>
                <c:pt idx="849">
                  <c:v>4928.734198119113</c:v>
                </c:pt>
                <c:pt idx="850">
                  <c:v>4937.9919832291253</c:v>
                </c:pt>
                <c:pt idx="851">
                  <c:v>4947.2671575067607</c:v>
                </c:pt>
                <c:pt idx="852">
                  <c:v>4956.5597536146015</c:v>
                </c:pt>
                <c:pt idx="853">
                  <c:v>4965.8698042765773</c:v>
                </c:pt>
                <c:pt idx="854">
                  <c:v>4975.1973422780857</c:v>
                </c:pt>
                <c:pt idx="855">
                  <c:v>4984.5424004661072</c:v>
                </c:pt>
                <c:pt idx="856">
                  <c:v>4993.9050117493189</c:v>
                </c:pt>
                <c:pt idx="857">
                  <c:v>5003.2852090982105</c:v>
                </c:pt>
                <c:pt idx="858">
                  <c:v>5012.6830255452032</c:v>
                </c:pt>
                <c:pt idx="859">
                  <c:v>5022.0984941847591</c:v>
                </c:pt>
                <c:pt idx="860">
                  <c:v>5031.5316481735117</c:v>
                </c:pt>
                <c:pt idx="861">
                  <c:v>5040.9825207303629</c:v>
                </c:pt>
                <c:pt idx="862">
                  <c:v>5050.4511451366161</c:v>
                </c:pt>
                <c:pt idx="863">
                  <c:v>5059.9375547360914</c:v>
                </c:pt>
                <c:pt idx="864">
                  <c:v>5069.4417829352296</c:v>
                </c:pt>
                <c:pt idx="865">
                  <c:v>5078.9638632032311</c:v>
                </c:pt>
                <c:pt idx="866">
                  <c:v>5088.5038290721568</c:v>
                </c:pt>
                <c:pt idx="867">
                  <c:v>5098.0617141370476</c:v>
                </c:pt>
                <c:pt idx="868">
                  <c:v>5107.6375520560568</c:v>
                </c:pt>
                <c:pt idx="869">
                  <c:v>5117.2313765505523</c:v>
                </c:pt>
                <c:pt idx="870">
                  <c:v>5126.8432214052391</c:v>
                </c:pt>
                <c:pt idx="871">
                  <c:v>5136.4731204682912</c:v>
                </c:pt>
                <c:pt idx="872">
                  <c:v>5146.1211076514483</c:v>
                </c:pt>
                <c:pt idx="873">
                  <c:v>5155.78721693016</c:v>
                </c:pt>
                <c:pt idx="874">
                  <c:v>5165.4714823436834</c:v>
                </c:pt>
                <c:pt idx="875">
                  <c:v>5175.1739379952132</c:v>
                </c:pt>
                <c:pt idx="876">
                  <c:v>5184.8946180520088</c:v>
                </c:pt>
                <c:pt idx="877">
                  <c:v>5194.6335567454971</c:v>
                </c:pt>
                <c:pt idx="878">
                  <c:v>5204.390788371411</c:v>
                </c:pt>
                <c:pt idx="879">
                  <c:v>5214.1663472898972</c:v>
                </c:pt>
                <c:pt idx="880">
                  <c:v>5223.9602679256432</c:v>
                </c:pt>
                <c:pt idx="881">
                  <c:v>5233.7725847680003</c:v>
                </c:pt>
                <c:pt idx="882">
                  <c:v>5243.6033323710963</c:v>
                </c:pt>
                <c:pt idx="883">
                  <c:v>5253.4525453539673</c:v>
                </c:pt>
                <c:pt idx="884">
                  <c:v>5263.320258400674</c:v>
                </c:pt>
                <c:pt idx="885">
                  <c:v>5273.2065062604288</c:v>
                </c:pt>
                <c:pt idx="886">
                  <c:v>5283.1113237477066</c:v>
                </c:pt>
                <c:pt idx="887">
                  <c:v>5293.0347457423841</c:v>
                </c:pt>
                <c:pt idx="888">
                  <c:v>5302.9768071898461</c:v>
                </c:pt>
                <c:pt idx="889">
                  <c:v>5312.937543101124</c:v>
                </c:pt>
                <c:pt idx="890">
                  <c:v>5322.9169885530055</c:v>
                </c:pt>
                <c:pt idx="891">
                  <c:v>5332.9151786881639</c:v>
                </c:pt>
                <c:pt idx="892">
                  <c:v>5342.9321487152883</c:v>
                </c:pt>
                <c:pt idx="893">
                  <c:v>5352.9679339091954</c:v>
                </c:pt>
                <c:pt idx="894">
                  <c:v>5363.0225696109592</c:v>
                </c:pt>
                <c:pt idx="895">
                  <c:v>5373.0960912280434</c:v>
                </c:pt>
                <c:pt idx="896">
                  <c:v>5383.1885342344085</c:v>
                </c:pt>
                <c:pt idx="897">
                  <c:v>5393.2999341706509</c:v>
                </c:pt>
                <c:pt idx="898">
                  <c:v>5403.4303266441293</c:v>
                </c:pt>
                <c:pt idx="899">
                  <c:v>5413.5797473290759</c:v>
                </c:pt>
                <c:pt idx="900">
                  <c:v>5423.748231966737</c:v>
                </c:pt>
                <c:pt idx="901">
                  <c:v>5433.9358163654906</c:v>
                </c:pt>
                <c:pt idx="902">
                  <c:v>5444.1425364009729</c:v>
                </c:pt>
                <c:pt idx="903">
                  <c:v>5454.3684280162106</c:v>
                </c:pt>
                <c:pt idx="904">
                  <c:v>5464.6135272217389</c:v>
                </c:pt>
                <c:pt idx="905">
                  <c:v>5474.8778700957355</c:v>
                </c:pt>
                <c:pt idx="906">
                  <c:v>5485.1614927841429</c:v>
                </c:pt>
                <c:pt idx="907">
                  <c:v>5495.4644315007999</c:v>
                </c:pt>
                <c:pt idx="908">
                  <c:v>5505.7867225275641</c:v>
                </c:pt>
                <c:pt idx="909">
                  <c:v>5516.1284022144446</c:v>
                </c:pt>
                <c:pt idx="910">
                  <c:v>5526.4895069797267</c:v>
                </c:pt>
                <c:pt idx="911">
                  <c:v>5536.8700733100995</c:v>
                </c:pt>
                <c:pt idx="912">
                  <c:v>5547.2701377607918</c:v>
                </c:pt>
                <c:pt idx="913">
                  <c:v>5557.6897369556864</c:v>
                </c:pt>
                <c:pt idx="914">
                  <c:v>5568.1289075874683</c:v>
                </c:pt>
                <c:pt idx="915">
                  <c:v>5578.5876864177326</c:v>
                </c:pt>
                <c:pt idx="916">
                  <c:v>5589.0661102771337</c:v>
                </c:pt>
                <c:pt idx="917">
                  <c:v>5599.5642160655034</c:v>
                </c:pt>
                <c:pt idx="918">
                  <c:v>5610.0820407519759</c:v>
                </c:pt>
                <c:pt idx="919">
                  <c:v>5620.61962137514</c:v>
                </c:pt>
                <c:pt idx="920">
                  <c:v>5631.1769950431444</c:v>
                </c:pt>
                <c:pt idx="921">
                  <c:v>5641.7541989338406</c:v>
                </c:pt>
                <c:pt idx="922">
                  <c:v>5652.3512702949165</c:v>
                </c:pt>
                <c:pt idx="923">
                  <c:v>5662.9682464440175</c:v>
                </c:pt>
                <c:pt idx="924">
                  <c:v>5673.6051647688919</c:v>
                </c:pt>
                <c:pt idx="925">
                  <c:v>5684.2620627275073</c:v>
                </c:pt>
                <c:pt idx="926">
                  <c:v>5694.93897784819</c:v>
                </c:pt>
                <c:pt idx="927">
                  <c:v>5705.6359477297619</c:v>
                </c:pt>
                <c:pt idx="928">
                  <c:v>5716.3530100416647</c:v>
                </c:pt>
                <c:pt idx="929">
                  <c:v>5727.0902025240939</c:v>
                </c:pt>
                <c:pt idx="930">
                  <c:v>5737.8475629881386</c:v>
                </c:pt>
                <c:pt idx="931">
                  <c:v>5748.6251293159021</c:v>
                </c:pt>
                <c:pt idx="932">
                  <c:v>5759.4229394606518</c:v>
                </c:pt>
                <c:pt idx="933">
                  <c:v>5770.241031446938</c:v>
                </c:pt>
                <c:pt idx="934">
                  <c:v>5781.0794433707333</c:v>
                </c:pt>
                <c:pt idx="935">
                  <c:v>5791.9382133995696</c:v>
                </c:pt>
                <c:pt idx="936">
                  <c:v>5802.8173797726695</c:v>
                </c:pt>
                <c:pt idx="937">
                  <c:v>5813.7169808010785</c:v>
                </c:pt>
                <c:pt idx="938">
                  <c:v>5824.6370548678096</c:v>
                </c:pt>
                <c:pt idx="939">
                  <c:v>5835.577640427965</c:v>
                </c:pt>
                <c:pt idx="940">
                  <c:v>5846.5387760088788</c:v>
                </c:pt>
                <c:pt idx="941">
                  <c:v>5857.5205002102593</c:v>
                </c:pt>
                <c:pt idx="942">
                  <c:v>5868.5228517043051</c:v>
                </c:pt>
                <c:pt idx="943">
                  <c:v>5879.5458692358688</c:v>
                </c:pt>
                <c:pt idx="944">
                  <c:v>5890.5895916225663</c:v>
                </c:pt>
                <c:pt idx="945">
                  <c:v>5901.6540577549295</c:v>
                </c:pt>
                <c:pt idx="946">
                  <c:v>5912.7393065965452</c:v>
                </c:pt>
                <c:pt idx="947">
                  <c:v>5923.8453771841778</c:v>
                </c:pt>
                <c:pt idx="948">
                  <c:v>5934.9723086279246</c:v>
                </c:pt>
                <c:pt idx="949">
                  <c:v>5946.1201401113358</c:v>
                </c:pt>
                <c:pt idx="950">
                  <c:v>5957.2889108915633</c:v>
                </c:pt>
                <c:pt idx="951">
                  <c:v>5968.4786602995036</c:v>
                </c:pt>
                <c:pt idx="952">
                  <c:v>5979.6894277399224</c:v>
                </c:pt>
                <c:pt idx="953">
                  <c:v>5990.9212526915999</c:v>
                </c:pt>
                <c:pt idx="954">
                  <c:v>6002.1741747074793</c:v>
                </c:pt>
                <c:pt idx="955">
                  <c:v>6013.448233414786</c:v>
                </c:pt>
                <c:pt idx="956">
                  <c:v>6024.7434685151866</c:v>
                </c:pt>
                <c:pt idx="957">
                  <c:v>6036.0599197849178</c:v>
                </c:pt>
                <c:pt idx="958">
                  <c:v>6047.3976270749245</c:v>
                </c:pt>
                <c:pt idx="959">
                  <c:v>6058.7566303110143</c:v>
                </c:pt>
                <c:pt idx="960">
                  <c:v>6070.1369694939822</c:v>
                </c:pt>
                <c:pt idx="961">
                  <c:v>6081.5386846997562</c:v>
                </c:pt>
                <c:pt idx="962">
                  <c:v>6092.9618160795462</c:v>
                </c:pt>
                <c:pt idx="963">
                  <c:v>6104.4064038599745</c:v>
                </c:pt>
                <c:pt idx="964">
                  <c:v>6115.8724883432251</c:v>
                </c:pt>
                <c:pt idx="965">
                  <c:v>6127.3601099071811</c:v>
                </c:pt>
                <c:pt idx="966">
                  <c:v>6138.8693090055676</c:v>
                </c:pt>
                <c:pt idx="967">
                  <c:v>6150.4001261680996</c:v>
                </c:pt>
                <c:pt idx="968">
                  <c:v>6161.9526020006151</c:v>
                </c:pt>
                <c:pt idx="969">
                  <c:v>6173.5267771852223</c:v>
                </c:pt>
                <c:pt idx="970">
                  <c:v>6185.1226924804532</c:v>
                </c:pt>
                <c:pt idx="971">
                  <c:v>6196.7403887213841</c:v>
                </c:pt>
                <c:pt idx="972">
                  <c:v>6208.3799068198077</c:v>
                </c:pt>
                <c:pt idx="973">
                  <c:v>6220.0412877643503</c:v>
                </c:pt>
                <c:pt idx="974">
                  <c:v>6231.724572620632</c:v>
                </c:pt>
                <c:pt idx="975">
                  <c:v>6243.429802531412</c:v>
                </c:pt>
                <c:pt idx="976">
                  <c:v>6255.1570187167254</c:v>
                </c:pt>
                <c:pt idx="977">
                  <c:v>6266.9062624740291</c:v>
                </c:pt>
                <c:pt idx="978">
                  <c:v>6278.677575178358</c:v>
                </c:pt>
                <c:pt idx="979">
                  <c:v>6290.4709982824543</c:v>
                </c:pt>
                <c:pt idx="980">
                  <c:v>6302.286573316931</c:v>
                </c:pt>
                <c:pt idx="981">
                  <c:v>6314.1243418904032</c:v>
                </c:pt>
                <c:pt idx="982">
                  <c:v>6325.9843456896388</c:v>
                </c:pt>
                <c:pt idx="983">
                  <c:v>6337.8666264797148</c:v>
                </c:pt>
                <c:pt idx="984">
                  <c:v>6349.7712261041497</c:v>
                </c:pt>
                <c:pt idx="985">
                  <c:v>6361.6981864850613</c:v>
                </c:pt>
                <c:pt idx="986">
                  <c:v>6373.6475496233124</c:v>
                </c:pt>
                <c:pt idx="987">
                  <c:v>6385.6193575986508</c:v>
                </c:pt>
                <c:pt idx="988">
                  <c:v>6397.613652569873</c:v>
                </c:pt>
                <c:pt idx="989">
                  <c:v>6409.6304767749543</c:v>
                </c:pt>
                <c:pt idx="990">
                  <c:v>6421.6698725312144</c:v>
                </c:pt>
                <c:pt idx="991">
                  <c:v>6433.7318822354546</c:v>
                </c:pt>
                <c:pt idx="992">
                  <c:v>6445.8165483641151</c:v>
                </c:pt>
                <c:pt idx="993">
                  <c:v>6457.9239134734125</c:v>
                </c:pt>
                <c:pt idx="994">
                  <c:v>6470.0540201995109</c:v>
                </c:pt>
                <c:pt idx="995">
                  <c:v>6482.2069112586451</c:v>
                </c:pt>
                <c:pt idx="996">
                  <c:v>6494.3826294472974</c:v>
                </c:pt>
                <c:pt idx="997">
                  <c:v>6506.5812176423306</c:v>
                </c:pt>
                <c:pt idx="998">
                  <c:v>6518.8027188011374</c:v>
                </c:pt>
                <c:pt idx="999">
                  <c:v>6531.0471759618149</c:v>
                </c:pt>
                <c:pt idx="1000">
                  <c:v>6543.3146322432849</c:v>
                </c:pt>
                <c:pt idx="1001">
                  <c:v>6555.6051308454653</c:v>
                </c:pt>
                <c:pt idx="1002">
                  <c:v>6567.9187150494236</c:v>
                </c:pt>
                <c:pt idx="1003">
                  <c:v>6580.2554282175133</c:v>
                </c:pt>
                <c:pt idx="1004">
                  <c:v>6592.6153137935471</c:v>
                </c:pt>
                <c:pt idx="1005">
                  <c:v>6604.9984153029318</c:v>
                </c:pt>
                <c:pt idx="1006">
                  <c:v>6617.4047763528288</c:v>
                </c:pt>
                <c:pt idx="1007">
                  <c:v>6629.8344406323158</c:v>
                </c:pt>
                <c:pt idx="1008">
                  <c:v>6642.2874519125271</c:v>
                </c:pt>
                <c:pt idx="1009">
                  <c:v>6654.7638540468106</c:v>
                </c:pt>
                <c:pt idx="1010">
                  <c:v>6667.2636909708954</c:v>
                </c:pt>
                <c:pt idx="1011">
                  <c:v>6679.7870067030262</c:v>
                </c:pt>
                <c:pt idx="1012">
                  <c:v>6692.3338453441347</c:v>
                </c:pt>
                <c:pt idx="1013">
                  <c:v>6704.9042510779846</c:v>
                </c:pt>
                <c:pt idx="1014">
                  <c:v>6717.4982681713336</c:v>
                </c:pt>
                <c:pt idx="1015">
                  <c:v>6730.1159409740894</c:v>
                </c:pt>
                <c:pt idx="1016">
                  <c:v>6742.7573139194556</c:v>
                </c:pt>
                <c:pt idx="1017">
                  <c:v>6755.4224315241036</c:v>
                </c:pt>
                <c:pt idx="1018">
                  <c:v>6768.1113383883194</c:v>
                </c:pt>
                <c:pt idx="1019">
                  <c:v>6780.8240791961625</c:v>
                </c:pt>
                <c:pt idx="1020">
                  <c:v>6793.5606987156225</c:v>
                </c:pt>
                <c:pt idx="1021">
                  <c:v>6806.3212417987825</c:v>
                </c:pt>
                <c:pt idx="1022">
                  <c:v>6819.105753381964</c:v>
                </c:pt>
                <c:pt idx="1023">
                  <c:v>6831.9142784859059</c:v>
                </c:pt>
                <c:pt idx="1024">
                  <c:v>6844.7468622159013</c:v>
                </c:pt>
                <c:pt idx="1025">
                  <c:v>6857.603549761966</c:v>
                </c:pt>
                <c:pt idx="1026">
                  <c:v>6870.4843863990045</c:v>
                </c:pt>
                <c:pt idx="1027">
                  <c:v>6883.3894174869583</c:v>
                </c:pt>
                <c:pt idx="1028">
                  <c:v>6896.3186884709639</c:v>
                </c:pt>
                <c:pt idx="1029">
                  <c:v>6909.2722448815321</c:v>
                </c:pt>
                <c:pt idx="1030">
                  <c:v>6922.2501323346823</c:v>
                </c:pt>
                <c:pt idx="1031">
                  <c:v>6935.2523965321243</c:v>
                </c:pt>
                <c:pt idx="1032">
                  <c:v>6948.2790832614082</c:v>
                </c:pt>
                <c:pt idx="1033">
                  <c:v>6961.3302383960799</c:v>
                </c:pt>
                <c:pt idx="1034">
                  <c:v>6974.4059078958689</c:v>
                </c:pt>
                <c:pt idx="1035">
                  <c:v>6987.5061378068158</c:v>
                </c:pt>
                <c:pt idx="1036">
                  <c:v>7000.6309742614549</c:v>
                </c:pt>
                <c:pt idx="1037">
                  <c:v>7013.78046347898</c:v>
                </c:pt>
                <c:pt idx="1038">
                  <c:v>7026.9546517653889</c:v>
                </c:pt>
                <c:pt idx="1039">
                  <c:v>7040.153585513669</c:v>
                </c:pt>
                <c:pt idx="1040">
                  <c:v>7053.3773112039362</c:v>
                </c:pt>
                <c:pt idx="1041">
                  <c:v>7066.6258754036207</c:v>
                </c:pt>
                <c:pt idx="1042">
                  <c:v>7079.899324767619</c:v>
                </c:pt>
                <c:pt idx="1043">
                  <c:v>7093.1977060384615</c:v>
                </c:pt>
                <c:pt idx="1044">
                  <c:v>7106.5210660464718</c:v>
                </c:pt>
                <c:pt idx="1045">
                  <c:v>7119.8694517099439</c:v>
                </c:pt>
                <c:pt idx="1046">
                  <c:v>7133.2429100352938</c:v>
                </c:pt>
                <c:pt idx="1047">
                  <c:v>7146.6414881172332</c:v>
                </c:pt>
                <c:pt idx="1048">
                  <c:v>7160.0652331389365</c:v>
                </c:pt>
                <c:pt idx="1049">
                  <c:v>7173.5141923721931</c:v>
                </c:pt>
                <c:pt idx="1050">
                  <c:v>7186.9884131775989</c:v>
                </c:pt>
                <c:pt idx="1051">
                  <c:v>7200.4879430046985</c:v>
                </c:pt>
                <c:pt idx="1052">
                  <c:v>7214.0128293921616</c:v>
                </c:pt>
                <c:pt idx="1053">
                  <c:v>7227.563119967961</c:v>
                </c:pt>
                <c:pt idx="1054">
                  <c:v>7241.1388624495166</c:v>
                </c:pt>
                <c:pt idx="1055">
                  <c:v>7254.7401046438936</c:v>
                </c:pt>
                <c:pt idx="1056">
                  <c:v>7268.3668944479414</c:v>
                </c:pt>
                <c:pt idx="1057">
                  <c:v>7282.0192798484759</c:v>
                </c:pt>
                <c:pt idx="1058">
                  <c:v>7295.6973089224593</c:v>
                </c:pt>
                <c:pt idx="1059">
                  <c:v>7309.4010298371486</c:v>
                </c:pt>
                <c:pt idx="1060">
                  <c:v>7323.1304908502734</c:v>
                </c:pt>
                <c:pt idx="1061">
                  <c:v>7336.8857403102156</c:v>
                </c:pt>
                <c:pt idx="1062">
                  <c:v>7350.6668266561619</c:v>
                </c:pt>
                <c:pt idx="1063">
                  <c:v>7364.4737984182948</c:v>
                </c:pt>
                <c:pt idx="1064">
                  <c:v>7378.3067042179409</c:v>
                </c:pt>
                <c:pt idx="1065">
                  <c:v>7392.1655927677566</c:v>
                </c:pt>
                <c:pt idx="1066">
                  <c:v>7406.0505128719087</c:v>
                </c:pt>
                <c:pt idx="1067">
                  <c:v>7419.9615134262158</c:v>
                </c:pt>
                <c:pt idx="1068">
                  <c:v>7433.8986434183498</c:v>
                </c:pt>
                <c:pt idx="1069">
                  <c:v>7447.8619519279955</c:v>
                </c:pt>
                <c:pt idx="1070">
                  <c:v>7461.8514881270257</c:v>
                </c:pt>
                <c:pt idx="1071">
                  <c:v>7475.8673012796744</c:v>
                </c:pt>
                <c:pt idx="1072">
                  <c:v>7489.9094407427119</c:v>
                </c:pt>
                <c:pt idx="1073">
                  <c:v>7503.9779559656054</c:v>
                </c:pt>
                <c:pt idx="1074">
                  <c:v>7518.0728964907257</c:v>
                </c:pt>
                <c:pt idx="1075">
                  <c:v>7532.194311953479</c:v>
                </c:pt>
                <c:pt idx="1076">
                  <c:v>7546.3422520825152</c:v>
                </c:pt>
                <c:pt idx="1077">
                  <c:v>7560.5167666998886</c:v>
                </c:pt>
                <c:pt idx="1078">
                  <c:v>7574.7179057212334</c:v>
                </c:pt>
                <c:pt idx="1079">
                  <c:v>7588.9457191559468</c:v>
                </c:pt>
                <c:pt idx="1080">
                  <c:v>7603.2002571073563</c:v>
                </c:pt>
                <c:pt idx="1081">
                  <c:v>7617.4815697728982</c:v>
                </c:pt>
                <c:pt idx="1082">
                  <c:v>7631.7897074443035</c:v>
                </c:pt>
                <c:pt idx="1083">
                  <c:v>7646.124720507757</c:v>
                </c:pt>
                <c:pt idx="1084">
                  <c:v>7660.4866594440919</c:v>
                </c:pt>
                <c:pt idx="1085">
                  <c:v>7674.8755748289614</c:v>
                </c:pt>
                <c:pt idx="1086">
                  <c:v>7689.2915173330157</c:v>
                </c:pt>
                <c:pt idx="1087">
                  <c:v>7703.734537722079</c:v>
                </c:pt>
                <c:pt idx="1088">
                  <c:v>7718.2046868573334</c:v>
                </c:pt>
                <c:pt idx="1089">
                  <c:v>7732.7020156954923</c:v>
                </c:pt>
                <c:pt idx="1090">
                  <c:v>7747.2265752889862</c:v>
                </c:pt>
                <c:pt idx="1091">
                  <c:v>7761.7784167861373</c:v>
                </c:pt>
                <c:pt idx="1092">
                  <c:v>7776.3575914313315</c:v>
                </c:pt>
                <c:pt idx="1093">
                  <c:v>7790.9641505652316</c:v>
                </c:pt>
                <c:pt idx="1094">
                  <c:v>7805.5981456249065</c:v>
                </c:pt>
                <c:pt idx="1095">
                  <c:v>7820.2596281440692</c:v>
                </c:pt>
                <c:pt idx="1096">
                  <c:v>7834.9486497532062</c:v>
                </c:pt>
                <c:pt idx="1097">
                  <c:v>7849.6652621797957</c:v>
                </c:pt>
                <c:pt idx="1098">
                  <c:v>7864.4095172484749</c:v>
                </c:pt>
                <c:pt idx="1099">
                  <c:v>7879.1814668812267</c:v>
                </c:pt>
                <c:pt idx="1100">
                  <c:v>7893.9811630975491</c:v>
                </c:pt>
                <c:pt idx="1101">
                  <c:v>7908.8086580146719</c:v>
                </c:pt>
                <c:pt idx="1102">
                  <c:v>7923.6640038476908</c:v>
                </c:pt>
                <c:pt idx="1103">
                  <c:v>7938.5472529098079</c:v>
                </c:pt>
                <c:pt idx="1104">
                  <c:v>7953.4584576124607</c:v>
                </c:pt>
                <c:pt idx="1105">
                  <c:v>7968.397670465547</c:v>
                </c:pt>
                <c:pt idx="1106">
                  <c:v>7983.3649440775907</c:v>
                </c:pt>
                <c:pt idx="1107">
                  <c:v>7998.3603311559373</c:v>
                </c:pt>
                <c:pt idx="1108">
                  <c:v>8013.3838845069276</c:v>
                </c:pt>
                <c:pt idx="1109">
                  <c:v>8028.4356570360915</c:v>
                </c:pt>
                <c:pt idx="1110">
                  <c:v>8043.5157017483352</c:v>
                </c:pt>
                <c:pt idx="1111">
                  <c:v>8058.6240717481278</c:v>
                </c:pt>
                <c:pt idx="1112">
                  <c:v>8073.7608202396732</c:v>
                </c:pt>
                <c:pt idx="1113">
                  <c:v>8088.9260005271271</c:v>
                </c:pt>
                <c:pt idx="1114">
                  <c:v>8104.1196660147589</c:v>
                </c:pt>
                <c:pt idx="1115">
                  <c:v>8119.3418702071513</c:v>
                </c:pt>
                <c:pt idx="1116">
                  <c:v>8134.5926667093827</c:v>
                </c:pt>
                <c:pt idx="1117">
                  <c:v>8149.8721092272226</c:v>
                </c:pt>
                <c:pt idx="1118">
                  <c:v>8165.1802515673189</c:v>
                </c:pt>
                <c:pt idx="1119">
                  <c:v>8180.5171476373835</c:v>
                </c:pt>
                <c:pt idx="1120">
                  <c:v>8195.8828514463894</c:v>
                </c:pt>
                <c:pt idx="1121">
                  <c:v>8211.2774171047404</c:v>
                </c:pt>
                <c:pt idx="1122">
                  <c:v>8226.700898824507</c:v>
                </c:pt>
                <c:pt idx="1123">
                  <c:v>8242.1533509195542</c:v>
                </c:pt>
                <c:pt idx="1124">
                  <c:v>8257.6348278057922</c:v>
                </c:pt>
                <c:pt idx="1125">
                  <c:v>8273.1453840013255</c:v>
                </c:pt>
                <c:pt idx="1126">
                  <c:v>8288.6850741266735</c:v>
                </c:pt>
                <c:pt idx="1127">
                  <c:v>8304.2539529049427</c:v>
                </c:pt>
                <c:pt idx="1128">
                  <c:v>8319.8520751620381</c:v>
                </c:pt>
                <c:pt idx="1129">
                  <c:v>8335.479495826823</c:v>
                </c:pt>
                <c:pt idx="1130">
                  <c:v>8351.1362699313686</c:v>
                </c:pt>
                <c:pt idx="1131">
                  <c:v>8366.8224526110844</c:v>
                </c:pt>
                <c:pt idx="1132">
                  <c:v>8382.5380991049551</c:v>
                </c:pt>
                <c:pt idx="1133">
                  <c:v>8398.2832647557261</c:v>
                </c:pt>
                <c:pt idx="1134">
                  <c:v>8414.0580050100889</c:v>
                </c:pt>
                <c:pt idx="1135">
                  <c:v>8429.8623754188811</c:v>
                </c:pt>
                <c:pt idx="1136">
                  <c:v>8445.6964316372887</c:v>
                </c:pt>
                <c:pt idx="1137">
                  <c:v>8461.560229425033</c:v>
                </c:pt>
                <c:pt idx="1138">
                  <c:v>8477.453824646569</c:v>
                </c:pt>
                <c:pt idx="1139">
                  <c:v>8493.3772732712896</c:v>
                </c:pt>
                <c:pt idx="1140">
                  <c:v>8509.3306313737012</c:v>
                </c:pt>
                <c:pt idx="1141">
                  <c:v>8525.313955133659</c:v>
                </c:pt>
                <c:pt idx="1142">
                  <c:v>8541.3273008365231</c:v>
                </c:pt>
                <c:pt idx="1143">
                  <c:v>8557.3707248733881</c:v>
                </c:pt>
                <c:pt idx="1144">
                  <c:v>8573.444283741268</c:v>
                </c:pt>
                <c:pt idx="1145">
                  <c:v>8589.548034043286</c:v>
                </c:pt>
                <c:pt idx="1146">
                  <c:v>8605.6820324889013</c:v>
                </c:pt>
                <c:pt idx="1147">
                  <c:v>8621.8463358940844</c:v>
                </c:pt>
                <c:pt idx="1148">
                  <c:v>8638.0410011815111</c:v>
                </c:pt>
                <c:pt idx="1149">
                  <c:v>8654.2660853808084</c:v>
                </c:pt>
                <c:pt idx="1150">
                  <c:v>8670.5216456286853</c:v>
                </c:pt>
                <c:pt idx="1151">
                  <c:v>8686.8077391692132</c:v>
                </c:pt>
                <c:pt idx="1152">
                  <c:v>8703.1244233539492</c:v>
                </c:pt>
                <c:pt idx="1153">
                  <c:v>8719.4717556421983</c:v>
                </c:pt>
                <c:pt idx="1154">
                  <c:v>8735.8497936011863</c:v>
                </c:pt>
                <c:pt idx="1155">
                  <c:v>8752.2585949062723</c:v>
                </c:pt>
                <c:pt idx="1156">
                  <c:v>8768.6982173411379</c:v>
                </c:pt>
                <c:pt idx="1157">
                  <c:v>8785.1687187980206</c:v>
                </c:pt>
                <c:pt idx="1158">
                  <c:v>8801.6701572778784</c:v>
                </c:pt>
                <c:pt idx="1159">
                  <c:v>8818.2025908906289</c:v>
                </c:pt>
                <c:pt idx="1160">
                  <c:v>8834.7660778553272</c:v>
                </c:pt>
                <c:pt idx="1161">
                  <c:v>8851.3606765003969</c:v>
                </c:pt>
                <c:pt idx="1162">
                  <c:v>8867.9864452638103</c:v>
                </c:pt>
                <c:pt idx="1163">
                  <c:v>8884.6434426933083</c:v>
                </c:pt>
                <c:pt idx="1164">
                  <c:v>8901.3317274466081</c:v>
                </c:pt>
                <c:pt idx="1165">
                  <c:v>8918.0513582915992</c:v>
                </c:pt>
                <c:pt idx="1166">
                  <c:v>8934.802394106564</c:v>
                </c:pt>
                <c:pt idx="1167">
                  <c:v>8951.5848938803629</c:v>
                </c:pt>
                <c:pt idx="1168">
                  <c:v>8968.3989167126801</c:v>
                </c:pt>
                <c:pt idx="1169">
                  <c:v>8985.244521814182</c:v>
                </c:pt>
                <c:pt idx="1170">
                  <c:v>9002.121768506775</c:v>
                </c:pt>
                <c:pt idx="1171">
                  <c:v>9019.0307162237787</c:v>
                </c:pt>
                <c:pt idx="1172">
                  <c:v>9035.9714245101495</c:v>
                </c:pt>
                <c:pt idx="1173">
                  <c:v>9052.9439530226937</c:v>
                </c:pt>
                <c:pt idx="1174">
                  <c:v>9069.9483615302725</c:v>
                </c:pt>
                <c:pt idx="1175">
                  <c:v>9086.984709913997</c:v>
                </c:pt>
                <c:pt idx="1176">
                  <c:v>9104.0530581674848</c:v>
                </c:pt>
                <c:pt idx="1177">
                  <c:v>9121.1534663970069</c:v>
                </c:pt>
                <c:pt idx="1178">
                  <c:v>9138.2859948217683</c:v>
                </c:pt>
                <c:pt idx="1179">
                  <c:v>9155.450703774055</c:v>
                </c:pt>
                <c:pt idx="1180">
                  <c:v>9172.6476536994942</c:v>
                </c:pt>
                <c:pt idx="1181">
                  <c:v>9189.8769051572453</c:v>
                </c:pt>
                <c:pt idx="1182">
                  <c:v>9207.1385188202203</c:v>
                </c:pt>
                <c:pt idx="1183">
                  <c:v>9224.4325554752832</c:v>
                </c:pt>
                <c:pt idx="1184">
                  <c:v>9241.7590760234998</c:v>
                </c:pt>
                <c:pt idx="1185">
                  <c:v>9259.1181414802995</c:v>
                </c:pt>
                <c:pt idx="1186">
                  <c:v>9276.5098129757462</c:v>
                </c:pt>
                <c:pt idx="1187">
                  <c:v>9293.9341517547018</c:v>
                </c:pt>
                <c:pt idx="1188">
                  <c:v>9311.3912191770796</c:v>
                </c:pt>
                <c:pt idx="1189">
                  <c:v>9328.8810767180476</c:v>
                </c:pt>
                <c:pt idx="1190">
                  <c:v>9346.4037859682394</c:v>
                </c:pt>
                <c:pt idx="1191">
                  <c:v>9363.9594086339785</c:v>
                </c:pt>
                <c:pt idx="1192">
                  <c:v>9381.5480065374904</c:v>
                </c:pt>
                <c:pt idx="1193">
                  <c:v>9399.1696416171289</c:v>
                </c:pt>
                <c:pt idx="1194">
                  <c:v>9416.8243759275847</c:v>
                </c:pt>
                <c:pt idx="1195">
                  <c:v>9434.5122716401074</c:v>
                </c:pt>
                <c:pt idx="1196">
                  <c:v>9452.2333910427187</c:v>
                </c:pt>
                <c:pt idx="1197">
                  <c:v>9469.9877965404557</c:v>
                </c:pt>
                <c:pt idx="1198">
                  <c:v>9487.775550655555</c:v>
                </c:pt>
                <c:pt idx="1199">
                  <c:v>9505.5967160276923</c:v>
                </c:pt>
                <c:pt idx="1200">
                  <c:v>9523.4513554142122</c:v>
                </c:pt>
                <c:pt idx="1201">
                  <c:v>9541.3395316903297</c:v>
                </c:pt>
                <c:pt idx="1202">
                  <c:v>9559.2613078493614</c:v>
                </c:pt>
                <c:pt idx="1203">
                  <c:v>9577.2167470029508</c:v>
                </c:pt>
                <c:pt idx="1204">
                  <c:v>9595.2059123812705</c:v>
                </c:pt>
                <c:pt idx="1205">
                  <c:v>9613.2288673332878</c:v>
                </c:pt>
                <c:pt idx="1206">
                  <c:v>9631.2856753269298</c:v>
                </c:pt>
                <c:pt idx="1207">
                  <c:v>9649.3763999493585</c:v>
                </c:pt>
                <c:pt idx="1208">
                  <c:v>9667.5011049071636</c:v>
                </c:pt>
                <c:pt idx="1209">
                  <c:v>9685.6598540266023</c:v>
                </c:pt>
                <c:pt idx="1210">
                  <c:v>9703.8527112538122</c:v>
                </c:pt>
                <c:pt idx="1211">
                  <c:v>9722.0797406550519</c:v>
                </c:pt>
                <c:pt idx="1212">
                  <c:v>9740.341006416902</c:v>
                </c:pt>
                <c:pt idx="1213">
                  <c:v>9758.6365728465298</c:v>
                </c:pt>
                <c:pt idx="1214">
                  <c:v>9776.9665043718705</c:v>
                </c:pt>
                <c:pt idx="1215">
                  <c:v>9795.3308655418859</c:v>
                </c:pt>
                <c:pt idx="1216">
                  <c:v>9813.7297210267825</c:v>
                </c:pt>
                <c:pt idx="1217">
                  <c:v>9832.1631356182352</c:v>
                </c:pt>
                <c:pt idx="1218">
                  <c:v>9850.6311742296239</c:v>
                </c:pt>
                <c:pt idx="1219">
                  <c:v>9869.1339018962553</c:v>
                </c:pt>
                <c:pt idx="1220">
                  <c:v>9887.6713837755906</c:v>
                </c:pt>
                <c:pt idx="1221">
                  <c:v>9906.2436851474813</c:v>
                </c:pt>
                <c:pt idx="1222">
                  <c:v>9924.8508714143991</c:v>
                </c:pt>
                <c:pt idx="1223">
                  <c:v>9943.4930081016482</c:v>
                </c:pt>
                <c:pt idx="1224">
                  <c:v>9962.1701608576368</c:v>
                </c:pt>
                <c:pt idx="1225">
                  <c:v>9980.8823954540512</c:v>
                </c:pt>
                <c:pt idx="1226">
                  <c:v>9999.6297777861528</c:v>
                </c:pt>
                <c:pt idx="1227">
                  <c:v>10018.412373872943</c:v>
                </c:pt>
                <c:pt idx="1228">
                  <c:v>10037.23024985745</c:v>
                </c:pt>
                <c:pt idx="1229">
                  <c:v>10056.083472006934</c:v>
                </c:pt>
                <c:pt idx="1230">
                  <c:v>10074.97210671313</c:v>
                </c:pt>
                <c:pt idx="1231">
                  <c:v>10093.896220492463</c:v>
                </c:pt>
                <c:pt idx="1232">
                  <c:v>10112.855879986329</c:v>
                </c:pt>
                <c:pt idx="1233">
                  <c:v>10131.851151961258</c:v>
                </c:pt>
                <c:pt idx="1234">
                  <c:v>10150.882103309235</c:v>
                </c:pt>
                <c:pt idx="1235">
                  <c:v>10169.948801047849</c:v>
                </c:pt>
                <c:pt idx="1236">
                  <c:v>10189.051312320593</c:v>
                </c:pt>
                <c:pt idx="1237">
                  <c:v>10208.189704397071</c:v>
                </c:pt>
                <c:pt idx="1238">
                  <c:v>10227.36404467325</c:v>
                </c:pt>
                <c:pt idx="1239">
                  <c:v>10246.574400671663</c:v>
                </c:pt>
                <c:pt idx="1240">
                  <c:v>10265.820840041715</c:v>
                </c:pt>
                <c:pt idx="1241">
                  <c:v>10285.103430559833</c:v>
                </c:pt>
                <c:pt idx="1242">
                  <c:v>10304.422240129788</c:v>
                </c:pt>
                <c:pt idx="1243">
                  <c:v>10323.777336782872</c:v>
                </c:pt>
                <c:pt idx="1244">
                  <c:v>10343.168788678175</c:v>
                </c:pt>
                <c:pt idx="1245">
                  <c:v>10362.596664102803</c:v>
                </c:pt>
                <c:pt idx="1246">
                  <c:v>10382.061031472138</c:v>
                </c:pt>
                <c:pt idx="1247">
                  <c:v>10401.561959330062</c:v>
                </c:pt>
                <c:pt idx="1248">
                  <c:v>10421.099516349204</c:v>
                </c:pt>
                <c:pt idx="1249">
                  <c:v>10440.673771331189</c:v>
                </c:pt>
                <c:pt idx="1250">
                  <c:v>10460.284793206871</c:v>
                </c:pt>
                <c:pt idx="1251">
                  <c:v>10479.932651036577</c:v>
                </c:pt>
                <c:pt idx="1252">
                  <c:v>10499.617414010345</c:v>
                </c:pt>
                <c:pt idx="1253">
                  <c:v>10519.339151448199</c:v>
                </c:pt>
                <c:pt idx="1254">
                  <c:v>10539.097932800338</c:v>
                </c:pt>
                <c:pt idx="1255">
                  <c:v>10558.893827647431</c:v>
                </c:pt>
                <c:pt idx="1256">
                  <c:v>10578.726905700838</c:v>
                </c:pt>
                <c:pt idx="1257">
                  <c:v>10598.597236802862</c:v>
                </c:pt>
                <c:pt idx="1258">
                  <c:v>10618.504890926983</c:v>
                </c:pt>
                <c:pt idx="1259">
                  <c:v>10638.449938178132</c:v>
                </c:pt>
                <c:pt idx="1260">
                  <c:v>10658.432448792893</c:v>
                </c:pt>
                <c:pt idx="1261">
                  <c:v>10678.452493139815</c:v>
                </c:pt>
                <c:pt idx="1262">
                  <c:v>10698.510141719584</c:v>
                </c:pt>
                <c:pt idx="1263">
                  <c:v>10718.605465165334</c:v>
                </c:pt>
                <c:pt idx="1264">
                  <c:v>10738.738534242861</c:v>
                </c:pt>
                <c:pt idx="1265">
                  <c:v>10758.909419850888</c:v>
                </c:pt>
                <c:pt idx="1266">
                  <c:v>10779.118193021304</c:v>
                </c:pt>
                <c:pt idx="1267">
                  <c:v>10799.364924919431</c:v>
                </c:pt>
                <c:pt idx="1268">
                  <c:v>10819.649686844235</c:v>
                </c:pt>
                <c:pt idx="1269">
                  <c:v>10839.972550228642</c:v>
                </c:pt>
                <c:pt idx="1270">
                  <c:v>10860.333586639726</c:v>
                </c:pt>
                <c:pt idx="1271">
                  <c:v>10880.732867778994</c:v>
                </c:pt>
                <c:pt idx="1272">
                  <c:v>10901.170465482637</c:v>
                </c:pt>
                <c:pt idx="1273">
                  <c:v>10921.646451721774</c:v>
                </c:pt>
                <c:pt idx="1274">
                  <c:v>10942.160898602709</c:v>
                </c:pt>
                <c:pt idx="1275">
                  <c:v>10962.713878367191</c:v>
                </c:pt>
                <c:pt idx="1276">
                  <c:v>10983.305463392653</c:v>
                </c:pt>
                <c:pt idx="1277">
                  <c:v>11003.935726192483</c:v>
                </c:pt>
                <c:pt idx="1278">
                  <c:v>11024.604739416282</c:v>
                </c:pt>
                <c:pt idx="1279">
                  <c:v>11045.312575850077</c:v>
                </c:pt>
                <c:pt idx="1280">
                  <c:v>11066.059308416663</c:v>
                </c:pt>
                <c:pt idx="1281">
                  <c:v>11086.845010175763</c:v>
                </c:pt>
                <c:pt idx="1282">
                  <c:v>11107.669754324348</c:v>
                </c:pt>
                <c:pt idx="1283">
                  <c:v>11128.533614196882</c:v>
                </c:pt>
                <c:pt idx="1284">
                  <c:v>11149.436663265567</c:v>
                </c:pt>
                <c:pt idx="1285">
                  <c:v>11170.378975140609</c:v>
                </c:pt>
                <c:pt idx="1286">
                  <c:v>11191.360623570492</c:v>
                </c:pt>
                <c:pt idx="1287">
                  <c:v>11212.381682442197</c:v>
                </c:pt>
                <c:pt idx="1288">
                  <c:v>11233.442225781526</c:v>
                </c:pt>
                <c:pt idx="1289">
                  <c:v>11254.542327753286</c:v>
                </c:pt>
                <c:pt idx="1290">
                  <c:v>11275.682062661621</c:v>
                </c:pt>
                <c:pt idx="1291">
                  <c:v>11296.861504950228</c:v>
                </c:pt>
                <c:pt idx="1292">
                  <c:v>11318.080729202635</c:v>
                </c:pt>
                <c:pt idx="1293">
                  <c:v>11339.339810142466</c:v>
                </c:pt>
                <c:pt idx="1294">
                  <c:v>11360.638822633704</c:v>
                </c:pt>
                <c:pt idx="1295">
                  <c:v>11381.977841680929</c:v>
                </c:pt>
                <c:pt idx="1296">
                  <c:v>11403.356942429646</c:v>
                </c:pt>
                <c:pt idx="1297">
                  <c:v>11424.776200166465</c:v>
                </c:pt>
                <c:pt idx="1298">
                  <c:v>11446.23569031943</c:v>
                </c:pt>
                <c:pt idx="1299">
                  <c:v>11467.735488458266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E-CB44-BB91-0055E0FEF7DF}"/>
            </c:ext>
          </c:extLst>
        </c:ser>
        <c:ser>
          <c:idx val="9"/>
          <c:order val="9"/>
          <c:tx>
            <c:strRef>
              <c:f>'Compounding within 1 year'!$I$1</c:f>
              <c:strCache>
                <c:ptCount val="1"/>
                <c:pt idx="0">
                  <c:v>Quarterly</c:v>
                </c:pt>
              </c:strCache>
            </c:strRef>
          </c:tx>
          <c:marker>
            <c:symbol val="none"/>
          </c:marker>
          <c:val>
            <c:numRef>
              <c:f>'Compounding within 1 year'!$I$2:$I$1363</c:f>
              <c:numCache>
                <c:formatCode>_("$"* #,##0.00_);_("$"* \(#,##0.00\);_("$"* "-"??_);_(@_)</c:formatCode>
                <c:ptCount val="1362"/>
                <c:pt idx="0">
                  <c:v>1001.9012596373842</c:v>
                </c:pt>
                <c:pt idx="1">
                  <c:v>1003.8061340629771</c:v>
                </c:pt>
                <c:pt idx="2">
                  <c:v>1005.7146301494297</c:v>
                </c:pt>
                <c:pt idx="3">
                  <c:v>1007.6267547824596</c:v>
                </c:pt>
                <c:pt idx="4">
                  <c:v>1009.5425148608758</c:v>
                </c:pt>
                <c:pt idx="5">
                  <c:v>1011.4619172966042</c:v>
                </c:pt>
                <c:pt idx="6">
                  <c:v>1013.3849690147114</c:v>
                </c:pt>
                <c:pt idx="7">
                  <c:v>1015.3116769534309</c:v>
                </c:pt>
                <c:pt idx="8">
                  <c:v>1017.2420480641873</c:v>
                </c:pt>
                <c:pt idx="9">
                  <c:v>1019.1760893116217</c:v>
                </c:pt>
                <c:pt idx="10">
                  <c:v>1021.1138076736171</c:v>
                </c:pt>
                <c:pt idx="11">
                  <c:v>1023.0552101413224</c:v>
                </c:pt>
                <c:pt idx="12">
                  <c:v>1025.0003037191798</c:v>
                </c:pt>
                <c:pt idx="13">
                  <c:v>1026.9490954249477</c:v>
                </c:pt>
                <c:pt idx="14">
                  <c:v>1028.9015922897272</c:v>
                </c:pt>
                <c:pt idx="15">
                  <c:v>1030.8578013579879</c:v>
                </c:pt>
                <c:pt idx="16">
                  <c:v>1032.8177296875924</c:v>
                </c:pt>
                <c:pt idx="17">
                  <c:v>1034.7813843498225</c:v>
                </c:pt>
                <c:pt idx="18">
                  <c:v>1036.7487724294031</c:v>
                </c:pt>
                <c:pt idx="19">
                  <c:v>1038.7199010245306</c:v>
                </c:pt>
                <c:pt idx="20">
                  <c:v>1040.6947772468964</c:v>
                </c:pt>
                <c:pt idx="21">
                  <c:v>1042.6734082217124</c:v>
                </c:pt>
                <c:pt idx="22">
                  <c:v>1044.6558010877382</c:v>
                </c:pt>
                <c:pt idx="23">
                  <c:v>1046.6419629973057</c:v>
                </c:pt>
                <c:pt idx="24">
                  <c:v>1048.6319011163448</c:v>
                </c:pt>
                <c:pt idx="25">
                  <c:v>1050.6256226244109</c:v>
                </c:pt>
                <c:pt idx="26">
                  <c:v>1052.6231347147082</c:v>
                </c:pt>
                <c:pt idx="27">
                  <c:v>1054.6244445941179</c:v>
                </c:pt>
                <c:pt idx="28">
                  <c:v>1056.6295594832236</c:v>
                </c:pt>
                <c:pt idx="29">
                  <c:v>1058.6384866163362</c:v>
                </c:pt>
                <c:pt idx="30">
                  <c:v>1060.6512332415211</c:v>
                </c:pt>
                <c:pt idx="31">
                  <c:v>1062.667806620625</c:v>
                </c:pt>
                <c:pt idx="32">
                  <c:v>1064.6882140293003</c:v>
                </c:pt>
                <c:pt idx="33">
                  <c:v>1066.7124627570331</c:v>
                </c:pt>
                <c:pt idx="34">
                  <c:v>1068.7405601071675</c:v>
                </c:pt>
                <c:pt idx="35">
                  <c:v>1070.7725133969345</c:v>
                </c:pt>
                <c:pt idx="36">
                  <c:v>1072.8083299574766</c:v>
                </c:pt>
                <c:pt idx="37">
                  <c:v>1074.8480171338742</c:v>
                </c:pt>
                <c:pt idx="38">
                  <c:v>1076.8915822851734</c:v>
                </c:pt>
                <c:pt idx="39">
                  <c:v>1078.939032784411</c:v>
                </c:pt>
                <c:pt idx="40">
                  <c:v>1080.9903760186423</c:v>
                </c:pt>
                <c:pt idx="41">
                  <c:v>1083.0456193889672</c:v>
                </c:pt>
                <c:pt idx="42">
                  <c:v>1085.1047703105571</c:v>
                </c:pt>
                <c:pt idx="43">
                  <c:v>1087.1678362126818</c:v>
                </c:pt>
                <c:pt idx="44">
                  <c:v>1089.2348245387352</c:v>
                </c:pt>
                <c:pt idx="45">
                  <c:v>1091.3057427462641</c:v>
                </c:pt>
                <c:pt idx="46">
                  <c:v>1093.3805983069931</c:v>
                </c:pt>
                <c:pt idx="47">
                  <c:v>1095.4593987068531</c:v>
                </c:pt>
                <c:pt idx="48">
                  <c:v>1097.5421514460074</c:v>
                </c:pt>
                <c:pt idx="49">
                  <c:v>1099.6288640388796</c:v>
                </c:pt>
                <c:pt idx="50">
                  <c:v>1101.7195440141793</c:v>
                </c:pt>
                <c:pt idx="51">
                  <c:v>1103.8141989149308</c:v>
                </c:pt>
                <c:pt idx="52">
                  <c:v>1105.9128362984993</c:v>
                </c:pt>
                <c:pt idx="53">
                  <c:v>1108.0154637366186</c:v>
                </c:pt>
                <c:pt idx="54">
                  <c:v>1110.1220888154187</c:v>
                </c:pt>
                <c:pt idx="55">
                  <c:v>1112.232719135452</c:v>
                </c:pt>
                <c:pt idx="56">
                  <c:v>1114.3473623117225</c:v>
                </c:pt>
                <c:pt idx="57">
                  <c:v>1116.4660259737111</c:v>
                </c:pt>
                <c:pt idx="58">
                  <c:v>1118.5887177654056</c:v>
                </c:pt>
                <c:pt idx="59">
                  <c:v>1120.7154453453263</c:v>
                </c:pt>
                <c:pt idx="60">
                  <c:v>1122.8462163865545</c:v>
                </c:pt>
                <c:pt idx="61">
                  <c:v>1124.9810385767598</c:v>
                </c:pt>
                <c:pt idx="62">
                  <c:v>1127.1199196182283</c:v>
                </c:pt>
                <c:pt idx="63">
                  <c:v>1129.2628672278902</c:v>
                </c:pt>
                <c:pt idx="64">
                  <c:v>1131.4098891373471</c:v>
                </c:pt>
                <c:pt idx="65">
                  <c:v>1133.5609930929013</c:v>
                </c:pt>
                <c:pt idx="66">
                  <c:v>1135.716186855582</c:v>
                </c:pt>
                <c:pt idx="67">
                  <c:v>1137.8754782011745</c:v>
                </c:pt>
                <c:pt idx="68">
                  <c:v>1140.0388749202475</c:v>
                </c:pt>
                <c:pt idx="69">
                  <c:v>1142.2063848181822</c:v>
                </c:pt>
                <c:pt idx="70">
                  <c:v>1144.3780157151996</c:v>
                </c:pt>
                <c:pt idx="71">
                  <c:v>1146.5537754463885</c:v>
                </c:pt>
                <c:pt idx="72">
                  <c:v>1148.7336718617353</c:v>
                </c:pt>
                <c:pt idx="73">
                  <c:v>1150.9177128261501</c:v>
                </c:pt>
                <c:pt idx="74">
                  <c:v>1153.105906219497</c:v>
                </c:pt>
                <c:pt idx="75">
                  <c:v>1155.2982599366214</c:v>
                </c:pt>
                <c:pt idx="76">
                  <c:v>1157.4947818873791</c:v>
                </c:pt>
                <c:pt idx="77">
                  <c:v>1159.6954799966643</c:v>
                </c:pt>
                <c:pt idx="78">
                  <c:v>1161.9003622044388</c:v>
                </c:pt>
                <c:pt idx="79">
                  <c:v>1164.1094364657602</c:v>
                </c:pt>
                <c:pt idx="80">
                  <c:v>1166.3227107508108</c:v>
                </c:pt>
                <c:pt idx="81">
                  <c:v>1168.5401930449257</c:v>
                </c:pt>
                <c:pt idx="82">
                  <c:v>1170.7618913486231</c:v>
                </c:pt>
                <c:pt idx="83">
                  <c:v>1172.9878136776317</c:v>
                </c:pt>
                <c:pt idx="84">
                  <c:v>1175.2179680629206</c:v>
                </c:pt>
                <c:pt idx="85">
                  <c:v>1177.4523625507275</c:v>
                </c:pt>
                <c:pt idx="86">
                  <c:v>1179.6910052025876</c:v>
                </c:pt>
                <c:pt idx="87">
                  <c:v>1181.9339040953644</c:v>
                </c:pt>
                <c:pt idx="88">
                  <c:v>1184.1810673212769</c:v>
                </c:pt>
                <c:pt idx="89">
                  <c:v>1186.4325029879292</c:v>
                </c:pt>
                <c:pt idx="90">
                  <c:v>1188.6882192183409</c:v>
                </c:pt>
                <c:pt idx="91">
                  <c:v>1190.9482241509747</c:v>
                </c:pt>
                <c:pt idx="92">
                  <c:v>1193.2125259397674</c:v>
                </c:pt>
                <c:pt idx="93">
                  <c:v>1195.4811327541579</c:v>
                </c:pt>
                <c:pt idx="94">
                  <c:v>1197.7540527791177</c:v>
                </c:pt>
                <c:pt idx="95">
                  <c:v>1200.03129421518</c:v>
                </c:pt>
                <c:pt idx="96">
                  <c:v>1202.3128652784694</c:v>
                </c:pt>
                <c:pt idx="97">
                  <c:v>1204.598774200731</c:v>
                </c:pt>
                <c:pt idx="98">
                  <c:v>1206.8890292293613</c:v>
                </c:pt>
                <c:pt idx="99">
                  <c:v>1209.1836386274367</c:v>
                </c:pt>
                <c:pt idx="100">
                  <c:v>1211.4826106737444</c:v>
                </c:pt>
                <c:pt idx="101">
                  <c:v>1213.7859536628114</c:v>
                </c:pt>
                <c:pt idx="102">
                  <c:v>1216.0936759049343</c:v>
                </c:pt>
                <c:pt idx="103">
                  <c:v>1218.4057857262105</c:v>
                </c:pt>
                <c:pt idx="104">
                  <c:v>1220.7222914685672</c:v>
                </c:pt>
                <c:pt idx="105">
                  <c:v>1223.0432014897915</c:v>
                </c:pt>
                <c:pt idx="106">
                  <c:v>1225.368524163561</c:v>
                </c:pt>
                <c:pt idx="107">
                  <c:v>1227.6982678794741</c:v>
                </c:pt>
                <c:pt idx="108">
                  <c:v>1230.0324410430799</c:v>
                </c:pt>
                <c:pt idx="109">
                  <c:v>1232.3710520759084</c:v>
                </c:pt>
                <c:pt idx="110">
                  <c:v>1234.7141094155011</c:v>
                </c:pt>
                <c:pt idx="111">
                  <c:v>1237.0616215154414</c:v>
                </c:pt>
                <c:pt idx="112">
                  <c:v>1239.4135968453857</c:v>
                </c:pt>
                <c:pt idx="113">
                  <c:v>1241.7700438910931</c:v>
                </c:pt>
                <c:pt idx="114">
                  <c:v>1244.1309711544559</c:v>
                </c:pt>
                <c:pt idx="115">
                  <c:v>1246.4963871535313</c:v>
                </c:pt>
                <c:pt idx="116">
                  <c:v>1248.8663004225716</c:v>
                </c:pt>
                <c:pt idx="117">
                  <c:v>1251.2407195120543</c:v>
                </c:pt>
                <c:pt idx="118">
                  <c:v>1253.6196529887141</c:v>
                </c:pt>
                <c:pt idx="119">
                  <c:v>1256.0031094355729</c:v>
                </c:pt>
                <c:pt idx="120">
                  <c:v>1258.391097451972</c:v>
                </c:pt>
                <c:pt idx="121">
                  <c:v>1260.7836256536009</c:v>
                </c:pt>
                <c:pt idx="122">
                  <c:v>1263.180702672531</c:v>
                </c:pt>
                <c:pt idx="123">
                  <c:v>1265.5823371572451</c:v>
                </c:pt>
                <c:pt idx="124">
                  <c:v>1267.9885377726682</c:v>
                </c:pt>
                <c:pt idx="125">
                  <c:v>1270.3993132002013</c:v>
                </c:pt>
                <c:pt idx="126">
                  <c:v>1272.8146721377493</c:v>
                </c:pt>
                <c:pt idx="127">
                  <c:v>1275.2346232997554</c:v>
                </c:pt>
                <c:pt idx="128">
                  <c:v>1277.65917541723</c:v>
                </c:pt>
                <c:pt idx="129">
                  <c:v>1280.0883372377843</c:v>
                </c:pt>
                <c:pt idx="130">
                  <c:v>1282.5221175256606</c:v>
                </c:pt>
                <c:pt idx="131">
                  <c:v>1284.9605250617647</c:v>
                </c:pt>
                <c:pt idx="132">
                  <c:v>1287.4035686436966</c:v>
                </c:pt>
                <c:pt idx="133">
                  <c:v>1289.8512570857831</c:v>
                </c:pt>
                <c:pt idx="134">
                  <c:v>1292.3035992191096</c:v>
                </c:pt>
                <c:pt idx="135">
                  <c:v>1294.7606038915515</c:v>
                </c:pt>
                <c:pt idx="136">
                  <c:v>1297.2222799678054</c:v>
                </c:pt>
                <c:pt idx="137">
                  <c:v>1299.6886363294238</c:v>
                </c:pt>
                <c:pt idx="138">
                  <c:v>1302.1596818748437</c:v>
                </c:pt>
                <c:pt idx="139">
                  <c:v>1304.6354255194215</c:v>
                </c:pt>
                <c:pt idx="140">
                  <c:v>1307.115876195463</c:v>
                </c:pt>
                <c:pt idx="141">
                  <c:v>1309.6010428522575</c:v>
                </c:pt>
                <c:pt idx="142">
                  <c:v>1312.0909344561087</c:v>
                </c:pt>
                <c:pt idx="143">
                  <c:v>1314.5855599903678</c:v>
                </c:pt>
                <c:pt idx="144">
                  <c:v>1317.0849284554656</c:v>
                </c:pt>
                <c:pt idx="145">
                  <c:v>1319.5890488689449</c:v>
                </c:pt>
                <c:pt idx="146">
                  <c:v>1322.0979302654937</c:v>
                </c:pt>
                <c:pt idx="147">
                  <c:v>1324.6115816969766</c:v>
                </c:pt>
                <c:pt idx="148">
                  <c:v>1327.1300122324687</c:v>
                </c:pt>
                <c:pt idx="149">
                  <c:v>1329.6532309582874</c:v>
                </c:pt>
                <c:pt idx="150">
                  <c:v>1332.1812469780259</c:v>
                </c:pt>
                <c:pt idx="151">
                  <c:v>1334.7140694125853</c:v>
                </c:pt>
                <c:pt idx="152">
                  <c:v>1337.2517074002083</c:v>
                </c:pt>
                <c:pt idx="153">
                  <c:v>1339.7941700965112</c:v>
                </c:pt>
                <c:pt idx="154">
                  <c:v>1342.3414666745186</c:v>
                </c:pt>
                <c:pt idx="155">
                  <c:v>1344.8936063246938</c:v>
                </c:pt>
                <c:pt idx="156">
                  <c:v>1347.4505982549749</c:v>
                </c:pt>
                <c:pt idx="157">
                  <c:v>1350.0124516908063</c:v>
                </c:pt>
                <c:pt idx="158">
                  <c:v>1352.5791758751723</c:v>
                </c:pt>
                <c:pt idx="159">
                  <c:v>1355.15078006863</c:v>
                </c:pt>
                <c:pt idx="160">
                  <c:v>1357.7272735493441</c:v>
                </c:pt>
                <c:pt idx="161">
                  <c:v>1360.308665613119</c:v>
                </c:pt>
                <c:pt idx="162">
                  <c:v>1362.8949655734332</c:v>
                </c:pt>
                <c:pt idx="163">
                  <c:v>1365.4861827614723</c:v>
                </c:pt>
                <c:pt idx="164">
                  <c:v>1368.0823265261624</c:v>
                </c:pt>
                <c:pt idx="165">
                  <c:v>1370.6834062342052</c:v>
                </c:pt>
                <c:pt idx="166">
                  <c:v>1373.2894312701105</c:v>
                </c:pt>
                <c:pt idx="167">
                  <c:v>1375.9004110362307</c:v>
                </c:pt>
                <c:pt idx="168">
                  <c:v>1378.516354952794</c:v>
                </c:pt>
                <c:pt idx="169">
                  <c:v>1381.1372724579398</c:v>
                </c:pt>
                <c:pt idx="170">
                  <c:v>1383.763173007751</c:v>
                </c:pt>
                <c:pt idx="171">
                  <c:v>1386.3940660762892</c:v>
                </c:pt>
                <c:pt idx="172">
                  <c:v>1389.0299611556288</c:v>
                </c:pt>
                <c:pt idx="173">
                  <c:v>1391.6708677558915</c:v>
                </c:pt>
                <c:pt idx="174">
                  <c:v>1394.3167954052792</c:v>
                </c:pt>
                <c:pt idx="175">
                  <c:v>1396.9677536501101</c:v>
                </c:pt>
                <c:pt idx="176">
                  <c:v>1399.6237520548525</c:v>
                </c:pt>
                <c:pt idx="177">
                  <c:v>1402.2848002021583</c:v>
                </c:pt>
                <c:pt idx="178">
                  <c:v>1404.9509076929</c:v>
                </c:pt>
                <c:pt idx="179">
                  <c:v>1407.6220841462027</c:v>
                </c:pt>
                <c:pt idx="180">
                  <c:v>1410.2983391994808</c:v>
                </c:pt>
                <c:pt idx="181">
                  <c:v>1412.9796825084707</c:v>
                </c:pt>
                <c:pt idx="182">
                  <c:v>1415.6661237472679</c:v>
                </c:pt>
                <c:pt idx="183">
                  <c:v>1418.3576726083606</c:v>
                </c:pt>
                <c:pt idx="184">
                  <c:v>1421.0543388026651</c:v>
                </c:pt>
                <c:pt idx="185">
                  <c:v>1423.7561320595603</c:v>
                </c:pt>
                <c:pt idx="186">
                  <c:v>1426.4630621269234</c:v>
                </c:pt>
                <c:pt idx="187">
                  <c:v>1429.1751387711647</c:v>
                </c:pt>
                <c:pt idx="188">
                  <c:v>1431.8923717772632</c:v>
                </c:pt>
                <c:pt idx="189">
                  <c:v>1434.6147709488016</c:v>
                </c:pt>
                <c:pt idx="190">
                  <c:v>1437.3423461080017</c:v>
                </c:pt>
                <c:pt idx="191">
                  <c:v>1440.0751070957601</c:v>
                </c:pt>
                <c:pt idx="192">
                  <c:v>1442.8130637716829</c:v>
                </c:pt>
                <c:pt idx="193">
                  <c:v>1445.5562260141226</c:v>
                </c:pt>
                <c:pt idx="194">
                  <c:v>1448.3046037202128</c:v>
                </c:pt>
                <c:pt idx="195">
                  <c:v>1451.0582068059036</c:v>
                </c:pt>
                <c:pt idx="196">
                  <c:v>1453.8170452059987</c:v>
                </c:pt>
                <c:pt idx="197">
                  <c:v>1456.5811288741902</c:v>
                </c:pt>
                <c:pt idx="198">
                  <c:v>1459.350467783094</c:v>
                </c:pt>
                <c:pt idx="199">
                  <c:v>1462.1250719242876</c:v>
                </c:pt>
                <c:pt idx="200">
                  <c:v>1464.9049513083448</c:v>
                </c:pt>
                <c:pt idx="201">
                  <c:v>1467.6901159648714</c:v>
                </c:pt>
                <c:pt idx="202">
                  <c:v>1470.4805759425433</c:v>
                </c:pt>
                <c:pt idx="203">
                  <c:v>1473.2763413091402</c:v>
                </c:pt>
                <c:pt idx="204">
                  <c:v>1476.0774221515844</c:v>
                </c:pt>
                <c:pt idx="205">
                  <c:v>1478.8838285759753</c:v>
                </c:pt>
                <c:pt idx="206">
                  <c:v>1481.695570707627</c:v>
                </c:pt>
                <c:pt idx="207">
                  <c:v>1484.5126586911042</c:v>
                </c:pt>
                <c:pt idx="208">
                  <c:v>1487.3351026902594</c:v>
                </c:pt>
                <c:pt idx="209">
                  <c:v>1490.1629128882691</c:v>
                </c:pt>
                <c:pt idx="210">
                  <c:v>1492.9960994876703</c:v>
                </c:pt>
                <c:pt idx="211">
                  <c:v>1495.8346727103983</c:v>
                </c:pt>
                <c:pt idx="212">
                  <c:v>1498.6786427978225</c:v>
                </c:pt>
                <c:pt idx="213">
                  <c:v>1501.5280200107836</c:v>
                </c:pt>
                <c:pt idx="214">
                  <c:v>1504.3828146296314</c:v>
                </c:pt>
                <c:pt idx="215">
                  <c:v>1507.243036954261</c:v>
                </c:pt>
                <c:pt idx="216">
                  <c:v>1510.1086973041506</c:v>
                </c:pt>
                <c:pt idx="217">
                  <c:v>1512.9798060183978</c:v>
                </c:pt>
                <c:pt idx="218">
                  <c:v>1515.8563734557579</c:v>
                </c:pt>
                <c:pt idx="219">
                  <c:v>1518.738409994681</c:v>
                </c:pt>
                <c:pt idx="220">
                  <c:v>1521.6259260333488</c:v>
                </c:pt>
                <c:pt idx="221">
                  <c:v>1524.5189319897133</c:v>
                </c:pt>
                <c:pt idx="222">
                  <c:v>1527.4174383015336</c:v>
                </c:pt>
                <c:pt idx="223">
                  <c:v>1530.321455426413</c:v>
                </c:pt>
                <c:pt idx="224">
                  <c:v>1533.230993841838</c:v>
                </c:pt>
                <c:pt idx="225">
                  <c:v>1536.146064045216</c:v>
                </c:pt>
                <c:pt idx="226">
                  <c:v>1539.0666765539117</c:v>
                </c:pt>
                <c:pt idx="227">
                  <c:v>1541.9928419052869</c:v>
                </c:pt>
                <c:pt idx="228">
                  <c:v>1544.9245706567365</c:v>
                </c:pt>
                <c:pt idx="229">
                  <c:v>1547.8618733857295</c:v>
                </c:pt>
                <c:pt idx="230">
                  <c:v>1550.8047606898433</c:v>
                </c:pt>
                <c:pt idx="231">
                  <c:v>1553.7532431868065</c:v>
                </c:pt>
                <c:pt idx="232">
                  <c:v>1556.7073315145321</c:v>
                </c:pt>
                <c:pt idx="233">
                  <c:v>1559.6670363311609</c:v>
                </c:pt>
                <c:pt idx="234">
                  <c:v>1562.6323683150958</c:v>
                </c:pt>
                <c:pt idx="235">
                  <c:v>1565.6033381650434</c:v>
                </c:pt>
                <c:pt idx="236">
                  <c:v>1568.5799566000505</c:v>
                </c:pt>
                <c:pt idx="237">
                  <c:v>1571.5622343595439</c:v>
                </c:pt>
                <c:pt idx="238">
                  <c:v>1574.5501822033689</c:v>
                </c:pt>
                <c:pt idx="239">
                  <c:v>1577.5438109118284</c:v>
                </c:pt>
                <c:pt idx="240">
                  <c:v>1580.5431312857202</c:v>
                </c:pt>
                <c:pt idx="241">
                  <c:v>1583.5481541463785</c:v>
                </c:pt>
                <c:pt idx="242">
                  <c:v>1586.5588903357111</c:v>
                </c:pt>
                <c:pt idx="243">
                  <c:v>1589.5753507162397</c:v>
                </c:pt>
                <c:pt idx="244">
                  <c:v>1592.5975461711371</c:v>
                </c:pt>
                <c:pt idx="245">
                  <c:v>1595.6254876042692</c:v>
                </c:pt>
                <c:pt idx="246">
                  <c:v>1598.6591859402329</c:v>
                </c:pt>
                <c:pt idx="247">
                  <c:v>1601.6986521243944</c:v>
                </c:pt>
                <c:pt idx="248">
                  <c:v>1604.743897122931</c:v>
                </c:pt>
                <c:pt idx="249">
                  <c:v>1607.7949319228694</c:v>
                </c:pt>
                <c:pt idx="250">
                  <c:v>1610.8517675321252</c:v>
                </c:pt>
                <c:pt idx="251">
                  <c:v>1613.9144149795432</c:v>
                </c:pt>
                <c:pt idx="252">
                  <c:v>1616.9828853149361</c:v>
                </c:pt>
                <c:pt idx="253">
                  <c:v>1620.0571896091265</c:v>
                </c:pt>
                <c:pt idx="254">
                  <c:v>1623.1373389539842</c:v>
                </c:pt>
                <c:pt idx="255">
                  <c:v>1626.2233444624687</c:v>
                </c:pt>
                <c:pt idx="256">
                  <c:v>1629.3152172686673</c:v>
                </c:pt>
                <c:pt idx="257">
                  <c:v>1632.4129685278358</c:v>
                </c:pt>
                <c:pt idx="258">
                  <c:v>1635.5166094164404</c:v>
                </c:pt>
                <c:pt idx="259">
                  <c:v>1638.6261511321954</c:v>
                </c:pt>
                <c:pt idx="260">
                  <c:v>1641.7416048941052</c:v>
                </c:pt>
                <c:pt idx="261">
                  <c:v>1644.8629819425046</c:v>
                </c:pt>
                <c:pt idx="262">
                  <c:v>1647.9902935390994</c:v>
                </c:pt>
                <c:pt idx="263">
                  <c:v>1651.1235509670062</c:v>
                </c:pt>
                <c:pt idx="264">
                  <c:v>1654.2627655307942</c:v>
                </c:pt>
                <c:pt idx="265">
                  <c:v>1657.4079485565251</c:v>
                </c:pt>
                <c:pt idx="266">
                  <c:v>1660.5591113917958</c:v>
                </c:pt>
                <c:pt idx="267">
                  <c:v>1663.7162654057754</c:v>
                </c:pt>
                <c:pt idx="268">
                  <c:v>1666.8794219892509</c:v>
                </c:pt>
                <c:pt idx="269">
                  <c:v>1670.0485925546652</c:v>
                </c:pt>
                <c:pt idx="270">
                  <c:v>1673.2237885361599</c:v>
                </c:pt>
                <c:pt idx="271">
                  <c:v>1676.4050213896144</c:v>
                </c:pt>
                <c:pt idx="272">
                  <c:v>1679.5923025926909</c:v>
                </c:pt>
                <c:pt idx="273">
                  <c:v>1682.7856436448715</c:v>
                </c:pt>
                <c:pt idx="274">
                  <c:v>1685.9850560675031</c:v>
                </c:pt>
                <c:pt idx="275">
                  <c:v>1689.1905514038369</c:v>
                </c:pt>
                <c:pt idx="276">
                  <c:v>1692.4021412190721</c:v>
                </c:pt>
                <c:pt idx="277">
                  <c:v>1695.6198371003943</c:v>
                </c:pt>
                <c:pt idx="278">
                  <c:v>1698.8436506570213</c:v>
                </c:pt>
                <c:pt idx="279">
                  <c:v>1702.0735935202417</c:v>
                </c:pt>
                <c:pt idx="280">
                  <c:v>1705.309677343459</c:v>
                </c:pt>
                <c:pt idx="281">
                  <c:v>1708.551913802233</c:v>
                </c:pt>
                <c:pt idx="282">
                  <c:v>1711.8003145943205</c:v>
                </c:pt>
                <c:pt idx="283">
                  <c:v>1715.0548914397202</c:v>
                </c:pt>
                <c:pt idx="284">
                  <c:v>1718.3156560807129</c:v>
                </c:pt>
                <c:pt idx="285">
                  <c:v>1721.5826202819044</c:v>
                </c:pt>
                <c:pt idx="286">
                  <c:v>1724.8557958302686</c:v>
                </c:pt>
                <c:pt idx="287">
                  <c:v>1728.1351945351889</c:v>
                </c:pt>
                <c:pt idx="288">
                  <c:v>1731.4208282285017</c:v>
                </c:pt>
                <c:pt idx="289">
                  <c:v>1734.7127087645385</c:v>
                </c:pt>
                <c:pt idx="290">
                  <c:v>1738.0108480201702</c:v>
                </c:pt>
                <c:pt idx="291">
                  <c:v>1741.3152578948468</c:v>
                </c:pt>
                <c:pt idx="292">
                  <c:v>1744.6259503106437</c:v>
                </c:pt>
                <c:pt idx="293">
                  <c:v>1747.942937212302</c:v>
                </c:pt>
                <c:pt idx="294">
                  <c:v>1751.2662305672745</c:v>
                </c:pt>
                <c:pt idx="295">
                  <c:v>1754.5958423657662</c:v>
                </c:pt>
                <c:pt idx="296">
                  <c:v>1757.9317846207782</c:v>
                </c:pt>
                <c:pt idx="297">
                  <c:v>1761.2740693681524</c:v>
                </c:pt>
                <c:pt idx="298">
                  <c:v>1764.6227086666136</c:v>
                </c:pt>
                <c:pt idx="299">
                  <c:v>1767.9777145978128</c:v>
                </c:pt>
                <c:pt idx="300">
                  <c:v>1771.3390992663724</c:v>
                </c:pt>
                <c:pt idx="301">
                  <c:v>1774.7068747999278</c:v>
                </c:pt>
                <c:pt idx="302">
                  <c:v>1778.0810533491733</c:v>
                </c:pt>
                <c:pt idx="303">
                  <c:v>1781.4616470879037</c:v>
                </c:pt>
                <c:pt idx="304">
                  <c:v>1784.8486682130599</c:v>
                </c:pt>
                <c:pt idx="305">
                  <c:v>1788.2421289447723</c:v>
                </c:pt>
                <c:pt idx="306">
                  <c:v>1791.6420415264049</c:v>
                </c:pt>
                <c:pt idx="307">
                  <c:v>1795.0484182245996</c:v>
                </c:pt>
                <c:pt idx="308">
                  <c:v>1798.4612713293204</c:v>
                </c:pt>
                <c:pt idx="309">
                  <c:v>1801.8806131538975</c:v>
                </c:pt>
                <c:pt idx="310">
                  <c:v>1805.306456035072</c:v>
                </c:pt>
                <c:pt idx="311">
                  <c:v>1808.7388123330406</c:v>
                </c:pt>
                <c:pt idx="312">
                  <c:v>1812.1776944314995</c:v>
                </c:pt>
                <c:pt idx="313">
                  <c:v>1815.62311473769</c:v>
                </c:pt>
                <c:pt idx="314">
                  <c:v>1819.0750856824425</c:v>
                </c:pt>
                <c:pt idx="315">
                  <c:v>1822.5336197202216</c:v>
                </c:pt>
                <c:pt idx="316">
                  <c:v>1825.9987293291715</c:v>
                </c:pt>
                <c:pt idx="317">
                  <c:v>1829.4704270111597</c:v>
                </c:pt>
                <c:pt idx="318">
                  <c:v>1832.9487252918241</c:v>
                </c:pt>
                <c:pt idx="319">
                  <c:v>1836.4336367206163</c:v>
                </c:pt>
                <c:pt idx="320">
                  <c:v>1839.9251738708479</c:v>
                </c:pt>
                <c:pt idx="321">
                  <c:v>1843.4233493397353</c:v>
                </c:pt>
                <c:pt idx="322">
                  <c:v>1846.9281757484468</c:v>
                </c:pt>
                <c:pt idx="323">
                  <c:v>1850.4396657421446</c:v>
                </c:pt>
                <c:pt idx="324">
                  <c:v>1853.9578319900352</c:v>
                </c:pt>
                <c:pt idx="325">
                  <c:v>1857.48268718541</c:v>
                </c:pt>
                <c:pt idx="326">
                  <c:v>1861.0142440456957</c:v>
                </c:pt>
                <c:pt idx="327">
                  <c:v>1864.5525153124963</c:v>
                </c:pt>
                <c:pt idx="328">
                  <c:v>1868.0975137516434</c:v>
                </c:pt>
                <c:pt idx="329">
                  <c:v>1871.6492521532371</c:v>
                </c:pt>
                <c:pt idx="330">
                  <c:v>1875.2077433316965</c:v>
                </c:pt>
                <c:pt idx="331">
                  <c:v>1878.7730001258033</c:v>
                </c:pt>
                <c:pt idx="332">
                  <c:v>1882.3450353987496</c:v>
                </c:pt>
                <c:pt idx="333">
                  <c:v>1885.9238620381836</c:v>
                </c:pt>
                <c:pt idx="334">
                  <c:v>1889.5094929562565</c:v>
                </c:pt>
                <c:pt idx="335">
                  <c:v>1893.1019410896686</c:v>
                </c:pt>
                <c:pt idx="336">
                  <c:v>1896.7012193997161</c:v>
                </c:pt>
                <c:pt idx="337">
                  <c:v>1900.3073408723378</c:v>
                </c:pt>
                <c:pt idx="338">
                  <c:v>1903.9203185181634</c:v>
                </c:pt>
                <c:pt idx="339">
                  <c:v>1907.5401653725576</c:v>
                </c:pt>
                <c:pt idx="340">
                  <c:v>1911.1668944956696</c:v>
                </c:pt>
                <c:pt idx="341">
                  <c:v>1914.800518972479</c:v>
                </c:pt>
                <c:pt idx="342">
                  <c:v>1918.4410519128437</c:v>
                </c:pt>
                <c:pt idx="343">
                  <c:v>1922.0885064515464</c:v>
                </c:pt>
                <c:pt idx="344">
                  <c:v>1925.7428957483426</c:v>
                </c:pt>
                <c:pt idx="345">
                  <c:v>1929.4042329880083</c:v>
                </c:pt>
                <c:pt idx="346">
                  <c:v>1933.0725313803866</c:v>
                </c:pt>
                <c:pt idx="347">
                  <c:v>1936.7478041604363</c:v>
                </c:pt>
                <c:pt idx="348">
                  <c:v>1940.430064588279</c:v>
                </c:pt>
                <c:pt idx="349">
                  <c:v>1944.1193259492472</c:v>
                </c:pt>
                <c:pt idx="350">
                  <c:v>1947.8156015539332</c:v>
                </c:pt>
                <c:pt idx="351">
                  <c:v>1951.5189047382348</c:v>
                </c:pt>
                <c:pt idx="352">
                  <c:v>1955.2292488634059</c:v>
                </c:pt>
                <c:pt idx="353">
                  <c:v>1958.9466473161028</c:v>
                </c:pt>
                <c:pt idx="354">
                  <c:v>1962.671113508434</c:v>
                </c:pt>
                <c:pt idx="355">
                  <c:v>1966.4026608780075</c:v>
                </c:pt>
                <c:pt idx="356">
                  <c:v>1970.1413028879797</c:v>
                </c:pt>
                <c:pt idx="357">
                  <c:v>1973.887053027104</c:v>
                </c:pt>
                <c:pt idx="358">
                  <c:v>1977.6399248097798</c:v>
                </c:pt>
                <c:pt idx="359">
                  <c:v>1981.3999317760999</c:v>
                </c:pt>
                <c:pt idx="360">
                  <c:v>1985.1670874919018</c:v>
                </c:pt>
                <c:pt idx="361">
                  <c:v>1988.9414055488135</c:v>
                </c:pt>
                <c:pt idx="362">
                  <c:v>1992.7228995643059</c:v>
                </c:pt>
                <c:pt idx="363">
                  <c:v>1996.5115831817384</c:v>
                </c:pt>
                <c:pt idx="364">
                  <c:v>2000.3074700704117</c:v>
                </c:pt>
                <c:pt idx="365">
                  <c:v>2004.110573925615</c:v>
                </c:pt>
                <c:pt idx="366">
                  <c:v>2007.9209084686745</c:v>
                </c:pt>
                <c:pt idx="367">
                  <c:v>2011.7384874470056</c:v>
                </c:pt>
                <c:pt idx="368">
                  <c:v>2015.5633246341611</c:v>
                </c:pt>
                <c:pt idx="369">
                  <c:v>2019.3954338298799</c:v>
                </c:pt>
                <c:pt idx="370">
                  <c:v>2023.2348288601388</c:v>
                </c:pt>
                <c:pt idx="371">
                  <c:v>2027.0815235772002</c:v>
                </c:pt>
                <c:pt idx="372">
                  <c:v>2030.9355318596647</c:v>
                </c:pt>
                <c:pt idx="373">
                  <c:v>2034.7968676125188</c:v>
                </c:pt>
                <c:pt idx="374">
                  <c:v>2038.665544767186</c:v>
                </c:pt>
                <c:pt idx="375">
                  <c:v>2042.5415772815777</c:v>
                </c:pt>
                <c:pt idx="376">
                  <c:v>2046.4249791401423</c:v>
                </c:pt>
                <c:pt idx="377">
                  <c:v>2050.3157643539162</c:v>
                </c:pt>
                <c:pt idx="378">
                  <c:v>2054.2139469605745</c:v>
                </c:pt>
                <c:pt idx="379">
                  <c:v>2058.1195410244827</c:v>
                </c:pt>
                <c:pt idx="380">
                  <c:v>2062.0325606367442</c:v>
                </c:pt>
                <c:pt idx="381">
                  <c:v>2065.9530199152546</c:v>
                </c:pt>
                <c:pt idx="382">
                  <c:v>2069.8809330047516</c:v>
                </c:pt>
                <c:pt idx="383">
                  <c:v>2073.8163140768647</c:v>
                </c:pt>
                <c:pt idx="384">
                  <c:v>2077.7591773301679</c:v>
                </c:pt>
                <c:pt idx="385">
                  <c:v>2081.7095369902299</c:v>
                </c:pt>
                <c:pt idx="386">
                  <c:v>2085.6674073096674</c:v>
                </c:pt>
                <c:pt idx="387">
                  <c:v>2089.6328025681933</c:v>
                </c:pt>
                <c:pt idx="388">
                  <c:v>2093.6057370726699</c:v>
                </c:pt>
                <c:pt idx="389">
                  <c:v>2097.5862251571625</c:v>
                </c:pt>
                <c:pt idx="390">
                  <c:v>2101.5742811829864</c:v>
                </c:pt>
                <c:pt idx="391">
                  <c:v>2105.5699195387642</c:v>
                </c:pt>
                <c:pt idx="392">
                  <c:v>2109.5731546404736</c:v>
                </c:pt>
                <c:pt idx="393">
                  <c:v>2113.5840009315011</c:v>
                </c:pt>
                <c:pt idx="394">
                  <c:v>2117.6024728826928</c:v>
                </c:pt>
                <c:pt idx="395">
                  <c:v>2121.6285849924097</c:v>
                </c:pt>
                <c:pt idx="396">
                  <c:v>2125.662351786576</c:v>
                </c:pt>
                <c:pt idx="397">
                  <c:v>2129.7037878187352</c:v>
                </c:pt>
                <c:pt idx="398">
                  <c:v>2133.7529076700989</c:v>
                </c:pt>
                <c:pt idx="399">
                  <c:v>2137.8097259496035</c:v>
                </c:pt>
                <c:pt idx="400">
                  <c:v>2141.8742572939586</c:v>
                </c:pt>
                <c:pt idx="401">
                  <c:v>2145.9465163677037</c:v>
                </c:pt>
                <c:pt idx="402">
                  <c:v>2150.026517863259</c:v>
                </c:pt>
                <c:pt idx="403">
                  <c:v>2154.1142765009781</c:v>
                </c:pt>
                <c:pt idx="404">
                  <c:v>2158.2098070292022</c:v>
                </c:pt>
                <c:pt idx="405">
                  <c:v>2162.3131242243135</c:v>
                </c:pt>
                <c:pt idx="406">
                  <c:v>2166.4242428907874</c:v>
                </c:pt>
                <c:pt idx="407">
                  <c:v>2170.543177861246</c:v>
                </c:pt>
                <c:pt idx="408">
                  <c:v>2174.6699439965132</c:v>
                </c:pt>
                <c:pt idx="409">
                  <c:v>2178.8045561856666</c:v>
                </c:pt>
                <c:pt idx="410">
                  <c:v>2182.9470293460909</c:v>
                </c:pt>
                <c:pt idx="411">
                  <c:v>2187.0973784235343</c:v>
                </c:pt>
                <c:pt idx="412">
                  <c:v>2191.2556183921597</c:v>
                </c:pt>
                <c:pt idx="413">
                  <c:v>2195.4217642546</c:v>
                </c:pt>
                <c:pt idx="414">
                  <c:v>2199.5958310420119</c:v>
                </c:pt>
                <c:pt idx="415">
                  <c:v>2203.7778338141311</c:v>
                </c:pt>
                <c:pt idx="416">
                  <c:v>2207.9677876593237</c:v>
                </c:pt>
                <c:pt idx="417">
                  <c:v>2212.1657076946449</c:v>
                </c:pt>
                <c:pt idx="418">
                  <c:v>2216.3716090658904</c:v>
                </c:pt>
                <c:pt idx="419">
                  <c:v>2220.5855069476511</c:v>
                </c:pt>
                <c:pt idx="420">
                  <c:v>2224.8074165433709</c:v>
                </c:pt>
                <c:pt idx="421">
                  <c:v>2229.0373530853976</c:v>
                </c:pt>
                <c:pt idx="422">
                  <c:v>2233.275331835041</c:v>
                </c:pt>
                <c:pt idx="423">
                  <c:v>2237.521368082625</c:v>
                </c:pt>
                <c:pt idx="424">
                  <c:v>2241.7754771475447</c:v>
                </c:pt>
                <c:pt idx="425">
                  <c:v>2246.0376743783227</c:v>
                </c:pt>
                <c:pt idx="426">
                  <c:v>2250.3079751526629</c:v>
                </c:pt>
                <c:pt idx="427">
                  <c:v>2254.5863948775041</c:v>
                </c:pt>
                <c:pt idx="428">
                  <c:v>2258.8729489890802</c:v>
                </c:pt>
                <c:pt idx="429">
                  <c:v>2263.1676529529723</c:v>
                </c:pt>
                <c:pt idx="430">
                  <c:v>2267.4705222641651</c:v>
                </c:pt>
                <c:pt idx="431">
                  <c:v>2271.7815724471043</c:v>
                </c:pt>
                <c:pt idx="432">
                  <c:v>2276.1008190557513</c:v>
                </c:pt>
                <c:pt idx="433">
                  <c:v>2280.4282776736391</c:v>
                </c:pt>
                <c:pt idx="434">
                  <c:v>2284.7639639139293</c:v>
                </c:pt>
                <c:pt idx="435">
                  <c:v>2289.1078934194688</c:v>
                </c:pt>
                <c:pt idx="436">
                  <c:v>2293.4600818628446</c:v>
                </c:pt>
                <c:pt idx="437">
                  <c:v>2297.8205449464422</c:v>
                </c:pt>
                <c:pt idx="438">
                  <c:v>2302.1892984025012</c:v>
                </c:pt>
                <c:pt idx="439">
                  <c:v>2306.5663579931716</c:v>
                </c:pt>
                <c:pt idx="440">
                  <c:v>2310.9517395105722</c:v>
                </c:pt>
                <c:pt idx="441">
                  <c:v>2315.3454587768465</c:v>
                </c:pt>
                <c:pt idx="442">
                  <c:v>2319.7475316442196</c:v>
                </c:pt>
                <c:pt idx="443">
                  <c:v>2324.1579739950566</c:v>
                </c:pt>
                <c:pt idx="444">
                  <c:v>2328.5768017419177</c:v>
                </c:pt>
                <c:pt idx="445">
                  <c:v>2333.0040308276184</c:v>
                </c:pt>
                <c:pt idx="446">
                  <c:v>2337.4396772252862</c:v>
                </c:pt>
                <c:pt idx="447">
                  <c:v>2341.883756938415</c:v>
                </c:pt>
                <c:pt idx="448">
                  <c:v>2346.3362860009274</c:v>
                </c:pt>
                <c:pt idx="449">
                  <c:v>2350.7972804772307</c:v>
                </c:pt>
                <c:pt idx="450">
                  <c:v>2355.2667564622748</c:v>
                </c:pt>
                <c:pt idx="451">
                  <c:v>2359.7447300816093</c:v>
                </c:pt>
                <c:pt idx="452">
                  <c:v>2364.2312174914432</c:v>
                </c:pt>
                <c:pt idx="453">
                  <c:v>2368.7262348787031</c:v>
                </c:pt>
                <c:pt idx="454">
                  <c:v>2373.2297984610918</c:v>
                </c:pt>
                <c:pt idx="455">
                  <c:v>2377.741924487143</c:v>
                </c:pt>
                <c:pt idx="456">
                  <c:v>2382.2626292362866</c:v>
                </c:pt>
                <c:pt idx="457">
                  <c:v>2386.791929018902</c:v>
                </c:pt>
                <c:pt idx="458">
                  <c:v>2391.32984017638</c:v>
                </c:pt>
                <c:pt idx="459">
                  <c:v>2395.8763790811795</c:v>
                </c:pt>
                <c:pt idx="460">
                  <c:v>2400.4315621368887</c:v>
                </c:pt>
                <c:pt idx="461">
                  <c:v>2404.9954057782825</c:v>
                </c:pt>
                <c:pt idx="462">
                  <c:v>2409.5679264713835</c:v>
                </c:pt>
                <c:pt idx="463">
                  <c:v>2414.1491407135186</c:v>
                </c:pt>
                <c:pt idx="464">
                  <c:v>2418.7390650333832</c:v>
                </c:pt>
                <c:pt idx="465">
                  <c:v>2423.3377159910956</c:v>
                </c:pt>
                <c:pt idx="466">
                  <c:v>2427.9451101782606</c:v>
                </c:pt>
                <c:pt idx="467">
                  <c:v>2432.5612642180263</c:v>
                </c:pt>
                <c:pt idx="468">
                  <c:v>2437.1861947651482</c:v>
                </c:pt>
                <c:pt idx="469">
                  <c:v>2441.8199185060453</c:v>
                </c:pt>
                <c:pt idx="470">
                  <c:v>2446.4624521588617</c:v>
                </c:pt>
                <c:pt idx="471">
                  <c:v>2451.1138124735271</c:v>
                </c:pt>
                <c:pt idx="472">
                  <c:v>2455.7740162318178</c:v>
                </c:pt>
                <c:pt idx="473">
                  <c:v>2460.4430802474158</c:v>
                </c:pt>
                <c:pt idx="474">
                  <c:v>2465.121021365972</c:v>
                </c:pt>
                <c:pt idx="475">
                  <c:v>2469.8078564651623</c:v>
                </c:pt>
                <c:pt idx="476">
                  <c:v>2474.5036024547535</c:v>
                </c:pt>
                <c:pt idx="477">
                  <c:v>2479.2082762766627</c:v>
                </c:pt>
                <c:pt idx="478">
                  <c:v>2483.9218949050169</c:v>
                </c:pt>
                <c:pt idx="479">
                  <c:v>2488.6444753462142</c:v>
                </c:pt>
                <c:pt idx="480">
                  <c:v>2493.376034638989</c:v>
                </c:pt>
                <c:pt idx="481">
                  <c:v>2498.1165898544687</c:v>
                </c:pt>
                <c:pt idx="482">
                  <c:v>2502.8661580962394</c:v>
                </c:pt>
                <c:pt idx="483">
                  <c:v>2507.6247565004028</c:v>
                </c:pt>
                <c:pt idx="484">
                  <c:v>2512.3924022356418</c:v>
                </c:pt>
                <c:pt idx="485">
                  <c:v>2517.169112503283</c:v>
                </c:pt>
                <c:pt idx="486">
                  <c:v>2521.954904537356</c:v>
                </c:pt>
                <c:pt idx="487">
                  <c:v>2526.7497956046559</c:v>
                </c:pt>
                <c:pt idx="488">
                  <c:v>2531.5538030048078</c:v>
                </c:pt>
                <c:pt idx="489">
                  <c:v>2536.366944070327</c:v>
                </c:pt>
                <c:pt idx="490">
                  <c:v>2541.1892361666837</c:v>
                </c:pt>
                <c:pt idx="491">
                  <c:v>2546.0206966923624</c:v>
                </c:pt>
                <c:pt idx="492">
                  <c:v>2550.8613430789283</c:v>
                </c:pt>
                <c:pt idx="493">
                  <c:v>2555.7111927910878</c:v>
                </c:pt>
                <c:pt idx="494">
                  <c:v>2560.5702633267529</c:v>
                </c:pt>
                <c:pt idx="495">
                  <c:v>2565.4385722171014</c:v>
                </c:pt>
                <c:pt idx="496">
                  <c:v>2570.3161370266466</c:v>
                </c:pt>
                <c:pt idx="497">
                  <c:v>2575.2029753532925</c:v>
                </c:pt>
                <c:pt idx="498">
                  <c:v>2580.0991048284036</c:v>
                </c:pt>
                <c:pt idx="499">
                  <c:v>2585.0045431168651</c:v>
                </c:pt>
                <c:pt idx="500">
                  <c:v>2589.9193079171473</c:v>
                </c:pt>
                <c:pt idx="501">
                  <c:v>2594.843416961372</c:v>
                </c:pt>
                <c:pt idx="502">
                  <c:v>2599.7768880153731</c:v>
                </c:pt>
                <c:pt idx="503">
                  <c:v>2604.7197388787613</c:v>
                </c:pt>
                <c:pt idx="504">
                  <c:v>2609.6719873849888</c:v>
                </c:pt>
                <c:pt idx="505">
                  <c:v>2614.633651401416</c:v>
                </c:pt>
                <c:pt idx="506">
                  <c:v>2619.6047488293725</c:v>
                </c:pt>
                <c:pt idx="507">
                  <c:v>2624.5852976042215</c:v>
                </c:pt>
                <c:pt idx="508">
                  <c:v>2629.5753156954279</c:v>
                </c:pt>
                <c:pt idx="509">
                  <c:v>2634.5748211066216</c:v>
                </c:pt>
                <c:pt idx="510">
                  <c:v>2639.583831875661</c:v>
                </c:pt>
                <c:pt idx="511">
                  <c:v>2644.6023660746978</c:v>
                </c:pt>
                <c:pt idx="512">
                  <c:v>2649.6304418102459</c:v>
                </c:pt>
                <c:pt idx="513">
                  <c:v>2654.6680772232448</c:v>
                </c:pt>
                <c:pt idx="514">
                  <c:v>2659.7152904891213</c:v>
                </c:pt>
                <c:pt idx="515">
                  <c:v>2664.7720998178615</c:v>
                </c:pt>
                <c:pt idx="516">
                  <c:v>2669.8385234540724</c:v>
                </c:pt>
                <c:pt idx="517">
                  <c:v>2674.9145796770495</c:v>
                </c:pt>
                <c:pt idx="518">
                  <c:v>2680.0002868008396</c:v>
                </c:pt>
                <c:pt idx="519">
                  <c:v>2685.0956631743124</c:v>
                </c:pt>
                <c:pt idx="520">
                  <c:v>2690.2007271812208</c:v>
                </c:pt>
                <c:pt idx="521">
                  <c:v>2695.3154972402722</c:v>
                </c:pt>
                <c:pt idx="522">
                  <c:v>2700.4399918051913</c:v>
                </c:pt>
                <c:pt idx="523">
                  <c:v>2705.5742293647882</c:v>
                </c:pt>
                <c:pt idx="524">
                  <c:v>2710.7182284430264</c:v>
                </c:pt>
                <c:pt idx="525">
                  <c:v>2715.8720075990868</c:v>
                </c:pt>
                <c:pt idx="526">
                  <c:v>2721.0355854274362</c:v>
                </c:pt>
                <c:pt idx="527">
                  <c:v>2726.2089805578953</c:v>
                </c:pt>
                <c:pt idx="528">
                  <c:v>2731.3922116557042</c:v>
                </c:pt>
                <c:pt idx="529">
                  <c:v>2736.5852974215913</c:v>
                </c:pt>
                <c:pt idx="530">
                  <c:v>2741.7882565918376</c:v>
                </c:pt>
                <c:pt idx="531">
                  <c:v>2747.0011079383494</c:v>
                </c:pt>
                <c:pt idx="532">
                  <c:v>2752.2238702687223</c:v>
                </c:pt>
                <c:pt idx="533">
                  <c:v>2757.45656242631</c:v>
                </c:pt>
                <c:pt idx="534">
                  <c:v>2762.6992032902908</c:v>
                </c:pt>
                <c:pt idx="535">
                  <c:v>2767.9518117757402</c:v>
                </c:pt>
                <c:pt idx="536">
                  <c:v>2773.2144068336938</c:v>
                </c:pt>
                <c:pt idx="537">
                  <c:v>2778.4870074512191</c:v>
                </c:pt>
                <c:pt idx="538">
                  <c:v>2783.7696326514824</c:v>
                </c:pt>
                <c:pt idx="539">
                  <c:v>2789.0623014938183</c:v>
                </c:pt>
                <c:pt idx="540">
                  <c:v>2794.3650330737983</c:v>
                </c:pt>
                <c:pt idx="541">
                  <c:v>2799.6778465232996</c:v>
                </c:pt>
                <c:pt idx="542">
                  <c:v>2805.0007610105731</c:v>
                </c:pt>
                <c:pt idx="543">
                  <c:v>2810.3337957403141</c:v>
                </c:pt>
                <c:pt idx="544">
                  <c:v>2815.6769699537313</c:v>
                </c:pt>
                <c:pt idx="545">
                  <c:v>2821.0303029286174</c:v>
                </c:pt>
                <c:pt idx="546">
                  <c:v>2826.3938139794132</c:v>
                </c:pt>
                <c:pt idx="547">
                  <c:v>2831.767522457284</c:v>
                </c:pt>
                <c:pt idx="548">
                  <c:v>2837.1514477501878</c:v>
                </c:pt>
                <c:pt idx="549">
                  <c:v>2842.5456092829413</c:v>
                </c:pt>
                <c:pt idx="550">
                  <c:v>2847.9500265172946</c:v>
                </c:pt>
                <c:pt idx="551">
                  <c:v>2853.3647189519988</c:v>
                </c:pt>
                <c:pt idx="552">
                  <c:v>2858.7897061228782</c:v>
                </c:pt>
                <c:pt idx="553">
                  <c:v>2864.2250076028995</c:v>
                </c:pt>
                <c:pt idx="554">
                  <c:v>2869.6706430022414</c:v>
                </c:pt>
                <c:pt idx="555">
                  <c:v>2875.1266319683677</c:v>
                </c:pt>
                <c:pt idx="556">
                  <c:v>2880.5929941860973</c:v>
                </c:pt>
                <c:pt idx="557">
                  <c:v>2886.0697493776756</c:v>
                </c:pt>
                <c:pt idx="558">
                  <c:v>2891.5569173028425</c:v>
                </c:pt>
                <c:pt idx="559">
                  <c:v>2897.0545177589092</c:v>
                </c:pt>
                <c:pt idx="560">
                  <c:v>2902.5625705808252</c:v>
                </c:pt>
                <c:pt idx="561">
                  <c:v>2908.0810956412529</c:v>
                </c:pt>
                <c:pt idx="562">
                  <c:v>2913.6101128506357</c:v>
                </c:pt>
                <c:pt idx="563">
                  <c:v>2919.1496421572733</c:v>
                </c:pt>
                <c:pt idx="564">
                  <c:v>2924.699703547391</c:v>
                </c:pt>
                <c:pt idx="565">
                  <c:v>2930.2603170452148</c:v>
                </c:pt>
                <c:pt idx="566">
                  <c:v>2935.8315027130411</c:v>
                </c:pt>
                <c:pt idx="567">
                  <c:v>2941.4132806513103</c:v>
                </c:pt>
                <c:pt idx="568">
                  <c:v>2947.0056709986793</c:v>
                </c:pt>
                <c:pt idx="569">
                  <c:v>2952.6086939320912</c:v>
                </c:pt>
                <c:pt idx="570">
                  <c:v>2958.2223696668539</c:v>
                </c:pt>
                <c:pt idx="571">
                  <c:v>2963.846718456708</c:v>
                </c:pt>
                <c:pt idx="572">
                  <c:v>2969.4817605939029</c:v>
                </c:pt>
                <c:pt idx="573">
                  <c:v>2975.127516409269</c:v>
                </c:pt>
                <c:pt idx="574">
                  <c:v>2980.7840062722894</c:v>
                </c:pt>
                <c:pt idx="575">
                  <c:v>2986.4512505911748</c:v>
                </c:pt>
                <c:pt idx="576">
                  <c:v>2992.1292698129391</c:v>
                </c:pt>
                <c:pt idx="577">
                  <c:v>2997.8180844234707</c:v>
                </c:pt>
                <c:pt idx="578">
                  <c:v>3003.5177149476053</c:v>
                </c:pt>
                <c:pt idx="579">
                  <c:v>3009.2281819492036</c:v>
                </c:pt>
                <c:pt idx="580">
                  <c:v>3014.9495060312224</c:v>
                </c:pt>
                <c:pt idx="581">
                  <c:v>3020.6817078357913</c:v>
                </c:pt>
                <c:pt idx="582">
                  <c:v>3026.424808044284</c:v>
                </c:pt>
                <c:pt idx="583">
                  <c:v>3032.1788273773964</c:v>
                </c:pt>
                <c:pt idx="584">
                  <c:v>3037.94378659522</c:v>
                </c:pt>
                <c:pt idx="585">
                  <c:v>3043.7197064973161</c:v>
                </c:pt>
                <c:pt idx="586">
                  <c:v>3049.50660792279</c:v>
                </c:pt>
                <c:pt idx="587">
                  <c:v>3055.3045117503698</c:v>
                </c:pt>
                <c:pt idx="588">
                  <c:v>3061.1134388984783</c:v>
                </c:pt>
                <c:pt idx="589">
                  <c:v>3066.9334103253109</c:v>
                </c:pt>
                <c:pt idx="590">
                  <c:v>3072.7644470289069</c:v>
                </c:pt>
                <c:pt idx="591">
                  <c:v>3078.6065700472323</c:v>
                </c:pt>
                <c:pt idx="592">
                  <c:v>3084.4598004582485</c:v>
                </c:pt>
                <c:pt idx="593">
                  <c:v>3090.3241593799944</c:v>
                </c:pt>
                <c:pt idx="594">
                  <c:v>3096.1996679706563</c:v>
                </c:pt>
                <c:pt idx="595">
                  <c:v>3102.0863474286516</c:v>
                </c:pt>
                <c:pt idx="596">
                  <c:v>3107.9842189926976</c:v>
                </c:pt>
                <c:pt idx="597">
                  <c:v>3113.8933039418962</c:v>
                </c:pt>
                <c:pt idx="598">
                  <c:v>3119.8136235958013</c:v>
                </c:pt>
                <c:pt idx="599">
                  <c:v>3125.7451993145055</c:v>
                </c:pt>
                <c:pt idx="600">
                  <c:v>3131.6880524987096</c:v>
                </c:pt>
                <c:pt idx="601">
                  <c:v>3137.6422045898039</c:v>
                </c:pt>
                <c:pt idx="602">
                  <c:v>3143.6076770699433</c:v>
                </c:pt>
                <c:pt idx="603">
                  <c:v>3149.5844914621275</c:v>
                </c:pt>
                <c:pt idx="604">
                  <c:v>3155.5726693302749</c:v>
                </c:pt>
                <c:pt idx="605">
                  <c:v>3161.5722322793063</c:v>
                </c:pt>
                <c:pt idx="606">
                  <c:v>3167.5832019552131</c:v>
                </c:pt>
                <c:pt idx="607">
                  <c:v>3173.6056000451467</c:v>
                </c:pt>
                <c:pt idx="608">
                  <c:v>3179.639448277489</c:v>
                </c:pt>
                <c:pt idx="609">
                  <c:v>3185.6847684219338</c:v>
                </c:pt>
                <c:pt idx="610">
                  <c:v>3191.7415822895637</c:v>
                </c:pt>
                <c:pt idx="611">
                  <c:v>3197.8099117329311</c:v>
                </c:pt>
                <c:pt idx="612">
                  <c:v>3203.8897786461362</c:v>
                </c:pt>
                <c:pt idx="613">
                  <c:v>3209.981204964904</c:v>
                </c:pt>
                <c:pt idx="614">
                  <c:v>3216.0842126666657</c:v>
                </c:pt>
                <c:pt idx="615">
                  <c:v>3222.1988237706373</c:v>
                </c:pt>
                <c:pt idx="616">
                  <c:v>3228.3250603378992</c:v>
                </c:pt>
                <c:pt idx="617">
                  <c:v>3234.4629444714756</c:v>
                </c:pt>
                <c:pt idx="618">
                  <c:v>3240.6124983164141</c:v>
                </c:pt>
                <c:pt idx="619">
                  <c:v>3246.7737440598653</c:v>
                </c:pt>
                <c:pt idx="620">
                  <c:v>3252.9467039311648</c:v>
                </c:pt>
                <c:pt idx="621">
                  <c:v>3259.1314002019117</c:v>
                </c:pt>
                <c:pt idx="622">
                  <c:v>3265.3278551860471</c:v>
                </c:pt>
                <c:pt idx="623">
                  <c:v>3271.5360912399378</c:v>
                </c:pt>
                <c:pt idx="624">
                  <c:v>3277.7561307624578</c:v>
                </c:pt>
                <c:pt idx="625">
                  <c:v>3283.9879961950651</c:v>
                </c:pt>
                <c:pt idx="626">
                  <c:v>3290.2317100218847</c:v>
                </c:pt>
                <c:pt idx="627">
                  <c:v>3296.4872947697913</c:v>
                </c:pt>
                <c:pt idx="628">
                  <c:v>3302.7547730084866</c:v>
                </c:pt>
                <c:pt idx="629">
                  <c:v>3309.0341673505854</c:v>
                </c:pt>
                <c:pt idx="630">
                  <c:v>3315.3255004516946</c:v>
                </c:pt>
                <c:pt idx="631">
                  <c:v>3321.6287950104934</c:v>
                </c:pt>
                <c:pt idx="632">
                  <c:v>3327.9440737688196</c:v>
                </c:pt>
                <c:pt idx="633">
                  <c:v>3334.2713595117484</c:v>
                </c:pt>
                <c:pt idx="634">
                  <c:v>3340.6106750676745</c:v>
                </c:pt>
                <c:pt idx="635">
                  <c:v>3346.9620433083951</c:v>
                </c:pt>
                <c:pt idx="636">
                  <c:v>3353.325487149194</c:v>
                </c:pt>
                <c:pt idx="637">
                  <c:v>3359.7010295489231</c:v>
                </c:pt>
                <c:pt idx="638">
                  <c:v>3366.0886935100821</c:v>
                </c:pt>
                <c:pt idx="639">
                  <c:v>3372.4885020789079</c:v>
                </c:pt>
                <c:pt idx="640">
                  <c:v>3378.9004783454534</c:v>
                </c:pt>
                <c:pt idx="641">
                  <c:v>3385.3246454436694</c:v>
                </c:pt>
                <c:pt idx="642">
                  <c:v>3391.7610265514932</c:v>
                </c:pt>
                <c:pt idx="643">
                  <c:v>3398.2096448909283</c:v>
                </c:pt>
                <c:pt idx="644">
                  <c:v>3404.6705237281294</c:v>
                </c:pt>
                <c:pt idx="645">
                  <c:v>3411.1436863734853</c:v>
                </c:pt>
                <c:pt idx="646">
                  <c:v>3417.6291561817047</c:v>
                </c:pt>
                <c:pt idx="647">
                  <c:v>3424.1269565519001</c:v>
                </c:pt>
                <c:pt idx="648">
                  <c:v>3430.6371109276724</c:v>
                </c:pt>
                <c:pt idx="649">
                  <c:v>3437.1596427971908</c:v>
                </c:pt>
                <c:pt idx="650">
                  <c:v>3443.6945756932869</c:v>
                </c:pt>
                <c:pt idx="651">
                  <c:v>3450.2419331935316</c:v>
                </c:pt>
                <c:pt idx="652">
                  <c:v>3456.8017389203233</c:v>
                </c:pt>
                <c:pt idx="653">
                  <c:v>3463.3740165409718</c:v>
                </c:pt>
                <c:pt idx="654">
                  <c:v>3469.9587897677861</c:v>
                </c:pt>
                <c:pt idx="655">
                  <c:v>3476.5560823581577</c:v>
                </c:pt>
                <c:pt idx="656">
                  <c:v>3483.1659181146483</c:v>
                </c:pt>
                <c:pt idx="657">
                  <c:v>3489.7883208850717</c:v>
                </c:pt>
                <c:pt idx="658">
                  <c:v>3496.4233145625849</c:v>
                </c:pt>
                <c:pt idx="659">
                  <c:v>3503.0709230857715</c:v>
                </c:pt>
                <c:pt idx="660">
                  <c:v>3509.7311704387294</c:v>
                </c:pt>
                <c:pt idx="661">
                  <c:v>3516.4040806511534</c:v>
                </c:pt>
                <c:pt idx="662">
                  <c:v>3523.0896777984281</c:v>
                </c:pt>
                <c:pt idx="663">
                  <c:v>3529.787986001711</c:v>
                </c:pt>
                <c:pt idx="664">
                  <c:v>3536.4990294280201</c:v>
                </c:pt>
                <c:pt idx="665">
                  <c:v>3543.2228322903197</c:v>
                </c:pt>
                <c:pt idx="666">
                  <c:v>3549.9594188476112</c:v>
                </c:pt>
                <c:pt idx="667">
                  <c:v>3556.7088134050182</c:v>
                </c:pt>
                <c:pt idx="668">
                  <c:v>3563.4710403138738</c:v>
                </c:pt>
                <c:pt idx="669">
                  <c:v>3570.24612397181</c:v>
                </c:pt>
                <c:pt idx="670">
                  <c:v>3577.0340888228448</c:v>
                </c:pt>
                <c:pt idx="671">
                  <c:v>3583.8349593574708</c:v>
                </c:pt>
                <c:pt idx="672">
                  <c:v>3590.6487601127442</c:v>
                </c:pt>
                <c:pt idx="673">
                  <c:v>3597.47551567237</c:v>
                </c:pt>
                <c:pt idx="674">
                  <c:v>3604.3152506667957</c:v>
                </c:pt>
                <c:pt idx="675">
                  <c:v>3611.1679897732961</c:v>
                </c:pt>
                <c:pt idx="676">
                  <c:v>3618.0337577160662</c:v>
                </c:pt>
                <c:pt idx="677">
                  <c:v>3624.9125792663053</c:v>
                </c:pt>
                <c:pt idx="678">
                  <c:v>3631.8044792423102</c:v>
                </c:pt>
                <c:pt idx="679">
                  <c:v>3638.7094825095646</c:v>
                </c:pt>
                <c:pt idx="680">
                  <c:v>3645.6276139808269</c:v>
                </c:pt>
                <c:pt idx="681">
                  <c:v>3652.5588986162225</c:v>
                </c:pt>
                <c:pt idx="682">
                  <c:v>3659.5033614233294</c:v>
                </c:pt>
                <c:pt idx="683">
                  <c:v>3666.4610274572751</c:v>
                </c:pt>
                <c:pt idx="684">
                  <c:v>3673.4319218208216</c:v>
                </c:pt>
                <c:pt idx="685">
                  <c:v>3680.4160696644581</c:v>
                </c:pt>
                <c:pt idx="686">
                  <c:v>3687.4134961864916</c:v>
                </c:pt>
                <c:pt idx="687">
                  <c:v>3694.4242266331366</c:v>
                </c:pt>
                <c:pt idx="688">
                  <c:v>3701.4482862986083</c:v>
                </c:pt>
                <c:pt idx="689">
                  <c:v>3708.4857005252125</c:v>
                </c:pt>
                <c:pt idx="690">
                  <c:v>3715.5364947034377</c:v>
                </c:pt>
                <c:pt idx="691">
                  <c:v>3722.6006942720446</c:v>
                </c:pt>
                <c:pt idx="692">
                  <c:v>3729.6783247181629</c:v>
                </c:pt>
                <c:pt idx="693">
                  <c:v>3736.7694115773761</c:v>
                </c:pt>
                <c:pt idx="694">
                  <c:v>3743.8739804338197</c:v>
                </c:pt>
                <c:pt idx="695">
                  <c:v>3750.9920569202714</c:v>
                </c:pt>
                <c:pt idx="696">
                  <c:v>3758.1236667182434</c:v>
                </c:pt>
                <c:pt idx="697">
                  <c:v>3765.2688355580722</c:v>
                </c:pt>
                <c:pt idx="698">
                  <c:v>3772.4275892190194</c:v>
                </c:pt>
                <c:pt idx="699">
                  <c:v>3779.5999535293558</c:v>
                </c:pt>
                <c:pt idx="700">
                  <c:v>3786.7859543664608</c:v>
                </c:pt>
                <c:pt idx="701">
                  <c:v>3793.985617656911</c:v>
                </c:pt>
                <c:pt idx="702">
                  <c:v>3801.1989693765781</c:v>
                </c:pt>
                <c:pt idx="703">
                  <c:v>3808.4260355507195</c:v>
                </c:pt>
                <c:pt idx="704">
                  <c:v>3815.6668422540761</c:v>
                </c:pt>
                <c:pt idx="705">
                  <c:v>3822.9214156109588</c:v>
                </c:pt>
                <c:pt idx="706">
                  <c:v>3830.1897817953509</c:v>
                </c:pt>
                <c:pt idx="707">
                  <c:v>3837.4719670309996</c:v>
                </c:pt>
                <c:pt idx="708">
                  <c:v>3844.7679975915098</c:v>
                </c:pt>
                <c:pt idx="709">
                  <c:v>3852.0778998004366</c:v>
                </c:pt>
                <c:pt idx="710">
                  <c:v>3859.4017000313866</c:v>
                </c:pt>
                <c:pt idx="711">
                  <c:v>3866.7394247081083</c:v>
                </c:pt>
                <c:pt idx="712">
                  <c:v>3874.0911003045881</c:v>
                </c:pt>
                <c:pt idx="713">
                  <c:v>3881.4567533451464</c:v>
                </c:pt>
                <c:pt idx="714">
                  <c:v>3888.8364104045336</c:v>
                </c:pt>
                <c:pt idx="715">
                  <c:v>3896.2300981080252</c:v>
                </c:pt>
                <c:pt idx="716">
                  <c:v>3903.6378431315202</c:v>
                </c:pt>
                <c:pt idx="717">
                  <c:v>3911.0596722016317</c:v>
                </c:pt>
                <c:pt idx="718">
                  <c:v>3918.4956120957891</c:v>
                </c:pt>
                <c:pt idx="719">
                  <c:v>3925.9456896423339</c:v>
                </c:pt>
                <c:pt idx="720">
                  <c:v>3933.4099317206137</c:v>
                </c:pt>
                <c:pt idx="721">
                  <c:v>3940.8883652610803</c:v>
                </c:pt>
                <c:pt idx="722">
                  <c:v>3948.3810172453877</c:v>
                </c:pt>
                <c:pt idx="723">
                  <c:v>3955.8879147064899</c:v>
                </c:pt>
                <c:pt idx="724">
                  <c:v>3963.409084728738</c:v>
                </c:pt>
                <c:pt idx="725">
                  <c:v>3970.9445544479745</c:v>
                </c:pt>
                <c:pt idx="726">
                  <c:v>3978.4943510516368</c:v>
                </c:pt>
                <c:pt idx="727">
                  <c:v>3986.0585017788517</c:v>
                </c:pt>
                <c:pt idx="728">
                  <c:v>3993.6370339205369</c:v>
                </c:pt>
                <c:pt idx="729">
                  <c:v>4001.2299748194923</c:v>
                </c:pt>
                <c:pt idx="730">
                  <c:v>4008.8373518705075</c:v>
                </c:pt>
                <c:pt idx="731">
                  <c:v>4016.4591925204577</c:v>
                </c:pt>
                <c:pt idx="732">
                  <c:v>4024.0955242683976</c:v>
                </c:pt>
                <c:pt idx="733">
                  <c:v>4031.7463746656676</c:v>
                </c:pt>
                <c:pt idx="734">
                  <c:v>4039.411771315989</c:v>
                </c:pt>
                <c:pt idx="735">
                  <c:v>4047.0917418755662</c:v>
                </c:pt>
                <c:pt idx="736">
                  <c:v>4054.7863140531863</c:v>
                </c:pt>
                <c:pt idx="737">
                  <c:v>4062.4955156103129</c:v>
                </c:pt>
                <c:pt idx="738">
                  <c:v>4070.219374361197</c:v>
                </c:pt>
                <c:pt idx="739">
                  <c:v>4077.9579181729682</c:v>
                </c:pt>
                <c:pt idx="740">
                  <c:v>4085.7111749657424</c:v>
                </c:pt>
                <c:pt idx="741">
                  <c:v>4093.479172712714</c:v>
                </c:pt>
                <c:pt idx="742">
                  <c:v>4101.2619394402655</c:v>
                </c:pt>
                <c:pt idx="743">
                  <c:v>4109.0595032280626</c:v>
                </c:pt>
                <c:pt idx="744">
                  <c:v>4116.8718922091603</c:v>
                </c:pt>
                <c:pt idx="745">
                  <c:v>4124.699134570099</c:v>
                </c:pt>
                <c:pt idx="746">
                  <c:v>4132.5412585510103</c:v>
                </c:pt>
                <c:pt idx="747">
                  <c:v>4140.3982924457187</c:v>
                </c:pt>
                <c:pt idx="748">
                  <c:v>4148.2702646018388</c:v>
                </c:pt>
                <c:pt idx="749">
                  <c:v>4156.1572034208875</c:v>
                </c:pt>
                <c:pt idx="750">
                  <c:v>4164.0591373583757</c:v>
                </c:pt>
                <c:pt idx="751">
                  <c:v>4171.9760949239153</c:v>
                </c:pt>
                <c:pt idx="752">
                  <c:v>4179.9081046813271</c:v>
                </c:pt>
                <c:pt idx="753">
                  <c:v>4187.8551952487314</c:v>
                </c:pt>
                <c:pt idx="754">
                  <c:v>4195.8173952986672</c:v>
                </c:pt>
                <c:pt idx="755">
                  <c:v>4203.794733558183</c:v>
                </c:pt>
                <c:pt idx="756">
                  <c:v>4211.7872388089463</c:v>
                </c:pt>
                <c:pt idx="757">
                  <c:v>4219.7949398873434</c:v>
                </c:pt>
                <c:pt idx="758">
                  <c:v>4227.8178656845885</c:v>
                </c:pt>
                <c:pt idx="759">
                  <c:v>4235.8560451468265</c:v>
                </c:pt>
                <c:pt idx="760">
                  <c:v>4243.9095072752343</c:v>
                </c:pt>
                <c:pt idx="761">
                  <c:v>4251.9782811261284</c:v>
                </c:pt>
                <c:pt idx="762">
                  <c:v>4260.0623958110673</c:v>
                </c:pt>
                <c:pt idx="763">
                  <c:v>4268.1618804969612</c:v>
                </c:pt>
                <c:pt idx="764">
                  <c:v>4276.2767644061714</c:v>
                </c:pt>
                <c:pt idx="765">
                  <c:v>4284.4070768166202</c:v>
                </c:pt>
                <c:pt idx="766">
                  <c:v>4292.5528470618947</c:v>
                </c:pt>
                <c:pt idx="767">
                  <c:v>4300.7141045313538</c:v>
                </c:pt>
                <c:pt idx="768">
                  <c:v>4308.8908786702268</c:v>
                </c:pt>
                <c:pt idx="769">
                  <c:v>4317.0831989797352</c:v>
                </c:pt>
                <c:pt idx="770">
                  <c:v>4325.2910950171854</c:v>
                </c:pt>
                <c:pt idx="771">
                  <c:v>4333.5145963960795</c:v>
                </c:pt>
                <c:pt idx="772">
                  <c:v>4341.7537327862219</c:v>
                </c:pt>
                <c:pt idx="773">
                  <c:v>4350.0085339138304</c:v>
                </c:pt>
                <c:pt idx="774">
                  <c:v>4358.2790295616369</c:v>
                </c:pt>
                <c:pt idx="775">
                  <c:v>4366.5652495690019</c:v>
                </c:pt>
                <c:pt idx="776">
                  <c:v>4374.8672238320105</c:v>
                </c:pt>
                <c:pt idx="777">
                  <c:v>4383.1849823035973</c:v>
                </c:pt>
                <c:pt idx="778">
                  <c:v>4391.5185549936386</c:v>
                </c:pt>
                <c:pt idx="779">
                  <c:v>4399.8679719690736</c:v>
                </c:pt>
                <c:pt idx="780">
                  <c:v>4408.2332633539972</c:v>
                </c:pt>
                <c:pt idx="781">
                  <c:v>4416.6144593297859</c:v>
                </c:pt>
                <c:pt idx="782">
                  <c:v>4425.0115901351974</c:v>
                </c:pt>
                <c:pt idx="783">
                  <c:v>4433.4246860664789</c:v>
                </c:pt>
                <c:pt idx="784">
                  <c:v>4441.8537774774795</c:v>
                </c:pt>
                <c:pt idx="785">
                  <c:v>4450.2988947797594</c:v>
                </c:pt>
                <c:pt idx="786">
                  <c:v>4458.7600684426998</c:v>
                </c:pt>
                <c:pt idx="787">
                  <c:v>4467.2373289936113</c:v>
                </c:pt>
                <c:pt idx="788">
                  <c:v>4475.7307070178422</c:v>
                </c:pt>
                <c:pt idx="789">
                  <c:v>4484.2402331588955</c:v>
                </c:pt>
                <c:pt idx="790">
                  <c:v>4492.7659381185349</c:v>
                </c:pt>
                <c:pt idx="791">
                  <c:v>4501.3078526568952</c:v>
                </c:pt>
                <c:pt idx="792">
                  <c:v>4509.8660075925909</c:v>
                </c:pt>
                <c:pt idx="793">
                  <c:v>4518.440433802838</c:v>
                </c:pt>
                <c:pt idx="794">
                  <c:v>4527.0311622235522</c:v>
                </c:pt>
                <c:pt idx="795">
                  <c:v>4535.638223849468</c:v>
                </c:pt>
                <c:pt idx="796">
                  <c:v>4544.2616497342497</c:v>
                </c:pt>
                <c:pt idx="797">
                  <c:v>4552.9014709906023</c:v>
                </c:pt>
                <c:pt idx="798">
                  <c:v>4561.5577187903846</c:v>
                </c:pt>
                <c:pt idx="799">
                  <c:v>4570.2304243647177</c:v>
                </c:pt>
                <c:pt idx="800">
                  <c:v>4578.9196190041084</c:v>
                </c:pt>
                <c:pt idx="801">
                  <c:v>4587.6253340585472</c:v>
                </c:pt>
                <c:pt idx="802">
                  <c:v>4596.3476009376336</c:v>
                </c:pt>
                <c:pt idx="803">
                  <c:v>4605.0864511106838</c:v>
                </c:pt>
                <c:pt idx="804">
                  <c:v>4613.841916106845</c:v>
                </c:pt>
                <c:pt idx="805">
                  <c:v>4622.6140275152111</c:v>
                </c:pt>
                <c:pt idx="806">
                  <c:v>4631.4028169849316</c:v>
                </c:pt>
                <c:pt idx="807">
                  <c:v>4640.2083162253311</c:v>
                </c:pt>
                <c:pt idx="808">
                  <c:v>4649.0305570060254</c:v>
                </c:pt>
                <c:pt idx="809">
                  <c:v>4657.8695711570263</c:v>
                </c:pt>
                <c:pt idx="810">
                  <c:v>4666.7253905688667</c:v>
                </c:pt>
                <c:pt idx="811">
                  <c:v>4675.5980471927123</c:v>
                </c:pt>
                <c:pt idx="812">
                  <c:v>4684.4875730404719</c:v>
                </c:pt>
                <c:pt idx="813">
                  <c:v>4693.3940001849214</c:v>
                </c:pt>
                <c:pt idx="814">
                  <c:v>4702.3173607598137</c:v>
                </c:pt>
                <c:pt idx="815">
                  <c:v>4711.257686959998</c:v>
                </c:pt>
                <c:pt idx="816">
                  <c:v>4720.2150110415305</c:v>
                </c:pt>
                <c:pt idx="817">
                  <c:v>4729.1893653217985</c:v>
                </c:pt>
                <c:pt idx="818">
                  <c:v>4738.180782179631</c:v>
                </c:pt>
                <c:pt idx="819">
                  <c:v>4747.1892940554199</c:v>
                </c:pt>
                <c:pt idx="820">
                  <c:v>4756.2149334512287</c:v>
                </c:pt>
                <c:pt idx="821">
                  <c:v>4765.2577329309233</c:v>
                </c:pt>
                <c:pt idx="822">
                  <c:v>4774.3177251202778</c:v>
                </c:pt>
                <c:pt idx="823">
                  <c:v>4783.3949427070975</c:v>
                </c:pt>
                <c:pt idx="824">
                  <c:v>4792.4894184413342</c:v>
                </c:pt>
                <c:pt idx="825">
                  <c:v>4801.6011851352068</c:v>
                </c:pt>
                <c:pt idx="826">
                  <c:v>4810.7302756633198</c:v>
                </c:pt>
                <c:pt idx="827">
                  <c:v>4819.876722962782</c:v>
                </c:pt>
                <c:pt idx="828">
                  <c:v>4829.0405600333188</c:v>
                </c:pt>
                <c:pt idx="829">
                  <c:v>4838.2218199374001</c:v>
                </c:pt>
                <c:pt idx="830">
                  <c:v>4847.4205358003583</c:v>
                </c:pt>
                <c:pt idx="831">
                  <c:v>4856.6367408105034</c:v>
                </c:pt>
                <c:pt idx="832">
                  <c:v>4865.870468219242</c:v>
                </c:pt>
                <c:pt idx="833">
                  <c:v>4875.1217513412075</c:v>
                </c:pt>
                <c:pt idx="834">
                  <c:v>4884.3906235543682</c:v>
                </c:pt>
                <c:pt idx="835">
                  <c:v>4893.6771183001474</c:v>
                </c:pt>
                <c:pt idx="836">
                  <c:v>4902.9812690835633</c:v>
                </c:pt>
                <c:pt idx="837">
                  <c:v>4912.3031094733233</c:v>
                </c:pt>
                <c:pt idx="838">
                  <c:v>4921.6426731019601</c:v>
                </c:pt>
                <c:pt idx="839">
                  <c:v>4930.9999936659578</c:v>
                </c:pt>
                <c:pt idx="840">
                  <c:v>4940.3751049258553</c:v>
                </c:pt>
                <c:pt idx="841">
                  <c:v>4949.768040706389</c:v>
                </c:pt>
                <c:pt idx="842">
                  <c:v>4959.1788348965983</c:v>
                </c:pt>
                <c:pt idx="843">
                  <c:v>4968.6075214499569</c:v>
                </c:pt>
                <c:pt idx="844">
                  <c:v>4978.0541343844934</c:v>
                </c:pt>
                <c:pt idx="845">
                  <c:v>4987.5187077829132</c:v>
                </c:pt>
                <c:pt idx="846">
                  <c:v>4997.0012757927179</c:v>
                </c:pt>
                <c:pt idx="847">
                  <c:v>5006.5018726263397</c:v>
                </c:pt>
                <c:pt idx="848">
                  <c:v>5016.0205325612524</c:v>
                </c:pt>
                <c:pt idx="849">
                  <c:v>5025.5572899401022</c:v>
                </c:pt>
                <c:pt idx="850">
                  <c:v>5035.1121791708274</c:v>
                </c:pt>
                <c:pt idx="851">
                  <c:v>5044.685234726785</c:v>
                </c:pt>
                <c:pt idx="852">
                  <c:v>5054.2764911468803</c:v>
                </c:pt>
                <c:pt idx="853">
                  <c:v>5063.8859830356778</c:v>
                </c:pt>
                <c:pt idx="854">
                  <c:v>5073.5137450635384</c:v>
                </c:pt>
                <c:pt idx="855">
                  <c:v>5083.1598119667424</c:v>
                </c:pt>
                <c:pt idx="856">
                  <c:v>5092.8242185476056</c:v>
                </c:pt>
                <c:pt idx="857">
                  <c:v>5102.5069996746242</c:v>
                </c:pt>
                <c:pt idx="858">
                  <c:v>5112.2081902825757</c:v>
                </c:pt>
                <c:pt idx="859">
                  <c:v>5121.9278253726652</c:v>
                </c:pt>
                <c:pt idx="860">
                  <c:v>5131.6659400126409</c:v>
                </c:pt>
                <c:pt idx="861">
                  <c:v>5141.4225693369262</c:v>
                </c:pt>
                <c:pt idx="862">
                  <c:v>5151.1977485467423</c:v>
                </c:pt>
                <c:pt idx="863">
                  <c:v>5160.9915129102383</c:v>
                </c:pt>
                <c:pt idx="864">
                  <c:v>5170.8038977626165</c:v>
                </c:pt>
                <c:pt idx="865">
                  <c:v>5180.6349385062622</c:v>
                </c:pt>
                <c:pt idx="866">
                  <c:v>5190.4846706108665</c:v>
                </c:pt>
                <c:pt idx="867">
                  <c:v>5200.3531296135598</c:v>
                </c:pt>
                <c:pt idx="868">
                  <c:v>5210.2403511190378</c:v>
                </c:pt>
                <c:pt idx="869">
                  <c:v>5220.1463707996918</c:v>
                </c:pt>
                <c:pt idx="870">
                  <c:v>5230.0712243957296</c:v>
                </c:pt>
                <c:pt idx="871">
                  <c:v>5240.0149477153182</c:v>
                </c:pt>
                <c:pt idx="872">
                  <c:v>5249.9775766346984</c:v>
                </c:pt>
                <c:pt idx="873">
                  <c:v>5259.959147098326</c:v>
                </c:pt>
                <c:pt idx="874">
                  <c:v>5269.9596951189951</c:v>
                </c:pt>
                <c:pt idx="875">
                  <c:v>5279.9792567779641</c:v>
                </c:pt>
                <c:pt idx="876">
                  <c:v>5290.0178682251035</c:v>
                </c:pt>
                <c:pt idx="877">
                  <c:v>5300.0755656790016</c:v>
                </c:pt>
                <c:pt idx="878">
                  <c:v>5310.1523854271118</c:v>
                </c:pt>
                <c:pt idx="879">
                  <c:v>5320.2483638258846</c:v>
                </c:pt>
                <c:pt idx="880">
                  <c:v>5330.3635373008838</c:v>
                </c:pt>
                <c:pt idx="881">
                  <c:v>5340.4979423469404</c:v>
                </c:pt>
                <c:pt idx="882">
                  <c:v>5350.6516155282579</c:v>
                </c:pt>
                <c:pt idx="883">
                  <c:v>5360.8245934785646</c:v>
                </c:pt>
                <c:pt idx="884">
                  <c:v>5371.0169129012438</c:v>
                </c:pt>
                <c:pt idx="885">
                  <c:v>5381.2286105694511</c:v>
                </c:pt>
                <c:pt idx="886">
                  <c:v>5391.4597233262621</c:v>
                </c:pt>
                <c:pt idx="887">
                  <c:v>5401.7102880848051</c:v>
                </c:pt>
                <c:pt idx="888">
                  <c:v>5411.9803418283827</c:v>
                </c:pt>
                <c:pt idx="889">
                  <c:v>5422.2699216106193</c:v>
                </c:pt>
                <c:pt idx="890">
                  <c:v>5432.5790645555799</c:v>
                </c:pt>
                <c:pt idx="891">
                  <c:v>5442.9078078579169</c:v>
                </c:pt>
                <c:pt idx="892">
                  <c:v>5453.2561887830007</c:v>
                </c:pt>
                <c:pt idx="893">
                  <c:v>5463.6242446670503</c:v>
                </c:pt>
                <c:pt idx="894">
                  <c:v>5474.0120129172683</c:v>
                </c:pt>
                <c:pt idx="895">
                  <c:v>5484.4195310119849</c:v>
                </c:pt>
                <c:pt idx="896">
                  <c:v>5494.8468365007793</c:v>
                </c:pt>
                <c:pt idx="897">
                  <c:v>5505.2939670046253</c:v>
                </c:pt>
                <c:pt idx="898">
                  <c:v>5515.7609602160273</c:v>
                </c:pt>
                <c:pt idx="899">
                  <c:v>5526.2478538991436</c:v>
                </c:pt>
                <c:pt idx="900">
                  <c:v>5536.7546858899441</c:v>
                </c:pt>
                <c:pt idx="901">
                  <c:v>5547.2814940963244</c:v>
                </c:pt>
                <c:pt idx="902">
                  <c:v>5557.8283164982568</c:v>
                </c:pt>
                <c:pt idx="903">
                  <c:v>5568.3951911479262</c:v>
                </c:pt>
                <c:pt idx="904">
                  <c:v>5578.9821561698618</c:v>
                </c:pt>
                <c:pt idx="905">
                  <c:v>5589.5892497610721</c:v>
                </c:pt>
                <c:pt idx="906">
                  <c:v>5600.2165101912005</c:v>
                </c:pt>
                <c:pt idx="907">
                  <c:v>5610.8639758026384</c:v>
                </c:pt>
                <c:pt idx="908">
                  <c:v>5621.5316850106856</c:v>
                </c:pt>
                <c:pt idx="909">
                  <c:v>5632.2196763036736</c:v>
                </c:pt>
                <c:pt idx="910">
                  <c:v>5642.9279882431092</c:v>
                </c:pt>
                <c:pt idx="911">
                  <c:v>5653.6566594638216</c:v>
                </c:pt>
                <c:pt idx="912">
                  <c:v>5664.4057286740881</c:v>
                </c:pt>
                <c:pt idx="913">
                  <c:v>5675.1752346557842</c:v>
                </c:pt>
                <c:pt idx="914">
                  <c:v>5685.9652162645189</c:v>
                </c:pt>
                <c:pt idx="915">
                  <c:v>5696.7757124297705</c:v>
                </c:pt>
                <c:pt idx="916">
                  <c:v>5707.6067621550446</c:v>
                </c:pt>
                <c:pt idx="917">
                  <c:v>5718.4584045179918</c:v>
                </c:pt>
                <c:pt idx="918">
                  <c:v>5729.3306786705616</c:v>
                </c:pt>
                <c:pt idx="919">
                  <c:v>5740.2236238391461</c:v>
                </c:pt>
                <c:pt idx="920">
                  <c:v>5751.1372793247101</c:v>
                </c:pt>
                <c:pt idx="921">
                  <c:v>5762.0716845029447</c:v>
                </c:pt>
                <c:pt idx="922">
                  <c:v>5773.0268788244039</c:v>
                </c:pt>
                <c:pt idx="923">
                  <c:v>5784.002901814647</c:v>
                </c:pt>
                <c:pt idx="924">
                  <c:v>5794.9997930743812</c:v>
                </c:pt>
                <c:pt idx="925">
                  <c:v>5806.0175922796025</c:v>
                </c:pt>
                <c:pt idx="926">
                  <c:v>5817.0563391817459</c:v>
                </c:pt>
                <c:pt idx="927">
                  <c:v>5828.1160736078218</c:v>
                </c:pt>
                <c:pt idx="928">
                  <c:v>5839.1968354605633</c:v>
                </c:pt>
                <c:pt idx="929">
                  <c:v>5850.2986647185644</c:v>
                </c:pt>
                <c:pt idx="930">
                  <c:v>5861.4216014364374</c:v>
                </c:pt>
                <c:pt idx="931">
                  <c:v>5872.5656857449394</c:v>
                </c:pt>
                <c:pt idx="932">
                  <c:v>5883.7309578511331</c:v>
                </c:pt>
                <c:pt idx="933">
                  <c:v>5894.9174580385252</c:v>
                </c:pt>
                <c:pt idx="934">
                  <c:v>5906.1252266672027</c:v>
                </c:pt>
                <c:pt idx="935">
                  <c:v>5917.3543041740031</c:v>
                </c:pt>
                <c:pt idx="936">
                  <c:v>5928.6047310726317</c:v>
                </c:pt>
                <c:pt idx="937">
                  <c:v>5939.8765479538224</c:v>
                </c:pt>
                <c:pt idx="938">
                  <c:v>5951.1697954854935</c:v>
                </c:pt>
                <c:pt idx="939">
                  <c:v>5962.4845144128685</c:v>
                </c:pt>
                <c:pt idx="940">
                  <c:v>5973.8207455586498</c:v>
                </c:pt>
                <c:pt idx="941">
                  <c:v>5985.1785298231507</c:v>
                </c:pt>
                <c:pt idx="942">
                  <c:v>5996.5579081844398</c:v>
                </c:pt>
                <c:pt idx="943">
                  <c:v>6007.9589216985087</c:v>
                </c:pt>
                <c:pt idx="944">
                  <c:v>6019.3816114993979</c:v>
                </c:pt>
                <c:pt idx="945">
                  <c:v>6030.8260187993528</c:v>
                </c:pt>
                <c:pt idx="946">
                  <c:v>6042.2921848889828</c:v>
                </c:pt>
                <c:pt idx="947">
                  <c:v>6053.7801511373918</c:v>
                </c:pt>
                <c:pt idx="948">
                  <c:v>6065.2899589923481</c:v>
                </c:pt>
                <c:pt idx="949">
                  <c:v>6076.821649980413</c:v>
                </c:pt>
                <c:pt idx="950">
                  <c:v>6088.3752657071018</c:v>
                </c:pt>
                <c:pt idx="951">
                  <c:v>6099.9508478570397</c:v>
                </c:pt>
                <c:pt idx="952">
                  <c:v>6111.5484381940987</c:v>
                </c:pt>
                <c:pt idx="953">
                  <c:v>6123.1680785615536</c:v>
                </c:pt>
                <c:pt idx="954">
                  <c:v>6134.8098108822433</c:v>
                </c:pt>
                <c:pt idx="955">
                  <c:v>6146.4736771587004</c:v>
                </c:pt>
                <c:pt idx="956">
                  <c:v>6158.1597194733276</c:v>
                </c:pt>
                <c:pt idx="957">
                  <c:v>6169.8679799885285</c:v>
                </c:pt>
                <c:pt idx="958">
                  <c:v>6181.5985009468677</c:v>
                </c:pt>
                <c:pt idx="959">
                  <c:v>6193.3513246712337</c:v>
                </c:pt>
                <c:pt idx="960">
                  <c:v>6205.1264935649715</c:v>
                </c:pt>
                <c:pt idx="961">
                  <c:v>6216.9240501120485</c:v>
                </c:pt>
                <c:pt idx="962">
                  <c:v>6228.7440368772104</c:v>
                </c:pt>
                <c:pt idx="963">
                  <c:v>6240.586496506121</c:v>
                </c:pt>
                <c:pt idx="964">
                  <c:v>6252.4514717255342</c:v>
                </c:pt>
                <c:pt idx="965">
                  <c:v>6264.3390053434305</c:v>
                </c:pt>
                <c:pt idx="966">
                  <c:v>6276.2491402491796</c:v>
                </c:pt>
                <c:pt idx="967">
                  <c:v>6288.1819194137033</c:v>
                </c:pt>
                <c:pt idx="968">
                  <c:v>6300.1373858896141</c:v>
                </c:pt>
                <c:pt idx="969">
                  <c:v>6312.1155828113797</c:v>
                </c:pt>
                <c:pt idx="970">
                  <c:v>6324.1165533954836</c:v>
                </c:pt>
                <c:pt idx="971">
                  <c:v>6336.1403409405657</c:v>
                </c:pt>
                <c:pt idx="972">
                  <c:v>6348.1869888275987</c:v>
                </c:pt>
                <c:pt idx="973">
                  <c:v>6360.2565405200248</c:v>
                </c:pt>
                <c:pt idx="974">
                  <c:v>6372.3490395639228</c:v>
                </c:pt>
                <c:pt idx="975">
                  <c:v>6384.464529588171</c:v>
                </c:pt>
                <c:pt idx="976">
                  <c:v>6396.6030543045872</c:v>
                </c:pt>
                <c:pt idx="977">
                  <c:v>6408.7646575081044</c:v>
                </c:pt>
                <c:pt idx="978">
                  <c:v>6420.9493830769197</c:v>
                </c:pt>
                <c:pt idx="979">
                  <c:v>6433.1572749726492</c:v>
                </c:pt>
                <c:pt idx="980">
                  <c:v>6445.3883772405006</c:v>
                </c:pt>
                <c:pt idx="981">
                  <c:v>6457.6427340094124</c:v>
                </c:pt>
                <c:pt idx="982">
                  <c:v>6469.9203894922312</c:v>
                </c:pt>
                <c:pt idx="983">
                  <c:v>6482.2213879858609</c:v>
                </c:pt>
                <c:pt idx="984">
                  <c:v>6494.5457738714285</c:v>
                </c:pt>
                <c:pt idx="985">
                  <c:v>6506.8935916144337</c:v>
                </c:pt>
                <c:pt idx="986">
                  <c:v>6519.2648857649247</c:v>
                </c:pt>
                <c:pt idx="987">
                  <c:v>6531.6597009576444</c:v>
                </c:pt>
                <c:pt idx="988">
                  <c:v>6544.0780819122037</c:v>
                </c:pt>
                <c:pt idx="989">
                  <c:v>6556.5200734332348</c:v>
                </c:pt>
                <c:pt idx="990">
                  <c:v>6568.9857204105519</c:v>
                </c:pt>
                <c:pt idx="991">
                  <c:v>6581.4750678193222</c:v>
                </c:pt>
                <c:pt idx="992">
                  <c:v>6593.9881607202178</c:v>
                </c:pt>
                <c:pt idx="993">
                  <c:v>6606.5250442595825</c:v>
                </c:pt>
                <c:pt idx="994">
                  <c:v>6619.0857636696019</c:v>
                </c:pt>
                <c:pt idx="995">
                  <c:v>6631.6703642684497</c:v>
                </c:pt>
                <c:pt idx="996">
                  <c:v>6644.2788914604707</c:v>
                </c:pt>
                <c:pt idx="997">
                  <c:v>6656.9113907363298</c:v>
                </c:pt>
                <c:pt idx="998">
                  <c:v>6669.5679076731785</c:v>
                </c:pt>
                <c:pt idx="999">
                  <c:v>6682.2484879348303</c:v>
                </c:pt>
                <c:pt idx="1000">
                  <c:v>6694.9531772719138</c:v>
                </c:pt>
                <c:pt idx="1001">
                  <c:v>6707.6820215220359</c:v>
                </c:pt>
                <c:pt idx="1002">
                  <c:v>6720.4350666099645</c:v>
                </c:pt>
                <c:pt idx="1003">
                  <c:v>6733.2123585477693</c:v>
                </c:pt>
                <c:pt idx="1004">
                  <c:v>6746.013943435014</c:v>
                </c:pt>
                <c:pt idx="1005">
                  <c:v>6758.8398674588989</c:v>
                </c:pt>
                <c:pt idx="1006">
                  <c:v>6771.6901768944399</c:v>
                </c:pt>
                <c:pt idx="1007">
                  <c:v>6784.564918104641</c:v>
                </c:pt>
                <c:pt idx="1008">
                  <c:v>6797.4641375406472</c:v>
                </c:pt>
                <c:pt idx="1009">
                  <c:v>6810.3878817419181</c:v>
                </c:pt>
                <c:pt idx="1010">
                  <c:v>6823.3361973364053</c:v>
                </c:pt>
                <c:pt idx="1011">
                  <c:v>6836.3091310407017</c:v>
                </c:pt>
                <c:pt idx="1012">
                  <c:v>6849.3067296602312</c:v>
                </c:pt>
                <c:pt idx="1013">
                  <c:v>6862.3290400893993</c:v>
                </c:pt>
                <c:pt idx="1014">
                  <c:v>6875.3761093117682</c:v>
                </c:pt>
                <c:pt idx="1015">
                  <c:v>6888.4479844002399</c:v>
                </c:pt>
                <c:pt idx="1016">
                  <c:v>6901.5447125172013</c:v>
                </c:pt>
                <c:pt idx="1017">
                  <c:v>6914.6663409147113</c:v>
                </c:pt>
                <c:pt idx="1018">
                  <c:v>6927.8129169346712</c:v>
                </c:pt>
                <c:pt idx="1019">
                  <c:v>6940.9844880089868</c:v>
                </c:pt>
                <c:pt idx="1020">
                  <c:v>6954.1811016597494</c:v>
                </c:pt>
                <c:pt idx="1021">
                  <c:v>6967.402805499396</c:v>
                </c:pt>
                <c:pt idx="1022">
                  <c:v>6980.6496472308872</c:v>
                </c:pt>
                <c:pt idx="1023">
                  <c:v>6993.9216746478878</c:v>
                </c:pt>
                <c:pt idx="1024">
                  <c:v>7007.2189356349245</c:v>
                </c:pt>
                <c:pt idx="1025">
                  <c:v>7020.541478167559</c:v>
                </c:pt>
                <c:pt idx="1026">
                  <c:v>7033.8893503125819</c:v>
                </c:pt>
                <c:pt idx="1027">
                  <c:v>7047.2626002281586</c:v>
                </c:pt>
                <c:pt idx="1028">
                  <c:v>7060.6612761640172</c:v>
                </c:pt>
                <c:pt idx="1029">
                  <c:v>7074.085426461631</c:v>
                </c:pt>
                <c:pt idx="1030">
                  <c:v>7087.5350995543686</c:v>
                </c:pt>
                <c:pt idx="1031">
                  <c:v>7101.0103439676959</c:v>
                </c:pt>
                <c:pt idx="1032">
                  <c:v>7114.5112083193299</c:v>
                </c:pt>
                <c:pt idx="1033">
                  <c:v>7128.0377413194228</c:v>
                </c:pt>
                <c:pt idx="1034">
                  <c:v>7141.5899917707466</c:v>
                </c:pt>
                <c:pt idx="1035">
                  <c:v>7155.1680085688458</c:v>
                </c:pt>
                <c:pt idx="1036">
                  <c:v>7168.7718407022394</c:v>
                </c:pt>
                <c:pt idx="1037">
                  <c:v>7182.4015372525837</c:v>
                </c:pt>
                <c:pt idx="1038">
                  <c:v>7196.0571473948476</c:v>
                </c:pt>
                <c:pt idx="1039">
                  <c:v>7209.7387203974995</c:v>
                </c:pt>
                <c:pt idx="1040">
                  <c:v>7223.4463056226778</c:v>
                </c:pt>
                <c:pt idx="1041">
                  <c:v>7237.1799525263696</c:v>
                </c:pt>
                <c:pt idx="1042">
                  <c:v>7250.939710658593</c:v>
                </c:pt>
                <c:pt idx="1043">
                  <c:v>7264.725629663576</c:v>
                </c:pt>
                <c:pt idx="1044">
                  <c:v>7278.537759279925</c:v>
                </c:pt>
                <c:pt idx="1045">
                  <c:v>7292.3761493408201</c:v>
                </c:pt>
                <c:pt idx="1046">
                  <c:v>7306.2408497741844</c:v>
                </c:pt>
                <c:pt idx="1047">
                  <c:v>7320.1319106028668</c:v>
                </c:pt>
                <c:pt idx="1048">
                  <c:v>7334.0493819448257</c:v>
                </c:pt>
                <c:pt idx="1049">
                  <c:v>7347.9933140132998</c:v>
                </c:pt>
                <c:pt idx="1050">
                  <c:v>7361.9637571170015</c:v>
                </c:pt>
                <c:pt idx="1051">
                  <c:v>7375.9607616602943</c:v>
                </c:pt>
                <c:pt idx="1052">
                  <c:v>7389.9843781433683</c:v>
                </c:pt>
                <c:pt idx="1053">
                  <c:v>7404.0346571624314</c:v>
                </c:pt>
                <c:pt idx="1054">
                  <c:v>7418.1116494098869</c:v>
                </c:pt>
                <c:pt idx="1055">
                  <c:v>7432.2154056745194</c:v>
                </c:pt>
                <c:pt idx="1056">
                  <c:v>7446.345976841676</c:v>
                </c:pt>
                <c:pt idx="1057">
                  <c:v>7460.5034138934398</c:v>
                </c:pt>
                <c:pt idx="1058">
                  <c:v>7474.6877679088457</c:v>
                </c:pt>
                <c:pt idx="1059">
                  <c:v>7488.8990900640183</c:v>
                </c:pt>
                <c:pt idx="1060">
                  <c:v>7503.1374316324009</c:v>
                </c:pt>
                <c:pt idx="1061">
                  <c:v>7517.4028439849089</c:v>
                </c:pt>
                <c:pt idx="1062">
                  <c:v>7531.6953785901342</c:v>
                </c:pt>
                <c:pt idx="1063">
                  <c:v>7546.0150870145198</c:v>
                </c:pt>
                <c:pt idx="1064">
                  <c:v>7560.3620209225555</c:v>
                </c:pt>
                <c:pt idx="1065">
                  <c:v>7574.7362320769444</c:v>
                </c:pt>
                <c:pt idx="1066">
                  <c:v>7589.1377723388268</c:v>
                </c:pt>
                <c:pt idx="1067">
                  <c:v>7603.5666936679218</c:v>
                </c:pt>
                <c:pt idx="1068">
                  <c:v>7618.0230481227509</c:v>
                </c:pt>
                <c:pt idx="1069">
                  <c:v>7632.5068878608081</c:v>
                </c:pt>
                <c:pt idx="1070">
                  <c:v>7647.0182651387549</c:v>
                </c:pt>
                <c:pt idx="1071">
                  <c:v>7661.5572323126025</c:v>
                </c:pt>
                <c:pt idx="1072">
                  <c:v>7676.1238418379062</c:v>
                </c:pt>
                <c:pt idx="1073">
                  <c:v>7690.7181462699546</c:v>
                </c:pt>
                <c:pt idx="1074">
                  <c:v>7705.3401982639562</c:v>
                </c:pt>
                <c:pt idx="1075">
                  <c:v>7719.9900505752321</c:v>
                </c:pt>
                <c:pt idx="1076">
                  <c:v>7734.6677560593971</c:v>
                </c:pt>
                <c:pt idx="1077">
                  <c:v>7749.3733676725697</c:v>
                </c:pt>
                <c:pt idx="1078">
                  <c:v>7764.1069384715447</c:v>
                </c:pt>
                <c:pt idx="1079">
                  <c:v>7778.8685216139947</c:v>
                </c:pt>
                <c:pt idx="1080">
                  <c:v>7793.658170358658</c:v>
                </c:pt>
                <c:pt idx="1081">
                  <c:v>7808.4759380655296</c:v>
                </c:pt>
                <c:pt idx="1082">
                  <c:v>7823.3218781960586</c:v>
                </c:pt>
                <c:pt idx="1083">
                  <c:v>7838.1960443133403</c:v>
                </c:pt>
                <c:pt idx="1084">
                  <c:v>7853.0984900822941</c:v>
                </c:pt>
                <c:pt idx="1085">
                  <c:v>7868.0292692698922</c:v>
                </c:pt>
                <c:pt idx="1086">
                  <c:v>7882.9884357453093</c:v>
                </c:pt>
                <c:pt idx="1087">
                  <c:v>7897.976043480161</c:v>
                </c:pt>
                <c:pt idx="1088">
                  <c:v>7912.9921465486568</c:v>
                </c:pt>
                <c:pt idx="1089">
                  <c:v>7928.0367991278272</c:v>
                </c:pt>
                <c:pt idx="1090">
                  <c:v>7943.1100554977047</c:v>
                </c:pt>
                <c:pt idx="1091">
                  <c:v>7958.2119700415269</c:v>
                </c:pt>
                <c:pt idx="1092">
                  <c:v>7973.3425972459099</c:v>
                </c:pt>
                <c:pt idx="1093">
                  <c:v>7988.5019917010923</c:v>
                </c:pt>
                <c:pt idx="1094">
                  <c:v>8003.690208101073</c:v>
                </c:pt>
                <c:pt idx="1095">
                  <c:v>8018.9073012438657</c:v>
                </c:pt>
                <c:pt idx="1096">
                  <c:v>8034.1533260316464</c:v>
                </c:pt>
                <c:pt idx="1097">
                  <c:v>8049.4283374709848</c:v>
                </c:pt>
                <c:pt idx="1098">
                  <c:v>8064.7323906730344</c:v>
                </c:pt>
                <c:pt idx="1099">
                  <c:v>8080.0655408537295</c:v>
                </c:pt>
                <c:pt idx="1100">
                  <c:v>8095.4278433339687</c:v>
                </c:pt>
                <c:pt idx="1101">
                  <c:v>8110.8193535398595</c:v>
                </c:pt>
                <c:pt idx="1102">
                  <c:v>8126.2401270028558</c:v>
                </c:pt>
                <c:pt idx="1103">
                  <c:v>8141.6902193600208</c:v>
                </c:pt>
                <c:pt idx="1104">
                  <c:v>8157.1696863541747</c:v>
                </c:pt>
                <c:pt idx="1105">
                  <c:v>8172.678583834132</c:v>
                </c:pt>
                <c:pt idx="1106">
                  <c:v>8188.21696775489</c:v>
                </c:pt>
                <c:pt idx="1107">
                  <c:v>8203.7848941778302</c:v>
                </c:pt>
                <c:pt idx="1108">
                  <c:v>8219.3824192709089</c:v>
                </c:pt>
                <c:pt idx="1109">
                  <c:v>8235.009599308898</c:v>
                </c:pt>
                <c:pt idx="1110">
                  <c:v>8250.6664906735296</c:v>
                </c:pt>
                <c:pt idx="1111">
                  <c:v>8266.3531498537686</c:v>
                </c:pt>
                <c:pt idx="1112">
                  <c:v>8282.0696334459481</c:v>
                </c:pt>
                <c:pt idx="1113">
                  <c:v>8297.8159981540248</c:v>
                </c:pt>
                <c:pt idx="1114">
                  <c:v>8313.5923007897563</c:v>
                </c:pt>
                <c:pt idx="1115">
                  <c:v>8329.3985982729173</c:v>
                </c:pt>
                <c:pt idx="1116">
                  <c:v>8345.2349476314939</c:v>
                </c:pt>
                <c:pt idx="1117">
                  <c:v>8361.101406001917</c:v>
                </c:pt>
                <c:pt idx="1118">
                  <c:v>8376.99803062922</c:v>
                </c:pt>
                <c:pt idx="1119">
                  <c:v>8392.9248788673049</c:v>
                </c:pt>
                <c:pt idx="1120">
                  <c:v>8408.8820081790927</c:v>
                </c:pt>
                <c:pt idx="1121">
                  <c:v>8424.8694761367697</c:v>
                </c:pt>
                <c:pt idx="1122">
                  <c:v>8440.8873404219794</c:v>
                </c:pt>
                <c:pt idx="1123">
                  <c:v>8456.9356588260307</c:v>
                </c:pt>
                <c:pt idx="1124">
                  <c:v>8473.0144892501103</c:v>
                </c:pt>
                <c:pt idx="1125">
                  <c:v>8489.1238897054955</c:v>
                </c:pt>
                <c:pt idx="1126">
                  <c:v>8505.2639183137435</c:v>
                </c:pt>
                <c:pt idx="1127">
                  <c:v>8521.4346333069352</c:v>
                </c:pt>
                <c:pt idx="1128">
                  <c:v>8537.6360930278497</c:v>
                </c:pt>
                <c:pt idx="1129">
                  <c:v>8553.8683559301971</c:v>
                </c:pt>
                <c:pt idx="1130">
                  <c:v>8570.1314805788243</c:v>
                </c:pt>
                <c:pt idx="1131">
                  <c:v>8586.4255256499237</c:v>
                </c:pt>
                <c:pt idx="1132">
                  <c:v>8602.7505499312465</c:v>
                </c:pt>
                <c:pt idx="1133">
                  <c:v>8619.1066123223136</c:v>
                </c:pt>
                <c:pt idx="1134">
                  <c:v>8635.4937718346337</c:v>
                </c:pt>
                <c:pt idx="1135">
                  <c:v>8651.9120875919052</c:v>
                </c:pt>
                <c:pt idx="1136">
                  <c:v>8668.3616188302422</c:v>
                </c:pt>
                <c:pt idx="1137">
                  <c:v>8684.8424248983738</c:v>
                </c:pt>
                <c:pt idx="1138">
                  <c:v>8701.3545652578741</c:v>
                </c:pt>
                <c:pt idx="1139">
                  <c:v>8717.8980994833692</c:v>
                </c:pt>
                <c:pt idx="1140">
                  <c:v>8734.4730872627442</c:v>
                </c:pt>
                <c:pt idx="1141">
                  <c:v>8751.0795883973733</c:v>
                </c:pt>
                <c:pt idx="1142">
                  <c:v>8767.7176628023299</c:v>
                </c:pt>
                <c:pt idx="1143">
                  <c:v>8784.3873705065962</c:v>
                </c:pt>
                <c:pt idx="1144">
                  <c:v>8801.0887716532907</c:v>
                </c:pt>
                <c:pt idx="1145">
                  <c:v>8817.8219264998661</c:v>
                </c:pt>
                <c:pt idx="1146">
                  <c:v>8834.5868954183643</c:v>
                </c:pt>
                <c:pt idx="1147">
                  <c:v>8851.3837388955872</c:v>
                </c:pt>
                <c:pt idx="1148">
                  <c:v>8868.2125175333476</c:v>
                </c:pt>
                <c:pt idx="1149">
                  <c:v>8885.0732920486789</c:v>
                </c:pt>
                <c:pt idx="1150">
                  <c:v>8901.9661232740509</c:v>
                </c:pt>
                <c:pt idx="1151">
                  <c:v>8918.8910721575921</c:v>
                </c:pt>
                <c:pt idx="1152">
                  <c:v>8935.8481997633153</c:v>
                </c:pt>
                <c:pt idx="1153">
                  <c:v>8952.8375672713119</c:v>
                </c:pt>
                <c:pt idx="1154">
                  <c:v>8969.8592359780268</c:v>
                </c:pt>
                <c:pt idx="1155">
                  <c:v>8986.913267296406</c:v>
                </c:pt>
                <c:pt idx="1156">
                  <c:v>9003.9997227561889</c:v>
                </c:pt>
                <c:pt idx="1157">
                  <c:v>9021.1186640040851</c:v>
                </c:pt>
                <c:pt idx="1158">
                  <c:v>9038.2701528040125</c:v>
                </c:pt>
                <c:pt idx="1159">
                  <c:v>9055.4542510373067</c:v>
                </c:pt>
                <c:pt idx="1160">
                  <c:v>9072.6710207029882</c:v>
                </c:pt>
                <c:pt idx="1161">
                  <c:v>9089.9205239179119</c:v>
                </c:pt>
                <c:pt idx="1162">
                  <c:v>9107.2028229170683</c:v>
                </c:pt>
                <c:pt idx="1163">
                  <c:v>9124.5179800537535</c:v>
                </c:pt>
                <c:pt idx="1164">
                  <c:v>9141.8660577998144</c:v>
                </c:pt>
                <c:pt idx="1165">
                  <c:v>9159.2471187458814</c:v>
                </c:pt>
                <c:pt idx="1166">
                  <c:v>9176.6612256015833</c:v>
                </c:pt>
                <c:pt idx="1167">
                  <c:v>9194.1084411957636</c:v>
                </c:pt>
                <c:pt idx="1168">
                  <c:v>9211.5888284767461</c:v>
                </c:pt>
                <c:pt idx="1169">
                  <c:v>9229.1024505125024</c:v>
                </c:pt>
                <c:pt idx="1170">
                  <c:v>9246.6493704909499</c:v>
                </c:pt>
                <c:pt idx="1171">
                  <c:v>9264.2296517201066</c:v>
                </c:pt>
                <c:pt idx="1172">
                  <c:v>9281.8433576283805</c:v>
                </c:pt>
                <c:pt idx="1173">
                  <c:v>9299.4905517647603</c:v>
                </c:pt>
                <c:pt idx="1174">
                  <c:v>9317.1712977990701</c:v>
                </c:pt>
                <c:pt idx="1175">
                  <c:v>9334.8856595221641</c:v>
                </c:pt>
                <c:pt idx="1176">
                  <c:v>9352.6337008462142</c:v>
                </c:pt>
                <c:pt idx="1177">
                  <c:v>9370.4154858048678</c:v>
                </c:pt>
                <c:pt idx="1178">
                  <c:v>9388.2310785535519</c:v>
                </c:pt>
                <c:pt idx="1179">
                  <c:v>9406.0805433696423</c:v>
                </c:pt>
                <c:pt idx="1180">
                  <c:v>9423.9639446527326</c:v>
                </c:pt>
                <c:pt idx="1181">
                  <c:v>9441.8813469248653</c:v>
                </c:pt>
                <c:pt idx="1182">
                  <c:v>9459.8328148307446</c:v>
                </c:pt>
                <c:pt idx="1183">
                  <c:v>9477.818413137984</c:v>
                </c:pt>
                <c:pt idx="1184">
                  <c:v>9495.8382067373423</c:v>
                </c:pt>
                <c:pt idx="1185">
                  <c:v>9513.8922606429387</c:v>
                </c:pt>
                <c:pt idx="1186">
                  <c:v>9531.9806399925237</c:v>
                </c:pt>
                <c:pt idx="1187">
                  <c:v>9550.1034100476681</c:v>
                </c:pt>
                <c:pt idx="1188">
                  <c:v>9568.2606361940361</c:v>
                </c:pt>
                <c:pt idx="1189">
                  <c:v>9586.4523839416051</c:v>
                </c:pt>
                <c:pt idx="1190">
                  <c:v>9604.6787189248989</c:v>
                </c:pt>
                <c:pt idx="1191">
                  <c:v>9622.9397069032311</c:v>
                </c:pt>
                <c:pt idx="1192">
                  <c:v>9641.2354137609473</c:v>
                </c:pt>
                <c:pt idx="1193">
                  <c:v>9659.5659055076503</c:v>
                </c:pt>
                <c:pt idx="1194">
                  <c:v>9677.9312482784444</c:v>
                </c:pt>
                <c:pt idx="1195">
                  <c:v>9696.3315083341768</c:v>
                </c:pt>
                <c:pt idx="1196">
                  <c:v>9714.7667520616687</c:v>
                </c:pt>
                <c:pt idx="1197">
                  <c:v>9733.237045973965</c:v>
                </c:pt>
                <c:pt idx="1198">
                  <c:v>9751.7424567105681</c:v>
                </c:pt>
                <c:pt idx="1199">
                  <c:v>9770.2830510376771</c:v>
                </c:pt>
                <c:pt idx="1200">
                  <c:v>9788.8588958484324</c:v>
                </c:pt>
                <c:pt idx="1201">
                  <c:v>9807.4700581631587</c:v>
                </c:pt>
                <c:pt idx="1202">
                  <c:v>9826.1166051295968</c:v>
                </c:pt>
                <c:pt idx="1203">
                  <c:v>9844.7986040231644</c:v>
                </c:pt>
                <c:pt idx="1204">
                  <c:v>9863.5161222471634</c:v>
                </c:pt>
                <c:pt idx="1205">
                  <c:v>9882.2692273330849</c:v>
                </c:pt>
                <c:pt idx="1206">
                  <c:v>9901.0579869407757</c:v>
                </c:pt>
                <c:pt idx="1207">
                  <c:v>9919.8824688587465</c:v>
                </c:pt>
                <c:pt idx="1208">
                  <c:v>9938.742741004382</c:v>
                </c:pt>
                <c:pt idx="1209">
                  <c:v>9957.6388714241984</c:v>
                </c:pt>
                <c:pt idx="1210">
                  <c:v>9976.5709282940843</c:v>
                </c:pt>
                <c:pt idx="1211">
                  <c:v>9995.5389799195545</c:v>
                </c:pt>
                <c:pt idx="1212">
                  <c:v>10014.543094735969</c:v>
                </c:pt>
                <c:pt idx="1213">
                  <c:v>10033.58334130884</c:v>
                </c:pt>
                <c:pt idx="1214">
                  <c:v>10052.659788334002</c:v>
                </c:pt>
                <c:pt idx="1215">
                  <c:v>10071.772504637915</c:v>
                </c:pt>
                <c:pt idx="1216">
                  <c:v>10090.921559177899</c:v>
                </c:pt>
                <c:pt idx="1217">
                  <c:v>10110.107021042373</c:v>
                </c:pt>
                <c:pt idx="1218">
                  <c:v>10129.328959451113</c:v>
                </c:pt>
                <c:pt idx="1219">
                  <c:v>10148.58744375551</c:v>
                </c:pt>
                <c:pt idx="1220">
                  <c:v>10167.88254343878</c:v>
                </c:pt>
                <c:pt idx="1221">
                  <c:v>10187.214328116286</c:v>
                </c:pt>
                <c:pt idx="1222">
                  <c:v>10206.582867535715</c:v>
                </c:pt>
                <c:pt idx="1223">
                  <c:v>10225.988231577379</c:v>
                </c:pt>
                <c:pt idx="1224">
                  <c:v>10245.430490254441</c:v>
                </c:pt>
                <c:pt idx="1225">
                  <c:v>10264.909713713187</c:v>
                </c:pt>
                <c:pt idx="1226">
                  <c:v>10284.425972233261</c:v>
                </c:pt>
                <c:pt idx="1227">
                  <c:v>10303.979336227938</c:v>
                </c:pt>
                <c:pt idx="1228">
                  <c:v>10323.569876244344</c:v>
                </c:pt>
                <c:pt idx="1229">
                  <c:v>10343.197662963767</c:v>
                </c:pt>
                <c:pt idx="1230">
                  <c:v>10362.862767201845</c:v>
                </c:pt>
                <c:pt idx="1231">
                  <c:v>10382.565259908877</c:v>
                </c:pt>
                <c:pt idx="1232">
                  <c:v>10402.305212170049</c:v>
                </c:pt>
                <c:pt idx="1233">
                  <c:v>10422.082695205698</c:v>
                </c:pt>
                <c:pt idx="1234">
                  <c:v>10441.897780371573</c:v>
                </c:pt>
                <c:pt idx="1235">
                  <c:v>10461.750539159088</c:v>
                </c:pt>
                <c:pt idx="1236">
                  <c:v>10481.641043195568</c:v>
                </c:pt>
                <c:pt idx="1237">
                  <c:v>10501.569364244549</c:v>
                </c:pt>
                <c:pt idx="1238">
                  <c:v>10521.535574205976</c:v>
                </c:pt>
                <c:pt idx="1239">
                  <c:v>10541.539745116515</c:v>
                </c:pt>
                <c:pt idx="1240">
                  <c:v>10561.581949149786</c:v>
                </c:pt>
                <c:pt idx="1241">
                  <c:v>10581.66225861663</c:v>
                </c:pt>
                <c:pt idx="1242">
                  <c:v>10601.780745965369</c:v>
                </c:pt>
                <c:pt idx="1243">
                  <c:v>10621.937483782072</c:v>
                </c:pt>
                <c:pt idx="1244">
                  <c:v>10642.1325447908</c:v>
                </c:pt>
                <c:pt idx="1245">
                  <c:v>10662.36600185391</c:v>
                </c:pt>
                <c:pt idx="1246">
                  <c:v>10682.63792797225</c:v>
                </c:pt>
                <c:pt idx="1247">
                  <c:v>10702.948396285492</c:v>
                </c:pt>
                <c:pt idx="1248">
                  <c:v>10723.297480072355</c:v>
                </c:pt>
                <c:pt idx="1249">
                  <c:v>10743.68525275088</c:v>
                </c:pt>
                <c:pt idx="1250">
                  <c:v>10764.111787878694</c:v>
                </c:pt>
                <c:pt idx="1251">
                  <c:v>10784.577159153279</c:v>
                </c:pt>
                <c:pt idx="1252">
                  <c:v>10805.081440412232</c:v>
                </c:pt>
                <c:pt idx="1253">
                  <c:v>10825.624705633534</c:v>
                </c:pt>
                <c:pt idx="1254">
                  <c:v>10846.207028935829</c:v>
                </c:pt>
                <c:pt idx="1255">
                  <c:v>10866.828484578658</c:v>
                </c:pt>
                <c:pt idx="1256">
                  <c:v>10887.489146962762</c:v>
                </c:pt>
                <c:pt idx="1257">
                  <c:v>10908.189090630342</c:v>
                </c:pt>
                <c:pt idx="1258">
                  <c:v>10928.928390265311</c:v>
                </c:pt>
                <c:pt idx="1259">
                  <c:v>10949.707120693583</c:v>
                </c:pt>
                <c:pt idx="1260">
                  <c:v>10970.525356883336</c:v>
                </c:pt>
                <c:pt idx="1261">
                  <c:v>10991.383173945276</c:v>
                </c:pt>
                <c:pt idx="1262">
                  <c:v>11012.280647132928</c:v>
                </c:pt>
                <c:pt idx="1263">
                  <c:v>11033.217851842861</c:v>
                </c:pt>
                <c:pt idx="1264">
                  <c:v>11054.194863615041</c:v>
                </c:pt>
                <c:pt idx="1265">
                  <c:v>11075.211758133006</c:v>
                </c:pt>
                <c:pt idx="1266">
                  <c:v>11096.268611224232</c:v>
                </c:pt>
                <c:pt idx="1267">
                  <c:v>11117.365498860325</c:v>
                </c:pt>
                <c:pt idx="1268">
                  <c:v>11138.502497157357</c:v>
                </c:pt>
                <c:pt idx="1269">
                  <c:v>11159.679682376103</c:v>
                </c:pt>
                <c:pt idx="1270">
                  <c:v>11180.897130922345</c:v>
                </c:pt>
                <c:pt idx="1271">
                  <c:v>11202.154919347107</c:v>
                </c:pt>
                <c:pt idx="1272">
                  <c:v>11223.45312434699</c:v>
                </c:pt>
                <c:pt idx="1273">
                  <c:v>11244.791822764379</c:v>
                </c:pt>
                <c:pt idx="1274">
                  <c:v>11266.171091587794</c:v>
                </c:pt>
                <c:pt idx="1275">
                  <c:v>11287.591007952093</c:v>
                </c:pt>
                <c:pt idx="1276">
                  <c:v>11309.051649138812</c:v>
                </c:pt>
                <c:pt idx="1277">
                  <c:v>11330.553092576412</c:v>
                </c:pt>
                <c:pt idx="1278">
                  <c:v>11352.095415840571</c:v>
                </c:pt>
                <c:pt idx="1279">
                  <c:v>11373.678696654437</c:v>
                </c:pt>
                <c:pt idx="1280">
                  <c:v>11395.303012888966</c:v>
                </c:pt>
                <c:pt idx="1281">
                  <c:v>11416.968442563133</c:v>
                </c:pt>
                <c:pt idx="1282">
                  <c:v>11438.675063844268</c:v>
                </c:pt>
                <c:pt idx="1283">
                  <c:v>11460.422955048307</c:v>
                </c:pt>
                <c:pt idx="1284">
                  <c:v>11482.212194640091</c:v>
                </c:pt>
                <c:pt idx="1285">
                  <c:v>11504.04286123364</c:v>
                </c:pt>
                <c:pt idx="1286">
                  <c:v>11525.915033592446</c:v>
                </c:pt>
                <c:pt idx="1287">
                  <c:v>11547.828790629728</c:v>
                </c:pt>
                <c:pt idx="1288">
                  <c:v>11569.78421140878</c:v>
                </c:pt>
                <c:pt idx="1289">
                  <c:v>11591.781375143177</c:v>
                </c:pt>
                <c:pt idx="1290">
                  <c:v>11613.820361197117</c:v>
                </c:pt>
                <c:pt idx="1291">
                  <c:v>11635.901249085691</c:v>
                </c:pt>
                <c:pt idx="1292">
                  <c:v>11658.024118475165</c:v>
                </c:pt>
                <c:pt idx="1293">
                  <c:v>11680.189049183273</c:v>
                </c:pt>
                <c:pt idx="1294">
                  <c:v>11702.396121179505</c:v>
                </c:pt>
                <c:pt idx="1295">
                  <c:v>11724.64541458538</c:v>
                </c:pt>
                <c:pt idx="1296">
                  <c:v>11746.937009674777</c:v>
                </c:pt>
                <c:pt idx="1297">
                  <c:v>11769.270986874166</c:v>
                </c:pt>
                <c:pt idx="1298">
                  <c:v>11791.647426762946</c:v>
                </c:pt>
                <c:pt idx="1299">
                  <c:v>11814.066410073714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2E-CB44-BB91-0055E0FEF7DF}"/>
            </c:ext>
          </c:extLst>
        </c:ser>
        <c:ser>
          <c:idx val="10"/>
          <c:order val="10"/>
          <c:tx>
            <c:strRef>
              <c:f>'Compounding within 1 year'!$J$1</c:f>
              <c:strCache>
                <c:ptCount val="1"/>
                <c:pt idx="0">
                  <c:v>Monthly</c:v>
                </c:pt>
              </c:strCache>
            </c:strRef>
          </c:tx>
          <c:marker>
            <c:symbol val="none"/>
          </c:marker>
          <c:val>
            <c:numRef>
              <c:f>'Compounding within 1 year'!$J$2:$J$1363</c:f>
              <c:numCache>
                <c:formatCode>_("$"* #,##0.00_);_("$"* \(#,##0.00\);_("$"* "-"??_);_(@_)</c:formatCode>
                <c:ptCount val="1362"/>
                <c:pt idx="0">
                  <c:v>1001.9169663584029</c:v>
                </c:pt>
                <c:pt idx="1">
                  <c:v>1003.8376074768247</c:v>
                </c:pt>
                <c:pt idx="2">
                  <c:v>1005.7619303996574</c:v>
                </c:pt>
                <c:pt idx="3">
                  <c:v>1007.6899421847958</c:v>
                </c:pt>
                <c:pt idx="4">
                  <c:v>1009.621649903665</c:v>
                </c:pt>
                <c:pt idx="5">
                  <c:v>1011.5570606412454</c:v>
                </c:pt>
                <c:pt idx="6">
                  <c:v>1013.4961814960994</c:v>
                </c:pt>
                <c:pt idx="7">
                  <c:v>1015.439019580397</c:v>
                </c:pt>
                <c:pt idx="8">
                  <c:v>1017.3855820199423</c:v>
                </c:pt>
                <c:pt idx="9">
                  <c:v>1019.3358759541986</c:v>
                </c:pt>
                <c:pt idx="10">
                  <c:v>1021.2899085363158</c:v>
                </c:pt>
                <c:pt idx="11">
                  <c:v>1023.2476869331562</c:v>
                </c:pt>
                <c:pt idx="12">
                  <c:v>1025.2092183253205</c:v>
                </c:pt>
                <c:pt idx="13">
                  <c:v>1027.1745099071745</c:v>
                </c:pt>
                <c:pt idx="14">
                  <c:v>1029.1435688868755</c:v>
                </c:pt>
                <c:pt idx="15">
                  <c:v>1031.1164024863981</c:v>
                </c:pt>
                <c:pt idx="16">
                  <c:v>1033.0930179415618</c:v>
                </c:pt>
                <c:pt idx="17">
                  <c:v>1035.0734225020565</c:v>
                </c:pt>
                <c:pt idx="18">
                  <c:v>1037.0576234314699</c:v>
                </c:pt>
                <c:pt idx="19">
                  <c:v>1039.0456280073133</c:v>
                </c:pt>
                <c:pt idx="20">
                  <c:v>1041.0374435210488</c:v>
                </c:pt>
                <c:pt idx="21">
                  <c:v>1043.0330772781163</c:v>
                </c:pt>
                <c:pt idx="22">
                  <c:v>1045.0325365979597</c:v>
                </c:pt>
                <c:pt idx="23">
                  <c:v>1047.0358288140544</c:v>
                </c:pt>
                <c:pt idx="24">
                  <c:v>1049.0429612739331</c:v>
                </c:pt>
                <c:pt idx="25">
                  <c:v>1051.0539413392146</c:v>
                </c:pt>
                <c:pt idx="26">
                  <c:v>1053.0687763856286</c:v>
                </c:pt>
                <c:pt idx="27">
                  <c:v>1055.0874738030443</c:v>
                </c:pt>
                <c:pt idx="28">
                  <c:v>1057.1100409954968</c:v>
                </c:pt>
                <c:pt idx="29">
                  <c:v>1059.1364853812149</c:v>
                </c:pt>
                <c:pt idx="30">
                  <c:v>1061.1668143926479</c:v>
                </c:pt>
                <c:pt idx="31">
                  <c:v>1063.2010354764918</c:v>
                </c:pt>
                <c:pt idx="32">
                  <c:v>1065.2391560937194</c:v>
                </c:pt>
                <c:pt idx="33">
                  <c:v>1067.2811837196043</c:v>
                </c:pt>
                <c:pt idx="34">
                  <c:v>1069.3271258437512</c:v>
                </c:pt>
                <c:pt idx="35">
                  <c:v>1071.376989970121</c:v>
                </c:pt>
                <c:pt idx="36">
                  <c:v>1073.4307836170606</c:v>
                </c:pt>
                <c:pt idx="37">
                  <c:v>1075.4885143173285</c:v>
                </c:pt>
                <c:pt idx="38">
                  <c:v>1077.5501896181233</c:v>
                </c:pt>
                <c:pt idx="39">
                  <c:v>1079.6158170811118</c:v>
                </c:pt>
                <c:pt idx="40">
                  <c:v>1081.6854042824559</c:v>
                </c:pt>
                <c:pt idx="41">
                  <c:v>1083.7589588128408</c:v>
                </c:pt>
                <c:pt idx="42">
                  <c:v>1085.8364882775027</c:v>
                </c:pt>
                <c:pt idx="43">
                  <c:v>1087.9180002962567</c:v>
                </c:pt>
                <c:pt idx="44">
                  <c:v>1090.0035025035256</c:v>
                </c:pt>
                <c:pt idx="45">
                  <c:v>1092.093002548366</c:v>
                </c:pt>
                <c:pt idx="46">
                  <c:v>1094.1865080944983</c:v>
                </c:pt>
                <c:pt idx="47">
                  <c:v>1096.2840268203338</c:v>
                </c:pt>
                <c:pt idx="48">
                  <c:v>1098.3855664190025</c:v>
                </c:pt>
                <c:pt idx="49">
                  <c:v>1100.491134598383</c:v>
                </c:pt>
                <c:pt idx="50">
                  <c:v>1102.6007390811285</c:v>
                </c:pt>
                <c:pt idx="51">
                  <c:v>1104.7143876046971</c:v>
                </c:pt>
                <c:pt idx="52">
                  <c:v>1106.8320879213788</c:v>
                </c:pt>
                <c:pt idx="53">
                  <c:v>1108.9538477983249</c:v>
                </c:pt>
                <c:pt idx="54">
                  <c:v>1111.0796750175757</c:v>
                </c:pt>
                <c:pt idx="55">
                  <c:v>1113.2095773760896</c:v>
                </c:pt>
                <c:pt idx="56">
                  <c:v>1115.3435626857713</c:v>
                </c:pt>
                <c:pt idx="57">
                  <c:v>1117.4816387735009</c:v>
                </c:pt>
                <c:pt idx="58">
                  <c:v>1119.6238134811624</c:v>
                </c:pt>
                <c:pt idx="59">
                  <c:v>1121.7700946656726</c:v>
                </c:pt>
                <c:pt idx="60">
                  <c:v>1123.920490199009</c:v>
                </c:pt>
                <c:pt idx="61">
                  <c:v>1126.07500796824</c:v>
                </c:pt>
                <c:pt idx="62">
                  <c:v>1128.2336558755533</c:v>
                </c:pt>
                <c:pt idx="63">
                  <c:v>1130.3964418382845</c:v>
                </c:pt>
                <c:pt idx="64">
                  <c:v>1132.5633737889466</c:v>
                </c:pt>
                <c:pt idx="65">
                  <c:v>1134.7344596752594</c:v>
                </c:pt>
                <c:pt idx="66">
                  <c:v>1136.9097074601771</c:v>
                </c:pt>
                <c:pt idx="67">
                  <c:v>1139.08912512192</c:v>
                </c:pt>
                <c:pt idx="68">
                  <c:v>1141.272720654001</c:v>
                </c:pt>
                <c:pt idx="69">
                  <c:v>1143.4605020652575</c:v>
                </c:pt>
                <c:pt idx="70">
                  <c:v>1145.652477379879</c:v>
                </c:pt>
                <c:pt idx="71">
                  <c:v>1147.8486546374372</c:v>
                </c:pt>
                <c:pt idx="72">
                  <c:v>1150.0490418929151</c:v>
                </c:pt>
                <c:pt idx="73">
                  <c:v>1152.2536472167371</c:v>
                </c:pt>
                <c:pt idx="74">
                  <c:v>1154.4624786947984</c:v>
                </c:pt>
                <c:pt idx="75">
                  <c:v>1156.6755444284947</c:v>
                </c:pt>
                <c:pt idx="76">
                  <c:v>1158.8928525347512</c:v>
                </c:pt>
                <c:pt idx="77">
                  <c:v>1161.114411146054</c:v>
                </c:pt>
                <c:pt idx="78">
                  <c:v>1163.3402284104775</c:v>
                </c:pt>
                <c:pt idx="79">
                  <c:v>1165.570312491717</c:v>
                </c:pt>
                <c:pt idx="80">
                  <c:v>1167.8046715691166</c:v>
                </c:pt>
                <c:pt idx="81">
                  <c:v>1170.0433138377002</c:v>
                </c:pt>
                <c:pt idx="82">
                  <c:v>1172.2862475082013</c:v>
                </c:pt>
                <c:pt idx="83">
                  <c:v>1174.5334808070927</c:v>
                </c:pt>
                <c:pt idx="84">
                  <c:v>1176.7850219766176</c:v>
                </c:pt>
                <c:pt idx="85">
                  <c:v>1179.040879274819</c:v>
                </c:pt>
                <c:pt idx="86">
                  <c:v>1181.3010609755706</c:v>
                </c:pt>
                <c:pt idx="87">
                  <c:v>1183.5655753686062</c:v>
                </c:pt>
                <c:pt idx="88">
                  <c:v>1185.8344307595514</c:v>
                </c:pt>
                <c:pt idx="89">
                  <c:v>1188.1076354699533</c:v>
                </c:pt>
                <c:pt idx="90">
                  <c:v>1190.3851978373107</c:v>
                </c:pt>
                <c:pt idx="91">
                  <c:v>1192.6671262151053</c:v>
                </c:pt>
                <c:pt idx="92">
                  <c:v>1194.9534289728329</c:v>
                </c:pt>
                <c:pt idx="93">
                  <c:v>1197.2441144960317</c:v>
                </c:pt>
                <c:pt idx="94">
                  <c:v>1199.5391911863162</c:v>
                </c:pt>
                <c:pt idx="95">
                  <c:v>1201.8386674614062</c:v>
                </c:pt>
                <c:pt idx="96">
                  <c:v>1204.1425517551575</c:v>
                </c:pt>
                <c:pt idx="97">
                  <c:v>1206.4508525175931</c:v>
                </c:pt>
                <c:pt idx="98">
                  <c:v>1208.7635782149357</c:v>
                </c:pt>
                <c:pt idx="99">
                  <c:v>1211.0807373296363</c:v>
                </c:pt>
                <c:pt idx="100">
                  <c:v>1213.4023383604069</c:v>
                </c:pt>
                <c:pt idx="101">
                  <c:v>1215.7283898222511</c:v>
                </c:pt>
                <c:pt idx="102">
                  <c:v>1218.0589002464956</c:v>
                </c:pt>
                <c:pt idx="103">
                  <c:v>1220.3938781808213</c:v>
                </c:pt>
                <c:pt idx="104">
                  <c:v>1222.7333321892945</c:v>
                </c:pt>
                <c:pt idx="105">
                  <c:v>1225.0772708523991</c:v>
                </c:pt>
                <c:pt idx="106">
                  <c:v>1227.4257027670672</c:v>
                </c:pt>
                <c:pt idx="107">
                  <c:v>1229.7786365467105</c:v>
                </c:pt>
                <c:pt idx="108">
                  <c:v>1232.136080821253</c:v>
                </c:pt>
                <c:pt idx="109">
                  <c:v>1234.4980442371616</c:v>
                </c:pt>
                <c:pt idx="110">
                  <c:v>1236.8645354574783</c:v>
                </c:pt>
                <c:pt idx="111">
                  <c:v>1239.2355631618516</c:v>
                </c:pt>
                <c:pt idx="112">
                  <c:v>1241.6111360465693</c:v>
                </c:pt>
                <c:pt idx="113">
                  <c:v>1243.9912628245888</c:v>
                </c:pt>
                <c:pt idx="114">
                  <c:v>1246.3759522255707</c:v>
                </c:pt>
                <c:pt idx="115">
                  <c:v>1248.7652129959092</c:v>
                </c:pt>
                <c:pt idx="116">
                  <c:v>1251.1590538987659</c:v>
                </c:pt>
                <c:pt idx="117">
                  <c:v>1253.557483714101</c:v>
                </c:pt>
                <c:pt idx="118">
                  <c:v>1255.9605112387051</c:v>
                </c:pt>
                <c:pt idx="119">
                  <c:v>1258.368145286232</c:v>
                </c:pt>
                <c:pt idx="120">
                  <c:v>1260.7803946872314</c:v>
                </c:pt>
                <c:pt idx="121">
                  <c:v>1263.1972682891806</c:v>
                </c:pt>
                <c:pt idx="122">
                  <c:v>1265.6187749565172</c:v>
                </c:pt>
                <c:pt idx="123">
                  <c:v>1268.0449235706719</c:v>
                </c:pt>
                <c:pt idx="124">
                  <c:v>1270.4757230301002</c:v>
                </c:pt>
                <c:pt idx="125">
                  <c:v>1272.9111822503164</c:v>
                </c:pt>
                <c:pt idx="126">
                  <c:v>1275.3513101639251</c:v>
                </c:pt>
                <c:pt idx="127">
                  <c:v>1277.7961157206544</c:v>
                </c:pt>
                <c:pt idx="128">
                  <c:v>1280.2456078873886</c:v>
                </c:pt>
                <c:pt idx="129">
                  <c:v>1282.6997956482016</c:v>
                </c:pt>
                <c:pt idx="130">
                  <c:v>1285.1586880043892</c:v>
                </c:pt>
                <c:pt idx="131">
                  <c:v>1287.6222939745028</c:v>
                </c:pt>
                <c:pt idx="132">
                  <c:v>1290.0906225943813</c:v>
                </c:pt>
                <c:pt idx="133">
                  <c:v>1292.5636829171856</c:v>
                </c:pt>
                <c:pt idx="134">
                  <c:v>1295.041484013431</c:v>
                </c:pt>
                <c:pt idx="135">
                  <c:v>1297.5240349710209</c:v>
                </c:pt>
                <c:pt idx="136">
                  <c:v>1300.0113448952793</c:v>
                </c:pt>
                <c:pt idx="137">
                  <c:v>1302.5034229089856</c:v>
                </c:pt>
                <c:pt idx="138">
                  <c:v>1305.0002781524063</c:v>
                </c:pt>
                <c:pt idx="139">
                  <c:v>1307.501919783331</c:v>
                </c:pt>
                <c:pt idx="140">
                  <c:v>1310.0083569771025</c:v>
                </c:pt>
                <c:pt idx="141">
                  <c:v>1312.5195989266542</c:v>
                </c:pt>
                <c:pt idx="142">
                  <c:v>1315.0356548425411</c:v>
                </c:pt>
                <c:pt idx="143">
                  <c:v>1317.5565339529742</c:v>
                </c:pt>
                <c:pt idx="144">
                  <c:v>1320.0822455038558</c:v>
                </c:pt>
                <c:pt idx="145">
                  <c:v>1322.6127987588116</c:v>
                </c:pt>
                <c:pt idx="146">
                  <c:v>1325.1482029992253</c:v>
                </c:pt>
                <c:pt idx="147">
                  <c:v>1327.6884675242727</c:v>
                </c:pt>
                <c:pt idx="148">
                  <c:v>1330.233601650956</c:v>
                </c:pt>
                <c:pt idx="149">
                  <c:v>1332.7836147141379</c:v>
                </c:pt>
                <c:pt idx="150">
                  <c:v>1335.3385160665755</c:v>
                </c:pt>
                <c:pt idx="151">
                  <c:v>1337.8983150789545</c:v>
                </c:pt>
                <c:pt idx="152">
                  <c:v>1340.4630211399246</c:v>
                </c:pt>
                <c:pt idx="153">
                  <c:v>1343.0326436561327</c:v>
                </c:pt>
                <c:pt idx="154">
                  <c:v>1345.6071920522584</c:v>
                </c:pt>
                <c:pt idx="155">
                  <c:v>1348.1866757710475</c:v>
                </c:pt>
                <c:pt idx="156">
                  <c:v>1350.7711042733474</c:v>
                </c:pt>
                <c:pt idx="157">
                  <c:v>1353.3604870381419</c:v>
                </c:pt>
                <c:pt idx="158">
                  <c:v>1355.9548335625857</c:v>
                </c:pt>
                <c:pt idx="159">
                  <c:v>1358.554153362039</c:v>
                </c:pt>
                <c:pt idx="160">
                  <c:v>1361.1584559701023</c:v>
                </c:pt>
                <c:pt idx="161">
                  <c:v>1363.7677509386524</c:v>
                </c:pt>
                <c:pt idx="162">
                  <c:v>1366.3820478378764</c:v>
                </c:pt>
                <c:pt idx="163">
                  <c:v>1369.001356256307</c:v>
                </c:pt>
                <c:pt idx="164">
                  <c:v>1371.6256858008583</c:v>
                </c:pt>
                <c:pt idx="165">
                  <c:v>1374.2550460968596</c:v>
                </c:pt>
                <c:pt idx="166">
                  <c:v>1376.8894467880925</c:v>
                </c:pt>
                <c:pt idx="167">
                  <c:v>1379.5288975368251</c:v>
                </c:pt>
                <c:pt idx="168">
                  <c:v>1382.1734080238477</c:v>
                </c:pt>
                <c:pt idx="169">
                  <c:v>1384.8229879485084</c:v>
                </c:pt>
                <c:pt idx="170">
                  <c:v>1387.4776470287484</c:v>
                </c:pt>
                <c:pt idx="171">
                  <c:v>1390.1373950011384</c:v>
                </c:pt>
                <c:pt idx="172">
                  <c:v>1392.8022416209133</c:v>
                </c:pt>
                <c:pt idx="173">
                  <c:v>1395.4721966620086</c:v>
                </c:pt>
                <c:pt idx="174">
                  <c:v>1398.1472699170961</c:v>
                </c:pt>
                <c:pt idx="175">
                  <c:v>1400.8274711976198</c:v>
                </c:pt>
                <c:pt idx="176">
                  <c:v>1403.512810333832</c:v>
                </c:pt>
                <c:pt idx="177">
                  <c:v>1406.2032971748295</c:v>
                </c:pt>
                <c:pt idx="178">
                  <c:v>1408.8989415885887</c:v>
                </c:pt>
                <c:pt idx="179">
                  <c:v>1411.5997534620033</c:v>
                </c:pt>
                <c:pt idx="180">
                  <c:v>1414.3057427009196</c:v>
                </c:pt>
                <c:pt idx="181">
                  <c:v>1417.0169192301732</c:v>
                </c:pt>
                <c:pt idx="182">
                  <c:v>1419.7332929936251</c:v>
                </c:pt>
                <c:pt idx="183">
                  <c:v>1422.4548739541981</c:v>
                </c:pt>
                <c:pt idx="184">
                  <c:v>1425.1816720939146</c:v>
                </c:pt>
                <c:pt idx="185">
                  <c:v>1427.9136974139305</c:v>
                </c:pt>
                <c:pt idx="186">
                  <c:v>1430.6509599345759</c:v>
                </c:pt>
                <c:pt idx="187">
                  <c:v>1433.393469695387</c:v>
                </c:pt>
                <c:pt idx="188">
                  <c:v>1436.1412367551475</c:v>
                </c:pt>
                <c:pt idx="189">
                  <c:v>1438.8942711919219</c:v>
                </c:pt>
                <c:pt idx="190">
                  <c:v>1441.6525831030954</c:v>
                </c:pt>
                <c:pt idx="191">
                  <c:v>1444.4161826054083</c:v>
                </c:pt>
                <c:pt idx="192">
                  <c:v>1447.1850798349953</c:v>
                </c:pt>
                <c:pt idx="193">
                  <c:v>1449.9592849474216</c:v>
                </c:pt>
                <c:pt idx="194">
                  <c:v>1452.7388081177198</c:v>
                </c:pt>
                <c:pt idx="195">
                  <c:v>1455.5236595404276</c:v>
                </c:pt>
                <c:pt idx="196">
                  <c:v>1458.3138494296256</c:v>
                </c:pt>
                <c:pt idx="197">
                  <c:v>1461.1093880189751</c:v>
                </c:pt>
                <c:pt idx="198">
                  <c:v>1463.9102855617541</c:v>
                </c:pt>
                <c:pt idx="199">
                  <c:v>1466.7165523308959</c:v>
                </c:pt>
                <c:pt idx="200">
                  <c:v>1469.5281986190266</c:v>
                </c:pt>
                <c:pt idx="201">
                  <c:v>1472.3452347385034</c:v>
                </c:pt>
                <c:pt idx="202">
                  <c:v>1475.167671021452</c:v>
                </c:pt>
                <c:pt idx="203">
                  <c:v>1477.9955178198034</c:v>
                </c:pt>
                <c:pt idx="204">
                  <c:v>1480.8287855053341</c:v>
                </c:pt>
                <c:pt idx="205">
                  <c:v>1483.6674844697022</c:v>
                </c:pt>
                <c:pt idx="206">
                  <c:v>1486.5116251244867</c:v>
                </c:pt>
                <c:pt idx="207">
                  <c:v>1489.361217901225</c:v>
                </c:pt>
                <c:pt idx="208">
                  <c:v>1492.2162732514514</c:v>
                </c:pt>
                <c:pt idx="209">
                  <c:v>1495.0768016467357</c:v>
                </c:pt>
                <c:pt idx="210">
                  <c:v>1497.9428135787209</c:v>
                </c:pt>
                <c:pt idx="211">
                  <c:v>1500.8143195591626</c:v>
                </c:pt>
                <c:pt idx="212">
                  <c:v>1503.6913301199666</c:v>
                </c:pt>
                <c:pt idx="213">
                  <c:v>1506.5738558132286</c:v>
                </c:pt>
                <c:pt idx="214">
                  <c:v>1509.4619072112719</c:v>
                </c:pt>
                <c:pt idx="215">
                  <c:v>1512.3554949066861</c:v>
                </c:pt>
                <c:pt idx="216">
                  <c:v>1515.254629512368</c:v>
                </c:pt>
                <c:pt idx="217">
                  <c:v>1518.1593216615572</c:v>
                </c:pt>
                <c:pt idx="218">
                  <c:v>1521.0695820078781</c:v>
                </c:pt>
                <c:pt idx="219">
                  <c:v>1523.985421225377</c:v>
                </c:pt>
                <c:pt idx="220">
                  <c:v>1526.9068500085623</c:v>
                </c:pt>
                <c:pt idx="221">
                  <c:v>1529.8338790724436</c:v>
                </c:pt>
                <c:pt idx="222">
                  <c:v>1532.76651915257</c:v>
                </c:pt>
                <c:pt idx="223">
                  <c:v>1535.7047810050717</c:v>
                </c:pt>
                <c:pt idx="224">
                  <c:v>1538.6486754066968</c:v>
                </c:pt>
                <c:pt idx="225">
                  <c:v>1541.5982131548524</c:v>
                </c:pt>
                <c:pt idx="226">
                  <c:v>1544.5534050676442</c:v>
                </c:pt>
                <c:pt idx="227">
                  <c:v>1547.5142619839153</c:v>
                </c:pt>
                <c:pt idx="228">
                  <c:v>1550.4807947632871</c:v>
                </c:pt>
                <c:pt idx="229">
                  <c:v>1553.4530142861977</c:v>
                </c:pt>
                <c:pt idx="230">
                  <c:v>1556.4309314539439</c:v>
                </c:pt>
                <c:pt idx="231">
                  <c:v>1559.4145571887186</c:v>
                </c:pt>
                <c:pt idx="232">
                  <c:v>1562.403902433653</c:v>
                </c:pt>
                <c:pt idx="233">
                  <c:v>1565.3989781528555</c:v>
                </c:pt>
                <c:pt idx="234">
                  <c:v>1568.3997953314527</c:v>
                </c:pt>
                <c:pt idx="235">
                  <c:v>1571.4063649756288</c:v>
                </c:pt>
                <c:pt idx="236">
                  <c:v>1574.418698112667</c:v>
                </c:pt>
                <c:pt idx="237">
                  <c:v>1577.4368057909894</c:v>
                </c:pt>
                <c:pt idx="238">
                  <c:v>1580.4606990801969</c:v>
                </c:pt>
                <c:pt idx="239">
                  <c:v>1583.4903890711114</c:v>
                </c:pt>
                <c:pt idx="240">
                  <c:v>1586.5258868758149</c:v>
                </c:pt>
                <c:pt idx="241">
                  <c:v>1589.567203627691</c:v>
                </c:pt>
                <c:pt idx="242">
                  <c:v>1592.6143504814659</c:v>
                </c:pt>
                <c:pt idx="243">
                  <c:v>1595.6673386132484</c:v>
                </c:pt>
                <c:pt idx="244">
                  <c:v>1598.7261792205718</c:v>
                </c:pt>
                <c:pt idx="245">
                  <c:v>1601.7908835224355</c:v>
                </c:pt>
                <c:pt idx="246">
                  <c:v>1604.8614627593442</c:v>
                </c:pt>
                <c:pt idx="247">
                  <c:v>1607.9379281933511</c:v>
                </c:pt>
                <c:pt idx="248">
                  <c:v>1611.0202911080976</c:v>
                </c:pt>
                <c:pt idx="249">
                  <c:v>1614.108562808856</c:v>
                </c:pt>
                <c:pt idx="250">
                  <c:v>1617.2027546225704</c:v>
                </c:pt>
                <c:pt idx="251">
                  <c:v>1620.3028778978983</c:v>
                </c:pt>
                <c:pt idx="252">
                  <c:v>1623.4089440052517</c:v>
                </c:pt>
                <c:pt idx="253">
                  <c:v>1626.5209643368401</c:v>
                </c:pt>
                <c:pt idx="254">
                  <c:v>1629.6389503067107</c:v>
                </c:pt>
                <c:pt idx="255">
                  <c:v>1632.7629133507915</c:v>
                </c:pt>
                <c:pt idx="256">
                  <c:v>1635.8928649269326</c:v>
                </c:pt>
                <c:pt idx="257">
                  <c:v>1639.0288165149486</c:v>
                </c:pt>
                <c:pt idx="258">
                  <c:v>1642.1707796166606</c:v>
                </c:pt>
                <c:pt idx="259">
                  <c:v>1645.3187657559379</c:v>
                </c:pt>
                <c:pt idx="260">
                  <c:v>1648.4727864787408</c:v>
                </c:pt>
                <c:pt idx="261">
                  <c:v>1651.632853353163</c:v>
                </c:pt>
                <c:pt idx="262">
                  <c:v>1654.7989779694738</c:v>
                </c:pt>
                <c:pt idx="263">
                  <c:v>1657.9711719401607</c:v>
                </c:pt>
                <c:pt idx="264">
                  <c:v>1661.1494468999715</c:v>
                </c:pt>
                <c:pt idx="265">
                  <c:v>1664.3338145059583</c:v>
                </c:pt>
                <c:pt idx="266">
                  <c:v>1667.5242864375184</c:v>
                </c:pt>
                <c:pt idx="267">
                  <c:v>1670.7208743964386</c:v>
                </c:pt>
                <c:pt idx="268">
                  <c:v>1673.9235901069378</c:v>
                </c:pt>
                <c:pt idx="269">
                  <c:v>1677.1324453157097</c:v>
                </c:pt>
                <c:pt idx="270">
                  <c:v>1680.3474517919656</c:v>
                </c:pt>
                <c:pt idx="271">
                  <c:v>1683.5686213274789</c:v>
                </c:pt>
                <c:pt idx="272">
                  <c:v>1686.7959657366262</c:v>
                </c:pt>
                <c:pt idx="273">
                  <c:v>1690.0294968564328</c:v>
                </c:pt>
                <c:pt idx="274">
                  <c:v>1693.2692265466148</c:v>
                </c:pt>
                <c:pt idx="275">
                  <c:v>1696.5151666896234</c:v>
                </c:pt>
                <c:pt idx="276">
                  <c:v>1699.7673291906876</c:v>
                </c:pt>
                <c:pt idx="277">
                  <c:v>1703.0257259778582</c:v>
                </c:pt>
                <c:pt idx="278">
                  <c:v>1706.2903690020523</c:v>
                </c:pt>
                <c:pt idx="279">
                  <c:v>1709.5612702370961</c:v>
                </c:pt>
                <c:pt idx="280">
                  <c:v>1712.8384416797689</c:v>
                </c:pt>
                <c:pt idx="281">
                  <c:v>1716.121895349848</c:v>
                </c:pt>
                <c:pt idx="282">
                  <c:v>1719.4116432901519</c:v>
                </c:pt>
                <c:pt idx="283">
                  <c:v>1722.7076975665852</c:v>
                </c:pt>
                <c:pt idx="284">
                  <c:v>1726.0100702681821</c:v>
                </c:pt>
                <c:pt idx="285">
                  <c:v>1729.3187735071504</c:v>
                </c:pt>
                <c:pt idx="286">
                  <c:v>1732.6338194189182</c:v>
                </c:pt>
                <c:pt idx="287">
                  <c:v>1735.955220162175</c:v>
                </c:pt>
                <c:pt idx="288">
                  <c:v>1739.2829879189198</c:v>
                </c:pt>
                <c:pt idx="289">
                  <c:v>1742.6171348945024</c:v>
                </c:pt>
                <c:pt idx="290">
                  <c:v>1745.9576733176714</c:v>
                </c:pt>
                <c:pt idx="291">
                  <c:v>1749.3046154406168</c:v>
                </c:pt>
                <c:pt idx="292">
                  <c:v>1752.6579735390151</c:v>
                </c:pt>
                <c:pt idx="293">
                  <c:v>1756.0177599120759</c:v>
                </c:pt>
                <c:pt idx="294">
                  <c:v>1759.3839868825851</c:v>
                </c:pt>
                <c:pt idx="295">
                  <c:v>1762.7566667969513</c:v>
                </c:pt>
                <c:pt idx="296">
                  <c:v>1766.1358120252517</c:v>
                </c:pt>
                <c:pt idx="297">
                  <c:v>1769.5214349612745</c:v>
                </c:pt>
                <c:pt idx="298">
                  <c:v>1772.9135480225677</c:v>
                </c:pt>
                <c:pt idx="299">
                  <c:v>1776.3121636504832</c:v>
                </c:pt>
                <c:pt idx="300">
                  <c:v>1779.717294310223</c:v>
                </c:pt>
                <c:pt idx="301">
                  <c:v>1783.1289524908836</c:v>
                </c:pt>
                <c:pt idx="302">
                  <c:v>1786.5471507055024</c:v>
                </c:pt>
                <c:pt idx="303">
                  <c:v>1789.9719014911052</c:v>
                </c:pt>
                <c:pt idx="304">
                  <c:v>1793.4032174087499</c:v>
                </c:pt>
                <c:pt idx="305">
                  <c:v>1796.8411110435741</c:v>
                </c:pt>
                <c:pt idx="306">
                  <c:v>1800.2855950048395</c:v>
                </c:pt>
                <c:pt idx="307">
                  <c:v>1803.7366819259807</c:v>
                </c:pt>
                <c:pt idx="308">
                  <c:v>1807.1943844646498</c:v>
                </c:pt>
                <c:pt idx="309">
                  <c:v>1810.6587153027633</c:v>
                </c:pt>
                <c:pt idx="310">
                  <c:v>1814.1296871465474</c:v>
                </c:pt>
                <c:pt idx="311">
                  <c:v>1817.607312726587</c:v>
                </c:pt>
                <c:pt idx="312">
                  <c:v>1821.091604797871</c:v>
                </c:pt>
                <c:pt idx="313">
                  <c:v>1824.5825761398382</c:v>
                </c:pt>
                <c:pt idx="314">
                  <c:v>1828.0802395564262</c:v>
                </c:pt>
                <c:pt idx="315">
                  <c:v>1831.5846078761167</c:v>
                </c:pt>
                <c:pt idx="316">
                  <c:v>1835.0956939519833</c:v>
                </c:pt>
                <c:pt idx="317">
                  <c:v>1838.6135106617394</c:v>
                </c:pt>
                <c:pt idx="318">
                  <c:v>1842.1380709077828</c:v>
                </c:pt>
                <c:pt idx="319">
                  <c:v>1845.669387617246</c:v>
                </c:pt>
                <c:pt idx="320">
                  <c:v>1849.2074737420421</c:v>
                </c:pt>
                <c:pt idx="321">
                  <c:v>1852.7523422589127</c:v>
                </c:pt>
                <c:pt idx="322">
                  <c:v>1856.3040061694751</c:v>
                </c:pt>
                <c:pt idx="323">
                  <c:v>1859.8624785002701</c:v>
                </c:pt>
                <c:pt idx="324">
                  <c:v>1863.4277723028106</c:v>
                </c:pt>
                <c:pt idx="325">
                  <c:v>1866.9999006536286</c:v>
                </c:pt>
                <c:pt idx="326">
                  <c:v>1870.578876654323</c:v>
                </c:pt>
                <c:pt idx="327">
                  <c:v>1874.1647134316081</c:v>
                </c:pt>
                <c:pt idx="328">
                  <c:v>1877.7574241373622</c:v>
                </c:pt>
                <c:pt idx="329">
                  <c:v>1881.3570219486746</c:v>
                </c:pt>
                <c:pt idx="330">
                  <c:v>1884.9635200678952</c:v>
                </c:pt>
                <c:pt idx="331">
                  <c:v>1888.5769317226818</c:v>
                </c:pt>
                <c:pt idx="332">
                  <c:v>1892.1972701660497</c:v>
                </c:pt>
                <c:pt idx="333">
                  <c:v>1895.8245486764195</c:v>
                </c:pt>
                <c:pt idx="334">
                  <c:v>1899.4587805576664</c:v>
                </c:pt>
                <c:pt idx="335">
                  <c:v>1903.0999791391682</c:v>
                </c:pt>
                <c:pt idx="336">
                  <c:v>1906.7481577758551</c:v>
                </c:pt>
                <c:pt idx="337">
                  <c:v>1910.403329848258</c:v>
                </c:pt>
                <c:pt idx="338">
                  <c:v>1914.0655087625578</c:v>
                </c:pt>
                <c:pt idx="339">
                  <c:v>1917.7347079506346</c:v>
                </c:pt>
                <c:pt idx="340">
                  <c:v>1921.4109408701172</c:v>
                </c:pt>
                <c:pt idx="341">
                  <c:v>1925.0942210044323</c:v>
                </c:pt>
                <c:pt idx="342">
                  <c:v>1928.7845618628535</c:v>
                </c:pt>
                <c:pt idx="343">
                  <c:v>1932.4819769805513</c:v>
                </c:pt>
                <c:pt idx="344">
                  <c:v>1936.1864799186428</c:v>
                </c:pt>
                <c:pt idx="345">
                  <c:v>1939.8980842642411</c:v>
                </c:pt>
                <c:pt idx="346">
                  <c:v>1943.6168036305055</c:v>
                </c:pt>
                <c:pt idx="347">
                  <c:v>1947.3426516566919</c:v>
                </c:pt>
                <c:pt idx="348">
                  <c:v>1951.0756420082002</c:v>
                </c:pt>
                <c:pt idx="349">
                  <c:v>1954.8157883766291</c:v>
                </c:pt>
                <c:pt idx="350">
                  <c:v>1958.5631044798217</c:v>
                </c:pt>
                <c:pt idx="351">
                  <c:v>1962.3176040619185</c:v>
                </c:pt>
                <c:pt idx="352">
                  <c:v>1966.0793008934068</c:v>
                </c:pt>
                <c:pt idx="353">
                  <c:v>1969.8482087711716</c:v>
                </c:pt>
                <c:pt idx="354">
                  <c:v>1973.6243415185459</c:v>
                </c:pt>
                <c:pt idx="355">
                  <c:v>1977.407712985362</c:v>
                </c:pt>
                <c:pt idx="356">
                  <c:v>1981.1983370480009</c:v>
                </c:pt>
                <c:pt idx="357">
                  <c:v>1984.9962276094452</c:v>
                </c:pt>
                <c:pt idx="358">
                  <c:v>1988.8013985993291</c:v>
                </c:pt>
                <c:pt idx="359">
                  <c:v>1992.6138639739886</c:v>
                </c:pt>
                <c:pt idx="360">
                  <c:v>1996.4336377165137</c:v>
                </c:pt>
                <c:pt idx="361">
                  <c:v>2000.2607338368002</c:v>
                </c:pt>
                <c:pt idx="362">
                  <c:v>2004.0951663715991</c:v>
                </c:pt>
                <c:pt idx="363">
                  <c:v>2007.9369493845713</c:v>
                </c:pt>
                <c:pt idx="364">
                  <c:v>2011.7860969663352</c:v>
                </c:pt>
                <c:pt idx="365">
                  <c:v>2015.642623234522</c:v>
                </c:pt>
                <c:pt idx="366">
                  <c:v>2019.5065423338251</c:v>
                </c:pt>
                <c:pt idx="367">
                  <c:v>2023.3778684360536</c:v>
                </c:pt>
                <c:pt idx="368">
                  <c:v>2027.2566157401823</c:v>
                </c:pt>
                <c:pt idx="369">
                  <c:v>2031.142798472406</c:v>
                </c:pt>
                <c:pt idx="370">
                  <c:v>2035.0364308861897</c:v>
                </c:pt>
                <c:pt idx="371">
                  <c:v>2038.9375272623224</c:v>
                </c:pt>
                <c:pt idx="372">
                  <c:v>2042.8461019089691</c:v>
                </c:pt>
                <c:pt idx="373">
                  <c:v>2046.762169161723</c:v>
                </c:pt>
                <c:pt idx="374">
                  <c:v>2050.6857433836576</c:v>
                </c:pt>
                <c:pt idx="375">
                  <c:v>2054.6168389653799</c:v>
                </c:pt>
                <c:pt idx="376">
                  <c:v>2058.5554703250846</c:v>
                </c:pt>
                <c:pt idx="377">
                  <c:v>2062.5016519086043</c:v>
                </c:pt>
                <c:pt idx="378">
                  <c:v>2066.4553981894633</c:v>
                </c:pt>
                <c:pt idx="379">
                  <c:v>2070.4167236689323</c:v>
                </c:pt>
                <c:pt idx="380">
                  <c:v>2074.3856428760801</c:v>
                </c:pt>
                <c:pt idx="381">
                  <c:v>2078.3621703678268</c:v>
                </c:pt>
                <c:pt idx="382">
                  <c:v>2082.3463207289992</c:v>
                </c:pt>
                <c:pt idx="383">
                  <c:v>2086.3381085723804</c:v>
                </c:pt>
                <c:pt idx="384">
                  <c:v>2090.3375485387674</c:v>
                </c:pt>
                <c:pt idx="385">
                  <c:v>2094.3446552970222</c:v>
                </c:pt>
                <c:pt idx="386">
                  <c:v>2098.3594435441273</c:v>
                </c:pt>
                <c:pt idx="387">
                  <c:v>2102.3819280052385</c:v>
                </c:pt>
                <c:pt idx="388">
                  <c:v>2106.4121234337385</c:v>
                </c:pt>
                <c:pt idx="389">
                  <c:v>2110.4500446112925</c:v>
                </c:pt>
                <c:pt idx="390">
                  <c:v>2114.4957063479023</c:v>
                </c:pt>
                <c:pt idx="391">
                  <c:v>2118.5491234819583</c:v>
                </c:pt>
                <c:pt idx="392">
                  <c:v>2122.6103108802963</c:v>
                </c:pt>
                <c:pt idx="393">
                  <c:v>2126.6792834382532</c:v>
                </c:pt>
                <c:pt idx="394">
                  <c:v>2130.7560560797169</c:v>
                </c:pt>
                <c:pt idx="395">
                  <c:v>2134.8406437571844</c:v>
                </c:pt>
                <c:pt idx="396">
                  <c:v>2138.9330614518176</c:v>
                </c:pt>
                <c:pt idx="397">
                  <c:v>2143.0333241734966</c:v>
                </c:pt>
                <c:pt idx="398">
                  <c:v>2147.1414469608731</c:v>
                </c:pt>
                <c:pt idx="399">
                  <c:v>2151.2574448814294</c:v>
                </c:pt>
                <c:pt idx="400">
                  <c:v>2155.3813330315306</c:v>
                </c:pt>
                <c:pt idx="401">
                  <c:v>2159.5131265364812</c:v>
                </c:pt>
                <c:pt idx="402">
                  <c:v>2163.652840550581</c:v>
                </c:pt>
                <c:pt idx="403">
                  <c:v>2167.8004902571788</c:v>
                </c:pt>
                <c:pt idx="404">
                  <c:v>2171.9560908687308</c:v>
                </c:pt>
                <c:pt idx="405">
                  <c:v>2176.1196576268544</c:v>
                </c:pt>
                <c:pt idx="406">
                  <c:v>2180.291205802384</c:v>
                </c:pt>
                <c:pt idx="407">
                  <c:v>2184.4707506954287</c:v>
                </c:pt>
                <c:pt idx="408">
                  <c:v>2188.6583076354268</c:v>
                </c:pt>
                <c:pt idx="409">
                  <c:v>2192.8538919812027</c:v>
                </c:pt>
                <c:pt idx="410">
                  <c:v>2197.0575191210237</c:v>
                </c:pt>
                <c:pt idx="411">
                  <c:v>2201.2692044726541</c:v>
                </c:pt>
                <c:pt idx="412">
                  <c:v>2205.4889634834167</c:v>
                </c:pt>
                <c:pt idx="413">
                  <c:v>2209.7168116302423</c:v>
                </c:pt>
                <c:pt idx="414">
                  <c:v>2213.9527644197351</c:v>
                </c:pt>
                <c:pt idx="415">
                  <c:v>2218.1968373882205</c:v>
                </c:pt>
                <c:pt idx="416">
                  <c:v>2222.449046101809</c:v>
                </c:pt>
                <c:pt idx="417">
                  <c:v>2226.7094061564503</c:v>
                </c:pt>
                <c:pt idx="418">
                  <c:v>2230.9779331779914</c:v>
                </c:pt>
                <c:pt idx="419">
                  <c:v>2235.2546428222331</c:v>
                </c:pt>
                <c:pt idx="420">
                  <c:v>2239.5395507749868</c:v>
                </c:pt>
                <c:pt idx="421">
                  <c:v>2243.8326727521348</c:v>
                </c:pt>
                <c:pt idx="422">
                  <c:v>2248.1340244996854</c:v>
                </c:pt>
                <c:pt idx="423">
                  <c:v>2252.4436217938319</c:v>
                </c:pt>
                <c:pt idx="424">
                  <c:v>2256.7614804410096</c:v>
                </c:pt>
                <c:pt idx="425">
                  <c:v>2261.0876162779541</c:v>
                </c:pt>
                <c:pt idx="426">
                  <c:v>2265.4220451717606</c:v>
                </c:pt>
                <c:pt idx="427">
                  <c:v>2269.7647830199389</c:v>
                </c:pt>
                <c:pt idx="428">
                  <c:v>2274.1158457504757</c:v>
                </c:pt>
                <c:pt idx="429">
                  <c:v>2278.4752493218903</c:v>
                </c:pt>
                <c:pt idx="430">
                  <c:v>2282.8430097232931</c:v>
                </c:pt>
                <c:pt idx="431">
                  <c:v>2287.2191429744475</c:v>
                </c:pt>
                <c:pt idx="432">
                  <c:v>2291.6036651258246</c:v>
                </c:pt>
                <c:pt idx="433">
                  <c:v>2295.996592258663</c:v>
                </c:pt>
                <c:pt idx="434">
                  <c:v>2300.3979404850306</c:v>
                </c:pt>
                <c:pt idx="435">
                  <c:v>2304.80772594788</c:v>
                </c:pt>
                <c:pt idx="436">
                  <c:v>2309.2259648211084</c:v>
                </c:pt>
                <c:pt idx="437">
                  <c:v>2313.6526733096207</c:v>
                </c:pt>
                <c:pt idx="438">
                  <c:v>2318.0878676493835</c:v>
                </c:pt>
                <c:pt idx="439">
                  <c:v>2322.5315641074894</c:v>
                </c:pt>
                <c:pt idx="440">
                  <c:v>2326.9837789822122</c:v>
                </c:pt>
                <c:pt idx="441">
                  <c:v>2331.44452860307</c:v>
                </c:pt>
                <c:pt idx="442">
                  <c:v>2335.9138293308843</c:v>
                </c:pt>
                <c:pt idx="443">
                  <c:v>2340.39169755784</c:v>
                </c:pt>
                <c:pt idx="444">
                  <c:v>2344.8781497075433</c:v>
                </c:pt>
                <c:pt idx="445">
                  <c:v>2349.3732022350864</c:v>
                </c:pt>
                <c:pt idx="446">
                  <c:v>2353.8768716271034</c:v>
                </c:pt>
                <c:pt idx="447">
                  <c:v>2358.3891744018351</c:v>
                </c:pt>
                <c:pt idx="448">
                  <c:v>2362.9101271091854</c:v>
                </c:pt>
                <c:pt idx="449">
                  <c:v>2367.4397463307828</c:v>
                </c:pt>
                <c:pt idx="450">
                  <c:v>2371.9780486800441</c:v>
                </c:pt>
                <c:pt idx="451">
                  <c:v>2376.5250508022341</c:v>
                </c:pt>
                <c:pt idx="452">
                  <c:v>2381.0807693745237</c:v>
                </c:pt>
                <c:pt idx="453">
                  <c:v>2385.6452211060541</c:v>
                </c:pt>
                <c:pt idx="454">
                  <c:v>2390.2184227379985</c:v>
                </c:pt>
                <c:pt idx="455">
                  <c:v>2394.8003910436219</c:v>
                </c:pt>
                <c:pt idx="456">
                  <c:v>2399.3911428283427</c:v>
                </c:pt>
                <c:pt idx="457">
                  <c:v>2403.9906949297938</c:v>
                </c:pt>
                <c:pt idx="458">
                  <c:v>2408.5990642178876</c:v>
                </c:pt>
                <c:pt idx="459">
                  <c:v>2413.2162675948734</c:v>
                </c:pt>
                <c:pt idx="460">
                  <c:v>2417.8423219954038</c:v>
                </c:pt>
                <c:pt idx="461">
                  <c:v>2422.4772443865913</c:v>
                </c:pt>
                <c:pt idx="462">
                  <c:v>2427.1210517680765</c:v>
                </c:pt>
                <c:pt idx="463">
                  <c:v>2431.7737611720868</c:v>
                </c:pt>
                <c:pt idx="464">
                  <c:v>2436.4353896635007</c:v>
                </c:pt>
                <c:pt idx="465">
                  <c:v>2441.1059543399078</c:v>
                </c:pt>
                <c:pt idx="466">
                  <c:v>2445.7854723316741</c:v>
                </c:pt>
                <c:pt idx="467">
                  <c:v>2450.4739608020041</c:v>
                </c:pt>
                <c:pt idx="468">
                  <c:v>2455.1714369470033</c:v>
                </c:pt>
                <c:pt idx="469">
                  <c:v>2459.8779179957428</c:v>
                </c:pt>
                <c:pt idx="470">
                  <c:v>2464.593421210318</c:v>
                </c:pt>
                <c:pt idx="471">
                  <c:v>2469.3179638859187</c:v>
                </c:pt>
                <c:pt idx="472">
                  <c:v>2474.051563350888</c:v>
                </c:pt>
                <c:pt idx="473">
                  <c:v>2478.7942369667853</c:v>
                </c:pt>
                <c:pt idx="474">
                  <c:v>2483.5460021284534</c:v>
                </c:pt>
                <c:pt idx="475">
                  <c:v>2488.3068762640796</c:v>
                </c:pt>
                <c:pt idx="476">
                  <c:v>2493.0768768352605</c:v>
                </c:pt>
                <c:pt idx="477">
                  <c:v>2497.8560213370656</c:v>
                </c:pt>
                <c:pt idx="478">
                  <c:v>2502.6443272981023</c:v>
                </c:pt>
                <c:pt idx="479">
                  <c:v>2507.4418122805801</c:v>
                </c:pt>
                <c:pt idx="480">
                  <c:v>2512.2484938803746</c:v>
                </c:pt>
                <c:pt idx="481">
                  <c:v>2517.0643897270916</c:v>
                </c:pt>
                <c:pt idx="482">
                  <c:v>2521.8895174841318</c:v>
                </c:pt>
                <c:pt idx="483">
                  <c:v>2526.7238948487575</c:v>
                </c:pt>
                <c:pt idx="484">
                  <c:v>2531.5675395521548</c:v>
                </c:pt>
                <c:pt idx="485">
                  <c:v>2536.4204693595011</c:v>
                </c:pt>
                <c:pt idx="486">
                  <c:v>2541.2827020700279</c:v>
                </c:pt>
                <c:pt idx="487">
                  <c:v>2546.1542555170868</c:v>
                </c:pt>
                <c:pt idx="488">
                  <c:v>2551.0351475682169</c:v>
                </c:pt>
                <c:pt idx="489">
                  <c:v>2555.925396125208</c:v>
                </c:pt>
                <c:pt idx="490">
                  <c:v>2560.8250191241673</c:v>
                </c:pt>
                <c:pt idx="491">
                  <c:v>2565.7340345355851</c:v>
                </c:pt>
                <c:pt idx="492">
                  <c:v>2570.6524603643984</c:v>
                </c:pt>
                <c:pt idx="493">
                  <c:v>2575.5803146500625</c:v>
                </c:pt>
                <c:pt idx="494">
                  <c:v>2580.5176154666115</c:v>
                </c:pt>
                <c:pt idx="495">
                  <c:v>2585.4643809227264</c:v>
                </c:pt>
                <c:pt idx="496">
                  <c:v>2590.4206291618038</c:v>
                </c:pt>
                <c:pt idx="497">
                  <c:v>2595.3863783620195</c:v>
                </c:pt>
                <c:pt idx="498">
                  <c:v>2600.3616467363968</c:v>
                </c:pt>
                <c:pt idx="499">
                  <c:v>2605.3464525328709</c:v>
                </c:pt>
                <c:pt idx="500">
                  <c:v>2610.3408140343608</c:v>
                </c:pt>
                <c:pt idx="501">
                  <c:v>2615.3447495588298</c:v>
                </c:pt>
                <c:pt idx="502">
                  <c:v>2620.3582774593597</c:v>
                </c:pt>
                <c:pt idx="503">
                  <c:v>2625.3814161242117</c:v>
                </c:pt>
                <c:pt idx="504">
                  <c:v>2630.4141839768977</c:v>
                </c:pt>
                <c:pt idx="505">
                  <c:v>2635.456599476247</c:v>
                </c:pt>
                <c:pt idx="506">
                  <c:v>2640.5086811164733</c:v>
                </c:pt>
                <c:pt idx="507">
                  <c:v>2645.5704474272443</c:v>
                </c:pt>
                <c:pt idx="508">
                  <c:v>2650.6419169737469</c:v>
                </c:pt>
                <c:pt idx="509">
                  <c:v>2655.7231083567576</c:v>
                </c:pt>
                <c:pt idx="510">
                  <c:v>2660.8140402127106</c:v>
                </c:pt>
                <c:pt idx="511">
                  <c:v>2665.9147312137648</c:v>
                </c:pt>
                <c:pt idx="512">
                  <c:v>2671.0252000678715</c:v>
                </c:pt>
                <c:pt idx="513">
                  <c:v>2676.1454655188477</c:v>
                </c:pt>
                <c:pt idx="514">
                  <c:v>2681.2755463464391</c:v>
                </c:pt>
                <c:pt idx="515">
                  <c:v>2686.4154613663936</c:v>
                </c:pt>
                <c:pt idx="516">
                  <c:v>2691.565229430526</c:v>
                </c:pt>
                <c:pt idx="517">
                  <c:v>2696.724869426791</c:v>
                </c:pt>
                <c:pt idx="518">
                  <c:v>2701.8944002793505</c:v>
                </c:pt>
                <c:pt idx="519">
                  <c:v>2707.073840948643</c:v>
                </c:pt>
                <c:pt idx="520">
                  <c:v>2712.2632104314534</c:v>
                </c:pt>
                <c:pt idx="521">
                  <c:v>2717.4625277609839</c:v>
                </c:pt>
                <c:pt idx="522">
                  <c:v>2722.6718120069222</c:v>
                </c:pt>
                <c:pt idx="523">
                  <c:v>2727.8910822755111</c:v>
                </c:pt>
                <c:pt idx="524">
                  <c:v>2733.1203577096203</c:v>
                </c:pt>
                <c:pt idx="525">
                  <c:v>2738.3596574888152</c:v>
                </c:pt>
                <c:pt idx="526">
                  <c:v>2743.6090008294286</c:v>
                </c:pt>
                <c:pt idx="527">
                  <c:v>2748.8684069846299</c:v>
                </c:pt>
                <c:pt idx="528">
                  <c:v>2754.1378952444957</c:v>
                </c:pt>
                <c:pt idx="529">
                  <c:v>2759.4174849360811</c:v>
                </c:pt>
                <c:pt idx="530">
                  <c:v>2764.7071954234921</c:v>
                </c:pt>
                <c:pt idx="531">
                  <c:v>2770.0070461079536</c:v>
                </c:pt>
                <c:pt idx="532">
                  <c:v>2775.3170564278807</c:v>
                </c:pt>
                <c:pt idx="533">
                  <c:v>2780.6372458589544</c:v>
                </c:pt>
                <c:pt idx="534">
                  <c:v>2785.9676339141884</c:v>
                </c:pt>
                <c:pt idx="535">
                  <c:v>2791.3082401440006</c:v>
                </c:pt>
                <c:pt idx="536">
                  <c:v>2796.6590841362886</c:v>
                </c:pt>
                <c:pt idx="537">
                  <c:v>2802.0201855164996</c:v>
                </c:pt>
                <c:pt idx="538">
                  <c:v>2807.3915639477004</c:v>
                </c:pt>
                <c:pt idx="539">
                  <c:v>2812.7732391306517</c:v>
                </c:pt>
                <c:pt idx="540">
                  <c:v>2818.1652308038815</c:v>
                </c:pt>
                <c:pt idx="541">
                  <c:v>2823.5675587437522</c:v>
                </c:pt>
                <c:pt idx="542">
                  <c:v>2828.9802427645418</c:v>
                </c:pt>
                <c:pt idx="543">
                  <c:v>2834.4033027185083</c:v>
                </c:pt>
                <c:pt idx="544">
                  <c:v>2839.8367584959647</c:v>
                </c:pt>
                <c:pt idx="545">
                  <c:v>2845.2806300253565</c:v>
                </c:pt>
                <c:pt idx="546">
                  <c:v>2850.7349372733306</c:v>
                </c:pt>
                <c:pt idx="547">
                  <c:v>2856.1997002448074</c:v>
                </c:pt>
                <c:pt idx="548">
                  <c:v>2861.6749389830566</c:v>
                </c:pt>
                <c:pt idx="549">
                  <c:v>2867.1606735697715</c:v>
                </c:pt>
                <c:pt idx="550">
                  <c:v>2872.65692412514</c:v>
                </c:pt>
                <c:pt idx="551">
                  <c:v>2878.1637108079212</c:v>
                </c:pt>
                <c:pt idx="552">
                  <c:v>2883.6810538155155</c:v>
                </c:pt>
                <c:pt idx="553">
                  <c:v>2889.208973384043</c:v>
                </c:pt>
                <c:pt idx="554">
                  <c:v>2894.7474897884158</c:v>
                </c:pt>
                <c:pt idx="555">
                  <c:v>2900.2966233424108</c:v>
                </c:pt>
                <c:pt idx="556">
                  <c:v>2905.8563943987479</c:v>
                </c:pt>
                <c:pt idx="557">
                  <c:v>2911.4268233491598</c:v>
                </c:pt>
                <c:pt idx="558">
                  <c:v>2917.007930624472</c:v>
                </c:pt>
                <c:pt idx="559">
                  <c:v>2922.5997366946731</c:v>
                </c:pt>
                <c:pt idx="560">
                  <c:v>2928.2022620689932</c:v>
                </c:pt>
                <c:pt idx="561">
                  <c:v>2933.8155272959789</c:v>
                </c:pt>
                <c:pt idx="562">
                  <c:v>2939.4395529635649</c:v>
                </c:pt>
                <c:pt idx="563">
                  <c:v>2945.0743596991547</c:v>
                </c:pt>
                <c:pt idx="564">
                  <c:v>2950.7199681696929</c:v>
                </c:pt>
                <c:pt idx="565">
                  <c:v>2956.3763990817406</c:v>
                </c:pt>
                <c:pt idx="566">
                  <c:v>2962.0436731815566</c:v>
                </c:pt>
                <c:pt idx="567">
                  <c:v>2967.721811255165</c:v>
                </c:pt>
                <c:pt idx="568">
                  <c:v>2973.4108341284395</c:v>
                </c:pt>
                <c:pt idx="569">
                  <c:v>2979.1107626671746</c:v>
                </c:pt>
                <c:pt idx="570">
                  <c:v>2984.8216177771628</c:v>
                </c:pt>
                <c:pt idx="571">
                  <c:v>2990.5434204042749</c:v>
                </c:pt>
                <c:pt idx="572">
                  <c:v>2996.2761915345336</c:v>
                </c:pt>
                <c:pt idx="573">
                  <c:v>3002.0199521941877</c:v>
                </c:pt>
                <c:pt idx="574">
                  <c:v>3007.7747234497983</c:v>
                </c:pt>
                <c:pt idx="575">
                  <c:v>3013.5405264083056</c:v>
                </c:pt>
                <c:pt idx="576">
                  <c:v>3019.3173822171138</c:v>
                </c:pt>
                <c:pt idx="577">
                  <c:v>3025.105312064165</c:v>
                </c:pt>
                <c:pt idx="578">
                  <c:v>3030.9043371780176</c:v>
                </c:pt>
                <c:pt idx="579">
                  <c:v>3036.7144788279252</c:v>
                </c:pt>
                <c:pt idx="580">
                  <c:v>3042.5357583239129</c:v>
                </c:pt>
                <c:pt idx="581">
                  <c:v>3048.3681970168564</c:v>
                </c:pt>
                <c:pt idx="582">
                  <c:v>3054.211816298563</c:v>
                </c:pt>
                <c:pt idx="583">
                  <c:v>3060.0666376018435</c:v>
                </c:pt>
                <c:pt idx="584">
                  <c:v>3065.9326824005971</c:v>
                </c:pt>
                <c:pt idx="585">
                  <c:v>3071.8099722098868</c:v>
                </c:pt>
                <c:pt idx="586">
                  <c:v>3077.6985285860192</c:v>
                </c:pt>
                <c:pt idx="587">
                  <c:v>3083.5983731266247</c:v>
                </c:pt>
                <c:pt idx="588">
                  <c:v>3089.5095274707332</c:v>
                </c:pt>
                <c:pt idx="589">
                  <c:v>3095.4320132988601</c:v>
                </c:pt>
                <c:pt idx="590">
                  <c:v>3101.3658523330773</c:v>
                </c:pt>
                <c:pt idx="591">
                  <c:v>3107.3110663370985</c:v>
                </c:pt>
                <c:pt idx="592">
                  <c:v>3113.2676771163597</c:v>
                </c:pt>
                <c:pt idx="593">
                  <c:v>3119.235706518095</c:v>
                </c:pt>
                <c:pt idx="594">
                  <c:v>3125.2151764314185</c:v>
                </c:pt>
                <c:pt idx="595">
                  <c:v>3131.2061087874076</c:v>
                </c:pt>
                <c:pt idx="596">
                  <c:v>3137.2085255591783</c:v>
                </c:pt>
                <c:pt idx="597">
                  <c:v>3143.2224487619696</c:v>
                </c:pt>
                <c:pt idx="598">
                  <c:v>3149.2479004532224</c:v>
                </c:pt>
                <c:pt idx="599">
                  <c:v>3155.2849027326615</c:v>
                </c:pt>
                <c:pt idx="600">
                  <c:v>3161.3334777423765</c:v>
                </c:pt>
                <c:pt idx="601">
                  <c:v>3167.3936476669014</c:v>
                </c:pt>
                <c:pt idx="602">
                  <c:v>3173.4654347332971</c:v>
                </c:pt>
                <c:pt idx="603">
                  <c:v>3179.5488612112354</c:v>
                </c:pt>
                <c:pt idx="604">
                  <c:v>3185.6439494130746</c:v>
                </c:pt>
                <c:pt idx="605">
                  <c:v>3191.7507216939493</c:v>
                </c:pt>
                <c:pt idx="606">
                  <c:v>3197.8692004518448</c:v>
                </c:pt>
                <c:pt idx="607">
                  <c:v>3203.9994081276827</c:v>
                </c:pt>
                <c:pt idx="608">
                  <c:v>3210.1413672054068</c:v>
                </c:pt>
                <c:pt idx="609">
                  <c:v>3216.2951002120562</c:v>
                </c:pt>
                <c:pt idx="610">
                  <c:v>3222.4606297178584</c:v>
                </c:pt>
                <c:pt idx="611">
                  <c:v>3228.6379783363054</c:v>
                </c:pt>
                <c:pt idx="612">
                  <c:v>3234.8271687242373</c:v>
                </c:pt>
                <c:pt idx="613">
                  <c:v>3241.0282235819295</c:v>
                </c:pt>
                <c:pt idx="614">
                  <c:v>3247.2411656531694</c:v>
                </c:pt>
                <c:pt idx="615">
                  <c:v>3253.4660177253468</c:v>
                </c:pt>
                <c:pt idx="616">
                  <c:v>3259.7028026295334</c:v>
                </c:pt>
                <c:pt idx="617">
                  <c:v>3265.9515432405647</c:v>
                </c:pt>
                <c:pt idx="618">
                  <c:v>3272.2122624771314</c:v>
                </c:pt>
                <c:pt idx="619">
                  <c:v>3278.4849833018529</c:v>
                </c:pt>
                <c:pt idx="620">
                  <c:v>3284.7697287213709</c:v>
                </c:pt>
                <c:pt idx="621">
                  <c:v>3291.0665217864303</c:v>
                </c:pt>
                <c:pt idx="622">
                  <c:v>3297.3753855919608</c:v>
                </c:pt>
                <c:pt idx="623">
                  <c:v>3303.6963432771659</c:v>
                </c:pt>
                <c:pt idx="624">
                  <c:v>3310.0294180256069</c:v>
                </c:pt>
                <c:pt idx="625">
                  <c:v>3316.3746330652848</c:v>
                </c:pt>
                <c:pt idx="626">
                  <c:v>3322.7320116687315</c:v>
                </c:pt>
                <c:pt idx="627">
                  <c:v>3329.1015771530888</c:v>
                </c:pt>
                <c:pt idx="628">
                  <c:v>3335.4833528801964</c:v>
                </c:pt>
                <c:pt idx="629">
                  <c:v>3341.877362256681</c:v>
                </c:pt>
                <c:pt idx="630">
                  <c:v>3348.2836287340338</c:v>
                </c:pt>
                <c:pt idx="631">
                  <c:v>3354.7021758087076</c:v>
                </c:pt>
                <c:pt idx="632">
                  <c:v>3361.1330270221938</c:v>
                </c:pt>
                <c:pt idx="633">
                  <c:v>3367.576205961112</c:v>
                </c:pt>
                <c:pt idx="634">
                  <c:v>3374.0317362572973</c:v>
                </c:pt>
                <c:pt idx="635">
                  <c:v>3380.4996415878863</c:v>
                </c:pt>
                <c:pt idx="636">
                  <c:v>3386.9799456754022</c:v>
                </c:pt>
                <c:pt idx="637">
                  <c:v>3393.4726722878472</c:v>
                </c:pt>
                <c:pt idx="638">
                  <c:v>3399.9778452387818</c:v>
                </c:pt>
                <c:pt idx="639">
                  <c:v>3406.4954883874198</c:v>
                </c:pt>
                <c:pt idx="640">
                  <c:v>3413.0256256387097</c:v>
                </c:pt>
                <c:pt idx="641">
                  <c:v>3419.5682809434252</c:v>
                </c:pt>
                <c:pt idx="642">
                  <c:v>3426.1234782982551</c:v>
                </c:pt>
                <c:pt idx="643">
                  <c:v>3432.6912417458875</c:v>
                </c:pt>
                <c:pt idx="644">
                  <c:v>3439.2715953750981</c:v>
                </c:pt>
                <c:pt idx="645">
                  <c:v>3445.8645633208421</c:v>
                </c:pt>
                <c:pt idx="646">
                  <c:v>3452.4701697643404</c:v>
                </c:pt>
                <c:pt idx="647">
                  <c:v>3459.0884389331673</c:v>
                </c:pt>
                <c:pt idx="648">
                  <c:v>3465.7193951013428</c:v>
                </c:pt>
                <c:pt idx="649">
                  <c:v>3472.3630625894157</c:v>
                </c:pt>
                <c:pt idx="650">
                  <c:v>3479.0194657645602</c:v>
                </c:pt>
                <c:pt idx="651">
                  <c:v>3485.6886290406587</c:v>
                </c:pt>
                <c:pt idx="652">
                  <c:v>3492.3705768783971</c:v>
                </c:pt>
                <c:pt idx="653">
                  <c:v>3499.0653337853491</c:v>
                </c:pt>
                <c:pt idx="654">
                  <c:v>3505.7729243160684</c:v>
                </c:pt>
                <c:pt idx="655">
                  <c:v>3512.4933730721823</c:v>
                </c:pt>
                <c:pt idx="656">
                  <c:v>3519.2267047024748</c:v>
                </c:pt>
                <c:pt idx="657">
                  <c:v>3525.9729439029816</c:v>
                </c:pt>
                <c:pt idx="658">
                  <c:v>3532.7321154170822</c:v>
                </c:pt>
                <c:pt idx="659">
                  <c:v>3539.5042440355855</c:v>
                </c:pt>
                <c:pt idx="660">
                  <c:v>3546.2893545968259</c:v>
                </c:pt>
                <c:pt idx="661">
                  <c:v>3553.0874719867506</c:v>
                </c:pt>
                <c:pt idx="662">
                  <c:v>3559.8986211390111</c:v>
                </c:pt>
                <c:pt idx="663">
                  <c:v>3566.7228270350588</c:v>
                </c:pt>
                <c:pt idx="664">
                  <c:v>3573.5601147042316</c:v>
                </c:pt>
                <c:pt idx="665">
                  <c:v>3580.4105092238497</c:v>
                </c:pt>
                <c:pt idx="666">
                  <c:v>3587.2740357193043</c:v>
                </c:pt>
                <c:pt idx="667">
                  <c:v>3594.1507193641496</c:v>
                </c:pt>
                <c:pt idx="668">
                  <c:v>3601.0405853801999</c:v>
                </c:pt>
                <c:pt idx="669">
                  <c:v>3607.9436590376176</c:v>
                </c:pt>
                <c:pt idx="670">
                  <c:v>3614.8599656550045</c:v>
                </c:pt>
                <c:pt idx="671">
                  <c:v>3621.7895305995025</c:v>
                </c:pt>
                <c:pt idx="672">
                  <c:v>3628.7323792868769</c:v>
                </c:pt>
                <c:pt idx="673">
                  <c:v>3635.688537181617</c:v>
                </c:pt>
                <c:pt idx="674">
                  <c:v>3642.6580297970254</c:v>
                </c:pt>
                <c:pt idx="675">
                  <c:v>3649.6408826953111</c:v>
                </c:pt>
                <c:pt idx="676">
                  <c:v>3656.6371214876899</c:v>
                </c:pt>
                <c:pt idx="677">
                  <c:v>3663.6467718344693</c:v>
                </c:pt>
                <c:pt idx="678">
                  <c:v>3670.6698594451464</c:v>
                </c:pt>
                <c:pt idx="679">
                  <c:v>3677.7064100785055</c:v>
                </c:pt>
                <c:pt idx="680">
                  <c:v>3684.7564495427077</c:v>
                </c:pt>
                <c:pt idx="681">
                  <c:v>3691.820003695389</c:v>
                </c:pt>
                <c:pt idx="682">
                  <c:v>3698.8970984437519</c:v>
                </c:pt>
                <c:pt idx="683">
                  <c:v>3705.9877597446616</c:v>
                </c:pt>
                <c:pt idx="684">
                  <c:v>3713.0920136047453</c:v>
                </c:pt>
                <c:pt idx="685">
                  <c:v>3720.2098860804795</c:v>
                </c:pt>
                <c:pt idx="686">
                  <c:v>3727.3414032782935</c:v>
                </c:pt>
                <c:pt idx="687">
                  <c:v>3734.48659135466</c:v>
                </c:pt>
                <c:pt idx="688">
                  <c:v>3741.645476516193</c:v>
                </c:pt>
                <c:pt idx="689">
                  <c:v>3748.8180850197446</c:v>
                </c:pt>
                <c:pt idx="690">
                  <c:v>3756.0044431725</c:v>
                </c:pt>
                <c:pt idx="691">
                  <c:v>3763.2045773320724</c:v>
                </c:pt>
                <c:pt idx="692">
                  <c:v>3770.4185139066058</c:v>
                </c:pt>
                <c:pt idx="693">
                  <c:v>3777.6462793548631</c:v>
                </c:pt>
                <c:pt idx="694">
                  <c:v>3784.8879001863324</c:v>
                </c:pt>
                <c:pt idx="695">
                  <c:v>3792.1434029613156</c:v>
                </c:pt>
                <c:pt idx="696">
                  <c:v>3799.4128142910304</c:v>
                </c:pt>
                <c:pt idx="697">
                  <c:v>3806.696160837711</c:v>
                </c:pt>
                <c:pt idx="698">
                  <c:v>3813.9934693146984</c:v>
                </c:pt>
                <c:pt idx="699">
                  <c:v>3821.3047664865417</c:v>
                </c:pt>
                <c:pt idx="700">
                  <c:v>3828.6300791691015</c:v>
                </c:pt>
                <c:pt idx="701">
                  <c:v>3835.969434229637</c:v>
                </c:pt>
                <c:pt idx="702">
                  <c:v>3843.3228585869169</c:v>
                </c:pt>
                <c:pt idx="703">
                  <c:v>3850.6903792113089</c:v>
                </c:pt>
                <c:pt idx="704">
                  <c:v>3858.0720231248815</c:v>
                </c:pt>
                <c:pt idx="705">
                  <c:v>3865.4678174015075</c:v>
                </c:pt>
                <c:pt idx="706">
                  <c:v>3872.8777891669552</c:v>
                </c:pt>
                <c:pt idx="707">
                  <c:v>3880.3019655989929</c:v>
                </c:pt>
                <c:pt idx="708">
                  <c:v>3887.740373927491</c:v>
                </c:pt>
                <c:pt idx="709">
                  <c:v>3895.1930414345138</c:v>
                </c:pt>
                <c:pt idx="710">
                  <c:v>3902.6599954544286</c:v>
                </c:pt>
                <c:pt idx="711">
                  <c:v>3910.1412633739997</c:v>
                </c:pt>
                <c:pt idx="712">
                  <c:v>3917.636872632489</c:v>
                </c:pt>
                <c:pt idx="713">
                  <c:v>3925.1468507217642</c:v>
                </c:pt>
                <c:pt idx="714">
                  <c:v>3932.6712251863878</c:v>
                </c:pt>
                <c:pt idx="715">
                  <c:v>3940.2100236237293</c:v>
                </c:pt>
                <c:pt idx="716">
                  <c:v>3947.7632736840578</c:v>
                </c:pt>
                <c:pt idx="717">
                  <c:v>3955.3310030706475</c:v>
                </c:pt>
                <c:pt idx="718">
                  <c:v>3962.9132395398819</c:v>
                </c:pt>
                <c:pt idx="719">
                  <c:v>3970.5100109013492</c:v>
                </c:pt>
                <c:pt idx="720">
                  <c:v>3978.1213450179484</c:v>
                </c:pt>
                <c:pt idx="721">
                  <c:v>3985.7472698059923</c:v>
                </c:pt>
                <c:pt idx="722">
                  <c:v>3993.3878132353052</c:v>
                </c:pt>
                <c:pt idx="723">
                  <c:v>4001.0430033293333</c:v>
                </c:pt>
                <c:pt idx="724">
                  <c:v>4008.7128681652393</c:v>
                </c:pt>
                <c:pt idx="725">
                  <c:v>4016.3974358740074</c:v>
                </c:pt>
                <c:pt idx="726">
                  <c:v>4024.0967346405537</c:v>
                </c:pt>
                <c:pt idx="727">
                  <c:v>4031.8107927038182</c:v>
                </c:pt>
                <c:pt idx="728">
                  <c:v>4039.5396383568764</c:v>
                </c:pt>
                <c:pt idx="729">
                  <c:v>4047.2832999470406</c:v>
                </c:pt>
                <c:pt idx="730">
                  <c:v>4055.0418058759642</c:v>
                </c:pt>
                <c:pt idx="731">
                  <c:v>4062.8151845997459</c:v>
                </c:pt>
                <c:pt idx="732">
                  <c:v>4070.6034646290314</c:v>
                </c:pt>
                <c:pt idx="733">
                  <c:v>4078.4066745291225</c:v>
                </c:pt>
                <c:pt idx="734">
                  <c:v>4086.2248429200808</c:v>
                </c:pt>
                <c:pt idx="735">
                  <c:v>4094.0579984768278</c:v>
                </c:pt>
                <c:pt idx="736">
                  <c:v>4101.9061699292588</c:v>
                </c:pt>
                <c:pt idx="737">
                  <c:v>4109.7693860623376</c:v>
                </c:pt>
                <c:pt idx="738">
                  <c:v>4117.6476757162127</c:v>
                </c:pt>
                <c:pt idx="739">
                  <c:v>4125.5410677863165</c:v>
                </c:pt>
                <c:pt idx="740">
                  <c:v>4133.4495912234725</c:v>
                </c:pt>
                <c:pt idx="741">
                  <c:v>4141.3732750340005</c:v>
                </c:pt>
                <c:pt idx="742">
                  <c:v>4149.3121482798297</c:v>
                </c:pt>
                <c:pt idx="743">
                  <c:v>4157.266240078593</c:v>
                </c:pt>
                <c:pt idx="744">
                  <c:v>4165.2355796037482</c:v>
                </c:pt>
                <c:pt idx="745">
                  <c:v>4173.2201960846705</c:v>
                </c:pt>
                <c:pt idx="746">
                  <c:v>4181.2201188067711</c:v>
                </c:pt>
                <c:pt idx="747">
                  <c:v>4189.2353771116013</c:v>
                </c:pt>
                <c:pt idx="748">
                  <c:v>4197.266000396954</c:v>
                </c:pt>
                <c:pt idx="749">
                  <c:v>4205.3120181169834</c:v>
                </c:pt>
                <c:pt idx="750">
                  <c:v>4213.3734597823022</c:v>
                </c:pt>
                <c:pt idx="751">
                  <c:v>4221.4503549600904</c:v>
                </c:pt>
                <c:pt idx="752">
                  <c:v>4229.5427332742165</c:v>
                </c:pt>
                <c:pt idx="753">
                  <c:v>4237.6506244053317</c:v>
                </c:pt>
                <c:pt idx="754">
                  <c:v>4245.7740580909804</c:v>
                </c:pt>
                <c:pt idx="755">
                  <c:v>4253.9130641257207</c:v>
                </c:pt>
                <c:pt idx="756">
                  <c:v>4262.0676723612196</c:v>
                </c:pt>
                <c:pt idx="757">
                  <c:v>4270.2379127063714</c:v>
                </c:pt>
                <c:pt idx="758">
                  <c:v>4278.4238151274067</c:v>
                </c:pt>
                <c:pt idx="759">
                  <c:v>4286.6254096479943</c:v>
                </c:pt>
                <c:pt idx="760">
                  <c:v>4294.842726349365</c:v>
                </c:pt>
                <c:pt idx="761">
                  <c:v>4303.0757953704069</c:v>
                </c:pt>
                <c:pt idx="762">
                  <c:v>4311.3246469077885</c:v>
                </c:pt>
                <c:pt idx="763">
                  <c:v>4319.5893112160638</c:v>
                </c:pt>
                <c:pt idx="764">
                  <c:v>4327.8698186077809</c:v>
                </c:pt>
                <c:pt idx="765">
                  <c:v>4336.1661994535989</c:v>
                </c:pt>
                <c:pt idx="766">
                  <c:v>4344.4784841823957</c:v>
                </c:pt>
                <c:pt idx="767">
                  <c:v>4352.8067032813769</c:v>
                </c:pt>
                <c:pt idx="768">
                  <c:v>4361.1508872961986</c:v>
                </c:pt>
                <c:pt idx="769">
                  <c:v>4369.5110668310635</c:v>
                </c:pt>
                <c:pt idx="770">
                  <c:v>4377.8872725488482</c:v>
                </c:pt>
                <c:pt idx="771">
                  <c:v>4386.279535171203</c:v>
                </c:pt>
                <c:pt idx="772">
                  <c:v>4394.6878854786773</c:v>
                </c:pt>
                <c:pt idx="773">
                  <c:v>4403.1123543108197</c:v>
                </c:pt>
                <c:pt idx="774">
                  <c:v>4411.5529725663027</c:v>
                </c:pt>
                <c:pt idx="775">
                  <c:v>4420.0097712030238</c:v>
                </c:pt>
                <c:pt idx="776">
                  <c:v>4428.4827812382309</c:v>
                </c:pt>
                <c:pt idx="777">
                  <c:v>4436.9720337486306</c:v>
                </c:pt>
                <c:pt idx="778">
                  <c:v>4445.4775598705</c:v>
                </c:pt>
                <c:pt idx="779">
                  <c:v>4453.999390799806</c:v>
                </c:pt>
                <c:pt idx="780">
                  <c:v>4462.537557792316</c:v>
                </c:pt>
                <c:pt idx="781">
                  <c:v>4471.0920921637126</c:v>
                </c:pt>
                <c:pt idx="782">
                  <c:v>4479.6630252897121</c:v>
                </c:pt>
                <c:pt idx="783">
                  <c:v>4488.2503886061731</c:v>
                </c:pt>
                <c:pt idx="784">
                  <c:v>4496.8542136092192</c:v>
                </c:pt>
                <c:pt idx="785">
                  <c:v>4505.4745318553496</c:v>
                </c:pt>
                <c:pt idx="786">
                  <c:v>4514.1113749615579</c:v>
                </c:pt>
                <c:pt idx="787">
                  <c:v>4522.7647746054427</c:v>
                </c:pt>
                <c:pt idx="788">
                  <c:v>4531.4347625253304</c:v>
                </c:pt>
                <c:pt idx="789">
                  <c:v>4540.1213705203882</c:v>
                </c:pt>
                <c:pt idx="790">
                  <c:v>4548.8246304507402</c:v>
                </c:pt>
                <c:pt idx="791">
                  <c:v>4557.5445742375887</c:v>
                </c:pt>
                <c:pt idx="792">
                  <c:v>4566.2812338633239</c:v>
                </c:pt>
                <c:pt idx="793">
                  <c:v>4575.0346413716452</c:v>
                </c:pt>
                <c:pt idx="794">
                  <c:v>4583.8048288676819</c:v>
                </c:pt>
                <c:pt idx="795">
                  <c:v>4592.591828518106</c:v>
                </c:pt>
                <c:pt idx="796">
                  <c:v>4601.3956725512508</c:v>
                </c:pt>
                <c:pt idx="797">
                  <c:v>4610.2163932572312</c:v>
                </c:pt>
                <c:pt idx="798">
                  <c:v>4619.0540229880626</c:v>
                </c:pt>
                <c:pt idx="799">
                  <c:v>4627.908594157776</c:v>
                </c:pt>
                <c:pt idx="800">
                  <c:v>4636.780139242539</c:v>
                </c:pt>
                <c:pt idx="801">
                  <c:v>4645.6686907807771</c:v>
                </c:pt>
                <c:pt idx="802">
                  <c:v>4654.5742813732895</c:v>
                </c:pt>
                <c:pt idx="803">
                  <c:v>4663.496943683369</c:v>
                </c:pt>
                <c:pt idx="804">
                  <c:v>4672.4367104369239</c:v>
                </c:pt>
                <c:pt idx="805">
                  <c:v>4681.3936144225981</c:v>
                </c:pt>
                <c:pt idx="806">
                  <c:v>4690.3676884918877</c:v>
                </c:pt>
                <c:pt idx="807">
                  <c:v>4699.3589655592668</c:v>
                </c:pt>
                <c:pt idx="808">
                  <c:v>4708.367478602303</c:v>
                </c:pt>
                <c:pt idx="809">
                  <c:v>4717.3932606617809</c:v>
                </c:pt>
                <c:pt idx="810">
                  <c:v>4726.4363448418253</c:v>
                </c:pt>
                <c:pt idx="811">
                  <c:v>4735.4967643100172</c:v>
                </c:pt>
                <c:pt idx="812">
                  <c:v>4744.5745522975258</c:v>
                </c:pt>
                <c:pt idx="813">
                  <c:v>4753.6697420992141</c:v>
                </c:pt>
                <c:pt idx="814">
                  <c:v>4762.7823670737753</c:v>
                </c:pt>
                <c:pt idx="815">
                  <c:v>4771.9124606438509</c:v>
                </c:pt>
                <c:pt idx="816">
                  <c:v>4781.0600562961481</c:v>
                </c:pt>
                <c:pt idx="817">
                  <c:v>4790.22518758157</c:v>
                </c:pt>
                <c:pt idx="818">
                  <c:v>4799.4078881153382</c:v>
                </c:pt>
                <c:pt idx="819">
                  <c:v>4808.6081915771074</c:v>
                </c:pt>
                <c:pt idx="820">
                  <c:v>4817.8261317111019</c:v>
                </c:pt>
                <c:pt idx="821">
                  <c:v>4827.0617423262256</c:v>
                </c:pt>
                <c:pt idx="822">
                  <c:v>4836.3150572961977</c:v>
                </c:pt>
                <c:pt idx="823">
                  <c:v>4845.5861105596723</c:v>
                </c:pt>
                <c:pt idx="824">
                  <c:v>4854.87493612036</c:v>
                </c:pt>
                <c:pt idx="825">
                  <c:v>4864.1815680471545</c:v>
                </c:pt>
                <c:pt idx="826">
                  <c:v>4873.5060404742635</c:v>
                </c:pt>
                <c:pt idx="827">
                  <c:v>4882.8483876013242</c:v>
                </c:pt>
                <c:pt idx="828">
                  <c:v>4892.2086436935379</c:v>
                </c:pt>
                <c:pt idx="829">
                  <c:v>4901.5868430817864</c:v>
                </c:pt>
                <c:pt idx="830">
                  <c:v>4910.9830201627628</c:v>
                </c:pt>
                <c:pt idx="831">
                  <c:v>4920.3972093991033</c:v>
                </c:pt>
                <c:pt idx="832">
                  <c:v>4929.8294453194994</c:v>
                </c:pt>
                <c:pt idx="833">
                  <c:v>4939.2797625188414</c:v>
                </c:pt>
                <c:pt idx="834">
                  <c:v>4948.7481956583297</c:v>
                </c:pt>
                <c:pt idx="835">
                  <c:v>4958.2347794656125</c:v>
                </c:pt>
                <c:pt idx="836">
                  <c:v>4967.7395487349113</c:v>
                </c:pt>
                <c:pt idx="837">
                  <c:v>4977.2625383271434</c:v>
                </c:pt>
                <c:pt idx="838">
                  <c:v>4986.803783170054</c:v>
                </c:pt>
                <c:pt idx="839">
                  <c:v>4996.3633182583471</c:v>
                </c:pt>
                <c:pt idx="840">
                  <c:v>5005.9411786538067</c:v>
                </c:pt>
                <c:pt idx="841">
                  <c:v>5015.537399485429</c:v>
                </c:pt>
                <c:pt idx="842">
                  <c:v>5025.152015949554</c:v>
                </c:pt>
                <c:pt idx="843">
                  <c:v>5034.7850633099879</c:v>
                </c:pt>
                <c:pt idx="844">
                  <c:v>5044.4365768981415</c:v>
                </c:pt>
                <c:pt idx="845">
                  <c:v>5054.1065921131521</c:v>
                </c:pt>
                <c:pt idx="846">
                  <c:v>5063.7951444220143</c:v>
                </c:pt>
                <c:pt idx="847">
                  <c:v>5073.5022693597166</c:v>
                </c:pt>
                <c:pt idx="848">
                  <c:v>5083.2280025293585</c:v>
                </c:pt>
                <c:pt idx="849">
                  <c:v>5092.9723796022981</c:v>
                </c:pt>
                <c:pt idx="850">
                  <c:v>5102.7354363182712</c:v>
                </c:pt>
                <c:pt idx="851">
                  <c:v>5112.517208485523</c:v>
                </c:pt>
                <c:pt idx="852">
                  <c:v>5122.3177319809447</c:v>
                </c:pt>
                <c:pt idx="853">
                  <c:v>5132.1370427502015</c:v>
                </c:pt>
                <c:pt idx="854">
                  <c:v>5141.9751768078677</c:v>
                </c:pt>
                <c:pt idx="855">
                  <c:v>5151.8321702375506</c:v>
                </c:pt>
                <c:pt idx="856">
                  <c:v>5161.7080591920321</c:v>
                </c:pt>
                <c:pt idx="857">
                  <c:v>5171.6028798934012</c:v>
                </c:pt>
                <c:pt idx="858">
                  <c:v>5181.5166686331759</c:v>
                </c:pt>
                <c:pt idx="859">
                  <c:v>5191.4494617724486</c:v>
                </c:pt>
                <c:pt idx="860">
                  <c:v>5201.4012957420136</c:v>
                </c:pt>
                <c:pt idx="861">
                  <c:v>5211.3722070425029</c:v>
                </c:pt>
                <c:pt idx="862">
                  <c:v>5221.3622322445199</c:v>
                </c:pt>
                <c:pt idx="863">
                  <c:v>5231.3714079887677</c:v>
                </c:pt>
                <c:pt idx="864">
                  <c:v>5241.3997709861915</c:v>
                </c:pt>
                <c:pt idx="865">
                  <c:v>5251.4473580181129</c:v>
                </c:pt>
                <c:pt idx="866">
                  <c:v>5261.514205936357</c:v>
                </c:pt>
                <c:pt idx="867">
                  <c:v>5271.6003516633946</c:v>
                </c:pt>
                <c:pt idx="868">
                  <c:v>5281.7058321924778</c:v>
                </c:pt>
                <c:pt idx="869">
                  <c:v>5291.8306845877705</c:v>
                </c:pt>
                <c:pt idx="870">
                  <c:v>5301.9749459844898</c:v>
                </c:pt>
                <c:pt idx="871">
                  <c:v>5312.138653589036</c:v>
                </c:pt>
                <c:pt idx="872">
                  <c:v>5322.321844679137</c:v>
                </c:pt>
                <c:pt idx="873">
                  <c:v>5332.5245566039803</c:v>
                </c:pt>
                <c:pt idx="874">
                  <c:v>5342.746826784346</c:v>
                </c:pt>
                <c:pt idx="875">
                  <c:v>5352.9886927127545</c:v>
                </c:pt>
                <c:pt idx="876">
                  <c:v>5363.2501919535953</c:v>
                </c:pt>
                <c:pt idx="877">
                  <c:v>5373.531362143267</c:v>
                </c:pt>
                <c:pt idx="878">
                  <c:v>5383.8322409903185</c:v>
                </c:pt>
                <c:pt idx="879">
                  <c:v>5394.1528662755818</c:v>
                </c:pt>
                <c:pt idx="880">
                  <c:v>5404.4932758523128</c:v>
                </c:pt>
                <c:pt idx="881">
                  <c:v>5414.8535076463368</c:v>
                </c:pt>
                <c:pt idx="882">
                  <c:v>5425.2335996561733</c:v>
                </c:pt>
                <c:pt idx="883">
                  <c:v>5435.6335899531914</c:v>
                </c:pt>
                <c:pt idx="884">
                  <c:v>5446.0535166817363</c:v>
                </c:pt>
                <c:pt idx="885">
                  <c:v>5456.4934180592754</c:v>
                </c:pt>
                <c:pt idx="886">
                  <c:v>5466.9533323765418</c:v>
                </c:pt>
                <c:pt idx="887">
                  <c:v>5477.4332979976662</c:v>
                </c:pt>
                <c:pt idx="888">
                  <c:v>5487.9333533603221</c:v>
                </c:pt>
                <c:pt idx="889">
                  <c:v>5498.4535369758714</c:v>
                </c:pt>
                <c:pt idx="890">
                  <c:v>5508.993887429494</c:v>
                </c:pt>
                <c:pt idx="891">
                  <c:v>5519.5544433803434</c:v>
                </c:pt>
                <c:pt idx="892">
                  <c:v>5530.1352435616755</c:v>
                </c:pt>
                <c:pt idx="893">
                  <c:v>5540.7363267810006</c:v>
                </c:pt>
                <c:pt idx="894">
                  <c:v>5551.3577319202195</c:v>
                </c:pt>
                <c:pt idx="895">
                  <c:v>5561.9994979357698</c:v>
                </c:pt>
                <c:pt idx="896">
                  <c:v>5572.6616638587666</c:v>
                </c:pt>
                <c:pt idx="897">
                  <c:v>5583.3442687951447</c:v>
                </c:pt>
                <c:pt idx="898">
                  <c:v>5594.0473519258057</c:v>
                </c:pt>
                <c:pt idx="899">
                  <c:v>5604.7709525067603</c:v>
                </c:pt>
                <c:pt idx="900">
                  <c:v>5615.5151098692695</c:v>
                </c:pt>
                <c:pt idx="901">
                  <c:v>5626.2798634199908</c:v>
                </c:pt>
                <c:pt idx="902">
                  <c:v>5637.0652526411268</c:v>
                </c:pt>
                <c:pt idx="903">
                  <c:v>5647.8713170905594</c:v>
                </c:pt>
                <c:pt idx="904">
                  <c:v>5658.6980964020113</c:v>
                </c:pt>
                <c:pt idx="905">
                  <c:v>5669.5456302851717</c:v>
                </c:pt>
                <c:pt idx="906">
                  <c:v>5680.4139585258572</c:v>
                </c:pt>
                <c:pt idx="907">
                  <c:v>5691.3031209861538</c:v>
                </c:pt>
                <c:pt idx="908">
                  <c:v>5702.2131576045576</c:v>
                </c:pt>
                <c:pt idx="909">
                  <c:v>5713.1441083961254</c:v>
                </c:pt>
                <c:pt idx="910">
                  <c:v>5724.0960134526285</c:v>
                </c:pt>
                <c:pt idx="911">
                  <c:v>5735.0689129426846</c:v>
                </c:pt>
                <c:pt idx="912">
                  <c:v>5746.0628471119171</c:v>
                </c:pt>
                <c:pt idx="913">
                  <c:v>5757.0778562830992</c:v>
                </c:pt>
                <c:pt idx="914">
                  <c:v>5768.1139808562984</c:v>
                </c:pt>
                <c:pt idx="915">
                  <c:v>5779.171261309034</c:v>
                </c:pt>
                <c:pt idx="916">
                  <c:v>5790.2497381964113</c:v>
                </c:pt>
                <c:pt idx="917">
                  <c:v>5801.3494521512848</c:v>
                </c:pt>
                <c:pt idx="918">
                  <c:v>5812.4704438843974</c:v>
                </c:pt>
                <c:pt idx="919">
                  <c:v>5823.6127541845335</c:v>
                </c:pt>
                <c:pt idx="920">
                  <c:v>5834.7764239186718</c:v>
                </c:pt>
                <c:pt idx="921">
                  <c:v>5845.9614940321253</c:v>
                </c:pt>
                <c:pt idx="922">
                  <c:v>5857.1680055487022</c:v>
                </c:pt>
                <c:pt idx="923">
                  <c:v>5868.3959995708528</c:v>
                </c:pt>
                <c:pt idx="924">
                  <c:v>5879.6455172798151</c:v>
                </c:pt>
                <c:pt idx="925">
                  <c:v>5890.9165999357738</c:v>
                </c:pt>
                <c:pt idx="926">
                  <c:v>5902.209288878008</c:v>
                </c:pt>
                <c:pt idx="927">
                  <c:v>5913.5236255250384</c:v>
                </c:pt>
                <c:pt idx="928">
                  <c:v>5924.8596513747907</c:v>
                </c:pt>
                <c:pt idx="929">
                  <c:v>5936.2174080047334</c:v>
                </c:pt>
                <c:pt idx="930">
                  <c:v>5947.5969370720441</c:v>
                </c:pt>
                <c:pt idx="931">
                  <c:v>5958.9982803137509</c:v>
                </c:pt>
                <c:pt idx="932">
                  <c:v>5970.4214795468915</c:v>
                </c:pt>
                <c:pt idx="933">
                  <c:v>5981.866576668669</c:v>
                </c:pt>
                <c:pt idx="934">
                  <c:v>5993.3336136565986</c:v>
                </c:pt>
                <c:pt idx="935">
                  <c:v>6004.822632568661</c:v>
                </c:pt>
                <c:pt idx="936">
                  <c:v>6016.3336755434721</c:v>
                </c:pt>
                <c:pt idx="937">
                  <c:v>6027.8667848004134</c:v>
                </c:pt>
                <c:pt idx="938">
                  <c:v>6039.4220026398107</c:v>
                </c:pt>
                <c:pt idx="939">
                  <c:v>6050.9993714430693</c:v>
                </c:pt>
                <c:pt idx="940">
                  <c:v>6062.5989336728408</c:v>
                </c:pt>
                <c:pt idx="941">
                  <c:v>6074.2207318731807</c:v>
                </c:pt>
                <c:pt idx="942">
                  <c:v>6085.864808669694</c:v>
                </c:pt>
                <c:pt idx="943">
                  <c:v>6097.5312067697005</c:v>
                </c:pt>
                <c:pt idx="944">
                  <c:v>6109.2199689623894</c:v>
                </c:pt>
                <c:pt idx="945">
                  <c:v>6120.9311381189718</c:v>
                </c:pt>
                <c:pt idx="946">
                  <c:v>6132.664757192847</c:v>
                </c:pt>
                <c:pt idx="947">
                  <c:v>6144.420869219749</c:v>
                </c:pt>
                <c:pt idx="948">
                  <c:v>6156.1995173179102</c:v>
                </c:pt>
                <c:pt idx="949">
                  <c:v>6168.0007446882246</c:v>
                </c:pt>
                <c:pt idx="950">
                  <c:v>6179.8245946143943</c:v>
                </c:pt>
                <c:pt idx="951">
                  <c:v>6191.6711104631013</c:v>
                </c:pt>
                <c:pt idx="952">
                  <c:v>6203.5403356841534</c:v>
                </c:pt>
                <c:pt idx="953">
                  <c:v>6215.4323138106547</c:v>
                </c:pt>
                <c:pt idx="954">
                  <c:v>6227.3470884591597</c:v>
                </c:pt>
                <c:pt idx="955">
                  <c:v>6239.284703329834</c:v>
                </c:pt>
                <c:pt idx="956">
                  <c:v>6251.2452022066136</c:v>
                </c:pt>
                <c:pt idx="957">
                  <c:v>6263.2286289573713</c:v>
                </c:pt>
                <c:pt idx="958">
                  <c:v>6275.235027534065</c:v>
                </c:pt>
                <c:pt idx="959">
                  <c:v>6287.2644419729195</c:v>
                </c:pt>
                <c:pt idx="960">
                  <c:v>6299.316916394564</c:v>
                </c:pt>
                <c:pt idx="961">
                  <c:v>6311.3924950042101</c:v>
                </c:pt>
                <c:pt idx="962">
                  <c:v>6323.4912220918086</c:v>
                </c:pt>
                <c:pt idx="963">
                  <c:v>6335.6131420322145</c:v>
                </c:pt>
                <c:pt idx="964">
                  <c:v>6347.7582992853449</c:v>
                </c:pt>
                <c:pt idx="965">
                  <c:v>6359.926738396347</c:v>
                </c:pt>
                <c:pt idx="966">
                  <c:v>6372.1185039957581</c:v>
                </c:pt>
                <c:pt idx="967">
                  <c:v>6384.3336407996758</c:v>
                </c:pt>
                <c:pt idx="968">
                  <c:v>6396.572193609908</c:v>
                </c:pt>
                <c:pt idx="969">
                  <c:v>6408.8342073141521</c:v>
                </c:pt>
                <c:pt idx="970">
                  <c:v>6421.1197268861551</c:v>
                </c:pt>
                <c:pt idx="971">
                  <c:v>6433.4287973858718</c:v>
                </c:pt>
                <c:pt idx="972">
                  <c:v>6445.7614639596404</c:v>
                </c:pt>
                <c:pt idx="973">
                  <c:v>6458.1177718403405</c:v>
                </c:pt>
                <c:pt idx="974">
                  <c:v>6470.4977663475593</c:v>
                </c:pt>
                <c:pt idx="975">
                  <c:v>6482.9014928877687</c:v>
                </c:pt>
                <c:pt idx="976">
                  <c:v>6495.328996954474</c:v>
                </c:pt>
                <c:pt idx="977">
                  <c:v>6507.7803241283937</c:v>
                </c:pt>
                <c:pt idx="978">
                  <c:v>6520.2555200776233</c:v>
                </c:pt>
                <c:pt idx="979">
                  <c:v>6532.7546305578026</c:v>
                </c:pt>
                <c:pt idx="980">
                  <c:v>6545.2777014122812</c:v>
                </c:pt>
                <c:pt idx="981">
                  <c:v>6557.8247785722942</c:v>
                </c:pt>
                <c:pt idx="982">
                  <c:v>6570.3959080571158</c:v>
                </c:pt>
                <c:pt idx="983">
                  <c:v>6582.9911359742491</c:v>
                </c:pt>
                <c:pt idx="984">
                  <c:v>6595.6105085195768</c:v>
                </c:pt>
                <c:pt idx="985">
                  <c:v>6608.2540719775352</c:v>
                </c:pt>
                <c:pt idx="986">
                  <c:v>6620.9218727212956</c:v>
                </c:pt>
                <c:pt idx="987">
                  <c:v>6633.613957212915</c:v>
                </c:pt>
                <c:pt idx="988">
                  <c:v>6646.3303720035237</c:v>
                </c:pt>
                <c:pt idx="989">
                  <c:v>6659.0711637334853</c:v>
                </c:pt>
                <c:pt idx="990">
                  <c:v>6671.8363791325719</c:v>
                </c:pt>
                <c:pt idx="991">
                  <c:v>6684.6260650201366</c:v>
                </c:pt>
                <c:pt idx="992">
                  <c:v>6697.4402683052813</c:v>
                </c:pt>
                <c:pt idx="993">
                  <c:v>6710.2790359870351</c:v>
                </c:pt>
                <c:pt idx="994">
                  <c:v>6723.1424151545189</c:v>
                </c:pt>
                <c:pt idx="995">
                  <c:v>6736.03045298712</c:v>
                </c:pt>
                <c:pt idx="996">
                  <c:v>6748.9431967546734</c:v>
                </c:pt>
                <c:pt idx="997">
                  <c:v>6761.880693817624</c:v>
                </c:pt>
                <c:pt idx="998">
                  <c:v>6774.8429916272053</c:v>
                </c:pt>
                <c:pt idx="999">
                  <c:v>6787.8301377256166</c:v>
                </c:pt>
                <c:pt idx="1000">
                  <c:v>6800.8421797461879</c:v>
                </c:pt>
                <c:pt idx="1001">
                  <c:v>6813.8791654135684</c:v>
                </c:pt>
                <c:pt idx="1002">
                  <c:v>6826.9411425438884</c:v>
                </c:pt>
                <c:pt idx="1003">
                  <c:v>6840.0281590449404</c:v>
                </c:pt>
                <c:pt idx="1004">
                  <c:v>6853.1402629163576</c:v>
                </c:pt>
                <c:pt idx="1005">
                  <c:v>6866.2775022497854</c:v>
                </c:pt>
                <c:pt idx="1006">
                  <c:v>6879.439925229055</c:v>
                </c:pt>
                <c:pt idx="1007">
                  <c:v>6892.6275801303709</c:v>
                </c:pt>
                <c:pt idx="1008">
                  <c:v>6905.8405153224794</c:v>
                </c:pt>
                <c:pt idx="1009">
                  <c:v>6919.078779266848</c:v>
                </c:pt>
                <c:pt idx="1010">
                  <c:v>6932.3424205178417</c:v>
                </c:pt>
                <c:pt idx="1011">
                  <c:v>6945.6314877229024</c:v>
                </c:pt>
                <c:pt idx="1012">
                  <c:v>6958.9460296227307</c:v>
                </c:pt>
                <c:pt idx="1013">
                  <c:v>6972.2860950514569</c:v>
                </c:pt>
                <c:pt idx="1014">
                  <c:v>6985.6517329368307</c:v>
                </c:pt>
                <c:pt idx="1015">
                  <c:v>6999.0429923003894</c:v>
                </c:pt>
                <c:pt idx="1016">
                  <c:v>7012.4599222576435</c:v>
                </c:pt>
                <c:pt idx="1017">
                  <c:v>7025.9025720182599</c:v>
                </c:pt>
                <c:pt idx="1018">
                  <c:v>7039.3709908862356</c:v>
                </c:pt>
                <c:pt idx="1019">
                  <c:v>7052.8652282600797</c:v>
                </c:pt>
                <c:pt idx="1020">
                  <c:v>7066.3853336330039</c:v>
                </c:pt>
                <c:pt idx="1021">
                  <c:v>7079.9313565930888</c:v>
                </c:pt>
                <c:pt idx="1022">
                  <c:v>7093.5033468234797</c:v>
                </c:pt>
                <c:pt idx="1023">
                  <c:v>7107.1013541025577</c:v>
                </c:pt>
                <c:pt idx="1024">
                  <c:v>7120.7254283041293</c:v>
                </c:pt>
                <c:pt idx="1025">
                  <c:v>7134.3756193976114</c:v>
                </c:pt>
                <c:pt idx="1026">
                  <c:v>7148.0519774482054</c:v>
                </c:pt>
                <c:pt idx="1027">
                  <c:v>7161.7545526170879</c:v>
                </c:pt>
                <c:pt idx="1028">
                  <c:v>7175.4833951615938</c:v>
                </c:pt>
                <c:pt idx="1029">
                  <c:v>7189.2385554353959</c:v>
                </c:pt>
                <c:pt idx="1030">
                  <c:v>7203.0200838886994</c:v>
                </c:pt>
                <c:pt idx="1031">
                  <c:v>7216.8280310684131</c:v>
                </c:pt>
                <c:pt idx="1032">
                  <c:v>7230.6624476183488</c:v>
                </c:pt>
                <c:pt idx="1033">
                  <c:v>7244.5233842794005</c:v>
                </c:pt>
                <c:pt idx="1034">
                  <c:v>7258.4108918897255</c:v>
                </c:pt>
                <c:pt idx="1035">
                  <c:v>7272.3250213849433</c:v>
                </c:pt>
                <c:pt idx="1036">
                  <c:v>7286.2658237983096</c:v>
                </c:pt>
                <c:pt idx="1037">
                  <c:v>7300.2333502609108</c:v>
                </c:pt>
                <c:pt idx="1038">
                  <c:v>7314.2276520018513</c:v>
                </c:pt>
                <c:pt idx="1039">
                  <c:v>7328.2487803484382</c:v>
                </c:pt>
                <c:pt idx="1040">
                  <c:v>7342.2967867263706</c:v>
                </c:pt>
                <c:pt idx="1041">
                  <c:v>7356.3717226599347</c:v>
                </c:pt>
                <c:pt idx="1042">
                  <c:v>7370.4736397721781</c:v>
                </c:pt>
                <c:pt idx="1043">
                  <c:v>7384.6025897851168</c:v>
                </c:pt>
                <c:pt idx="1044">
                  <c:v>7398.7586245199082</c:v>
                </c:pt>
                <c:pt idx="1045">
                  <c:v>7412.941795897058</c:v>
                </c:pt>
                <c:pt idx="1046">
                  <c:v>7427.1521559365892</c:v>
                </c:pt>
                <c:pt idx="1047">
                  <c:v>7441.3897567582571</c:v>
                </c:pt>
                <c:pt idx="1048">
                  <c:v>7455.6546505817278</c:v>
                </c:pt>
                <c:pt idx="1049">
                  <c:v>7469.9468897267616</c:v>
                </c:pt>
                <c:pt idx="1050">
                  <c:v>7484.2665266134227</c:v>
                </c:pt>
                <c:pt idx="1051">
                  <c:v>7498.6136137622634</c:v>
                </c:pt>
                <c:pt idx="1052">
                  <c:v>7512.9882037945054</c:v>
                </c:pt>
                <c:pt idx="1053">
                  <c:v>7527.3903494322558</c:v>
                </c:pt>
                <c:pt idx="1054">
                  <c:v>7541.8201034986823</c:v>
                </c:pt>
                <c:pt idx="1055">
                  <c:v>7556.2775189182175</c:v>
                </c:pt>
                <c:pt idx="1056">
                  <c:v>7570.7626487167381</c:v>
                </c:pt>
                <c:pt idx="1057">
                  <c:v>7585.2755460217795</c:v>
                </c:pt>
                <c:pt idx="1058">
                  <c:v>7599.816264062717</c:v>
                </c:pt>
                <c:pt idx="1059">
                  <c:v>7614.3848561709674</c:v>
                </c:pt>
                <c:pt idx="1060">
                  <c:v>7628.9813757801803</c:v>
                </c:pt>
                <c:pt idx="1061">
                  <c:v>7643.6058764264317</c:v>
                </c:pt>
                <c:pt idx="1062">
                  <c:v>7658.2584117484303</c:v>
                </c:pt>
                <c:pt idx="1063">
                  <c:v>7672.9390354877105</c:v>
                </c:pt>
                <c:pt idx="1064">
                  <c:v>7687.6478014888144</c:v>
                </c:pt>
                <c:pt idx="1065">
                  <c:v>7702.384763699516</c:v>
                </c:pt>
                <c:pt idx="1066">
                  <c:v>7717.1499761710056</c:v>
                </c:pt>
                <c:pt idx="1067">
                  <c:v>7731.9434930580728</c:v>
                </c:pt>
                <c:pt idx="1068">
                  <c:v>7746.7653686193362</c:v>
                </c:pt>
                <c:pt idx="1069">
                  <c:v>7761.6156572174204</c:v>
                </c:pt>
                <c:pt idx="1070">
                  <c:v>7776.4944133191584</c:v>
                </c:pt>
                <c:pt idx="1071">
                  <c:v>7791.4016914957974</c:v>
                </c:pt>
                <c:pt idx="1072">
                  <c:v>7806.3375464232004</c:v>
                </c:pt>
                <c:pt idx="1073">
                  <c:v>7821.3020328820257</c:v>
                </c:pt>
                <c:pt idx="1074">
                  <c:v>7836.2952057579696</c:v>
                </c:pt>
                <c:pt idx="1075">
                  <c:v>7851.3171200419192</c:v>
                </c:pt>
                <c:pt idx="1076">
                  <c:v>7866.3678308301905</c:v>
                </c:pt>
                <c:pt idx="1077">
                  <c:v>7881.4473933247173</c:v>
                </c:pt>
                <c:pt idx="1078">
                  <c:v>7896.555862833241</c:v>
                </c:pt>
                <c:pt idx="1079">
                  <c:v>7911.6932947695395</c:v>
                </c:pt>
                <c:pt idx="1080">
                  <c:v>7926.8597446536132</c:v>
                </c:pt>
                <c:pt idx="1081">
                  <c:v>7942.0552681118934</c:v>
                </c:pt>
                <c:pt idx="1082">
                  <c:v>7957.2799208774377</c:v>
                </c:pt>
                <c:pt idx="1083">
                  <c:v>7972.533758790154</c:v>
                </c:pt>
                <c:pt idx="1084">
                  <c:v>7987.8168377969869</c:v>
                </c:pt>
                <c:pt idx="1085">
                  <c:v>8003.1292139521265</c:v>
                </c:pt>
                <c:pt idx="1086">
                  <c:v>8018.4709434172228</c:v>
                </c:pt>
                <c:pt idx="1087">
                  <c:v>8033.842082461586</c:v>
                </c:pt>
                <c:pt idx="1088">
                  <c:v>8049.2426874623834</c:v>
                </c:pt>
                <c:pt idx="1089">
                  <c:v>8064.6728149048686</c:v>
                </c:pt>
                <c:pt idx="1090">
                  <c:v>8080.1325213825667</c:v>
                </c:pt>
                <c:pt idx="1091">
                  <c:v>8095.6218635974919</c:v>
                </c:pt>
                <c:pt idx="1092">
                  <c:v>8111.1408983603615</c:v>
                </c:pt>
                <c:pt idx="1093">
                  <c:v>8126.6896825907806</c:v>
                </c:pt>
                <c:pt idx="1094">
                  <c:v>8142.2682733174852</c:v>
                </c:pt>
                <c:pt idx="1095">
                  <c:v>8157.8767276785293</c:v>
                </c:pt>
                <c:pt idx="1096">
                  <c:v>8173.515102921483</c:v>
                </c:pt>
                <c:pt idx="1097">
                  <c:v>8189.1834564036808</c:v>
                </c:pt>
                <c:pt idx="1098">
                  <c:v>8204.8818455923974</c:v>
                </c:pt>
                <c:pt idx="1099">
                  <c:v>8220.6103280650677</c:v>
                </c:pt>
                <c:pt idx="1100">
                  <c:v>8236.3689615095063</c:v>
                </c:pt>
                <c:pt idx="1101">
                  <c:v>8252.1578037241106</c:v>
                </c:pt>
                <c:pt idx="1102">
                  <c:v>8267.9769126180836</c:v>
                </c:pt>
                <c:pt idx="1103">
                  <c:v>8283.8263462116229</c:v>
                </c:pt>
                <c:pt idx="1104">
                  <c:v>8299.7061626361592</c:v>
                </c:pt>
                <c:pt idx="1105">
                  <c:v>8315.61642013456</c:v>
                </c:pt>
                <c:pt idx="1106">
                  <c:v>8331.5571770613387</c:v>
                </c:pt>
                <c:pt idx="1107">
                  <c:v>8347.5284918828784</c:v>
                </c:pt>
                <c:pt idx="1108">
                  <c:v>8363.5304231776245</c:v>
                </c:pt>
                <c:pt idx="1109">
                  <c:v>8379.5630296363342</c:v>
                </c:pt>
                <c:pt idx="1110">
                  <c:v>8395.6263700622658</c:v>
                </c:pt>
                <c:pt idx="1111">
                  <c:v>8411.7205033713908</c:v>
                </c:pt>
                <c:pt idx="1112">
                  <c:v>8427.8454885926421</c:v>
                </c:pt>
                <c:pt idx="1113">
                  <c:v>8444.0013848680937</c:v>
                </c:pt>
                <c:pt idx="1114">
                  <c:v>8460.1882514531899</c:v>
                </c:pt>
                <c:pt idx="1115">
                  <c:v>8476.4061477169798</c:v>
                </c:pt>
                <c:pt idx="1116">
                  <c:v>8492.6551331423143</c:v>
                </c:pt>
                <c:pt idx="1117">
                  <c:v>8508.9352673260619</c:v>
                </c:pt>
                <c:pt idx="1118">
                  <c:v>8525.2466099793528</c:v>
                </c:pt>
                <c:pt idx="1119">
                  <c:v>8541.5892209277736</c:v>
                </c:pt>
                <c:pt idx="1120">
                  <c:v>8557.9631601115871</c:v>
                </c:pt>
                <c:pt idx="1121">
                  <c:v>8574.3684875859708</c:v>
                </c:pt>
                <c:pt idx="1122">
                  <c:v>8590.8052635212207</c:v>
                </c:pt>
                <c:pt idx="1123">
                  <c:v>8607.2735482029821</c:v>
                </c:pt>
                <c:pt idx="1124">
                  <c:v>8623.7734020324569</c:v>
                </c:pt>
                <c:pt idx="1125">
                  <c:v>8640.3048855266406</c:v>
                </c:pt>
                <c:pt idx="1126">
                  <c:v>8656.8680593185418</c:v>
                </c:pt>
                <c:pt idx="1127">
                  <c:v>8673.462984157386</c:v>
                </c:pt>
                <c:pt idx="1128">
                  <c:v>8690.0897209088671</c:v>
                </c:pt>
                <c:pt idx="1129">
                  <c:v>8706.7483305553524</c:v>
                </c:pt>
                <c:pt idx="1130">
                  <c:v>8723.4388741961029</c:v>
                </c:pt>
                <c:pt idx="1131">
                  <c:v>8740.1614130475191</c:v>
                </c:pt>
                <c:pt idx="1132">
                  <c:v>8756.9160084433443</c:v>
                </c:pt>
                <c:pt idx="1133">
                  <c:v>8773.7027218348867</c:v>
                </c:pt>
                <c:pt idx="1134">
                  <c:v>8790.5216147912706</c:v>
                </c:pt>
                <c:pt idx="1135">
                  <c:v>8807.3727489996363</c:v>
                </c:pt>
                <c:pt idx="1136">
                  <c:v>8824.2561862653856</c:v>
                </c:pt>
                <c:pt idx="1137">
                  <c:v>8841.1719885123839</c:v>
                </c:pt>
                <c:pt idx="1138">
                  <c:v>8858.1202177832129</c:v>
                </c:pt>
                <c:pt idx="1139">
                  <c:v>8875.1009362393943</c:v>
                </c:pt>
                <c:pt idx="1140">
                  <c:v>8892.1142061615938</c:v>
                </c:pt>
                <c:pt idx="1141">
                  <c:v>8909.160089949879</c:v>
                </c:pt>
                <c:pt idx="1142">
                  <c:v>8926.2386501239398</c:v>
                </c:pt>
                <c:pt idx="1143">
                  <c:v>8943.349949323303</c:v>
                </c:pt>
                <c:pt idx="1144">
                  <c:v>8960.4940503075777</c:v>
                </c:pt>
                <c:pt idx="1145">
                  <c:v>8977.6710159566883</c:v>
                </c:pt>
                <c:pt idx="1146">
                  <c:v>8994.8809092710835</c:v>
                </c:pt>
                <c:pt idx="1147">
                  <c:v>9012.1237933719949</c:v>
                </c:pt>
                <c:pt idx="1148">
                  <c:v>9029.3997315016513</c:v>
                </c:pt>
                <c:pt idx="1149">
                  <c:v>9046.7087870235118</c:v>
                </c:pt>
                <c:pt idx="1150">
                  <c:v>9064.0510234225003</c:v>
                </c:pt>
                <c:pt idx="1151">
                  <c:v>9081.4265043052474</c:v>
                </c:pt>
                <c:pt idx="1152">
                  <c:v>9098.8352934003105</c:v>
                </c:pt>
                <c:pt idx="1153">
                  <c:v>9116.2774545584052</c:v>
                </c:pt>
                <c:pt idx="1154">
                  <c:v>9133.7530517526593</c:v>
                </c:pt>
                <c:pt idx="1155">
                  <c:v>9151.2621490788297</c:v>
                </c:pt>
                <c:pt idx="1156">
                  <c:v>9168.8048107555387</c:v>
                </c:pt>
                <c:pt idx="1157">
                  <c:v>9186.381101124518</c:v>
                </c:pt>
                <c:pt idx="1158">
                  <c:v>9203.9910846508428</c:v>
                </c:pt>
                <c:pt idx="1159">
                  <c:v>9221.6348259231581</c:v>
                </c:pt>
                <c:pt idx="1160">
                  <c:v>9239.3123896539255</c:v>
                </c:pt>
                <c:pt idx="1161">
                  <c:v>9257.0238406796707</c:v>
                </c:pt>
                <c:pt idx="1162">
                  <c:v>9274.7692439611837</c:v>
                </c:pt>
                <c:pt idx="1163">
                  <c:v>9292.5486645838009</c:v>
                </c:pt>
                <c:pt idx="1164">
                  <c:v>9310.3621677576284</c:v>
                </c:pt>
                <c:pt idx="1165">
                  <c:v>9328.2098188177679</c:v>
                </c:pt>
                <c:pt idx="1166">
                  <c:v>9346.0916832245621</c:v>
                </c:pt>
                <c:pt idx="1167">
                  <c:v>9364.0078265638513</c:v>
                </c:pt>
                <c:pt idx="1168">
                  <c:v>9381.9583145471988</c:v>
                </c:pt>
                <c:pt idx="1169">
                  <c:v>9399.9432130121204</c:v>
                </c:pt>
                <c:pt idx="1170">
                  <c:v>9417.9625879223604</c:v>
                </c:pt>
                <c:pt idx="1171">
                  <c:v>9436.0165053681067</c:v>
                </c:pt>
                <c:pt idx="1172">
                  <c:v>9454.1050315662287</c:v>
                </c:pt>
                <c:pt idx="1173">
                  <c:v>9472.2282328605488</c:v>
                </c:pt>
                <c:pt idx="1174">
                  <c:v>9490.3861757220566</c:v>
                </c:pt>
                <c:pt idx="1175">
                  <c:v>9508.5789267491655</c:v>
                </c:pt>
                <c:pt idx="1176">
                  <c:v>9526.8065526679602</c:v>
                </c:pt>
                <c:pt idx="1177">
                  <c:v>9545.069120332435</c:v>
                </c:pt>
                <c:pt idx="1178">
                  <c:v>9563.3666967247464</c:v>
                </c:pt>
                <c:pt idx="1179">
                  <c:v>9581.6993489554334</c:v>
                </c:pt>
                <c:pt idx="1180">
                  <c:v>9600.0671442637122</c:v>
                </c:pt>
                <c:pt idx="1181">
                  <c:v>9618.4701500176743</c:v>
                </c:pt>
                <c:pt idx="1182">
                  <c:v>9636.9084337145596</c:v>
                </c:pt>
                <c:pt idx="1183">
                  <c:v>9655.3820629809979</c:v>
                </c:pt>
                <c:pt idx="1184">
                  <c:v>9673.8911055732606</c:v>
                </c:pt>
                <c:pt idx="1185">
                  <c:v>9692.4356293774963</c:v>
                </c:pt>
                <c:pt idx="1186">
                  <c:v>9711.0157024099954</c:v>
                </c:pt>
                <c:pt idx="1187">
                  <c:v>9729.6313928174404</c:v>
                </c:pt>
                <c:pt idx="1188">
                  <c:v>9748.2827688771285</c:v>
                </c:pt>
                <c:pt idx="1189">
                  <c:v>9766.9698989972621</c:v>
                </c:pt>
                <c:pt idx="1190">
                  <c:v>9785.6928517171764</c:v>
                </c:pt>
                <c:pt idx="1191">
                  <c:v>9804.4516957075793</c:v>
                </c:pt>
                <c:pt idx="1192">
                  <c:v>9823.2464997708357</c:v>
                </c:pt>
                <c:pt idx="1193">
                  <c:v>9842.0773328411924</c:v>
                </c:pt>
                <c:pt idx="1194">
                  <c:v>9860.9442639850513</c:v>
                </c:pt>
                <c:pt idx="1195">
                  <c:v>9879.8473624011931</c:v>
                </c:pt>
                <c:pt idx="1196">
                  <c:v>9898.7866974210665</c:v>
                </c:pt>
                <c:pt idx="1197">
                  <c:v>9917.7623385090301</c:v>
                </c:pt>
                <c:pt idx="1198">
                  <c:v>9936.7743552625852</c:v>
                </c:pt>
                <c:pt idx="1199">
                  <c:v>9955.8228174126616</c:v>
                </c:pt>
                <c:pt idx="1200">
                  <c:v>9974.9077948238628</c:v>
                </c:pt>
                <c:pt idx="1201">
                  <c:v>9994.0293574947082</c:v>
                </c:pt>
                <c:pt idx="1202">
                  <c:v>10013.187575557915</c:v>
                </c:pt>
                <c:pt idx="1203">
                  <c:v>10032.38251928064</c:v>
                </c:pt>
                <c:pt idx="1204">
                  <c:v>10051.614259064727</c:v>
                </c:pt>
                <c:pt idx="1205">
                  <c:v>10070.882865446994</c:v>
                </c:pt>
                <c:pt idx="1206">
                  <c:v>10090.18840909947</c:v>
                </c:pt>
                <c:pt idx="1207">
                  <c:v>10109.530960829665</c:v>
                </c:pt>
                <c:pt idx="1208">
                  <c:v>10128.910591580803</c:v>
                </c:pt>
                <c:pt idx="1209">
                  <c:v>10148.327372432133</c:v>
                </c:pt>
                <c:pt idx="1210">
                  <c:v>10167.781374599146</c:v>
                </c:pt>
                <c:pt idx="1211">
                  <c:v>10187.272669433847</c:v>
                </c:pt>
                <c:pt idx="1212">
                  <c:v>10206.801328425026</c:v>
                </c:pt>
                <c:pt idx="1213">
                  <c:v>10226.367423198521</c:v>
                </c:pt>
                <c:pt idx="1214">
                  <c:v>10245.971025517458</c:v>
                </c:pt>
                <c:pt idx="1215">
                  <c:v>10265.612207282542</c:v>
                </c:pt>
                <c:pt idx="1216">
                  <c:v>10285.291040532316</c:v>
                </c:pt>
                <c:pt idx="1217">
                  <c:v>10305.007597443397</c:v>
                </c:pt>
                <c:pt idx="1218">
                  <c:v>10324.76195033078</c:v>
                </c:pt>
                <c:pt idx="1219">
                  <c:v>10344.55417164808</c:v>
                </c:pt>
                <c:pt idx="1220">
                  <c:v>10364.384333987808</c:v>
                </c:pt>
                <c:pt idx="1221">
                  <c:v>10384.252510081618</c:v>
                </c:pt>
                <c:pt idx="1222">
                  <c:v>10404.158772800603</c:v>
                </c:pt>
                <c:pt idx="1223">
                  <c:v>10424.103195155545</c:v>
                </c:pt>
                <c:pt idx="1224">
                  <c:v>10444.085850297177</c:v>
                </c:pt>
                <c:pt idx="1225">
                  <c:v>10464.106811516465</c:v>
                </c:pt>
                <c:pt idx="1226">
                  <c:v>10484.166152244879</c:v>
                </c:pt>
                <c:pt idx="1227">
                  <c:v>10504.263946054638</c:v>
                </c:pt>
                <c:pt idx="1228">
                  <c:v>10524.400266659</c:v>
                </c:pt>
                <c:pt idx="1229">
                  <c:v>10544.575187912555</c:v>
                </c:pt>
                <c:pt idx="1230">
                  <c:v>10564.788783811429</c:v>
                </c:pt>
                <c:pt idx="1231">
                  <c:v>10585.041128493627</c:v>
                </c:pt>
                <c:pt idx="1232">
                  <c:v>10605.332296239258</c:v>
                </c:pt>
                <c:pt idx="1233">
                  <c:v>10625.662361470833</c:v>
                </c:pt>
                <c:pt idx="1234">
                  <c:v>10646.031398753519</c:v>
                </c:pt>
                <c:pt idx="1235">
                  <c:v>10666.439482795427</c:v>
                </c:pt>
                <c:pt idx="1236">
                  <c:v>10686.88668844789</c:v>
                </c:pt>
                <c:pt idx="1237">
                  <c:v>10707.373090705705</c:v>
                </c:pt>
                <c:pt idx="1238">
                  <c:v>10727.898764707454</c:v>
                </c:pt>
                <c:pt idx="1239">
                  <c:v>10748.463785735754</c:v>
                </c:pt>
                <c:pt idx="1240">
                  <c:v>10769.068229217517</c:v>
                </c:pt>
                <c:pt idx="1241">
                  <c:v>10789.71217072427</c:v>
                </c:pt>
                <c:pt idx="1242">
                  <c:v>10810.3956859724</c:v>
                </c:pt>
                <c:pt idx="1243">
                  <c:v>10831.118850823432</c:v>
                </c:pt>
                <c:pt idx="1244">
                  <c:v>10851.881741284322</c:v>
                </c:pt>
                <c:pt idx="1245">
                  <c:v>10872.684433507733</c:v>
                </c:pt>
                <c:pt idx="1246">
                  <c:v>10893.527003792295</c:v>
                </c:pt>
                <c:pt idx="1247">
                  <c:v>10914.409528582915</c:v>
                </c:pt>
                <c:pt idx="1248">
                  <c:v>10935.33208447104</c:v>
                </c:pt>
                <c:pt idx="1249">
                  <c:v>10956.294748194936</c:v>
                </c:pt>
                <c:pt idx="1250">
                  <c:v>10977.29759663997</c:v>
                </c:pt>
                <c:pt idx="1251">
                  <c:v>10998.340706838902</c:v>
                </c:pt>
                <c:pt idx="1252">
                  <c:v>11019.424155972167</c:v>
                </c:pt>
                <c:pt idx="1253">
                  <c:v>11040.548021368135</c:v>
                </c:pt>
                <c:pt idx="1254">
                  <c:v>11061.712380503428</c:v>
                </c:pt>
                <c:pt idx="1255">
                  <c:v>11082.917311003184</c:v>
                </c:pt>
                <c:pt idx="1256">
                  <c:v>11104.162890641335</c:v>
                </c:pt>
                <c:pt idx="1257">
                  <c:v>11125.449197340919</c:v>
                </c:pt>
                <c:pt idx="1258">
                  <c:v>11146.776309174344</c:v>
                </c:pt>
                <c:pt idx="1259">
                  <c:v>11168.14430436367</c:v>
                </c:pt>
                <c:pt idx="1260">
                  <c:v>11189.553261280922</c:v>
                </c:pt>
                <c:pt idx="1261">
                  <c:v>11211.003258448347</c:v>
                </c:pt>
                <c:pt idx="1262">
                  <c:v>11232.494374538741</c:v>
                </c:pt>
                <c:pt idx="1263">
                  <c:v>11254.026688375678</c:v>
                </c:pt>
                <c:pt idx="1264">
                  <c:v>11275.60027893386</c:v>
                </c:pt>
                <c:pt idx="1265">
                  <c:v>11297.215225339376</c:v>
                </c:pt>
                <c:pt idx="1266">
                  <c:v>11318.871606869987</c:v>
                </c:pt>
                <c:pt idx="1267">
                  <c:v>11340.569502955435</c:v>
                </c:pt>
                <c:pt idx="1268">
                  <c:v>11362.308993177734</c:v>
                </c:pt>
                <c:pt idx="1269">
                  <c:v>11384.090157271432</c:v>
                </c:pt>
                <c:pt idx="1270">
                  <c:v>11405.913075123945</c:v>
                </c:pt>
                <c:pt idx="1271">
                  <c:v>11427.777826775828</c:v>
                </c:pt>
                <c:pt idx="1272">
                  <c:v>11449.684492421056</c:v>
                </c:pt>
                <c:pt idx="1273">
                  <c:v>11471.633152407352</c:v>
                </c:pt>
                <c:pt idx="1274">
                  <c:v>11493.623887236452</c:v>
                </c:pt>
                <c:pt idx="1275">
                  <c:v>11515.656777564423</c:v>
                </c:pt>
                <c:pt idx="1276">
                  <c:v>11537.731904201926</c:v>
                </c:pt>
                <c:pt idx="1277">
                  <c:v>11559.849348114551</c:v>
                </c:pt>
                <c:pt idx="1278">
                  <c:v>11582.009190423094</c:v>
                </c:pt>
                <c:pt idx="1279">
                  <c:v>11604.211512403845</c:v>
                </c:pt>
                <c:pt idx="1280">
                  <c:v>11626.456395488913</c:v>
                </c:pt>
                <c:pt idx="1281">
                  <c:v>11648.743921266507</c:v>
                </c:pt>
                <c:pt idx="1282">
                  <c:v>11671.074171481221</c:v>
                </c:pt>
                <c:pt idx="1283">
                  <c:v>11693.447228034373</c:v>
                </c:pt>
                <c:pt idx="1284">
                  <c:v>11715.863172984276</c:v>
                </c:pt>
                <c:pt idx="1285">
                  <c:v>11738.322088546536</c:v>
                </c:pt>
                <c:pt idx="1286">
                  <c:v>11760.824057094374</c:v>
                </c:pt>
                <c:pt idx="1287">
                  <c:v>11783.369161158924</c:v>
                </c:pt>
                <c:pt idx="1288">
                  <c:v>11805.957483429504</c:v>
                </c:pt>
                <c:pt idx="1289">
                  <c:v>11828.589106753971</c:v>
                </c:pt>
                <c:pt idx="1290">
                  <c:v>11851.264114138985</c:v>
                </c:pt>
                <c:pt idx="1291">
                  <c:v>11873.982588750341</c:v>
                </c:pt>
                <c:pt idx="1292">
                  <c:v>11896.744613913233</c:v>
                </c:pt>
                <c:pt idx="1293">
                  <c:v>11919.550273112613</c:v>
                </c:pt>
                <c:pt idx="1294">
                  <c:v>11942.39964999346</c:v>
                </c:pt>
                <c:pt idx="1295">
                  <c:v>11965.292828361096</c:v>
                </c:pt>
                <c:pt idx="1296">
                  <c:v>11988.2298921815</c:v>
                </c:pt>
                <c:pt idx="1297">
                  <c:v>12011.210925581616</c:v>
                </c:pt>
                <c:pt idx="1298">
                  <c:v>12034.236012849635</c:v>
                </c:pt>
                <c:pt idx="1299">
                  <c:v>12057.305238435343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2E-CB44-BB91-0055E0FEF7DF}"/>
            </c:ext>
          </c:extLst>
        </c:ser>
        <c:ser>
          <c:idx val="11"/>
          <c:order val="11"/>
          <c:tx>
            <c:strRef>
              <c:f>'Compounding within 1 year'!$K$1</c:f>
              <c:strCache>
                <c:ptCount val="1"/>
                <c:pt idx="0">
                  <c:v>Weekly</c:v>
                </c:pt>
              </c:strCache>
            </c:strRef>
          </c:tx>
          <c:marker>
            <c:symbol val="none"/>
          </c:marker>
          <c:val>
            <c:numRef>
              <c:f>'Compounding within 1 year'!$K$2:$K$1363</c:f>
              <c:numCache>
                <c:formatCode>_("$"* #,##0.00_);_("$"* \(#,##0.00\);_("$"* "-"??_);_(@_)</c:formatCode>
                <c:ptCount val="1362"/>
                <c:pt idx="0">
                  <c:v>1001.9231000221753</c:v>
                </c:pt>
                <c:pt idx="1">
                  <c:v>1003.8498983580462</c:v>
                </c:pt>
                <c:pt idx="2">
                  <c:v>1005.7804021198393</c:v>
                </c:pt>
                <c:pt idx="3">
                  <c:v>1007.7146184334596</c:v>
                </c:pt>
                <c:pt idx="4">
                  <c:v>1009.6525544385153</c:v>
                </c:pt>
                <c:pt idx="5">
                  <c:v>1011.5942172883455</c:v>
                </c:pt>
                <c:pt idx="6">
                  <c:v>1013.5396141500453</c:v>
                </c:pt>
                <c:pt idx="7">
                  <c:v>1015.4887522044928</c:v>
                </c:pt>
                <c:pt idx="8">
                  <c:v>1017.4416386463761</c:v>
                </c:pt>
                <c:pt idx="9">
                  <c:v>1019.3982806842192</c:v>
                </c:pt>
                <c:pt idx="10">
                  <c:v>1021.3586855404084</c:v>
                </c:pt>
                <c:pt idx="11">
                  <c:v>1023.3228604512203</c:v>
                </c:pt>
                <c:pt idx="12">
                  <c:v>1025.2908126668467</c:v>
                </c:pt>
                <c:pt idx="13">
                  <c:v>1027.2625494514225</c:v>
                </c:pt>
                <c:pt idx="14">
                  <c:v>1029.2380780830526</c:v>
                </c:pt>
                <c:pt idx="15">
                  <c:v>1031.2174058538376</c:v>
                </c:pt>
                <c:pt idx="16">
                  <c:v>1033.2005400699029</c:v>
                </c:pt>
                <c:pt idx="17">
                  <c:v>1035.1874880514229</c:v>
                </c:pt>
                <c:pt idx="18">
                  <c:v>1037.1782571326505</c:v>
                </c:pt>
                <c:pt idx="19">
                  <c:v>1039.172854661942</c:v>
                </c:pt>
                <c:pt idx="20">
                  <c:v>1041.1712880017865</c:v>
                </c:pt>
                <c:pt idx="21">
                  <c:v>1043.1735645288311</c:v>
                </c:pt>
                <c:pt idx="22">
                  <c:v>1045.1796916339094</c:v>
                </c:pt>
                <c:pt idx="23">
                  <c:v>1047.1896767220676</c:v>
                </c:pt>
                <c:pt idx="24">
                  <c:v>1049.2035272125938</c:v>
                </c:pt>
                <c:pt idx="25">
                  <c:v>1051.2212505390428</c:v>
                </c:pt>
                <c:pt idx="26">
                  <c:v>1053.2428541492657</c:v>
                </c:pt>
                <c:pt idx="27">
                  <c:v>1055.2683455054364</c:v>
                </c:pt>
                <c:pt idx="28">
                  <c:v>1057.2977320840789</c:v>
                </c:pt>
                <c:pt idx="29">
                  <c:v>1059.3310213760956</c:v>
                </c:pt>
                <c:pt idx="30">
                  <c:v>1061.3682208867951</c:v>
                </c:pt>
                <c:pt idx="31">
                  <c:v>1063.4093381359189</c:v>
                </c:pt>
                <c:pt idx="32">
                  <c:v>1065.4543806576696</c:v>
                </c:pt>
                <c:pt idx="33">
                  <c:v>1067.5033560007391</c:v>
                </c:pt>
                <c:pt idx="34">
                  <c:v>1069.5562717283365</c:v>
                </c:pt>
                <c:pt idx="35">
                  <c:v>1071.6131354182151</c:v>
                </c:pt>
                <c:pt idx="36">
                  <c:v>1073.6739546627011</c:v>
                </c:pt>
                <c:pt idx="37">
                  <c:v>1075.7387370687222</c:v>
                </c:pt>
                <c:pt idx="38">
                  <c:v>1077.8074902578342</c:v>
                </c:pt>
                <c:pt idx="39">
                  <c:v>1079.8802218662497</c:v>
                </c:pt>
                <c:pt idx="40">
                  <c:v>1081.9569395448673</c:v>
                </c:pt>
                <c:pt idx="41">
                  <c:v>1084.0376509592991</c:v>
                </c:pt>
                <c:pt idx="42">
                  <c:v>1086.1223637898977</c:v>
                </c:pt>
                <c:pt idx="43">
                  <c:v>1088.2110857317873</c:v>
                </c:pt>
                <c:pt idx="44">
                  <c:v>1090.3038244948898</c:v>
                </c:pt>
                <c:pt idx="45">
                  <c:v>1092.4005878039538</c:v>
                </c:pt>
                <c:pt idx="46">
                  <c:v>1094.501383398584</c:v>
                </c:pt>
                <c:pt idx="47">
                  <c:v>1096.6062190332689</c:v>
                </c:pt>
                <c:pt idx="48">
                  <c:v>1098.7151024774093</c:v>
                </c:pt>
                <c:pt idx="49">
                  <c:v>1100.8280415153479</c:v>
                </c:pt>
                <c:pt idx="50">
                  <c:v>1102.9450439463974</c:v>
                </c:pt>
                <c:pt idx="51">
                  <c:v>1105.0661175848691</c:v>
                </c:pt>
                <c:pt idx="52">
                  <c:v>1107.1912702601019</c:v>
                </c:pt>
                <c:pt idx="53">
                  <c:v>1109.3205098164913</c:v>
                </c:pt>
                <c:pt idx="54">
                  <c:v>1111.4538441135192</c:v>
                </c:pt>
                <c:pt idx="55">
                  <c:v>1113.591281025781</c:v>
                </c:pt>
                <c:pt idx="56">
                  <c:v>1115.7328284430159</c:v>
                </c:pt>
                <c:pt idx="57">
                  <c:v>1117.8784942701363</c:v>
                </c:pt>
                <c:pt idx="58">
                  <c:v>1120.0282864272567</c:v>
                </c:pt>
                <c:pt idx="59">
                  <c:v>1122.1822128497222</c:v>
                </c:pt>
                <c:pt idx="60">
                  <c:v>1124.3402814881383</c:v>
                </c:pt>
                <c:pt idx="61">
                  <c:v>1126.5025003084006</c:v>
                </c:pt>
                <c:pt idx="62">
                  <c:v>1128.6688772917244</c:v>
                </c:pt>
                <c:pt idx="63">
                  <c:v>1130.8394204346728</c:v>
                </c:pt>
                <c:pt idx="64">
                  <c:v>1133.0141377491875</c:v>
                </c:pt>
                <c:pt idx="65">
                  <c:v>1135.193037262618</c:v>
                </c:pt>
                <c:pt idx="66">
                  <c:v>1137.3761270177511</c:v>
                </c:pt>
                <c:pt idx="67">
                  <c:v>1139.5634150728406</c:v>
                </c:pt>
                <c:pt idx="68">
                  <c:v>1141.7549095016377</c:v>
                </c:pt>
                <c:pt idx="69">
                  <c:v>1143.9506183934191</c:v>
                </c:pt>
                <c:pt idx="70">
                  <c:v>1146.1505498530191</c:v>
                </c:pt>
                <c:pt idx="71">
                  <c:v>1148.3547120008577</c:v>
                </c:pt>
                <c:pt idx="72">
                  <c:v>1150.5631129729718</c:v>
                </c:pt>
                <c:pt idx="73">
                  <c:v>1152.7757609210444</c:v>
                </c:pt>
                <c:pt idx="74">
                  <c:v>1154.9926640124349</c:v>
                </c:pt>
                <c:pt idx="75">
                  <c:v>1157.2138304302096</c:v>
                </c:pt>
                <c:pt idx="76">
                  <c:v>1159.4392683731717</c:v>
                </c:pt>
                <c:pt idx="77">
                  <c:v>1161.6689860558911</c:v>
                </c:pt>
                <c:pt idx="78">
                  <c:v>1163.9029917087355</c:v>
                </c:pt>
                <c:pt idx="79">
                  <c:v>1166.1412935779008</c:v>
                </c:pt>
                <c:pt idx="80">
                  <c:v>1168.3838999254399</c:v>
                </c:pt>
                <c:pt idx="81">
                  <c:v>1170.6308190292959</c:v>
                </c:pt>
                <c:pt idx="82">
                  <c:v>1172.8820591833305</c:v>
                </c:pt>
                <c:pt idx="83">
                  <c:v>1175.137628697355</c:v>
                </c:pt>
                <c:pt idx="84">
                  <c:v>1177.397535897162</c:v>
                </c:pt>
                <c:pt idx="85">
                  <c:v>1179.6617891245551</c:v>
                </c:pt>
                <c:pt idx="86">
                  <c:v>1181.9303967373801</c:v>
                </c:pt>
                <c:pt idx="87">
                  <c:v>1184.2033671095555</c:v>
                </c:pt>
                <c:pt idx="88">
                  <c:v>1186.4807086311041</c:v>
                </c:pt>
                <c:pt idx="89">
                  <c:v>1188.7624297081832</c:v>
                </c:pt>
                <c:pt idx="90">
                  <c:v>1191.0485387631163</c:v>
                </c:pt>
                <c:pt idx="91">
                  <c:v>1193.3390442344237</c:v>
                </c:pt>
                <c:pt idx="92">
                  <c:v>1195.6339545768535</c:v>
                </c:pt>
                <c:pt idx="93">
                  <c:v>1197.933278261414</c:v>
                </c:pt>
                <c:pt idx="94">
                  <c:v>1200.2370237754033</c:v>
                </c:pt>
                <c:pt idx="95">
                  <c:v>1202.5451996224415</c:v>
                </c:pt>
                <c:pt idx="96">
                  <c:v>1204.8578143225022</c:v>
                </c:pt>
                <c:pt idx="97">
                  <c:v>1207.1748764119441</c:v>
                </c:pt>
                <c:pt idx="98">
                  <c:v>1209.4963944435415</c:v>
                </c:pt>
                <c:pt idx="99">
                  <c:v>1211.8223769865169</c:v>
                </c:pt>
                <c:pt idx="100">
                  <c:v>1214.1528326265723</c:v>
                </c:pt>
                <c:pt idx="101">
                  <c:v>1216.4877699659207</c:v>
                </c:pt>
                <c:pt idx="102">
                  <c:v>1218.8271976233182</c:v>
                </c:pt>
                <c:pt idx="103">
                  <c:v>1221.1711242340957</c:v>
                </c:pt>
                <c:pt idx="104">
                  <c:v>1223.5195584501901</c:v>
                </c:pt>
                <c:pt idx="105">
                  <c:v>1225.8725089401778</c:v>
                </c:pt>
                <c:pt idx="106">
                  <c:v>1228.2299843893049</c:v>
                </c:pt>
                <c:pt idx="107">
                  <c:v>1230.5919934995204</c:v>
                </c:pt>
                <c:pt idx="108">
                  <c:v>1232.9585449895083</c:v>
                </c:pt>
                <c:pt idx="109">
                  <c:v>1235.3296475947188</c:v>
                </c:pt>
                <c:pt idx="110">
                  <c:v>1237.7053100674023</c:v>
                </c:pt>
                <c:pt idx="111">
                  <c:v>1240.0855411766395</c:v>
                </c:pt>
                <c:pt idx="112">
                  <c:v>1242.4703497083758</c:v>
                </c:pt>
                <c:pt idx="113">
                  <c:v>1244.8597444654522</c:v>
                </c:pt>
                <c:pt idx="114">
                  <c:v>1247.2537342676389</c:v>
                </c:pt>
                <c:pt idx="115">
                  <c:v>1249.6523279516673</c:v>
                </c:pt>
                <c:pt idx="116">
                  <c:v>1252.0555343712626</c:v>
                </c:pt>
                <c:pt idx="117">
                  <c:v>1254.463362397177</c:v>
                </c:pt>
                <c:pt idx="118">
                  <c:v>1256.8758209172211</c:v>
                </c:pt>
                <c:pt idx="119">
                  <c:v>1259.2929188362989</c:v>
                </c:pt>
                <c:pt idx="120">
                  <c:v>1261.7146650764382</c:v>
                </c:pt>
                <c:pt idx="121">
                  <c:v>1264.1410685768258</c:v>
                </c:pt>
                <c:pt idx="122">
                  <c:v>1266.5721382938386</c:v>
                </c:pt>
                <c:pt idx="123">
                  <c:v>1269.0078832010784</c:v>
                </c:pt>
                <c:pt idx="124">
                  <c:v>1271.448312289403</c:v>
                </c:pt>
                <c:pt idx="125">
                  <c:v>1273.8934345669618</c:v>
                </c:pt>
                <c:pt idx="126">
                  <c:v>1276.3432590592265</c:v>
                </c:pt>
                <c:pt idx="127">
                  <c:v>1278.7977948090268</c:v>
                </c:pt>
                <c:pt idx="128">
                  <c:v>1281.2570508765816</c:v>
                </c:pt>
                <c:pt idx="129">
                  <c:v>1283.721036339535</c:v>
                </c:pt>
                <c:pt idx="130">
                  <c:v>1286.1897602929866</c:v>
                </c:pt>
                <c:pt idx="131">
                  <c:v>1288.6632318495276</c:v>
                </c:pt>
                <c:pt idx="132">
                  <c:v>1291.1414601392742</c:v>
                </c:pt>
                <c:pt idx="133">
                  <c:v>1293.6244543098996</c:v>
                </c:pt>
                <c:pt idx="134">
                  <c:v>1296.1122235266696</c:v>
                </c:pt>
                <c:pt idx="135">
                  <c:v>1298.6047769724755</c:v>
                </c:pt>
                <c:pt idx="136">
                  <c:v>1301.1021238478684</c:v>
                </c:pt>
                <c:pt idx="137">
                  <c:v>1303.6042733710926</c:v>
                </c:pt>
                <c:pt idx="138">
                  <c:v>1306.1112347781204</c:v>
                </c:pt>
                <c:pt idx="139">
                  <c:v>1308.6230173226861</c:v>
                </c:pt>
                <c:pt idx="140">
                  <c:v>1311.1396302763185</c:v>
                </c:pt>
                <c:pt idx="141">
                  <c:v>1313.6610829283779</c:v>
                </c:pt>
                <c:pt idx="142">
                  <c:v>1316.1873845860882</c:v>
                </c:pt>
                <c:pt idx="143">
                  <c:v>1318.7185445745729</c:v>
                </c:pt>
                <c:pt idx="144">
                  <c:v>1321.2545722368873</c:v>
                </c:pt>
                <c:pt idx="145">
                  <c:v>1323.7954769340554</c:v>
                </c:pt>
                <c:pt idx="146">
                  <c:v>1326.3412680451031</c:v>
                </c:pt>
                <c:pt idx="147">
                  <c:v>1328.8919549670925</c:v>
                </c:pt>
                <c:pt idx="148">
                  <c:v>1331.4475471151586</c:v>
                </c:pt>
                <c:pt idx="149">
                  <c:v>1334.0080539225412</c:v>
                </c:pt>
                <c:pt idx="150">
                  <c:v>1336.5734848406216</c:v>
                </c:pt>
                <c:pt idx="151">
                  <c:v>1339.1438493389578</c:v>
                </c:pt>
                <c:pt idx="152">
                  <c:v>1341.7191569053177</c:v>
                </c:pt>
                <c:pt idx="153">
                  <c:v>1344.2994170457155</c:v>
                </c:pt>
                <c:pt idx="154">
                  <c:v>1346.8846392844464</c:v>
                </c:pt>
                <c:pt idx="155">
                  <c:v>1349.4748331641219</c:v>
                </c:pt>
                <c:pt idx="156">
                  <c:v>1352.0700082457051</c:v>
                </c:pt>
                <c:pt idx="157">
                  <c:v>1354.6701741085449</c:v>
                </c:pt>
                <c:pt idx="158">
                  <c:v>1357.2753403504137</c:v>
                </c:pt>
                <c:pt idx="159">
                  <c:v>1359.8855165875395</c:v>
                </c:pt>
                <c:pt idx="160">
                  <c:v>1362.5007124546451</c:v>
                </c:pt>
                <c:pt idx="161">
                  <c:v>1365.1209376049803</c:v>
                </c:pt>
                <c:pt idx="162">
                  <c:v>1367.7462017103608</c:v>
                </c:pt>
                <c:pt idx="163">
                  <c:v>1370.3765144612003</c:v>
                </c:pt>
                <c:pt idx="164">
                  <c:v>1373.0118855665492</c:v>
                </c:pt>
                <c:pt idx="165">
                  <c:v>1375.6523247541293</c:v>
                </c:pt>
                <c:pt idx="166">
                  <c:v>1378.2978417703698</c:v>
                </c:pt>
                <c:pt idx="167">
                  <c:v>1380.9484463804426</c:v>
                </c:pt>
                <c:pt idx="168">
                  <c:v>1383.6041483683</c:v>
                </c:pt>
                <c:pt idx="169">
                  <c:v>1386.2649575367091</c:v>
                </c:pt>
                <c:pt idx="170">
                  <c:v>1388.930883707289</c:v>
                </c:pt>
                <c:pt idx="171">
                  <c:v>1391.6019367205463</c:v>
                </c:pt>
                <c:pt idx="172">
                  <c:v>1394.278126435913</c:v>
                </c:pt>
                <c:pt idx="173">
                  <c:v>1396.9594627317806</c:v>
                </c:pt>
                <c:pt idx="174">
                  <c:v>1399.6459555055383</c:v>
                </c:pt>
                <c:pt idx="175">
                  <c:v>1402.3376146736086</c:v>
                </c:pt>
                <c:pt idx="176">
                  <c:v>1405.0344501714849</c:v>
                </c:pt>
                <c:pt idx="177">
                  <c:v>1407.7364719537668</c:v>
                </c:pt>
                <c:pt idx="178">
                  <c:v>1410.4436899941982</c:v>
                </c:pt>
                <c:pt idx="179">
                  <c:v>1413.1561142857031</c:v>
                </c:pt>
                <c:pt idx="180">
                  <c:v>1415.8737548404233</c:v>
                </c:pt>
                <c:pt idx="181">
                  <c:v>1418.5966216897546</c:v>
                </c:pt>
                <c:pt idx="182">
                  <c:v>1421.3247248843841</c:v>
                </c:pt>
                <c:pt idx="183">
                  <c:v>1424.0580744943277</c:v>
                </c:pt>
                <c:pt idx="184">
                  <c:v>1426.7966806089667</c:v>
                </c:pt>
                <c:pt idx="185">
                  <c:v>1429.5405533370856</c:v>
                </c:pt>
                <c:pt idx="186">
                  <c:v>1432.2897028069087</c:v>
                </c:pt>
                <c:pt idx="187">
                  <c:v>1435.0441391661384</c:v>
                </c:pt>
                <c:pt idx="188">
                  <c:v>1437.8038725819915</c:v>
                </c:pt>
                <c:pt idx="189">
                  <c:v>1440.5689132412376</c:v>
                </c:pt>
                <c:pt idx="190">
                  <c:v>1443.3392713502371</c:v>
                </c:pt>
                <c:pt idx="191">
                  <c:v>1446.1149571349774</c:v>
                </c:pt>
                <c:pt idx="192">
                  <c:v>1448.8959808411119</c:v>
                </c:pt>
                <c:pt idx="193">
                  <c:v>1451.6823527339973</c:v>
                </c:pt>
                <c:pt idx="194">
                  <c:v>1454.4740830987314</c:v>
                </c:pt>
                <c:pt idx="195">
                  <c:v>1457.2711822401923</c:v>
                </c:pt>
                <c:pt idx="196">
                  <c:v>1460.0736604830743</c:v>
                </c:pt>
                <c:pt idx="197">
                  <c:v>1462.8815281719267</c:v>
                </c:pt>
                <c:pt idx="198">
                  <c:v>1465.694795671194</c:v>
                </c:pt>
                <c:pt idx="199">
                  <c:v>1468.5134733652519</c:v>
                </c:pt>
                <c:pt idx="200">
                  <c:v>1471.3375716584453</c:v>
                </c:pt>
                <c:pt idx="201">
                  <c:v>1474.1671009751292</c:v>
                </c:pt>
                <c:pt idx="202">
                  <c:v>1477.0020717597047</c:v>
                </c:pt>
                <c:pt idx="203">
                  <c:v>1479.8424944766591</c:v>
                </c:pt>
                <c:pt idx="204">
                  <c:v>1482.6883796106031</c:v>
                </c:pt>
                <c:pt idx="205">
                  <c:v>1485.5397376663113</c:v>
                </c:pt>
                <c:pt idx="206">
                  <c:v>1488.3965791687599</c:v>
                </c:pt>
                <c:pt idx="207">
                  <c:v>1491.2589146631651</c:v>
                </c:pt>
                <c:pt idx="208">
                  <c:v>1494.1267547150233</c:v>
                </c:pt>
                <c:pt idx="209">
                  <c:v>1497.0001099101485</c:v>
                </c:pt>
                <c:pt idx="210">
                  <c:v>1499.8789908547133</c:v>
                </c:pt>
                <c:pt idx="211">
                  <c:v>1502.7634081752865</c:v>
                </c:pt>
                <c:pt idx="212">
                  <c:v>1505.6533725188729</c:v>
                </c:pt>
                <c:pt idx="213">
                  <c:v>1508.5488945529521</c:v>
                </c:pt>
                <c:pt idx="214">
                  <c:v>1511.4499849655197</c:v>
                </c:pt>
                <c:pt idx="215">
                  <c:v>1514.3566544651239</c:v>
                </c:pt>
                <c:pt idx="216">
                  <c:v>1517.2689137809073</c:v>
                </c:pt>
                <c:pt idx="217">
                  <c:v>1520.1867736626452</c:v>
                </c:pt>
                <c:pt idx="218">
                  <c:v>1523.1102448807867</c:v>
                </c:pt>
                <c:pt idx="219">
                  <c:v>1526.0393382264924</c:v>
                </c:pt>
                <c:pt idx="220">
                  <c:v>1528.9740645116765</c:v>
                </c:pt>
                <c:pt idx="221">
                  <c:v>1531.9144345690443</c:v>
                </c:pt>
                <c:pt idx="222">
                  <c:v>1534.8604592521349</c:v>
                </c:pt>
                <c:pt idx="223">
                  <c:v>1537.8121494353588</c:v>
                </c:pt>
                <c:pt idx="224">
                  <c:v>1540.7695160140395</c:v>
                </c:pt>
                <c:pt idx="225">
                  <c:v>1543.7325699044534</c:v>
                </c:pt>
                <c:pt idx="226">
                  <c:v>1546.7013220438694</c:v>
                </c:pt>
                <c:pt idx="227">
                  <c:v>1549.6757833905908</c:v>
                </c:pt>
                <c:pt idx="228">
                  <c:v>1552.6559649239939</c:v>
                </c:pt>
                <c:pt idx="229">
                  <c:v>1555.6418776445701</c:v>
                </c:pt>
                <c:pt idx="230">
                  <c:v>1558.6335325739653</c:v>
                </c:pt>
                <c:pt idx="231">
                  <c:v>1561.6309407550216</c:v>
                </c:pt>
                <c:pt idx="232">
                  <c:v>1564.6341132518173</c:v>
                </c:pt>
                <c:pt idx="233">
                  <c:v>1567.6430611497083</c:v>
                </c:pt>
                <c:pt idx="234">
                  <c:v>1570.6577955553685</c:v>
                </c:pt>
                <c:pt idx="235">
                  <c:v>1573.678327596831</c:v>
                </c:pt>
                <c:pt idx="236">
                  <c:v>1576.7046684235293</c:v>
                </c:pt>
                <c:pt idx="237">
                  <c:v>1579.7368292063386</c:v>
                </c:pt>
                <c:pt idx="238">
                  <c:v>1582.7748211376168</c:v>
                </c:pt>
                <c:pt idx="239">
                  <c:v>1585.8186554312451</c:v>
                </c:pt>
                <c:pt idx="240">
                  <c:v>1588.8683433226711</c:v>
                </c:pt>
                <c:pt idx="241">
                  <c:v>1591.9238960689486</c:v>
                </c:pt>
                <c:pt idx="242">
                  <c:v>1594.9853249487803</c:v>
                </c:pt>
                <c:pt idx="243">
                  <c:v>1598.0526412625588</c:v>
                </c:pt>
                <c:pt idx="244">
                  <c:v>1601.1258563324084</c:v>
                </c:pt>
                <c:pt idx="245">
                  <c:v>1604.2049815022267</c:v>
                </c:pt>
                <c:pt idx="246">
                  <c:v>1607.2900281377276</c:v>
                </c:pt>
                <c:pt idx="247">
                  <c:v>1610.3810076264815</c:v>
                </c:pt>
                <c:pt idx="248">
                  <c:v>1613.4779313779591</c:v>
                </c:pt>
                <c:pt idx="249">
                  <c:v>1616.5808108235713</c:v>
                </c:pt>
                <c:pt idx="250">
                  <c:v>1619.6896574167145</c:v>
                </c:pt>
                <c:pt idx="251">
                  <c:v>1622.8044826328098</c:v>
                </c:pt>
                <c:pt idx="252">
                  <c:v>1625.9252979693472</c:v>
                </c:pt>
                <c:pt idx="253">
                  <c:v>1629.0521149459275</c:v>
                </c:pt>
                <c:pt idx="254">
                  <c:v>1632.1849451043051</c:v>
                </c:pt>
                <c:pt idx="255">
                  <c:v>1635.3238000084295</c:v>
                </c:pt>
                <c:pt idx="256">
                  <c:v>1638.4686912444897</c:v>
                </c:pt>
                <c:pt idx="257">
                  <c:v>1641.6196304209557</c:v>
                </c:pt>
                <c:pt idx="258">
                  <c:v>1644.7766291686216</c:v>
                </c:pt>
                <c:pt idx="259">
                  <c:v>1647.9396991406497</c:v>
                </c:pt>
                <c:pt idx="260">
                  <c:v>1651.1088520126107</c:v>
                </c:pt>
                <c:pt idx="261">
                  <c:v>1654.2840994825301</c:v>
                </c:pt>
                <c:pt idx="262">
                  <c:v>1657.4654532709296</c:v>
                </c:pt>
                <c:pt idx="263">
                  <c:v>1660.6529251208697</c:v>
                </c:pt>
                <c:pt idx="264">
                  <c:v>1663.8465267979952</c:v>
                </c:pt>
                <c:pt idx="265">
                  <c:v>1667.0462700905771</c:v>
                </c:pt>
                <c:pt idx="266">
                  <c:v>1670.2521668095555</c:v>
                </c:pt>
                <c:pt idx="267">
                  <c:v>1673.4642287885854</c:v>
                </c:pt>
                <c:pt idx="268">
                  <c:v>1676.6824678840785</c:v>
                </c:pt>
                <c:pt idx="269">
                  <c:v>1679.9068959752474</c:v>
                </c:pt>
                <c:pt idx="270">
                  <c:v>1683.1375249641503</c:v>
                </c:pt>
                <c:pt idx="271">
                  <c:v>1686.3743667757328</c:v>
                </c:pt>
                <c:pt idx="272">
                  <c:v>1689.6174333578754</c:v>
                </c:pt>
                <c:pt idx="273">
                  <c:v>1692.8667366814338</c:v>
                </c:pt>
                <c:pt idx="274">
                  <c:v>1696.1222887402857</c:v>
                </c:pt>
                <c:pt idx="275">
                  <c:v>1699.3841015513747</c:v>
                </c:pt>
                <c:pt idx="276">
                  <c:v>1702.6521871547527</c:v>
                </c:pt>
                <c:pt idx="277">
                  <c:v>1705.926557613627</c:v>
                </c:pt>
                <c:pt idx="278">
                  <c:v>1709.2072250144033</c:v>
                </c:pt>
                <c:pt idx="279">
                  <c:v>1712.4942014667308</c:v>
                </c:pt>
                <c:pt idx="280">
                  <c:v>1715.7874991035465</c:v>
                </c:pt>
                <c:pt idx="281">
                  <c:v>1719.0871300811209</c:v>
                </c:pt>
                <c:pt idx="282">
                  <c:v>1722.3931065791014</c:v>
                </c:pt>
                <c:pt idx="283">
                  <c:v>1725.7054408005583</c:v>
                </c:pt>
                <c:pt idx="284">
                  <c:v>1729.0241449720299</c:v>
                </c:pt>
                <c:pt idx="285">
                  <c:v>1732.3492313435675</c:v>
                </c:pt>
                <c:pt idx="286">
                  <c:v>1735.68071218878</c:v>
                </c:pt>
                <c:pt idx="287">
                  <c:v>1739.0185998048796</c:v>
                </c:pt>
                <c:pt idx="288">
                  <c:v>1742.3629065127277</c:v>
                </c:pt>
                <c:pt idx="289">
                  <c:v>1745.7136446568802</c:v>
                </c:pt>
                <c:pt idx="290">
                  <c:v>1749.0708266056317</c:v>
                </c:pt>
                <c:pt idx="291">
                  <c:v>1752.4344647510632</c:v>
                </c:pt>
                <c:pt idx="292">
                  <c:v>1755.8045715090871</c:v>
                </c:pt>
                <c:pt idx="293">
                  <c:v>1759.1811593194916</c:v>
                </c:pt>
                <c:pt idx="294">
                  <c:v>1762.5642406459899</c:v>
                </c:pt>
                <c:pt idx="295">
                  <c:v>1765.9538279762614</c:v>
                </c:pt>
                <c:pt idx="296">
                  <c:v>1769.3499338220033</c:v>
                </c:pt>
                <c:pt idx="297">
                  <c:v>1772.7525707189725</c:v>
                </c:pt>
                <c:pt idx="298">
                  <c:v>1776.1617512270336</c:v>
                </c:pt>
                <c:pt idx="299">
                  <c:v>1779.5774879302053</c:v>
                </c:pt>
                <c:pt idx="300">
                  <c:v>1782.999793436707</c:v>
                </c:pt>
                <c:pt idx="301">
                  <c:v>1786.4286803790037</c:v>
                </c:pt>
                <c:pt idx="302">
                  <c:v>1789.8641614138555</c:v>
                </c:pt>
                <c:pt idx="303">
                  <c:v>1793.3062492223612</c:v>
                </c:pt>
                <c:pt idx="304">
                  <c:v>1796.754956510008</c:v>
                </c:pt>
                <c:pt idx="305">
                  <c:v>1800.2102960067164</c:v>
                </c:pt>
                <c:pt idx="306">
                  <c:v>1803.6722804668873</c:v>
                </c:pt>
                <c:pt idx="307">
                  <c:v>1807.1409226694502</c:v>
                </c:pt>
                <c:pt idx="308">
                  <c:v>1810.6162354179098</c:v>
                </c:pt>
                <c:pt idx="309">
                  <c:v>1814.0982315403933</c:v>
                </c:pt>
                <c:pt idx="310">
                  <c:v>1817.5869238896969</c:v>
                </c:pt>
                <c:pt idx="311">
                  <c:v>1821.0823253433348</c:v>
                </c:pt>
                <c:pt idx="312">
                  <c:v>1824.5844488035857</c:v>
                </c:pt>
                <c:pt idx="313">
                  <c:v>1828.093307197541</c:v>
                </c:pt>
                <c:pt idx="314">
                  <c:v>1831.6089134771512</c:v>
                </c:pt>
                <c:pt idx="315">
                  <c:v>1835.1312806192757</c:v>
                </c:pt>
                <c:pt idx="316">
                  <c:v>1838.6604216257294</c:v>
                </c:pt>
                <c:pt idx="317">
                  <c:v>1842.1963495233308</c:v>
                </c:pt>
                <c:pt idx="318">
                  <c:v>1845.7390773639506</c:v>
                </c:pt>
                <c:pt idx="319">
                  <c:v>1849.2886182245593</c:v>
                </c:pt>
                <c:pt idx="320">
                  <c:v>1852.8449852072756</c:v>
                </c:pt>
                <c:pt idx="321">
                  <c:v>1856.4081914394155</c:v>
                </c:pt>
                <c:pt idx="322">
                  <c:v>1859.9782500735391</c:v>
                </c:pt>
                <c:pt idx="323">
                  <c:v>1863.5551742875011</c:v>
                </c:pt>
                <c:pt idx="324">
                  <c:v>1867.1389772844987</c:v>
                </c:pt>
                <c:pt idx="325">
                  <c:v>1870.7296722931187</c:v>
                </c:pt>
                <c:pt idx="326">
                  <c:v>1874.3272725673903</c:v>
                </c:pt>
                <c:pt idx="327">
                  <c:v>1877.9317913868283</c:v>
                </c:pt>
                <c:pt idx="328">
                  <c:v>1881.5432420564882</c:v>
                </c:pt>
                <c:pt idx="329">
                  <c:v>1885.161637907011</c:v>
                </c:pt>
                <c:pt idx="330">
                  <c:v>1888.7869922946743</c:v>
                </c:pt>
                <c:pt idx="331">
                  <c:v>1892.4193186014406</c:v>
                </c:pt>
                <c:pt idx="332">
                  <c:v>1896.0586302350084</c:v>
                </c:pt>
                <c:pt idx="333">
                  <c:v>1899.704940628859</c:v>
                </c:pt>
                <c:pt idx="334">
                  <c:v>1903.3582632423095</c:v>
                </c:pt>
                <c:pt idx="335">
                  <c:v>1907.0186115605584</c:v>
                </c:pt>
                <c:pt idx="336">
                  <c:v>1910.6859990947391</c:v>
                </c:pt>
                <c:pt idx="337">
                  <c:v>1914.3604393819687</c:v>
                </c:pt>
                <c:pt idx="338">
                  <c:v>1918.0419459853956</c:v>
                </c:pt>
                <c:pt idx="339">
                  <c:v>1921.7305324942536</c:v>
                </c:pt>
                <c:pt idx="340">
                  <c:v>1925.4262125239084</c:v>
                </c:pt>
                <c:pt idx="341">
                  <c:v>1929.1289997159101</c:v>
                </c:pt>
                <c:pt idx="342">
                  <c:v>1932.838907738043</c:v>
                </c:pt>
                <c:pt idx="343">
                  <c:v>1936.5559502843757</c:v>
                </c:pt>
                <c:pt idx="344">
                  <c:v>1940.2801410753111</c:v>
                </c:pt>
                <c:pt idx="345">
                  <c:v>1944.0114938576398</c:v>
                </c:pt>
                <c:pt idx="346">
                  <c:v>1947.7500224045864</c:v>
                </c:pt>
                <c:pt idx="347">
                  <c:v>1951.495740515865</c:v>
                </c:pt>
                <c:pt idx="348">
                  <c:v>1955.2486620177265</c:v>
                </c:pt>
                <c:pt idx="349">
                  <c:v>1959.0088007630109</c:v>
                </c:pt>
                <c:pt idx="350">
                  <c:v>1962.7761706312003</c:v>
                </c:pt>
                <c:pt idx="351">
                  <c:v>1966.5507855284663</c:v>
                </c:pt>
                <c:pt idx="352">
                  <c:v>1970.3326593877252</c:v>
                </c:pt>
                <c:pt idx="353">
                  <c:v>1974.1218061686868</c:v>
                </c:pt>
                <c:pt idx="354">
                  <c:v>1977.9182398579067</c:v>
                </c:pt>
                <c:pt idx="355">
                  <c:v>1981.7219744688384</c:v>
                </c:pt>
                <c:pt idx="356">
                  <c:v>1985.533024041885</c:v>
                </c:pt>
                <c:pt idx="357">
                  <c:v>1989.3514026444498</c:v>
                </c:pt>
                <c:pt idx="358">
                  <c:v>1993.1771243709902</c:v>
                </c:pt>
                <c:pt idx="359">
                  <c:v>1997.0102033430674</c:v>
                </c:pt>
                <c:pt idx="360">
                  <c:v>2000.8506537094011</c:v>
                </c:pt>
                <c:pt idx="361">
                  <c:v>2004.6984896459192</c:v>
                </c:pt>
                <c:pt idx="362">
                  <c:v>2008.5537253558123</c:v>
                </c:pt>
                <c:pt idx="363">
                  <c:v>2012.4163750695848</c:v>
                </c:pt>
                <c:pt idx="364">
                  <c:v>2016.2864530451068</c:v>
                </c:pt>
                <c:pt idx="365">
                  <c:v>2020.1639735676702</c:v>
                </c:pt>
                <c:pt idx="366">
                  <c:v>2024.0489509500362</c:v>
                </c:pt>
                <c:pt idx="367">
                  <c:v>2027.9413995324921</c:v>
                </c:pt>
                <c:pt idx="368">
                  <c:v>2031.841333682903</c:v>
                </c:pt>
                <c:pt idx="369">
                  <c:v>2035.7487677967661</c:v>
                </c:pt>
                <c:pt idx="370">
                  <c:v>2039.6637162972593</c:v>
                </c:pt>
                <c:pt idx="371">
                  <c:v>2043.586193635301</c:v>
                </c:pt>
                <c:pt idx="372">
                  <c:v>2047.5162142895983</c:v>
                </c:pt>
                <c:pt idx="373">
                  <c:v>2051.4537927667029</c:v>
                </c:pt>
                <c:pt idx="374">
                  <c:v>2055.3989436010647</c:v>
                </c:pt>
                <c:pt idx="375">
                  <c:v>2059.3516813550827</c:v>
                </c:pt>
                <c:pt idx="376">
                  <c:v>2063.3120206191638</c:v>
                </c:pt>
                <c:pt idx="377">
                  <c:v>2067.2799760117714</c:v>
                </c:pt>
                <c:pt idx="378">
                  <c:v>2071.2555621794822</c:v>
                </c:pt>
                <c:pt idx="379">
                  <c:v>2075.2387937970407</c:v>
                </c:pt>
                <c:pt idx="380">
                  <c:v>2079.2296855674113</c:v>
                </c:pt>
                <c:pt idx="381">
                  <c:v>2083.2282522218334</c:v>
                </c:pt>
                <c:pt idx="382">
                  <c:v>2087.2345085198776</c:v>
                </c:pt>
                <c:pt idx="383">
                  <c:v>2091.2484692494977</c:v>
                </c:pt>
                <c:pt idx="384">
                  <c:v>2095.2701492270858</c:v>
                </c:pt>
                <c:pt idx="385">
                  <c:v>2099.2995632975276</c:v>
                </c:pt>
                <c:pt idx="386">
                  <c:v>2103.3367263342579</c:v>
                </c:pt>
                <c:pt idx="387">
                  <c:v>2107.3816532393134</c:v>
                </c:pt>
                <c:pt idx="388">
                  <c:v>2111.4343589433902</c:v>
                </c:pt>
                <c:pt idx="389">
                  <c:v>2115.4948584058961</c:v>
                </c:pt>
                <c:pt idx="390">
                  <c:v>2119.5631666150084</c:v>
                </c:pt>
                <c:pt idx="391">
                  <c:v>2123.6392985877278</c:v>
                </c:pt>
                <c:pt idx="392">
                  <c:v>2127.7232693699343</c:v>
                </c:pt>
                <c:pt idx="393">
                  <c:v>2131.815094036443</c:v>
                </c:pt>
                <c:pt idx="394">
                  <c:v>2135.9147876910583</c:v>
                </c:pt>
                <c:pt idx="395">
                  <c:v>2140.0223654666315</c:v>
                </c:pt>
                <c:pt idx="396">
                  <c:v>2144.1378425251164</c:v>
                </c:pt>
                <c:pt idx="397">
                  <c:v>2148.2612340576238</c:v>
                </c:pt>
                <c:pt idx="398">
                  <c:v>2152.3925552844785</c:v>
                </c:pt>
                <c:pt idx="399">
                  <c:v>2156.5318214552758</c:v>
                </c:pt>
                <c:pt idx="400">
                  <c:v>2160.6790478489388</c:v>
                </c:pt>
                <c:pt idx="401">
                  <c:v>2164.8342497737708</c:v>
                </c:pt>
                <c:pt idx="402">
                  <c:v>2168.9974425675168</c:v>
                </c:pt>
                <c:pt idx="403">
                  <c:v>2173.1686415974168</c:v>
                </c:pt>
                <c:pt idx="404">
                  <c:v>2177.3478622602638</c:v>
                </c:pt>
                <c:pt idx="405">
                  <c:v>2181.5351199824599</c:v>
                </c:pt>
                <c:pt idx="406">
                  <c:v>2185.730430220075</c:v>
                </c:pt>
                <c:pt idx="407">
                  <c:v>2189.9338084589003</c:v>
                </c:pt>
                <c:pt idx="408">
                  <c:v>2194.1452702145107</c:v>
                </c:pt>
                <c:pt idx="409">
                  <c:v>2198.364831032316</c:v>
                </c:pt>
                <c:pt idx="410">
                  <c:v>2202.5925064876237</c:v>
                </c:pt>
                <c:pt idx="411">
                  <c:v>2206.8283121856934</c:v>
                </c:pt>
                <c:pt idx="412">
                  <c:v>2211.0722637617951</c:v>
                </c:pt>
                <c:pt idx="413">
                  <c:v>2215.3243768812663</c:v>
                </c:pt>
                <c:pt idx="414">
                  <c:v>2219.5846672395733</c:v>
                </c:pt>
                <c:pt idx="415">
                  <c:v>2223.8531505623614</c:v>
                </c:pt>
                <c:pt idx="416">
                  <c:v>2228.1298426055228</c:v>
                </c:pt>
                <c:pt idx="417">
                  <c:v>2232.4147591552469</c:v>
                </c:pt>
                <c:pt idx="418">
                  <c:v>2236.7079160280832</c:v>
                </c:pt>
                <c:pt idx="419">
                  <c:v>2241.0093290709965</c:v>
                </c:pt>
                <c:pt idx="420">
                  <c:v>2245.3190141614282</c:v>
                </c:pt>
                <c:pt idx="421">
                  <c:v>2249.6369872073533</c:v>
                </c:pt>
                <c:pt idx="422">
                  <c:v>2253.9632641473386</c:v>
                </c:pt>
                <c:pt idx="423">
                  <c:v>2258.2978609506026</c:v>
                </c:pt>
                <c:pt idx="424">
                  <c:v>2262.6407936170749</c:v>
                </c:pt>
                <c:pt idx="425">
                  <c:v>2266.9920781774554</c:v>
                </c:pt>
                <c:pt idx="426">
                  <c:v>2271.3517306932695</c:v>
                </c:pt>
                <c:pt idx="427">
                  <c:v>2275.7197672569341</c:v>
                </c:pt>
                <c:pt idx="428">
                  <c:v>2280.0962039918109</c:v>
                </c:pt>
                <c:pt idx="429">
                  <c:v>2284.4810570522695</c:v>
                </c:pt>
                <c:pt idx="430">
                  <c:v>2288.8743426237461</c:v>
                </c:pt>
                <c:pt idx="431">
                  <c:v>2293.2760769228025</c:v>
                </c:pt>
                <c:pt idx="432">
                  <c:v>2297.686276197187</c:v>
                </c:pt>
                <c:pt idx="433">
                  <c:v>2302.1049567258938</c:v>
                </c:pt>
                <c:pt idx="434">
                  <c:v>2306.5321348192238</c:v>
                </c:pt>
                <c:pt idx="435">
                  <c:v>2310.9678268188427</c:v>
                </c:pt>
                <c:pt idx="436">
                  <c:v>2315.4120490978448</c:v>
                </c:pt>
                <c:pt idx="437">
                  <c:v>2319.8648180608097</c:v>
                </c:pt>
                <c:pt idx="438">
                  <c:v>2324.3261501438669</c:v>
                </c:pt>
                <c:pt idx="439">
                  <c:v>2328.7960618147513</c:v>
                </c:pt>
                <c:pt idx="440">
                  <c:v>2333.274569572869</c:v>
                </c:pt>
                <c:pt idx="441">
                  <c:v>2337.761689949356</c:v>
                </c:pt>
                <c:pt idx="442">
                  <c:v>2342.2574395071383</c:v>
                </c:pt>
                <c:pt idx="443">
                  <c:v>2346.7618348409947</c:v>
                </c:pt>
                <c:pt idx="444">
                  <c:v>2351.2748925776182</c:v>
                </c:pt>
                <c:pt idx="445">
                  <c:v>2355.7966293756745</c:v>
                </c:pt>
                <c:pt idx="446">
                  <c:v>2360.3270619258678</c:v>
                </c:pt>
                <c:pt idx="447">
                  <c:v>2364.8662069509983</c:v>
                </c:pt>
                <c:pt idx="448">
                  <c:v>2369.4140812060277</c:v>
                </c:pt>
                <c:pt idx="449">
                  <c:v>2373.9707014781379</c:v>
                </c:pt>
                <c:pt idx="450">
                  <c:v>2378.536084586794</c:v>
                </c:pt>
                <c:pt idx="451">
                  <c:v>2383.1102473838077</c:v>
                </c:pt>
                <c:pt idx="452">
                  <c:v>2387.6932067533985</c:v>
                </c:pt>
                <c:pt idx="453">
                  <c:v>2392.2849796122537</c:v>
                </c:pt>
                <c:pt idx="454">
                  <c:v>2396.885582909596</c:v>
                </c:pt>
                <c:pt idx="455">
                  <c:v>2401.4950336272418</c:v>
                </c:pt>
                <c:pt idx="456">
                  <c:v>2406.1133487796637</c:v>
                </c:pt>
                <c:pt idx="457">
                  <c:v>2410.7405454140589</c:v>
                </c:pt>
                <c:pt idx="458">
                  <c:v>2415.3766406104037</c:v>
                </c:pt>
                <c:pt idx="459">
                  <c:v>2420.0216514815233</c:v>
                </c:pt>
                <c:pt idx="460">
                  <c:v>2424.675595173152</c:v>
                </c:pt>
                <c:pt idx="461">
                  <c:v>2429.338488863998</c:v>
                </c:pt>
                <c:pt idx="462">
                  <c:v>2434.0103497658042</c:v>
                </c:pt>
                <c:pt idx="463">
                  <c:v>2438.6911951234138</c:v>
                </c:pt>
                <c:pt idx="464">
                  <c:v>2443.3810422148349</c:v>
                </c:pt>
                <c:pt idx="465">
                  <c:v>2448.0799083513007</c:v>
                </c:pt>
                <c:pt idx="466">
                  <c:v>2452.7878108773384</c:v>
                </c:pt>
                <c:pt idx="467">
                  <c:v>2457.504767170828</c:v>
                </c:pt>
                <c:pt idx="468">
                  <c:v>2462.230794643071</c:v>
                </c:pt>
                <c:pt idx="469">
                  <c:v>2466.9659107388493</c:v>
                </c:pt>
                <c:pt idx="470">
                  <c:v>2471.7101329364978</c:v>
                </c:pt>
                <c:pt idx="471">
                  <c:v>2476.4634787479586</c:v>
                </c:pt>
                <c:pt idx="472">
                  <c:v>2481.2259657188552</c:v>
                </c:pt>
                <c:pt idx="473">
                  <c:v>2485.9976114285514</c:v>
                </c:pt>
                <c:pt idx="474">
                  <c:v>2490.7784334902176</c:v>
                </c:pt>
                <c:pt idx="475">
                  <c:v>2495.5684495508967</c:v>
                </c:pt>
                <c:pt idx="476">
                  <c:v>2500.3676772915683</c:v>
                </c:pt>
                <c:pt idx="477">
                  <c:v>2505.1761344272145</c:v>
                </c:pt>
                <c:pt idx="478">
                  <c:v>2509.9938387068851</c:v>
                </c:pt>
                <c:pt idx="479">
                  <c:v>2514.8208079137621</c:v>
                </c:pt>
                <c:pt idx="480">
                  <c:v>2519.6570598652279</c:v>
                </c:pt>
                <c:pt idx="481">
                  <c:v>2524.5026124129299</c:v>
                </c:pt>
                <c:pt idx="482">
                  <c:v>2529.3574834428423</c:v>
                </c:pt>
                <c:pt idx="483">
                  <c:v>2534.2216908753412</c:v>
                </c:pt>
                <c:pt idx="484">
                  <c:v>2539.0952526652609</c:v>
                </c:pt>
                <c:pt idx="485">
                  <c:v>2543.9781868019668</c:v>
                </c:pt>
                <c:pt idx="486">
                  <c:v>2548.8705113094193</c:v>
                </c:pt>
                <c:pt idx="487">
                  <c:v>2553.7722442462405</c:v>
                </c:pt>
                <c:pt idx="488">
                  <c:v>2558.6834037057815</c:v>
                </c:pt>
                <c:pt idx="489">
                  <c:v>2563.6040078161877</c:v>
                </c:pt>
                <c:pt idx="490">
                  <c:v>2568.534074740468</c:v>
                </c:pt>
                <c:pt idx="491">
                  <c:v>2573.4736226765594</c:v>
                </c:pt>
                <c:pt idx="492">
                  <c:v>2578.4226698573971</c:v>
                </c:pt>
                <c:pt idx="493">
                  <c:v>2583.3812345509768</c:v>
                </c:pt>
                <c:pt idx="494">
                  <c:v>2588.3493350604299</c:v>
                </c:pt>
                <c:pt idx="495">
                  <c:v>2593.3269897240821</c:v>
                </c:pt>
                <c:pt idx="496">
                  <c:v>2598.3142169155285</c:v>
                </c:pt>
                <c:pt idx="497">
                  <c:v>2603.3110350436973</c:v>
                </c:pt>
                <c:pt idx="498">
                  <c:v>2608.3174625529196</c:v>
                </c:pt>
                <c:pt idx="499">
                  <c:v>2613.3335179229953</c:v>
                </c:pt>
                <c:pt idx="500">
                  <c:v>2618.3592196692648</c:v>
                </c:pt>
                <c:pt idx="501">
                  <c:v>2623.3945863426738</c:v>
                </c:pt>
                <c:pt idx="502">
                  <c:v>2628.4396365298444</c:v>
                </c:pt>
                <c:pt idx="503">
                  <c:v>2633.4943888531416</c:v>
                </c:pt>
                <c:pt idx="504">
                  <c:v>2638.5588619707437</c:v>
                </c:pt>
                <c:pt idx="505">
                  <c:v>2643.6330745767109</c:v>
                </c:pt>
                <c:pt idx="506">
                  <c:v>2648.7170454010529</c:v>
                </c:pt>
                <c:pt idx="507">
                  <c:v>2653.8107932098001</c:v>
                </c:pt>
                <c:pt idx="508">
                  <c:v>2658.9143368050713</c:v>
                </c:pt>
                <c:pt idx="509">
                  <c:v>2664.0276950251437</c:v>
                </c:pt>
                <c:pt idx="510">
                  <c:v>2669.1508867445223</c:v>
                </c:pt>
                <c:pt idx="511">
                  <c:v>2674.2839308740104</c:v>
                </c:pt>
                <c:pt idx="512">
                  <c:v>2679.4268463607773</c:v>
                </c:pt>
                <c:pt idx="513">
                  <c:v>2684.5796521884313</c:v>
                </c:pt>
                <c:pt idx="514">
                  <c:v>2689.7423673770863</c:v>
                </c:pt>
                <c:pt idx="515">
                  <c:v>2694.915010983435</c:v>
                </c:pt>
                <c:pt idx="516">
                  <c:v>2700.0976021008182</c:v>
                </c:pt>
                <c:pt idx="517">
                  <c:v>2705.2901598592939</c:v>
                </c:pt>
                <c:pt idx="518">
                  <c:v>2710.4927034257107</c:v>
                </c:pt>
                <c:pt idx="519">
                  <c:v>2715.7052520037746</c:v>
                </c:pt>
                <c:pt idx="520">
                  <c:v>2720.9278248341247</c:v>
                </c:pt>
                <c:pt idx="521">
                  <c:v>2726.1604411944008</c:v>
                </c:pt>
                <c:pt idx="522">
                  <c:v>2731.4031203993163</c:v>
                </c:pt>
                <c:pt idx="523">
                  <c:v>2736.6558818007256</c:v>
                </c:pt>
                <c:pt idx="524">
                  <c:v>2741.918744787703</c:v>
                </c:pt>
                <c:pt idx="525">
                  <c:v>2747.1917287866081</c:v>
                </c:pt>
                <c:pt idx="526">
                  <c:v>2752.474853261157</c:v>
                </c:pt>
                <c:pt idx="527">
                  <c:v>2757.7681377125009</c:v>
                </c:pt>
                <c:pt idx="528">
                  <c:v>2763.0716016792903</c:v>
                </c:pt>
                <c:pt idx="529">
                  <c:v>2768.3852647377521</c:v>
                </c:pt>
                <c:pt idx="530">
                  <c:v>2773.7091465017593</c:v>
                </c:pt>
                <c:pt idx="531">
                  <c:v>2779.0432666229049</c:v>
                </c:pt>
                <c:pt idx="532">
                  <c:v>2784.3876447905732</c:v>
                </c:pt>
                <c:pt idx="533">
                  <c:v>2789.7423007320158</c:v>
                </c:pt>
                <c:pt idx="534">
                  <c:v>2795.1072542124166</c:v>
                </c:pt>
                <c:pt idx="535">
                  <c:v>2800.482525034975</c:v>
                </c:pt>
                <c:pt idx="536">
                  <c:v>2805.8681330409713</c:v>
                </c:pt>
                <c:pt idx="537">
                  <c:v>2811.2640981098443</c:v>
                </c:pt>
                <c:pt idx="538">
                  <c:v>2816.6704401592606</c:v>
                </c:pt>
                <c:pt idx="539">
                  <c:v>2822.0871791451909</c:v>
                </c:pt>
                <c:pt idx="540">
                  <c:v>2827.5143350619865</c:v>
                </c:pt>
                <c:pt idx="541">
                  <c:v>2832.9519279424458</c:v>
                </c:pt>
                <c:pt idx="542">
                  <c:v>2838.3999778578927</c:v>
                </c:pt>
                <c:pt idx="543">
                  <c:v>2843.8585049182539</c:v>
                </c:pt>
                <c:pt idx="544">
                  <c:v>2849.3275292721269</c:v>
                </c:pt>
                <c:pt idx="545">
                  <c:v>2854.8070711068544</c:v>
                </c:pt>
                <c:pt idx="546">
                  <c:v>2860.2971506486065</c:v>
                </c:pt>
                <c:pt idx="547">
                  <c:v>2865.797788162447</c:v>
                </c:pt>
                <c:pt idx="548">
                  <c:v>2871.3090039524122</c:v>
                </c:pt>
                <c:pt idx="549">
                  <c:v>2876.8308183615854</c:v>
                </c:pt>
                <c:pt idx="550">
                  <c:v>2882.3632517721717</c:v>
                </c:pt>
                <c:pt idx="551">
                  <c:v>2887.9063246055721</c:v>
                </c:pt>
                <c:pt idx="552">
                  <c:v>2893.460057322462</c:v>
                </c:pt>
                <c:pt idx="553">
                  <c:v>2899.0244704228621</c:v>
                </c:pt>
                <c:pt idx="554">
                  <c:v>2904.5995844462195</c:v>
                </c:pt>
                <c:pt idx="555">
                  <c:v>2910.185419971479</c:v>
                </c:pt>
                <c:pt idx="556">
                  <c:v>2915.7819976171609</c:v>
                </c:pt>
                <c:pt idx="557">
                  <c:v>2921.3893380414365</c:v>
                </c:pt>
                <c:pt idx="558">
                  <c:v>2927.0074619422066</c:v>
                </c:pt>
                <c:pt idx="559">
                  <c:v>2932.636390057176</c:v>
                </c:pt>
                <c:pt idx="560">
                  <c:v>2938.2761431639274</c:v>
                </c:pt>
                <c:pt idx="561">
                  <c:v>2943.9267420800024</c:v>
                </c:pt>
                <c:pt idx="562">
                  <c:v>2949.5882076629796</c:v>
                </c:pt>
                <c:pt idx="563">
                  <c:v>2955.260560810545</c:v>
                </c:pt>
                <c:pt idx="564">
                  <c:v>2960.9438224605733</c:v>
                </c:pt>
                <c:pt idx="565">
                  <c:v>2966.6380135912073</c:v>
                </c:pt>
                <c:pt idx="566">
                  <c:v>2972.3431552209317</c:v>
                </c:pt>
                <c:pt idx="567">
                  <c:v>2978.0592684086496</c:v>
                </c:pt>
                <c:pt idx="568">
                  <c:v>2983.7863742537656</c:v>
                </c:pt>
                <c:pt idx="569">
                  <c:v>2989.5244938962596</c:v>
                </c:pt>
                <c:pt idx="570">
                  <c:v>2995.2736485167666</c:v>
                </c:pt>
                <c:pt idx="571">
                  <c:v>3001.03385933665</c:v>
                </c:pt>
                <c:pt idx="572">
                  <c:v>3006.8051476180894</c:v>
                </c:pt>
                <c:pt idx="573">
                  <c:v>3012.5875346641506</c:v>
                </c:pt>
                <c:pt idx="574">
                  <c:v>3018.3810418188687</c:v>
                </c:pt>
                <c:pt idx="575">
                  <c:v>3024.1856904673245</c:v>
                </c:pt>
                <c:pt idx="576">
                  <c:v>3030.0015020357246</c:v>
                </c:pt>
                <c:pt idx="577">
                  <c:v>3035.8284979914806</c:v>
                </c:pt>
                <c:pt idx="578">
                  <c:v>3041.6666998432893</c:v>
                </c:pt>
                <c:pt idx="579">
                  <c:v>3047.5161291412078</c:v>
                </c:pt>
                <c:pt idx="580">
                  <c:v>3053.376807476739</c:v>
                </c:pt>
                <c:pt idx="581">
                  <c:v>3059.2487564829075</c:v>
                </c:pt>
                <c:pt idx="582">
                  <c:v>3065.1319978343399</c:v>
                </c:pt>
                <c:pt idx="583">
                  <c:v>3071.026553247345</c:v>
                </c:pt>
                <c:pt idx="584">
                  <c:v>3076.9324444799968</c:v>
                </c:pt>
                <c:pt idx="585">
                  <c:v>3082.849693332209</c:v>
                </c:pt>
                <c:pt idx="586">
                  <c:v>3088.7783216458192</c:v>
                </c:pt>
                <c:pt idx="587">
                  <c:v>3094.7183513046712</c:v>
                </c:pt>
                <c:pt idx="588">
                  <c:v>3100.6698042346916</c:v>
                </c:pt>
                <c:pt idx="589">
                  <c:v>3106.6327024039742</c:v>
                </c:pt>
                <c:pt idx="590">
                  <c:v>3112.6070678228575</c:v>
                </c:pt>
                <c:pt idx="591">
                  <c:v>3118.5929225440113</c:v>
                </c:pt>
                <c:pt idx="592">
                  <c:v>3124.5902886625117</c:v>
                </c:pt>
                <c:pt idx="593">
                  <c:v>3130.5991883159272</c:v>
                </c:pt>
                <c:pt idx="594">
                  <c:v>3136.6196436844007</c:v>
                </c:pt>
                <c:pt idx="595">
                  <c:v>3142.6516769907257</c:v>
                </c:pt>
                <c:pt idx="596">
                  <c:v>3148.6953105004359</c:v>
                </c:pt>
                <c:pt idx="597">
                  <c:v>3154.7505665218832</c:v>
                </c:pt>
                <c:pt idx="598">
                  <c:v>3160.8174674063193</c:v>
                </c:pt>
                <c:pt idx="599">
                  <c:v>3166.8960355479799</c:v>
                </c:pt>
                <c:pt idx="600">
                  <c:v>3172.98629338417</c:v>
                </c:pt>
                <c:pt idx="601">
                  <c:v>3179.0882633953393</c:v>
                </c:pt>
                <c:pt idx="602">
                  <c:v>3185.2019681051725</c:v>
                </c:pt>
                <c:pt idx="603">
                  <c:v>3191.3274300806684</c:v>
                </c:pt>
                <c:pt idx="604">
                  <c:v>3197.4646719322259</c:v>
                </c:pt>
                <c:pt idx="605">
                  <c:v>3203.6137163137241</c:v>
                </c:pt>
                <c:pt idx="606">
                  <c:v>3209.7745859226075</c:v>
                </c:pt>
                <c:pt idx="607">
                  <c:v>3215.9473034999737</c:v>
                </c:pt>
                <c:pt idx="608">
                  <c:v>3222.1318918306497</c:v>
                </c:pt>
                <c:pt idx="609">
                  <c:v>3228.3283737432807</c:v>
                </c:pt>
                <c:pt idx="610">
                  <c:v>3234.5367721104158</c:v>
                </c:pt>
                <c:pt idx="611">
                  <c:v>3240.7571098485896</c:v>
                </c:pt>
                <c:pt idx="612">
                  <c:v>3246.9894099184039</c:v>
                </c:pt>
                <c:pt idx="613">
                  <c:v>3253.2336953246213</c:v>
                </c:pt>
                <c:pt idx="614">
                  <c:v>3259.4899891162418</c:v>
                </c:pt>
                <c:pt idx="615">
                  <c:v>3265.7583143865918</c:v>
                </c:pt>
                <c:pt idx="616">
                  <c:v>3272.0386942734081</c:v>
                </c:pt>
                <c:pt idx="617">
                  <c:v>3278.3311519589238</c:v>
                </c:pt>
                <c:pt idx="618">
                  <c:v>3284.6357106699547</c:v>
                </c:pt>
                <c:pt idx="619">
                  <c:v>3290.9523936779819</c:v>
                </c:pt>
                <c:pt idx="620">
                  <c:v>3297.2812242992422</c:v>
                </c:pt>
                <c:pt idx="621">
                  <c:v>3303.6222258948105</c:v>
                </c:pt>
                <c:pt idx="622">
                  <c:v>3309.9754218706876</c:v>
                </c:pt>
                <c:pt idx="623">
                  <c:v>3316.3408356778882</c:v>
                </c:pt>
                <c:pt idx="624">
                  <c:v>3322.7184908125214</c:v>
                </c:pt>
                <c:pt idx="625">
                  <c:v>3329.1084108158848</c:v>
                </c:pt>
                <c:pt idx="626">
                  <c:v>3335.5106192745498</c:v>
                </c:pt>
                <c:pt idx="627">
                  <c:v>3341.9251398204428</c:v>
                </c:pt>
                <c:pt idx="628">
                  <c:v>3348.3519961309394</c:v>
                </c:pt>
                <c:pt idx="629">
                  <c:v>3354.7912119289499</c:v>
                </c:pt>
                <c:pt idx="630">
                  <c:v>3361.2428109830053</c:v>
                </c:pt>
                <c:pt idx="631">
                  <c:v>3367.7068171073429</c:v>
                </c:pt>
                <c:pt idx="632">
                  <c:v>3374.183254162002</c:v>
                </c:pt>
                <c:pt idx="633">
                  <c:v>3380.6721460529052</c:v>
                </c:pt>
                <c:pt idx="634">
                  <c:v>3387.173516731948</c:v>
                </c:pt>
                <c:pt idx="635">
                  <c:v>3393.6873901970862</c:v>
                </c:pt>
                <c:pt idx="636">
                  <c:v>3400.2137904924307</c:v>
                </c:pt>
                <c:pt idx="637">
                  <c:v>3406.7527417083274</c:v>
                </c:pt>
                <c:pt idx="638">
                  <c:v>3413.304267981453</c:v>
                </c:pt>
                <c:pt idx="639">
                  <c:v>3419.8683934948999</c:v>
                </c:pt>
                <c:pt idx="640">
                  <c:v>3426.4451424782669</c:v>
                </c:pt>
                <c:pt idx="641">
                  <c:v>3433.0345392077497</c:v>
                </c:pt>
                <c:pt idx="642">
                  <c:v>3439.6366080062289</c:v>
                </c:pt>
                <c:pt idx="643">
                  <c:v>3446.2513732433613</c:v>
                </c:pt>
                <c:pt idx="644">
                  <c:v>3452.8788593356667</c:v>
                </c:pt>
                <c:pt idx="645">
                  <c:v>3459.5190907466249</c:v>
                </c:pt>
                <c:pt idx="646">
                  <c:v>3466.1720919867557</c:v>
                </c:pt>
                <c:pt idx="647">
                  <c:v>3472.8378876137185</c:v>
                </c:pt>
                <c:pt idx="648">
                  <c:v>3479.5165022324004</c:v>
                </c:pt>
                <c:pt idx="649">
                  <c:v>3486.2079604950036</c:v>
                </c:pt>
                <c:pt idx="650">
                  <c:v>3492.9122871011396</c:v>
                </c:pt>
                <c:pt idx="651">
                  <c:v>3499.6295067979204</c:v>
                </c:pt>
                <c:pt idx="652">
                  <c:v>3506.3596443800488</c:v>
                </c:pt>
                <c:pt idx="653">
                  <c:v>3513.1027246899121</c:v>
                </c:pt>
                <c:pt idx="654">
                  <c:v>3519.858772617667</c:v>
                </c:pt>
                <c:pt idx="655">
                  <c:v>3526.6278131013423</c:v>
                </c:pt>
                <c:pt idx="656">
                  <c:v>3533.4098711269226</c:v>
                </c:pt>
                <c:pt idx="657">
                  <c:v>3540.2049717284403</c:v>
                </c:pt>
                <c:pt idx="658">
                  <c:v>3547.0131399880775</c:v>
                </c:pt>
                <c:pt idx="659">
                  <c:v>3553.8344010362448</c:v>
                </c:pt>
                <c:pt idx="660">
                  <c:v>3560.6687800516852</c:v>
                </c:pt>
                <c:pt idx="661">
                  <c:v>3567.516302261562</c:v>
                </c:pt>
                <c:pt idx="662">
                  <c:v>3574.3769929415521</c:v>
                </c:pt>
                <c:pt idx="663">
                  <c:v>3581.2508774159405</c:v>
                </c:pt>
                <c:pt idx="664">
                  <c:v>3588.1379810577155</c:v>
                </c:pt>
                <c:pt idx="665">
                  <c:v>3595.0383292886559</c:v>
                </c:pt>
                <c:pt idx="666">
                  <c:v>3601.9519475794327</c:v>
                </c:pt>
                <c:pt idx="667">
                  <c:v>3608.8788614496966</c:v>
                </c:pt>
                <c:pt idx="668">
                  <c:v>3615.8190964681799</c:v>
                </c:pt>
                <c:pt idx="669">
                  <c:v>3622.7726782527802</c:v>
                </c:pt>
                <c:pt idx="670">
                  <c:v>3629.7396324706638</c:v>
                </c:pt>
                <c:pt idx="671">
                  <c:v>3636.7199848383598</c:v>
                </c:pt>
                <c:pt idx="672">
                  <c:v>3643.7137611218482</c:v>
                </c:pt>
                <c:pt idx="673">
                  <c:v>3650.7209871366613</c:v>
                </c:pt>
                <c:pt idx="674">
                  <c:v>3657.7416887479803</c:v>
                </c:pt>
                <c:pt idx="675">
                  <c:v>3664.7758918707241</c:v>
                </c:pt>
                <c:pt idx="676">
                  <c:v>3671.8236224696475</c:v>
                </c:pt>
                <c:pt idx="677">
                  <c:v>3678.8849065594436</c:v>
                </c:pt>
                <c:pt idx="678">
                  <c:v>3685.9597702048286</c:v>
                </c:pt>
                <c:pt idx="679">
                  <c:v>3693.0482395206473</c:v>
                </c:pt>
                <c:pt idx="680">
                  <c:v>3700.1503406719644</c:v>
                </c:pt>
                <c:pt idx="681">
                  <c:v>3707.266099874163</c:v>
                </c:pt>
                <c:pt idx="682">
                  <c:v>3714.3955433930419</c:v>
                </c:pt>
                <c:pt idx="683">
                  <c:v>3721.5386975449082</c:v>
                </c:pt>
                <c:pt idx="684">
                  <c:v>3728.6955886966834</c:v>
                </c:pt>
                <c:pt idx="685">
                  <c:v>3735.8662432659917</c:v>
                </c:pt>
                <c:pt idx="686">
                  <c:v>3743.0506877212606</c:v>
                </c:pt>
                <c:pt idx="687">
                  <c:v>3750.248948581821</c:v>
                </c:pt>
                <c:pt idx="688">
                  <c:v>3757.4610524180021</c:v>
                </c:pt>
                <c:pt idx="689">
                  <c:v>3764.6870258512295</c:v>
                </c:pt>
                <c:pt idx="690">
                  <c:v>3771.9268955541284</c:v>
                </c:pt>
                <c:pt idx="691">
                  <c:v>3779.1806882506125</c:v>
                </c:pt>
                <c:pt idx="692">
                  <c:v>3786.4484307159914</c:v>
                </c:pt>
                <c:pt idx="693">
                  <c:v>3793.7301497770673</c:v>
                </c:pt>
                <c:pt idx="694">
                  <c:v>3801.025872312232</c:v>
                </c:pt>
                <c:pt idx="695">
                  <c:v>3808.3356252515637</c:v>
                </c:pt>
                <c:pt idx="696">
                  <c:v>3815.6594355769371</c:v>
                </c:pt>
                <c:pt idx="697">
                  <c:v>3822.9973303221095</c:v>
                </c:pt>
                <c:pt idx="698">
                  <c:v>3830.3493365728282</c:v>
                </c:pt>
                <c:pt idx="699">
                  <c:v>3837.7154814669307</c:v>
                </c:pt>
                <c:pt idx="700">
                  <c:v>3845.0957921944423</c:v>
                </c:pt>
                <c:pt idx="701">
                  <c:v>3852.4902959976789</c:v>
                </c:pt>
                <c:pt idx="702">
                  <c:v>3859.8990201713418</c:v>
                </c:pt>
                <c:pt idx="703">
                  <c:v>3867.3219920626279</c:v>
                </c:pt>
                <c:pt idx="704">
                  <c:v>3874.7592390713235</c:v>
                </c:pt>
                <c:pt idx="705">
                  <c:v>3882.2107886499057</c:v>
                </c:pt>
                <c:pt idx="706">
                  <c:v>3889.6766683036476</c:v>
                </c:pt>
                <c:pt idx="707">
                  <c:v>3897.156905590718</c:v>
                </c:pt>
                <c:pt idx="708">
                  <c:v>3904.6515281222796</c:v>
                </c:pt>
                <c:pt idx="709">
                  <c:v>3912.1605635625992</c:v>
                </c:pt>
                <c:pt idx="710">
                  <c:v>3919.6840396291404</c:v>
                </c:pt>
                <c:pt idx="711">
                  <c:v>3927.2219840926709</c:v>
                </c:pt>
                <c:pt idx="712">
                  <c:v>3934.7744247773685</c:v>
                </c:pt>
                <c:pt idx="713">
                  <c:v>3942.3413895609128</c:v>
                </c:pt>
                <c:pt idx="714">
                  <c:v>3949.9229063746002</c:v>
                </c:pt>
                <c:pt idx="715">
                  <c:v>3957.5190032034398</c:v>
                </c:pt>
                <c:pt idx="716">
                  <c:v>3965.129708086261</c:v>
                </c:pt>
                <c:pt idx="717">
                  <c:v>3972.7550491158099</c:v>
                </c:pt>
                <c:pt idx="718">
                  <c:v>3980.3950544388613</c:v>
                </c:pt>
                <c:pt idx="719">
                  <c:v>3988.0497522563192</c:v>
                </c:pt>
                <c:pt idx="720">
                  <c:v>3995.7191708233213</c:v>
                </c:pt>
                <c:pt idx="721">
                  <c:v>4003.4033384493364</c:v>
                </c:pt>
                <c:pt idx="722">
                  <c:v>4011.1022834982864</c:v>
                </c:pt>
                <c:pt idx="723">
                  <c:v>4018.8160343886289</c:v>
                </c:pt>
                <c:pt idx="724">
                  <c:v>4026.544619593481</c:v>
                </c:pt>
                <c:pt idx="725">
                  <c:v>4034.2880676407117</c:v>
                </c:pt>
                <c:pt idx="726">
                  <c:v>4042.0464071130536</c:v>
                </c:pt>
                <c:pt idx="727">
                  <c:v>4049.8196666482063</c:v>
                </c:pt>
                <c:pt idx="728">
                  <c:v>4057.6078749389444</c:v>
                </c:pt>
                <c:pt idx="729">
                  <c:v>4065.4110607332186</c:v>
                </c:pt>
                <c:pt idx="730">
                  <c:v>4073.2292528342668</c:v>
                </c:pt>
                <c:pt idx="731">
                  <c:v>4081.0624801007175</c:v>
                </c:pt>
                <c:pt idx="732">
                  <c:v>4088.9107714466986</c:v>
                </c:pt>
                <c:pt idx="733">
                  <c:v>4096.7741558419411</c:v>
                </c:pt>
                <c:pt idx="734">
                  <c:v>4104.652662311888</c:v>
                </c:pt>
                <c:pt idx="735">
                  <c:v>4112.5463199378028</c:v>
                </c:pt>
                <c:pt idx="736">
                  <c:v>4120.4551578568726</c:v>
                </c:pt>
                <c:pt idx="737">
                  <c:v>4128.3792052623194</c:v>
                </c:pt>
                <c:pt idx="738">
                  <c:v>4136.3184914035073</c:v>
                </c:pt>
                <c:pt idx="739">
                  <c:v>4144.273045586051</c:v>
                </c:pt>
                <c:pt idx="740">
                  <c:v>4152.2428971719173</c:v>
                </c:pt>
                <c:pt idx="741">
                  <c:v>4160.2280755795464</c:v>
                </c:pt>
                <c:pt idx="742">
                  <c:v>4168.2286102839489</c:v>
                </c:pt>
                <c:pt idx="743">
                  <c:v>4176.244530816818</c:v>
                </c:pt>
                <c:pt idx="744">
                  <c:v>4184.2758667666412</c:v>
                </c:pt>
                <c:pt idx="745">
                  <c:v>4192.3226477788085</c:v>
                </c:pt>
                <c:pt idx="746">
                  <c:v>4200.3849035557187</c:v>
                </c:pt>
                <c:pt idx="747">
                  <c:v>4208.4626638568916</c:v>
                </c:pt>
                <c:pt idx="748">
                  <c:v>4216.5559584990788</c:v>
                </c:pt>
                <c:pt idx="749">
                  <c:v>4224.6648173563726</c:v>
                </c:pt>
                <c:pt idx="750">
                  <c:v>4232.7892703603138</c:v>
                </c:pt>
                <c:pt idx="751">
                  <c:v>4240.9293475000077</c:v>
                </c:pt>
                <c:pt idx="752">
                  <c:v>4249.0850788222297</c:v>
                </c:pt>
                <c:pt idx="753">
                  <c:v>4257.2564944315363</c:v>
                </c:pt>
                <c:pt idx="754">
                  <c:v>4265.4436244903854</c:v>
                </c:pt>
                <c:pt idx="755">
                  <c:v>4273.6464992192305</c:v>
                </c:pt>
                <c:pt idx="756">
                  <c:v>4281.865148896648</c:v>
                </c:pt>
                <c:pt idx="757">
                  <c:v>4290.099603859444</c:v>
                </c:pt>
                <c:pt idx="758">
                  <c:v>4298.3498945027604</c:v>
                </c:pt>
                <c:pt idx="759">
                  <c:v>4306.6160512801962</c:v>
                </c:pt>
                <c:pt idx="760">
                  <c:v>4314.8981047039142</c:v>
                </c:pt>
                <c:pt idx="761">
                  <c:v>4323.1960853447554</c:v>
                </c:pt>
                <c:pt idx="762">
                  <c:v>4331.5100238323512</c:v>
                </c:pt>
                <c:pt idx="763">
                  <c:v>4339.8399508552347</c:v>
                </c:pt>
                <c:pt idx="764">
                  <c:v>4348.1858971609627</c:v>
                </c:pt>
                <c:pt idx="765">
                  <c:v>4356.5478935562169</c:v>
                </c:pt>
                <c:pt idx="766">
                  <c:v>4364.9259709069211</c:v>
                </c:pt>
                <c:pt idx="767">
                  <c:v>4373.3201601383662</c:v>
                </c:pt>
                <c:pt idx="768">
                  <c:v>4381.7304922353087</c:v>
                </c:pt>
                <c:pt idx="769">
                  <c:v>4390.1569982420924</c:v>
                </c:pt>
                <c:pt idx="770">
                  <c:v>4398.5997092627658</c:v>
                </c:pt>
                <c:pt idx="771">
                  <c:v>4407.0586564611904</c:v>
                </c:pt>
                <c:pt idx="772">
                  <c:v>4415.5338710611595</c:v>
                </c:pt>
                <c:pt idx="773">
                  <c:v>4424.0253843465134</c:v>
                </c:pt>
                <c:pt idx="774">
                  <c:v>4432.5332276612544</c:v>
                </c:pt>
                <c:pt idx="775">
                  <c:v>4441.0574324096615</c:v>
                </c:pt>
                <c:pt idx="776">
                  <c:v>4449.5980300564124</c:v>
                </c:pt>
                <c:pt idx="777">
                  <c:v>4458.1550521266845</c:v>
                </c:pt>
                <c:pt idx="778">
                  <c:v>4466.728530206291</c:v>
                </c:pt>
                <c:pt idx="779">
                  <c:v>4475.3184959417813</c:v>
                </c:pt>
                <c:pt idx="780">
                  <c:v>4483.9249810405709</c:v>
                </c:pt>
                <c:pt idx="781">
                  <c:v>4492.5480172710422</c:v>
                </c:pt>
                <c:pt idx="782">
                  <c:v>4501.1876364626796</c:v>
                </c:pt>
                <c:pt idx="783">
                  <c:v>4509.8438705061762</c:v>
                </c:pt>
                <c:pt idx="784">
                  <c:v>4518.5167513535553</c:v>
                </c:pt>
                <c:pt idx="785">
                  <c:v>4527.2063110182826</c:v>
                </c:pt>
                <c:pt idx="786">
                  <c:v>4535.9125815753951</c:v>
                </c:pt>
                <c:pt idx="787">
                  <c:v>4544.6355951616088</c:v>
                </c:pt>
                <c:pt idx="788">
                  <c:v>4553.3753839754427</c:v>
                </c:pt>
                <c:pt idx="789">
                  <c:v>4562.1319802773387</c:v>
                </c:pt>
                <c:pt idx="790">
                  <c:v>4570.9054163897763</c:v>
                </c:pt>
                <c:pt idx="791">
                  <c:v>4579.6957246973971</c:v>
                </c:pt>
                <c:pt idx="792">
                  <c:v>4588.5029376471202</c:v>
                </c:pt>
                <c:pt idx="793">
                  <c:v>4597.327087748261</c:v>
                </c:pt>
                <c:pt idx="794">
                  <c:v>4606.1682075726567</c:v>
                </c:pt>
                <c:pt idx="795">
                  <c:v>4615.0263297547835</c:v>
                </c:pt>
                <c:pt idx="796">
                  <c:v>4623.9014869918756</c:v>
                </c:pt>
                <c:pt idx="797">
                  <c:v>4632.7937120440465</c:v>
                </c:pt>
                <c:pt idx="798">
                  <c:v>4641.7030377344126</c:v>
                </c:pt>
                <c:pt idx="799">
                  <c:v>4650.629496949211</c:v>
                </c:pt>
                <c:pt idx="800">
                  <c:v>4659.5731226379239</c:v>
                </c:pt>
                <c:pt idx="801">
                  <c:v>4668.5339478133956</c:v>
                </c:pt>
                <c:pt idx="802">
                  <c:v>4677.5120055519637</c:v>
                </c:pt>
                <c:pt idx="803">
                  <c:v>4686.5073289935663</c:v>
                </c:pt>
                <c:pt idx="804">
                  <c:v>4695.5199513418775</c:v>
                </c:pt>
                <c:pt idx="805">
                  <c:v>4704.5499058644282</c:v>
                </c:pt>
                <c:pt idx="806">
                  <c:v>4713.5972258927222</c:v>
                </c:pt>
                <c:pt idx="807">
                  <c:v>4722.6619448223619</c:v>
                </c:pt>
                <c:pt idx="808">
                  <c:v>4731.744096113177</c:v>
                </c:pt>
                <c:pt idx="809">
                  <c:v>4740.8437132893405</c:v>
                </c:pt>
                <c:pt idx="810">
                  <c:v>4749.9608299394986</c:v>
                </c:pt>
                <c:pt idx="811">
                  <c:v>4759.0954797168861</c:v>
                </c:pt>
                <c:pt idx="812">
                  <c:v>4768.2476963394647</c:v>
                </c:pt>
                <c:pt idx="813">
                  <c:v>4777.4175135900332</c:v>
                </c:pt>
                <c:pt idx="814">
                  <c:v>4786.6049653163591</c:v>
                </c:pt>
                <c:pt idx="815">
                  <c:v>4795.8100854313034</c:v>
                </c:pt>
                <c:pt idx="816">
                  <c:v>4805.0329079129451</c:v>
                </c:pt>
                <c:pt idx="817">
                  <c:v>4814.2734668047069</c:v>
                </c:pt>
                <c:pt idx="818">
                  <c:v>4823.5317962154777</c:v>
                </c:pt>
                <c:pt idx="819">
                  <c:v>4832.8079303197428</c:v>
                </c:pt>
                <c:pt idx="820">
                  <c:v>4842.1019033577095</c:v>
                </c:pt>
                <c:pt idx="821">
                  <c:v>4851.4137496354324</c:v>
                </c:pt>
                <c:pt idx="822">
                  <c:v>4860.7435035249391</c:v>
                </c:pt>
                <c:pt idx="823">
                  <c:v>4870.0911994643557</c:v>
                </c:pt>
                <c:pt idx="824">
                  <c:v>4879.456871958042</c:v>
                </c:pt>
                <c:pt idx="825">
                  <c:v>4888.8405555767094</c:v>
                </c:pt>
                <c:pt idx="826">
                  <c:v>4898.2422849575514</c:v>
                </c:pt>
                <c:pt idx="827">
                  <c:v>4907.6620948043728</c:v>
                </c:pt>
                <c:pt idx="828">
                  <c:v>4917.1000198877209</c:v>
                </c:pt>
                <c:pt idx="829">
                  <c:v>4926.5560950450063</c:v>
                </c:pt>
                <c:pt idx="830">
                  <c:v>4936.0303551806346</c:v>
                </c:pt>
                <c:pt idx="831">
                  <c:v>4945.5228352661416</c:v>
                </c:pt>
                <c:pt idx="832">
                  <c:v>4955.0335703403116</c:v>
                </c:pt>
                <c:pt idx="833">
                  <c:v>4964.562595509311</c:v>
                </c:pt>
                <c:pt idx="834">
                  <c:v>4974.1099459468269</c:v>
                </c:pt>
                <c:pt idx="835">
                  <c:v>4983.6756568941801</c:v>
                </c:pt>
                <c:pt idx="836">
                  <c:v>4993.2597636604687</c:v>
                </c:pt>
                <c:pt idx="837">
                  <c:v>5002.8623016226911</c:v>
                </c:pt>
                <c:pt idx="838">
                  <c:v>5012.4833062258822</c:v>
                </c:pt>
                <c:pt idx="839">
                  <c:v>5022.122812983238</c:v>
                </c:pt>
                <c:pt idx="840">
                  <c:v>5031.7808574762548</c:v>
                </c:pt>
                <c:pt idx="841">
                  <c:v>5041.4574753548495</c:v>
                </c:pt>
                <c:pt idx="842">
                  <c:v>5051.1527023375002</c:v>
                </c:pt>
                <c:pt idx="843">
                  <c:v>5060.8665742113772</c:v>
                </c:pt>
                <c:pt idx="844">
                  <c:v>5070.5991268324697</c:v>
                </c:pt>
                <c:pt idx="845">
                  <c:v>5080.3503961257238</c:v>
                </c:pt>
                <c:pt idx="846">
                  <c:v>5090.120418085171</c:v>
                </c:pt>
                <c:pt idx="847">
                  <c:v>5099.9092287740677</c:v>
                </c:pt>
                <c:pt idx="848">
                  <c:v>5109.7168643250152</c:v>
                </c:pt>
                <c:pt idx="849">
                  <c:v>5119.543360940107</c:v>
                </c:pt>
                <c:pt idx="850">
                  <c:v>5129.3887548910598</c:v>
                </c:pt>
                <c:pt idx="851">
                  <c:v>5139.253082519338</c:v>
                </c:pt>
                <c:pt idx="852">
                  <c:v>5149.1363802362948</c:v>
                </c:pt>
                <c:pt idx="853">
                  <c:v>5159.0386845233115</c:v>
                </c:pt>
                <c:pt idx="854">
                  <c:v>5168.9600319319225</c:v>
                </c:pt>
                <c:pt idx="855">
                  <c:v>5178.9004590839531</c:v>
                </c:pt>
                <c:pt idx="856">
                  <c:v>5188.8600026716631</c:v>
                </c:pt>
                <c:pt idx="857">
                  <c:v>5198.838699457865</c:v>
                </c:pt>
                <c:pt idx="858">
                  <c:v>5208.8365862760811</c:v>
                </c:pt>
                <c:pt idx="859">
                  <c:v>5218.8537000306551</c:v>
                </c:pt>
                <c:pt idx="860">
                  <c:v>5228.8900776969149</c:v>
                </c:pt>
                <c:pt idx="861">
                  <c:v>5238.9457563212854</c:v>
                </c:pt>
                <c:pt idx="862">
                  <c:v>5249.0207730214433</c:v>
                </c:pt>
                <c:pt idx="863">
                  <c:v>5259.1151649864405</c:v>
                </c:pt>
                <c:pt idx="864">
                  <c:v>5269.2289694768479</c:v>
                </c:pt>
                <c:pt idx="865">
                  <c:v>5279.3622238248954</c:v>
                </c:pt>
                <c:pt idx="866">
                  <c:v>5289.514965434606</c:v>
                </c:pt>
                <c:pt idx="867">
                  <c:v>5299.6872317819298</c:v>
                </c:pt>
                <c:pt idx="868">
                  <c:v>5309.8790604148926</c:v>
                </c:pt>
                <c:pt idx="869">
                  <c:v>5320.0904889537242</c:v>
                </c:pt>
                <c:pt idx="870">
                  <c:v>5330.3215550910072</c:v>
                </c:pt>
                <c:pt idx="871">
                  <c:v>5340.5722965918039</c:v>
                </c:pt>
                <c:pt idx="872">
                  <c:v>5350.8427512938097</c:v>
                </c:pt>
                <c:pt idx="873">
                  <c:v>5361.1329571074812</c:v>
                </c:pt>
                <c:pt idx="874">
                  <c:v>5371.4429520161793</c:v>
                </c:pt>
                <c:pt idx="875">
                  <c:v>5381.7727740763148</c:v>
                </c:pt>
                <c:pt idx="876">
                  <c:v>5392.1224614174835</c:v>
                </c:pt>
                <c:pt idx="877">
                  <c:v>5402.4920522426091</c:v>
                </c:pt>
                <c:pt idx="878">
                  <c:v>5412.8815848280783</c:v>
                </c:pt>
                <c:pt idx="879">
                  <c:v>5423.2910975238938</c:v>
                </c:pt>
                <c:pt idx="880">
                  <c:v>5433.7206287538056</c:v>
                </c:pt>
                <c:pt idx="881">
                  <c:v>5444.1702170154576</c:v>
                </c:pt>
                <c:pt idx="882">
                  <c:v>5454.6399008805265</c:v>
                </c:pt>
                <c:pt idx="883">
                  <c:v>5465.1297189948691</c:v>
                </c:pt>
                <c:pt idx="884">
                  <c:v>5475.639710078658</c:v>
                </c:pt>
                <c:pt idx="885">
                  <c:v>5486.1699129265362</c:v>
                </c:pt>
                <c:pt idx="886">
                  <c:v>5496.7203664077433</c:v>
                </c:pt>
                <c:pt idx="887">
                  <c:v>5507.2911094662732</c:v>
                </c:pt>
                <c:pt idx="888">
                  <c:v>5517.8821811210155</c:v>
                </c:pt>
                <c:pt idx="889">
                  <c:v>5528.4936204658907</c:v>
                </c:pt>
                <c:pt idx="890">
                  <c:v>5539.1254666700042</c:v>
                </c:pt>
                <c:pt idx="891">
                  <c:v>5549.7777589777888</c:v>
                </c:pt>
                <c:pt idx="892">
                  <c:v>5560.4505367091488</c:v>
                </c:pt>
                <c:pt idx="893">
                  <c:v>5571.1438392596001</c:v>
                </c:pt>
                <c:pt idx="894">
                  <c:v>5581.8577061004207</c:v>
                </c:pt>
                <c:pt idx="895">
                  <c:v>5592.5921767788022</c:v>
                </c:pt>
                <c:pt idx="896">
                  <c:v>5603.3472909179854</c:v>
                </c:pt>
                <c:pt idx="897">
                  <c:v>5614.1230882174041</c:v>
                </c:pt>
                <c:pt idx="898">
                  <c:v>5624.9196084528512</c:v>
                </c:pt>
                <c:pt idx="899">
                  <c:v>5635.7368914766012</c:v>
                </c:pt>
                <c:pt idx="900">
                  <c:v>5646.574977217575</c:v>
                </c:pt>
                <c:pt idx="901">
                  <c:v>5657.4339056814779</c:v>
                </c:pt>
                <c:pt idx="902">
                  <c:v>5668.3137169509491</c:v>
                </c:pt>
                <c:pt idx="903">
                  <c:v>5679.214451185715</c:v>
                </c:pt>
                <c:pt idx="904">
                  <c:v>5690.1361486227288</c:v>
                </c:pt>
                <c:pt idx="905">
                  <c:v>5701.0788495763263</c:v>
                </c:pt>
                <c:pt idx="906">
                  <c:v>5712.0425944383696</c:v>
                </c:pt>
                <c:pt idx="907">
                  <c:v>5723.0274236784016</c:v>
                </c:pt>
                <c:pt idx="908">
                  <c:v>5734.033377843788</c:v>
                </c:pt>
                <c:pt idx="909">
                  <c:v>5745.0604975598735</c:v>
                </c:pt>
                <c:pt idx="910">
                  <c:v>5756.1088235301286</c:v>
                </c:pt>
                <c:pt idx="911">
                  <c:v>5767.1783965363056</c:v>
                </c:pt>
                <c:pt idx="912">
                  <c:v>5778.2692574385737</c:v>
                </c:pt>
                <c:pt idx="913">
                  <c:v>5789.3814471756878</c:v>
                </c:pt>
                <c:pt idx="914">
                  <c:v>5800.515006765133</c:v>
                </c:pt>
                <c:pt idx="915">
                  <c:v>5811.6699773032742</c:v>
                </c:pt>
                <c:pt idx="916">
                  <c:v>5822.8463999654996</c:v>
                </c:pt>
                <c:pt idx="917">
                  <c:v>5834.0443160063987</c:v>
                </c:pt>
                <c:pt idx="918">
                  <c:v>5845.2637667598829</c:v>
                </c:pt>
                <c:pt idx="919">
                  <c:v>5856.5047936393594</c:v>
                </c:pt>
                <c:pt idx="920">
                  <c:v>5867.7674381378774</c:v>
                </c:pt>
                <c:pt idx="921">
                  <c:v>5879.0517418282807</c:v>
                </c:pt>
                <c:pt idx="922">
                  <c:v>5890.3577463633619</c:v>
                </c:pt>
                <c:pt idx="923">
                  <c:v>5901.6854934760131</c:v>
                </c:pt>
                <c:pt idx="924">
                  <c:v>5913.0350249793892</c:v>
                </c:pt>
                <c:pt idx="925">
                  <c:v>5924.4063827670516</c:v>
                </c:pt>
                <c:pt idx="926">
                  <c:v>5935.7996088131267</c:v>
                </c:pt>
                <c:pt idx="927">
                  <c:v>5947.2147451724641</c:v>
                </c:pt>
                <c:pt idx="928">
                  <c:v>5958.6518339807872</c:v>
                </c:pt>
                <c:pt idx="929">
                  <c:v>5970.110917454851</c:v>
                </c:pt>
                <c:pt idx="930">
                  <c:v>5981.5920378925985</c:v>
                </c:pt>
                <c:pt idx="931">
                  <c:v>5993.095237673313</c:v>
                </c:pt>
                <c:pt idx="932">
                  <c:v>6004.6205592577817</c:v>
                </c:pt>
                <c:pt idx="933">
                  <c:v>6016.1680451884458</c:v>
                </c:pt>
                <c:pt idx="934">
                  <c:v>6027.7377380895596</c:v>
                </c:pt>
                <c:pt idx="935">
                  <c:v>6039.3296806673452</c:v>
                </c:pt>
                <c:pt idx="936">
                  <c:v>6050.9439157101615</c:v>
                </c:pt>
                <c:pt idx="937">
                  <c:v>6062.5804860886474</c:v>
                </c:pt>
                <c:pt idx="938">
                  <c:v>6074.2394347558838</c:v>
                </c:pt>
                <c:pt idx="939">
                  <c:v>6085.9208047475604</c:v>
                </c:pt>
                <c:pt idx="940">
                  <c:v>6097.6246391821287</c:v>
                </c:pt>
                <c:pt idx="941">
                  <c:v>6109.3509812609582</c:v>
                </c:pt>
                <c:pt idx="942">
                  <c:v>6121.0998742684978</c:v>
                </c:pt>
                <c:pt idx="943">
                  <c:v>6132.8713615724409</c:v>
                </c:pt>
                <c:pt idx="944">
                  <c:v>6144.6654866238814</c:v>
                </c:pt>
                <c:pt idx="945">
                  <c:v>6156.4822929574666</c:v>
                </c:pt>
                <c:pt idx="946">
                  <c:v>6168.3218241915756</c:v>
                </c:pt>
                <c:pt idx="947">
                  <c:v>6180.1841240284639</c:v>
                </c:pt>
                <c:pt idx="948">
                  <c:v>6192.0692362544314</c:v>
                </c:pt>
                <c:pt idx="949">
                  <c:v>6203.9772047399829</c:v>
                </c:pt>
                <c:pt idx="950">
                  <c:v>6215.908073439994</c:v>
                </c:pt>
                <c:pt idx="951">
                  <c:v>6227.8618863938655</c:v>
                </c:pt>
                <c:pt idx="952">
                  <c:v>6239.8386877256962</c:v>
                </c:pt>
                <c:pt idx="953">
                  <c:v>6251.8385216444331</c:v>
                </c:pt>
                <c:pt idx="954">
                  <c:v>6263.8614324440441</c:v>
                </c:pt>
                <c:pt idx="955">
                  <c:v>6275.9074645036799</c:v>
                </c:pt>
                <c:pt idx="956">
                  <c:v>6287.9766622878396</c:v>
                </c:pt>
                <c:pt idx="957">
                  <c:v>6300.0690703465234</c:v>
                </c:pt>
                <c:pt idx="958">
                  <c:v>6312.1847333154119</c:v>
                </c:pt>
                <c:pt idx="959">
                  <c:v>6324.3236959160276</c:v>
                </c:pt>
                <c:pt idx="960">
                  <c:v>6336.4860029558877</c:v>
                </c:pt>
                <c:pt idx="961">
                  <c:v>6348.6716993286855</c:v>
                </c:pt>
                <c:pt idx="962">
                  <c:v>6360.8808300144492</c:v>
                </c:pt>
                <c:pt idx="963">
                  <c:v>6373.1134400797064</c:v>
                </c:pt>
                <c:pt idx="964">
                  <c:v>6385.3695746776484</c:v>
                </c:pt>
                <c:pt idx="965">
                  <c:v>6397.6492790483089</c:v>
                </c:pt>
                <c:pt idx="966">
                  <c:v>6409.9525985187165</c:v>
                </c:pt>
                <c:pt idx="967">
                  <c:v>6422.2795785030721</c:v>
                </c:pt>
                <c:pt idx="968">
                  <c:v>6434.6302645029082</c:v>
                </c:pt>
                <c:pt idx="969">
                  <c:v>6447.0047021072633</c:v>
                </c:pt>
                <c:pt idx="970">
                  <c:v>6459.4029369928512</c:v>
                </c:pt>
                <c:pt idx="971">
                  <c:v>6471.8250149242222</c:v>
                </c:pt>
                <c:pt idx="972">
                  <c:v>6484.270981753938</c:v>
                </c:pt>
                <c:pt idx="973">
                  <c:v>6496.7408834227408</c:v>
                </c:pt>
                <c:pt idx="974">
                  <c:v>6509.234765959719</c:v>
                </c:pt>
                <c:pt idx="975">
                  <c:v>6521.7526754824812</c:v>
                </c:pt>
                <c:pt idx="976">
                  <c:v>6534.2946581973247</c:v>
                </c:pt>
                <c:pt idx="977">
                  <c:v>6546.8607603994024</c:v>
                </c:pt>
                <c:pt idx="978">
                  <c:v>6559.4510284729067</c:v>
                </c:pt>
                <c:pt idx="979">
                  <c:v>6572.0655088912217</c:v>
                </c:pt>
                <c:pt idx="980">
                  <c:v>6584.7042482171073</c:v>
                </c:pt>
                <c:pt idx="981">
                  <c:v>6597.3672931028723</c:v>
                </c:pt>
                <c:pt idx="982">
                  <c:v>6610.0546902905389</c:v>
                </c:pt>
                <c:pt idx="983">
                  <c:v>6622.7664866120158</c:v>
                </c:pt>
                <c:pt idx="984">
                  <c:v>6635.5027289892823</c:v>
                </c:pt>
                <c:pt idx="985">
                  <c:v>6648.2634644345471</c:v>
                </c:pt>
                <c:pt idx="986">
                  <c:v>6661.0487400504298</c:v>
                </c:pt>
                <c:pt idx="987">
                  <c:v>6673.8586030301312</c:v>
                </c:pt>
                <c:pt idx="988">
                  <c:v>6686.6931006576142</c:v>
                </c:pt>
                <c:pt idx="989">
                  <c:v>6699.5522803077693</c:v>
                </c:pt>
                <c:pt idx="990">
                  <c:v>6712.4361894465937</c:v>
                </c:pt>
                <c:pt idx="991">
                  <c:v>6725.3448756313701</c:v>
                </c:pt>
                <c:pt idx="992">
                  <c:v>6738.2783865108331</c:v>
                </c:pt>
                <c:pt idx="993">
                  <c:v>6751.2367698253565</c:v>
                </c:pt>
                <c:pt idx="994">
                  <c:v>6764.2200734071193</c:v>
                </c:pt>
                <c:pt idx="995">
                  <c:v>6777.2283451802878</c:v>
                </c:pt>
                <c:pt idx="996">
                  <c:v>6790.2616331611898</c:v>
                </c:pt>
                <c:pt idx="997">
                  <c:v>6803.3199854585009</c:v>
                </c:pt>
                <c:pt idx="998">
                  <c:v>6816.403450273403</c:v>
                </c:pt>
                <c:pt idx="999">
                  <c:v>6829.5120758997782</c:v>
                </c:pt>
                <c:pt idx="1000">
                  <c:v>6842.6459107243882</c:v>
                </c:pt>
                <c:pt idx="1001">
                  <c:v>6855.805003227043</c:v>
                </c:pt>
                <c:pt idx="1002">
                  <c:v>6868.9894019807789</c:v>
                </c:pt>
                <c:pt idx="1003">
                  <c:v>6882.1991556520488</c:v>
                </c:pt>
                <c:pt idx="1004">
                  <c:v>6895.4343130009001</c:v>
                </c:pt>
                <c:pt idx="1005">
                  <c:v>6908.6949228811418</c:v>
                </c:pt>
                <c:pt idx="1006">
                  <c:v>6921.9810342405353</c:v>
                </c:pt>
                <c:pt idx="1007">
                  <c:v>6935.2926961209814</c:v>
                </c:pt>
                <c:pt idx="1008">
                  <c:v>6948.6299576586862</c:v>
                </c:pt>
                <c:pt idx="1009">
                  <c:v>6961.9928680843468</c:v>
                </c:pt>
                <c:pt idx="1010">
                  <c:v>6975.3814767233453</c:v>
                </c:pt>
                <c:pt idx="1011">
                  <c:v>6988.7958329959138</c:v>
                </c:pt>
                <c:pt idx="1012">
                  <c:v>7002.2359864173268</c:v>
                </c:pt>
                <c:pt idx="1013">
                  <c:v>7015.7019865980837</c:v>
                </c:pt>
                <c:pt idx="1014">
                  <c:v>7029.1938832440874</c:v>
                </c:pt>
                <c:pt idx="1015">
                  <c:v>7042.7117261568264</c:v>
                </c:pt>
                <c:pt idx="1016">
                  <c:v>7056.2555652335759</c:v>
                </c:pt>
                <c:pt idx="1017">
                  <c:v>7069.8254504675524</c:v>
                </c:pt>
                <c:pt idx="1018">
                  <c:v>7083.4214319481225</c:v>
                </c:pt>
                <c:pt idx="1019">
                  <c:v>7097.0435598609802</c:v>
                </c:pt>
                <c:pt idx="1020">
                  <c:v>7110.6918844883276</c:v>
                </c:pt>
                <c:pt idx="1021">
                  <c:v>7124.3664562090698</c:v>
                </c:pt>
                <c:pt idx="1022">
                  <c:v>7138.0673254989897</c:v>
                </c:pt>
                <c:pt idx="1023">
                  <c:v>7151.7945429309484</c:v>
                </c:pt>
                <c:pt idx="1024">
                  <c:v>7165.5481591750531</c:v>
                </c:pt>
                <c:pt idx="1025">
                  <c:v>7179.3282249988597</c:v>
                </c:pt>
                <c:pt idx="1026">
                  <c:v>7193.1347912675592</c:v>
                </c:pt>
                <c:pt idx="1027">
                  <c:v>7206.967908944157</c:v>
                </c:pt>
                <c:pt idx="1028">
                  <c:v>7220.8276290896629</c:v>
                </c:pt>
                <c:pt idx="1029">
                  <c:v>7234.7140028632939</c:v>
                </c:pt>
                <c:pt idx="1030">
                  <c:v>7248.6270815226326</c:v>
                </c:pt>
                <c:pt idx="1031">
                  <c:v>7262.5669164238489</c:v>
                </c:pt>
                <c:pt idx="1032">
                  <c:v>7276.5335590218738</c:v>
                </c:pt>
                <c:pt idx="1033">
                  <c:v>7290.5270608705887</c:v>
                </c:pt>
                <c:pt idx="1034">
                  <c:v>7304.547473623019</c:v>
                </c:pt>
                <c:pt idx="1035">
                  <c:v>7318.5948490315232</c:v>
                </c:pt>
                <c:pt idx="1036">
                  <c:v>7332.6692389479922</c:v>
                </c:pt>
                <c:pt idx="1037">
                  <c:v>7346.7706953240186</c:v>
                </c:pt>
                <c:pt idx="1038">
                  <c:v>7360.8992702111109</c:v>
                </c:pt>
                <c:pt idx="1039">
                  <c:v>7375.0550157608859</c:v>
                </c:pt>
                <c:pt idx="1040">
                  <c:v>7389.2379842252385</c:v>
                </c:pt>
                <c:pt idx="1041">
                  <c:v>7403.4482279565609</c:v>
                </c:pt>
                <c:pt idx="1042">
                  <c:v>7417.6857994079191</c:v>
                </c:pt>
                <c:pt idx="1043">
                  <c:v>7431.9507511332504</c:v>
                </c:pt>
                <c:pt idx="1044">
                  <c:v>7446.2431357875648</c:v>
                </c:pt>
                <c:pt idx="1045">
                  <c:v>7460.5630061271213</c:v>
                </c:pt>
                <c:pt idx="1046">
                  <c:v>7474.9104150096418</c:v>
                </c:pt>
                <c:pt idx="1047">
                  <c:v>7489.2854153945063</c:v>
                </c:pt>
                <c:pt idx="1048">
                  <c:v>7503.688060342929</c:v>
                </c:pt>
                <c:pt idx="1049">
                  <c:v>7518.1184030181721</c:v>
                </c:pt>
                <c:pt idx="1050">
                  <c:v>7532.5764966857341</c:v>
                </c:pt>
                <c:pt idx="1051">
                  <c:v>7547.0623947135518</c:v>
                </c:pt>
                <c:pt idx="1052">
                  <c:v>7561.5761505721812</c:v>
                </c:pt>
                <c:pt idx="1053">
                  <c:v>7576.1178178350274</c:v>
                </c:pt>
                <c:pt idx="1054">
                  <c:v>7590.6874501785096</c:v>
                </c:pt>
                <c:pt idx="1055">
                  <c:v>7605.2851013822747</c:v>
                </c:pt>
                <c:pt idx="1056">
                  <c:v>7619.9108253293934</c:v>
                </c:pt>
                <c:pt idx="1057">
                  <c:v>7634.5646760065583</c:v>
                </c:pt>
                <c:pt idx="1058">
                  <c:v>7649.246707504286</c:v>
                </c:pt>
                <c:pt idx="1059">
                  <c:v>7663.9569740171128</c:v>
                </c:pt>
                <c:pt idx="1060">
                  <c:v>7678.695529843797</c:v>
                </c:pt>
                <c:pt idx="1061">
                  <c:v>7693.4624293875177</c:v>
                </c:pt>
                <c:pt idx="1062">
                  <c:v>7708.2577271560785</c:v>
                </c:pt>
                <c:pt idx="1063">
                  <c:v>7723.0814777621063</c:v>
                </c:pt>
                <c:pt idx="1064">
                  <c:v>7737.9337359232532</c:v>
                </c:pt>
                <c:pt idx="1065">
                  <c:v>7752.8145564623956</c:v>
                </c:pt>
                <c:pt idx="1066">
                  <c:v>7767.723994307853</c:v>
                </c:pt>
                <c:pt idx="1067">
                  <c:v>7782.6621044935591</c:v>
                </c:pt>
                <c:pt idx="1068">
                  <c:v>7797.6289421592937</c:v>
                </c:pt>
                <c:pt idx="1069">
                  <c:v>7812.6245625508764</c:v>
                </c:pt>
                <c:pt idx="1070">
                  <c:v>7827.6490210203656</c:v>
                </c:pt>
                <c:pt idx="1071">
                  <c:v>7842.702373026269</c:v>
                </c:pt>
                <c:pt idx="1072">
                  <c:v>7857.7846741337498</c:v>
                </c:pt>
                <c:pt idx="1073">
                  <c:v>7872.8959800148268</c:v>
                </c:pt>
                <c:pt idx="1074">
                  <c:v>7888.0363464485818</c:v>
                </c:pt>
                <c:pt idx="1075">
                  <c:v>7903.2058293213568</c:v>
                </c:pt>
                <c:pt idx="1076">
                  <c:v>7918.4044846269817</c:v>
                </c:pt>
                <c:pt idx="1077">
                  <c:v>7933.6323684669624</c:v>
                </c:pt>
                <c:pt idx="1078">
                  <c:v>7948.8895370506889</c:v>
                </c:pt>
                <c:pt idx="1079">
                  <c:v>7964.1760466956612</c:v>
                </c:pt>
                <c:pt idx="1080">
                  <c:v>7979.4919538276699</c:v>
                </c:pt>
                <c:pt idx="1081">
                  <c:v>7994.8373149810277</c:v>
                </c:pt>
                <c:pt idx="1082">
                  <c:v>8010.2121867987571</c:v>
                </c:pt>
                <c:pt idx="1083">
                  <c:v>8025.61662603282</c:v>
                </c:pt>
                <c:pt idx="1084">
                  <c:v>8041.0506895443095</c:v>
                </c:pt>
                <c:pt idx="1085">
                  <c:v>8056.5144343036864</c:v>
                </c:pt>
                <c:pt idx="1086">
                  <c:v>8072.0079173909517</c:v>
                </c:pt>
                <c:pt idx="1087">
                  <c:v>8087.5311959958863</c:v>
                </c:pt>
                <c:pt idx="1088">
                  <c:v>8103.0843274182516</c:v>
                </c:pt>
                <c:pt idx="1089">
                  <c:v>8118.6673690680018</c:v>
                </c:pt>
                <c:pt idx="1090">
                  <c:v>8134.2803784654925</c:v>
                </c:pt>
                <c:pt idx="1091">
                  <c:v>8149.9234132416959</c:v>
                </c:pt>
                <c:pt idx="1092">
                  <c:v>8165.596531138428</c:v>
                </c:pt>
                <c:pt idx="1093">
                  <c:v>8181.2997900085356</c:v>
                </c:pt>
                <c:pt idx="1094">
                  <c:v>8197.0332478161254</c:v>
                </c:pt>
                <c:pt idx="1095">
                  <c:v>8212.7969626367722</c:v>
                </c:pt>
                <c:pt idx="1096">
                  <c:v>8228.590992657746</c:v>
                </c:pt>
                <c:pt idx="1097">
                  <c:v>8244.415396178194</c:v>
                </c:pt>
                <c:pt idx="1098">
                  <c:v>8260.2702316094092</c:v>
                </c:pt>
                <c:pt idx="1099">
                  <c:v>8276.1555574749909</c:v>
                </c:pt>
                <c:pt idx="1100">
                  <c:v>8292.0714324110995</c:v>
                </c:pt>
                <c:pt idx="1101">
                  <c:v>8308.0179151666471</c:v>
                </c:pt>
                <c:pt idx="1102">
                  <c:v>8323.9950646035377</c:v>
                </c:pt>
                <c:pt idx="1103">
                  <c:v>8340.0029396968657</c:v>
                </c:pt>
                <c:pt idx="1104">
                  <c:v>8356.0415995351414</c:v>
                </c:pt>
                <c:pt idx="1105">
                  <c:v>8372.1111033205052</c:v>
                </c:pt>
                <c:pt idx="1106">
                  <c:v>8388.2115103689557</c:v>
                </c:pt>
                <c:pt idx="1107">
                  <c:v>8404.3428801105583</c:v>
                </c:pt>
                <c:pt idx="1108">
                  <c:v>8420.5052720896692</c:v>
                </c:pt>
                <c:pt idx="1109">
                  <c:v>8436.6987459651518</c:v>
                </c:pt>
                <c:pt idx="1110">
                  <c:v>8452.9233615106004</c:v>
                </c:pt>
                <c:pt idx="1111">
                  <c:v>8469.1791786145732</c:v>
                </c:pt>
                <c:pt idx="1112">
                  <c:v>8485.4662572807756</c:v>
                </c:pt>
                <c:pt idx="1113">
                  <c:v>8501.7846576283209</c:v>
                </c:pt>
                <c:pt idx="1114">
                  <c:v>8518.1344398919355</c:v>
                </c:pt>
                <c:pt idx="1115">
                  <c:v>8534.5156644221843</c:v>
                </c:pt>
                <c:pt idx="1116">
                  <c:v>8550.9283916856875</c:v>
                </c:pt>
                <c:pt idx="1117">
                  <c:v>8567.3726822653571</c:v>
                </c:pt>
                <c:pt idx="1118">
                  <c:v>8583.8485968606128</c:v>
                </c:pt>
                <c:pt idx="1119">
                  <c:v>8600.3561962875847</c:v>
                </c:pt>
                <c:pt idx="1120">
                  <c:v>8616.8955414793818</c:v>
                </c:pt>
                <c:pt idx="1121">
                  <c:v>8633.4666934862835</c:v>
                </c:pt>
                <c:pt idx="1122">
                  <c:v>8650.0697134759794</c:v>
                </c:pt>
                <c:pt idx="1123">
                  <c:v>8666.7046627337786</c:v>
                </c:pt>
                <c:pt idx="1124">
                  <c:v>8683.3716026628699</c:v>
                </c:pt>
                <c:pt idx="1125">
                  <c:v>8700.0705947845072</c:v>
                </c:pt>
                <c:pt idx="1126">
                  <c:v>8716.8017007382696</c:v>
                </c:pt>
                <c:pt idx="1127">
                  <c:v>8733.5649822822579</c:v>
                </c:pt>
                <c:pt idx="1128">
                  <c:v>8750.3605012933567</c:v>
                </c:pt>
                <c:pt idx="1129">
                  <c:v>8767.1883197674306</c:v>
                </c:pt>
                <c:pt idx="1130">
                  <c:v>8784.0484998195916</c:v>
                </c:pt>
                <c:pt idx="1131">
                  <c:v>8800.9411036843849</c:v>
                </c:pt>
                <c:pt idx="1132">
                  <c:v>8817.866193716045</c:v>
                </c:pt>
                <c:pt idx="1133">
                  <c:v>8834.8238323887235</c:v>
                </c:pt>
                <c:pt idx="1134">
                  <c:v>8851.8140822967071</c:v>
                </c:pt>
                <c:pt idx="1135">
                  <c:v>8868.8370061546593</c:v>
                </c:pt>
                <c:pt idx="1136">
                  <c:v>8885.8926667978667</c:v>
                </c:pt>
                <c:pt idx="1137">
                  <c:v>8902.9811271824346</c:v>
                </c:pt>
                <c:pt idx="1138">
                  <c:v>8920.102450385546</c:v>
                </c:pt>
                <c:pt idx="1139">
                  <c:v>8937.2566996056885</c:v>
                </c:pt>
                <c:pt idx="1140">
                  <c:v>8954.4439381628872</c:v>
                </c:pt>
                <c:pt idx="1141">
                  <c:v>8971.6642294989415</c:v>
                </c:pt>
                <c:pt idx="1142">
                  <c:v>8988.9176371776375</c:v>
                </c:pt>
                <c:pt idx="1143">
                  <c:v>9006.2042248850266</c:v>
                </c:pt>
                <c:pt idx="1144">
                  <c:v>9023.5240564296182</c:v>
                </c:pt>
                <c:pt idx="1145">
                  <c:v>9040.8771957426397</c:v>
                </c:pt>
                <c:pt idx="1146">
                  <c:v>9058.2637068782569</c:v>
                </c:pt>
                <c:pt idx="1147">
                  <c:v>9075.6836540138265</c:v>
                </c:pt>
                <c:pt idx="1148">
                  <c:v>9093.1371014501165</c:v>
                </c:pt>
                <c:pt idx="1149">
                  <c:v>9110.6241136115586</c:v>
                </c:pt>
                <c:pt idx="1150">
                  <c:v>9128.1447550464782</c:v>
                </c:pt>
                <c:pt idx="1151">
                  <c:v>9145.6990904273262</c:v>
                </c:pt>
                <c:pt idx="1152">
                  <c:v>9163.287184550938</c:v>
                </c:pt>
                <c:pt idx="1153">
                  <c:v>9180.9091023387464</c:v>
                </c:pt>
                <c:pt idx="1154">
                  <c:v>9198.5649088370465</c:v>
                </c:pt>
                <c:pt idx="1155">
                  <c:v>9216.2546692172073</c:v>
                </c:pt>
                <c:pt idx="1156">
                  <c:v>9233.9784487759571</c:v>
                </c:pt>
                <c:pt idx="1157">
                  <c:v>9251.7363129355672</c:v>
                </c:pt>
                <c:pt idx="1158">
                  <c:v>9269.5283272441338</c:v>
                </c:pt>
                <c:pt idx="1159">
                  <c:v>9287.3545573758111</c:v>
                </c:pt>
                <c:pt idx="1160">
                  <c:v>9305.2150691310508</c:v>
                </c:pt>
                <c:pt idx="1161">
                  <c:v>9323.1099284368411</c:v>
                </c:pt>
                <c:pt idx="1162">
                  <c:v>9341.0392013469627</c:v>
                </c:pt>
                <c:pt idx="1163">
                  <c:v>9359.0029540422183</c:v>
                </c:pt>
                <c:pt idx="1164">
                  <c:v>9377.0012528306761</c:v>
                </c:pt>
                <c:pt idx="1165">
                  <c:v>9395.0341641479336</c:v>
                </c:pt>
                <c:pt idx="1166">
                  <c:v>9413.101754557345</c:v>
                </c:pt>
                <c:pt idx="1167">
                  <c:v>9431.2040907502687</c:v>
                </c:pt>
                <c:pt idx="1168">
                  <c:v>9449.3412395463311</c:v>
                </c:pt>
                <c:pt idx="1169">
                  <c:v>9467.5132678936479</c:v>
                </c:pt>
                <c:pt idx="1170">
                  <c:v>9485.720242869078</c:v>
                </c:pt>
                <c:pt idx="1171">
                  <c:v>9503.9622316784953</c:v>
                </c:pt>
                <c:pt idx="1172">
                  <c:v>9522.2393016569895</c:v>
                </c:pt>
                <c:pt idx="1173">
                  <c:v>9540.5515202691658</c:v>
                </c:pt>
                <c:pt idx="1174">
                  <c:v>9558.8989551093564</c:v>
                </c:pt>
                <c:pt idx="1175">
                  <c:v>9577.2816739018999</c:v>
                </c:pt>
                <c:pt idx="1176">
                  <c:v>9595.6997445013621</c:v>
                </c:pt>
                <c:pt idx="1177">
                  <c:v>9614.1532348927994</c:v>
                </c:pt>
                <c:pt idx="1178">
                  <c:v>9632.6422131920244</c:v>
                </c:pt>
                <c:pt idx="1179">
                  <c:v>9651.1667476458224</c:v>
                </c:pt>
                <c:pt idx="1180">
                  <c:v>9669.7269066322333</c:v>
                </c:pt>
                <c:pt idx="1181">
                  <c:v>9688.3227586608082</c:v>
                </c:pt>
                <c:pt idx="1182">
                  <c:v>9706.9543723728311</c:v>
                </c:pt>
                <c:pt idx="1183">
                  <c:v>9725.6218165415976</c:v>
                </c:pt>
                <c:pt idx="1184">
                  <c:v>9744.325160072658</c:v>
                </c:pt>
                <c:pt idx="1185">
                  <c:v>9763.0644720040782</c:v>
                </c:pt>
                <c:pt idx="1186">
                  <c:v>9781.8398215066936</c:v>
                </c:pt>
                <c:pt idx="1187">
                  <c:v>9800.6512778843444</c:v>
                </c:pt>
                <c:pt idx="1188">
                  <c:v>9819.498910574177</c:v>
                </c:pt>
                <c:pt idx="1189">
                  <c:v>9838.3827891468536</c:v>
                </c:pt>
                <c:pt idx="1190">
                  <c:v>9857.3029833068322</c:v>
                </c:pt>
                <c:pt idx="1191">
                  <c:v>9876.259562892621</c:v>
                </c:pt>
                <c:pt idx="1192">
                  <c:v>9895.2525978770282</c:v>
                </c:pt>
                <c:pt idx="1193">
                  <c:v>9914.2821583674358</c:v>
                </c:pt>
                <c:pt idx="1194">
                  <c:v>9933.3483146060462</c:v>
                </c:pt>
                <c:pt idx="1195">
                  <c:v>9952.4511369701413</c:v>
                </c:pt>
                <c:pt idx="1196">
                  <c:v>9971.5906959723488</c:v>
                </c:pt>
                <c:pt idx="1197">
                  <c:v>9990.7670622608966</c:v>
                </c:pt>
                <c:pt idx="1198">
                  <c:v>10009.98030661988</c:v>
                </c:pt>
                <c:pt idx="1199">
                  <c:v>10029.230499969513</c:v>
                </c:pt>
                <c:pt idx="1200">
                  <c:v>10048.517713366406</c:v>
                </c:pt>
                <c:pt idx="1201">
                  <c:v>10067.842018003816</c:v>
                </c:pt>
                <c:pt idx="1202">
                  <c:v>10087.203485211898</c:v>
                </c:pt>
                <c:pt idx="1203">
                  <c:v>10106.602186457996</c:v>
                </c:pt>
                <c:pt idx="1204">
                  <c:v>10126.038193346893</c:v>
                </c:pt>
                <c:pt idx="1205">
                  <c:v>10145.511577621066</c:v>
                </c:pt>
                <c:pt idx="1206">
                  <c:v>10165.022411160966</c:v>
                </c:pt>
                <c:pt idx="1207">
                  <c:v>10184.570765985283</c:v>
                </c:pt>
                <c:pt idx="1208">
                  <c:v>10204.156714251199</c:v>
                </c:pt>
                <c:pt idx="1209">
                  <c:v>10223.780328254659</c:v>
                </c:pt>
                <c:pt idx="1210">
                  <c:v>10243.44168043064</c:v>
                </c:pt>
                <c:pt idx="1211">
                  <c:v>10263.140843353429</c:v>
                </c:pt>
                <c:pt idx="1212">
                  <c:v>10282.877889736868</c:v>
                </c:pt>
                <c:pt idx="1213">
                  <c:v>10302.652892434648</c:v>
                </c:pt>
                <c:pt idx="1214">
                  <c:v>10322.465924440554</c:v>
                </c:pt>
                <c:pt idx="1215">
                  <c:v>10342.317058888751</c:v>
                </c:pt>
                <c:pt idx="1216">
                  <c:v>10362.206369054051</c:v>
                </c:pt>
                <c:pt idx="1217">
                  <c:v>10382.133928352163</c:v>
                </c:pt>
                <c:pt idx="1218">
                  <c:v>10402.099810340005</c:v>
                </c:pt>
                <c:pt idx="1219">
                  <c:v>10422.104088715936</c:v>
                </c:pt>
                <c:pt idx="1220">
                  <c:v>10442.146837320061</c:v>
                </c:pt>
                <c:pt idx="1221">
                  <c:v>10462.22813013447</c:v>
                </c:pt>
                <c:pt idx="1222">
                  <c:v>10482.348041283534</c:v>
                </c:pt>
                <c:pt idx="1223">
                  <c:v>10502.506645034184</c:v>
                </c:pt>
                <c:pt idx="1224">
                  <c:v>10522.704015796146</c:v>
                </c:pt>
                <c:pt idx="1225">
                  <c:v>10542.940228122265</c:v>
                </c:pt>
                <c:pt idx="1226">
                  <c:v>10563.215356708761</c:v>
                </c:pt>
                <c:pt idx="1227">
                  <c:v>10583.529476395488</c:v>
                </c:pt>
                <c:pt idx="1228">
                  <c:v>10603.882662166241</c:v>
                </c:pt>
                <c:pt idx="1229">
                  <c:v>10624.274989148997</c:v>
                </c:pt>
                <c:pt idx="1230">
                  <c:v>10644.706532616228</c:v>
                </c:pt>
                <c:pt idx="1231">
                  <c:v>10665.177367985152</c:v>
                </c:pt>
                <c:pt idx="1232">
                  <c:v>10685.687570818029</c:v>
                </c:pt>
                <c:pt idx="1233">
                  <c:v>10706.237216822428</c:v>
                </c:pt>
                <c:pt idx="1234">
                  <c:v>10726.826381851515</c:v>
                </c:pt>
                <c:pt idx="1235">
                  <c:v>10747.455141904326</c:v>
                </c:pt>
                <c:pt idx="1236">
                  <c:v>10768.123573126051</c:v>
                </c:pt>
                <c:pt idx="1237">
                  <c:v>10788.831751808317</c:v>
                </c:pt>
                <c:pt idx="1238">
                  <c:v>10809.579754389466</c:v>
                </c:pt>
                <c:pt idx="1239">
                  <c:v>10830.367657454839</c:v>
                </c:pt>
                <c:pt idx="1240">
                  <c:v>10851.19553773706</c:v>
                </c:pt>
                <c:pt idx="1241">
                  <c:v>10872.063472116311</c:v>
                </c:pt>
                <c:pt idx="1242">
                  <c:v>10892.97153762063</c:v>
                </c:pt>
                <c:pt idx="1243">
                  <c:v>10913.919811426185</c:v>
                </c:pt>
                <c:pt idx="1244">
                  <c:v>10934.908370857554</c:v>
                </c:pt>
                <c:pt idx="1245">
                  <c:v>10955.937293388037</c:v>
                </c:pt>
                <c:pt idx="1246">
                  <c:v>10977.006656639907</c:v>
                </c:pt>
                <c:pt idx="1247">
                  <c:v>10998.116538384713</c:v>
                </c:pt>
                <c:pt idx="1248">
                  <c:v>11019.267016543568</c:v>
                </c:pt>
                <c:pt idx="1249">
                  <c:v>11040.458169187439</c:v>
                </c:pt>
                <c:pt idx="1250">
                  <c:v>11061.69007453743</c:v>
                </c:pt>
                <c:pt idx="1251">
                  <c:v>11082.962810965066</c:v>
                </c:pt>
                <c:pt idx="1252">
                  <c:v>11104.2764569926</c:v>
                </c:pt>
                <c:pt idx="1253">
                  <c:v>11125.631091293291</c:v>
                </c:pt>
                <c:pt idx="1254">
                  <c:v>11147.026792691673</c:v>
                </c:pt>
                <c:pt idx="1255">
                  <c:v>11168.463640163887</c:v>
                </c:pt>
                <c:pt idx="1256">
                  <c:v>11189.941712837952</c:v>
                </c:pt>
                <c:pt idx="1257">
                  <c:v>11211.461089994047</c:v>
                </c:pt>
                <c:pt idx="1258">
                  <c:v>11233.021851064834</c:v>
                </c:pt>
                <c:pt idx="1259">
                  <c:v>11254.624075635713</c:v>
                </c:pt>
                <c:pt idx="1260">
                  <c:v>11276.267843445145</c:v>
                </c:pt>
                <c:pt idx="1261">
                  <c:v>11297.953234384935</c:v>
                </c:pt>
                <c:pt idx="1262">
                  <c:v>11319.680328500517</c:v>
                </c:pt>
                <c:pt idx="1263">
                  <c:v>11341.44920599127</c:v>
                </c:pt>
                <c:pt idx="1264">
                  <c:v>11363.259947210812</c:v>
                </c:pt>
                <c:pt idx="1265">
                  <c:v>11385.112632667278</c:v>
                </c:pt>
                <c:pt idx="1266">
                  <c:v>11407.007343023632</c:v>
                </c:pt>
                <c:pt idx="1267">
                  <c:v>11428.944159097953</c:v>
                </c:pt>
                <c:pt idx="1268">
                  <c:v>11450.923161863762</c:v>
                </c:pt>
                <c:pt idx="1269">
                  <c:v>11472.944432450271</c:v>
                </c:pt>
                <c:pt idx="1270">
                  <c:v>11495.008052142728</c:v>
                </c:pt>
                <c:pt idx="1271">
                  <c:v>11517.114102382711</c:v>
                </c:pt>
                <c:pt idx="1272">
                  <c:v>11539.262664768399</c:v>
                </c:pt>
                <c:pt idx="1273">
                  <c:v>11561.453821054904</c:v>
                </c:pt>
                <c:pt idx="1274">
                  <c:v>11583.687653154553</c:v>
                </c:pt>
                <c:pt idx="1275">
                  <c:v>11605.964243137209</c:v>
                </c:pt>
                <c:pt idx="1276">
                  <c:v>11628.283673230553</c:v>
                </c:pt>
                <c:pt idx="1277">
                  <c:v>11650.646025820406</c:v>
                </c:pt>
                <c:pt idx="1278">
                  <c:v>11673.051383451018</c:v>
                </c:pt>
                <c:pt idx="1279">
                  <c:v>11695.499828825386</c:v>
                </c:pt>
                <c:pt idx="1280">
                  <c:v>11717.991444805553</c:v>
                </c:pt>
                <c:pt idx="1281">
                  <c:v>11740.526314412911</c:v>
                </c:pt>
                <c:pt idx="1282">
                  <c:v>11763.104520828509</c:v>
                </c:pt>
                <c:pt idx="1283">
                  <c:v>11785.726147393365</c:v>
                </c:pt>
                <c:pt idx="1284">
                  <c:v>11808.391277608773</c:v>
                </c:pt>
                <c:pt idx="1285">
                  <c:v>11831.099995136597</c:v>
                </c:pt>
                <c:pt idx="1286">
                  <c:v>11853.852383799604</c:v>
                </c:pt>
                <c:pt idx="1287">
                  <c:v>11876.648527581752</c:v>
                </c:pt>
                <c:pt idx="1288">
                  <c:v>11899.488510628513</c:v>
                </c:pt>
                <c:pt idx="1289">
                  <c:v>11922.372417247174</c:v>
                </c:pt>
                <c:pt idx="1290">
                  <c:v>11945.300331907167</c:v>
                </c:pt>
                <c:pt idx="1291">
                  <c:v>11968.272339240353</c:v>
                </c:pt>
                <c:pt idx="1292">
                  <c:v>11991.288524041349</c:v>
                </c:pt>
                <c:pt idx="1293">
                  <c:v>12014.348971267846</c:v>
                </c:pt>
                <c:pt idx="1294">
                  <c:v>12037.453766040911</c:v>
                </c:pt>
                <c:pt idx="1295">
                  <c:v>12060.602993645316</c:v>
                </c:pt>
                <c:pt idx="1296">
                  <c:v>12083.796739529844</c:v>
                </c:pt>
                <c:pt idx="1297">
                  <c:v>12107.035089307597</c:v>
                </c:pt>
                <c:pt idx="1298">
                  <c:v>12130.318128756327</c:v>
                </c:pt>
                <c:pt idx="1299">
                  <c:v>12153.645943818734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2E-CB44-BB91-0055E0FEF7DF}"/>
            </c:ext>
          </c:extLst>
        </c:ser>
        <c:ser>
          <c:idx val="12"/>
          <c:order val="12"/>
          <c:tx>
            <c:strRef>
              <c:f>'Compounding within 1 year'!$L$1</c:f>
              <c:strCache>
                <c:ptCount val="1"/>
                <c:pt idx="0">
                  <c:v>Daily</c:v>
                </c:pt>
              </c:strCache>
            </c:strRef>
          </c:tx>
          <c:marker>
            <c:symbol val="none"/>
          </c:marker>
          <c:val>
            <c:numRef>
              <c:f>'Compounding within 1 year'!$L$2:$L$1363</c:f>
              <c:numCache>
                <c:formatCode>_("$"* #,##0.00_);_("$"* \(#,##0.00\);_("$"* "-"??_);_(@_)</c:formatCode>
                <c:ptCount val="1362"/>
                <c:pt idx="0">
                  <c:v>1001.9246864455178</c:v>
                </c:pt>
                <c:pt idx="1">
                  <c:v>1003.8530773089493</c:v>
                </c:pt>
                <c:pt idx="2">
                  <c:v>1005.7851797201372</c:v>
                </c:pt>
                <c:pt idx="3">
                  <c:v>1007.7210008226474</c:v>
                </c:pt>
                <c:pt idx="4">
                  <c:v>1009.6605477737943</c:v>
                </c:pt>
                <c:pt idx="5">
                  <c:v>1011.6038277446686</c:v>
                </c:pt>
                <c:pt idx="6">
                  <c:v>1013.5508479201629</c:v>
                </c:pt>
                <c:pt idx="7">
                  <c:v>1015.501615498998</c:v>
                </c:pt>
                <c:pt idx="8">
                  <c:v>1017.4561376937503</c:v>
                </c:pt>
                <c:pt idx="9">
                  <c:v>1019.4144217308785</c:v>
                </c:pt>
                <c:pt idx="10">
                  <c:v>1021.3764748507492</c:v>
                </c:pt>
                <c:pt idx="11">
                  <c:v>1023.3423043076652</c:v>
                </c:pt>
                <c:pt idx="12">
                  <c:v>1025.3119173698913</c:v>
                </c:pt>
                <c:pt idx="13">
                  <c:v>1027.2853213196811</c:v>
                </c:pt>
                <c:pt idx="14">
                  <c:v>1029.2625234533045</c:v>
                </c:pt>
                <c:pt idx="15">
                  <c:v>1031.2435310810745</c:v>
                </c:pt>
                <c:pt idx="16">
                  <c:v>1033.2283515273743</c:v>
                </c:pt>
                <c:pt idx="17">
                  <c:v>1035.2169921306838</c:v>
                </c:pt>
                <c:pt idx="18">
                  <c:v>1037.2094602436075</c:v>
                </c:pt>
                <c:pt idx="19">
                  <c:v>1039.2057632329013</c:v>
                </c:pt>
                <c:pt idx="20">
                  <c:v>1041.2059084794998</c:v>
                </c:pt>
                <c:pt idx="21">
                  <c:v>1043.2099033785435</c:v>
                </c:pt>
                <c:pt idx="22">
                  <c:v>1045.217755339406</c:v>
                </c:pt>
                <c:pt idx="23">
                  <c:v>1047.2294717857224</c:v>
                </c:pt>
                <c:pt idx="24">
                  <c:v>1049.2450601554151</c:v>
                </c:pt>
                <c:pt idx="25">
                  <c:v>1051.2645279007229</c:v>
                </c:pt>
                <c:pt idx="26">
                  <c:v>1053.2878824882271</c:v>
                </c:pt>
                <c:pt idx="27">
                  <c:v>1055.3151313988803</c:v>
                </c:pt>
                <c:pt idx="28">
                  <c:v>1057.3462821280336</c:v>
                </c:pt>
                <c:pt idx="29">
                  <c:v>1059.3813421854643</c:v>
                </c:pt>
                <c:pt idx="30">
                  <c:v>1061.4203190954033</c:v>
                </c:pt>
                <c:pt idx="31">
                  <c:v>1063.4632203965632</c:v>
                </c:pt>
                <c:pt idx="32">
                  <c:v>1065.5100536421673</c:v>
                </c:pt>
                <c:pt idx="33">
                  <c:v>1067.5608263999754</c:v>
                </c:pt>
                <c:pt idx="34">
                  <c:v>1069.6155462523134</c:v>
                </c:pt>
                <c:pt idx="35">
                  <c:v>1071.6742207961004</c:v>
                </c:pt>
                <c:pt idx="36">
                  <c:v>1073.7368576428773</c:v>
                </c:pt>
                <c:pt idx="37">
                  <c:v>1075.8034644188356</c:v>
                </c:pt>
                <c:pt idx="38">
                  <c:v>1077.8740487648438</c:v>
                </c:pt>
                <c:pt idx="39">
                  <c:v>1079.948618336477</c:v>
                </c:pt>
                <c:pt idx="40">
                  <c:v>1082.027180804045</c:v>
                </c:pt>
                <c:pt idx="41">
                  <c:v>1084.1097438526203</c:v>
                </c:pt>
                <c:pt idx="42">
                  <c:v>1086.1963151820673</c:v>
                </c:pt>
                <c:pt idx="43">
                  <c:v>1088.2869025070695</c:v>
                </c:pt>
                <c:pt idx="44">
                  <c:v>1090.3815135571597</c:v>
                </c:pt>
                <c:pt idx="45">
                  <c:v>1092.4801560767464</c:v>
                </c:pt>
                <c:pt idx="46">
                  <c:v>1094.5828378251445</c:v>
                </c:pt>
                <c:pt idx="47">
                  <c:v>1096.6895665766031</c:v>
                </c:pt>
                <c:pt idx="48">
                  <c:v>1098.8003501203339</c:v>
                </c:pt>
                <c:pt idx="49">
                  <c:v>1100.9151962605408</c:v>
                </c:pt>
                <c:pt idx="50">
                  <c:v>1103.034112816448</c:v>
                </c:pt>
                <c:pt idx="51">
                  <c:v>1105.1571076223297</c:v>
                </c:pt>
                <c:pt idx="52">
                  <c:v>1107.2841885275382</c:v>
                </c:pt>
                <c:pt idx="53">
                  <c:v>1109.4153633965334</c:v>
                </c:pt>
                <c:pt idx="54">
                  <c:v>1111.5506401089119</c:v>
                </c:pt>
                <c:pt idx="55">
                  <c:v>1113.6900265594363</c:v>
                </c:pt>
                <c:pt idx="56">
                  <c:v>1115.8335306580636</c:v>
                </c:pt>
                <c:pt idx="57">
                  <c:v>1117.9811603299756</c:v>
                </c:pt>
                <c:pt idx="58">
                  <c:v>1120.132923515607</c:v>
                </c:pt>
                <c:pt idx="59">
                  <c:v>1122.2888281706757</c:v>
                </c:pt>
                <c:pt idx="60">
                  <c:v>1124.448882266212</c:v>
                </c:pt>
                <c:pt idx="61">
                  <c:v>1126.6130937885873</c:v>
                </c:pt>
                <c:pt idx="62">
                  <c:v>1128.7814707395453</c:v>
                </c:pt>
                <c:pt idx="63">
                  <c:v>1130.9540211362294</c:v>
                </c:pt>
                <c:pt idx="64">
                  <c:v>1133.1307530112142</c:v>
                </c:pt>
                <c:pt idx="65">
                  <c:v>1135.3116744125346</c:v>
                </c:pt>
                <c:pt idx="66">
                  <c:v>1137.4967934037143</c:v>
                </c:pt>
                <c:pt idx="67">
                  <c:v>1139.6861180637984</c:v>
                </c:pt>
                <c:pt idx="68">
                  <c:v>1141.8796564873808</c:v>
                </c:pt>
                <c:pt idx="69">
                  <c:v>1144.0774167846346</c:v>
                </c:pt>
                <c:pt idx="70">
                  <c:v>1146.2794070813432</c:v>
                </c:pt>
                <c:pt idx="71">
                  <c:v>1148.4856355189288</c:v>
                </c:pt>
                <c:pt idx="72">
                  <c:v>1150.6961102544842</c:v>
                </c:pt>
                <c:pt idx="73">
                  <c:v>1152.9108394608011</c:v>
                </c:pt>
                <c:pt idx="74">
                  <c:v>1155.1298313264017</c:v>
                </c:pt>
                <c:pt idx="75">
                  <c:v>1157.3530940555693</c:v>
                </c:pt>
                <c:pt idx="76">
                  <c:v>1159.580635868376</c:v>
                </c:pt>
                <c:pt idx="77">
                  <c:v>1161.8124650007169</c:v>
                </c:pt>
                <c:pt idx="78">
                  <c:v>1164.0485897043372</c:v>
                </c:pt>
                <c:pt idx="79">
                  <c:v>1166.2890182468655</c:v>
                </c:pt>
                <c:pt idx="80">
                  <c:v>1168.5337589118417</c:v>
                </c:pt>
                <c:pt idx="81">
                  <c:v>1170.7828199987493</c:v>
                </c:pt>
                <c:pt idx="82">
                  <c:v>1173.036209823046</c:v>
                </c:pt>
                <c:pt idx="83">
                  <c:v>1175.2939367161941</c:v>
                </c:pt>
                <c:pt idx="84">
                  <c:v>1177.5560090256911</c:v>
                </c:pt>
                <c:pt idx="85">
                  <c:v>1179.8224351151009</c:v>
                </c:pt>
                <c:pt idx="86">
                  <c:v>1182.0932233640849</c:v>
                </c:pt>
                <c:pt idx="87">
                  <c:v>1184.3683821684324</c:v>
                </c:pt>
                <c:pt idx="88">
                  <c:v>1186.6479199400917</c:v>
                </c:pt>
                <c:pt idx="89">
                  <c:v>1188.9318451072024</c:v>
                </c:pt>
                <c:pt idx="90">
                  <c:v>1191.2201661141248</c:v>
                </c:pt>
                <c:pt idx="91">
                  <c:v>1193.5128914214722</c:v>
                </c:pt>
                <c:pt idx="92">
                  <c:v>1195.810029506142</c:v>
                </c:pt>
                <c:pt idx="93">
                  <c:v>1198.1115888613467</c:v>
                </c:pt>
                <c:pt idx="94">
                  <c:v>1200.4175779966458</c:v>
                </c:pt>
                <c:pt idx="95">
                  <c:v>1202.7280054379773</c:v>
                </c:pt>
                <c:pt idx="96">
                  <c:v>1205.0428797276886</c:v>
                </c:pt>
                <c:pt idx="97">
                  <c:v>1207.3622094245684</c:v>
                </c:pt>
                <c:pt idx="98">
                  <c:v>1209.6860031038782</c:v>
                </c:pt>
                <c:pt idx="99">
                  <c:v>1212.014269357385</c:v>
                </c:pt>
                <c:pt idx="100">
                  <c:v>1214.3470167933915</c:v>
                </c:pt>
                <c:pt idx="101">
                  <c:v>1216.6842540367688</c:v>
                </c:pt>
                <c:pt idx="102">
                  <c:v>1219.0259897289884</c:v>
                </c:pt>
                <c:pt idx="103">
                  <c:v>1221.3722325281537</c:v>
                </c:pt>
                <c:pt idx="104">
                  <c:v>1223.7229911090326</c:v>
                </c:pt>
                <c:pt idx="105">
                  <c:v>1226.0782741630887</c:v>
                </c:pt>
                <c:pt idx="106">
                  <c:v>1228.4380903985143</c:v>
                </c:pt>
                <c:pt idx="107">
                  <c:v>1230.8024485402623</c:v>
                </c:pt>
                <c:pt idx="108">
                  <c:v>1233.1713573300779</c:v>
                </c:pt>
                <c:pt idx="109">
                  <c:v>1235.5448255265319</c:v>
                </c:pt>
                <c:pt idx="110">
                  <c:v>1237.9228619050527</c:v>
                </c:pt>
                <c:pt idx="111">
                  <c:v>1240.3054752579578</c:v>
                </c:pt>
                <c:pt idx="112">
                  <c:v>1242.6926743944884</c:v>
                </c:pt>
                <c:pt idx="113">
                  <c:v>1245.08446814084</c:v>
                </c:pt>
                <c:pt idx="114">
                  <c:v>1247.4808653401954</c:v>
                </c:pt>
                <c:pt idx="115">
                  <c:v>1249.8818748527585</c:v>
                </c:pt>
                <c:pt idx="116">
                  <c:v>1252.2875055557861</c:v>
                </c:pt>
                <c:pt idx="117">
                  <c:v>1254.6977663436207</c:v>
                </c:pt>
                <c:pt idx="118">
                  <c:v>1257.1126661277237</c:v>
                </c:pt>
                <c:pt idx="119">
                  <c:v>1259.5322138367087</c:v>
                </c:pt>
                <c:pt idx="120">
                  <c:v>1261.9564184163733</c:v>
                </c:pt>
                <c:pt idx="121">
                  <c:v>1264.3852888297336</c:v>
                </c:pt>
                <c:pt idx="122">
                  <c:v>1266.8188340570564</c:v>
                </c:pt>
                <c:pt idx="123">
                  <c:v>1269.2570630958926</c:v>
                </c:pt>
                <c:pt idx="124">
                  <c:v>1271.6999849611111</c:v>
                </c:pt>
                <c:pt idx="125">
                  <c:v>1274.1476086849311</c:v>
                </c:pt>
                <c:pt idx="126">
                  <c:v>1276.5999433169559</c:v>
                </c:pt>
                <c:pt idx="127">
                  <c:v>1279.0569979242068</c:v>
                </c:pt>
                <c:pt idx="128">
                  <c:v>1281.5187815911563</c:v>
                </c:pt>
                <c:pt idx="129">
                  <c:v>1283.9853034197615</c:v>
                </c:pt>
                <c:pt idx="130">
                  <c:v>1286.4565725294976</c:v>
                </c:pt>
                <c:pt idx="131">
                  <c:v>1288.9325980573924</c:v>
                </c:pt>
                <c:pt idx="132">
                  <c:v>1291.4133891580598</c:v>
                </c:pt>
                <c:pt idx="133">
                  <c:v>1293.8989550037325</c:v>
                </c:pt>
                <c:pt idx="134">
                  <c:v>1296.3893047842978</c:v>
                </c:pt>
                <c:pt idx="135">
                  <c:v>1298.8844477073305</c:v>
                </c:pt>
                <c:pt idx="136">
                  <c:v>1301.3843929981267</c:v>
                </c:pt>
                <c:pt idx="137">
                  <c:v>1303.8891498997386</c:v>
                </c:pt>
                <c:pt idx="138">
                  <c:v>1306.3987276730086</c:v>
                </c:pt>
                <c:pt idx="139">
                  <c:v>1308.9131355966026</c:v>
                </c:pt>
                <c:pt idx="140">
                  <c:v>1311.4323829670459</c:v>
                </c:pt>
                <c:pt idx="141">
                  <c:v>1313.9564790987556</c:v>
                </c:pt>
                <c:pt idx="142">
                  <c:v>1316.4854333240771</c:v>
                </c:pt>
                <c:pt idx="143">
                  <c:v>1319.0192549933179</c:v>
                </c:pt>
                <c:pt idx="144">
                  <c:v>1321.5579534747806</c:v>
                </c:pt>
                <c:pt idx="145">
                  <c:v>1324.1015381547998</c:v>
                </c:pt>
                <c:pt idx="146">
                  <c:v>1326.6500184377758</c:v>
                </c:pt>
                <c:pt idx="147">
                  <c:v>1329.2034037462088</c:v>
                </c:pt>
                <c:pt idx="148">
                  <c:v>1331.7617035207354</c:v>
                </c:pt>
                <c:pt idx="149">
                  <c:v>1334.3249272201615</c:v>
                </c:pt>
                <c:pt idx="150">
                  <c:v>1336.8930843214987</c:v>
                </c:pt>
                <c:pt idx="151">
                  <c:v>1339.4661843199988</c:v>
                </c:pt>
                <c:pt idx="152">
                  <c:v>1342.0442367291892</c:v>
                </c:pt>
                <c:pt idx="153">
                  <c:v>1344.6272510809072</c:v>
                </c:pt>
                <c:pt idx="154">
                  <c:v>1347.2152369253365</c:v>
                </c:pt>
                <c:pt idx="155">
                  <c:v>1349.808203831042</c:v>
                </c:pt>
                <c:pt idx="156">
                  <c:v>1352.4061613850042</c:v>
                </c:pt>
                <c:pt idx="157">
                  <c:v>1355.009119192657</c:v>
                </c:pt>
                <c:pt idx="158">
                  <c:v>1357.61708687792</c:v>
                </c:pt>
                <c:pt idx="159">
                  <c:v>1360.2300740832375</c:v>
                </c:pt>
                <c:pt idx="160">
                  <c:v>1362.8480904696112</c:v>
                </c:pt>
                <c:pt idx="161">
                  <c:v>1365.4711457166379</c:v>
                </c:pt>
                <c:pt idx="162">
                  <c:v>1368.0992495225446</c:v>
                </c:pt>
                <c:pt idx="163">
                  <c:v>1370.7324116042239</c:v>
                </c:pt>
                <c:pt idx="164">
                  <c:v>1373.3706416972705</c:v>
                </c:pt>
                <c:pt idx="165">
                  <c:v>1376.0139495560172</c:v>
                </c:pt>
                <c:pt idx="166">
                  <c:v>1378.6623449535714</c:v>
                </c:pt>
                <c:pt idx="167">
                  <c:v>1381.3158376818492</c:v>
                </c:pt>
                <c:pt idx="168">
                  <c:v>1383.9744375516148</c:v>
                </c:pt>
                <c:pt idx="169">
                  <c:v>1386.6381543925136</c:v>
                </c:pt>
                <c:pt idx="170">
                  <c:v>1389.3069980531106</c:v>
                </c:pt>
                <c:pt idx="171">
                  <c:v>1391.9809784009267</c:v>
                </c:pt>
                <c:pt idx="172">
                  <c:v>1394.6601053224736</c:v>
                </c:pt>
                <c:pt idx="173">
                  <c:v>1397.3443887232925</c:v>
                </c:pt>
                <c:pt idx="174">
                  <c:v>1400.0338385279886</c:v>
                </c:pt>
                <c:pt idx="175">
                  <c:v>1402.7284646802696</c:v>
                </c:pt>
                <c:pt idx="176">
                  <c:v>1405.4282771429819</c:v>
                </c:pt>
                <c:pt idx="177">
                  <c:v>1408.1332858981464</c:v>
                </c:pt>
                <c:pt idx="178">
                  <c:v>1410.843500946997</c:v>
                </c:pt>
                <c:pt idx="179">
                  <c:v>1413.5589323100169</c:v>
                </c:pt>
                <c:pt idx="180">
                  <c:v>1416.2795900269746</c:v>
                </c:pt>
                <c:pt idx="181">
                  <c:v>1419.0054841569631</c:v>
                </c:pt>
                <c:pt idx="182">
                  <c:v>1421.7366247784355</c:v>
                </c:pt>
                <c:pt idx="183">
                  <c:v>1424.4730219892431</c:v>
                </c:pt>
                <c:pt idx="184">
                  <c:v>1427.2146859066715</c:v>
                </c:pt>
                <c:pt idx="185">
                  <c:v>1429.96162666748</c:v>
                </c:pt>
                <c:pt idx="186">
                  <c:v>1432.7138544279376</c:v>
                </c:pt>
                <c:pt idx="187">
                  <c:v>1435.4713793638607</c:v>
                </c:pt>
                <c:pt idx="188">
                  <c:v>1438.2342116706513</c:v>
                </c:pt>
                <c:pt idx="189">
                  <c:v>1441.0023615633336</c:v>
                </c:pt>
                <c:pt idx="190">
                  <c:v>1443.7758392765938</c:v>
                </c:pt>
                <c:pt idx="191">
                  <c:v>1446.5546550648155</c:v>
                </c:pt>
                <c:pt idx="192">
                  <c:v>1449.3388192021198</c:v>
                </c:pt>
                <c:pt idx="193">
                  <c:v>1452.128341982401</c:v>
                </c:pt>
                <c:pt idx="194">
                  <c:v>1454.9232337193666</c:v>
                </c:pt>
                <c:pt idx="195">
                  <c:v>1457.7235047465754</c:v>
                </c:pt>
                <c:pt idx="196">
                  <c:v>1460.5291654174739</c:v>
                </c:pt>
                <c:pt idx="197">
                  <c:v>1463.3402261054364</c:v>
                </c:pt>
                <c:pt idx="198">
                  <c:v>1466.1566972038027</c:v>
                </c:pt>
                <c:pt idx="199">
                  <c:v>1468.978589125916</c:v>
                </c:pt>
                <c:pt idx="200">
                  <c:v>1471.8059123051626</c:v>
                </c:pt>
                <c:pt idx="201">
                  <c:v>1474.6386771950094</c:v>
                </c:pt>
                <c:pt idx="202">
                  <c:v>1477.476894269043</c:v>
                </c:pt>
                <c:pt idx="203">
                  <c:v>1480.3205740210085</c:v>
                </c:pt>
                <c:pt idx="204">
                  <c:v>1483.169726964848</c:v>
                </c:pt>
                <c:pt idx="205">
                  <c:v>1486.0243636347398</c:v>
                </c:pt>
                <c:pt idx="206">
                  <c:v>1488.8844945851367</c:v>
                </c:pt>
                <c:pt idx="207">
                  <c:v>1491.7501303908066</c:v>
                </c:pt>
                <c:pt idx="208">
                  <c:v>1494.6212816468692</c:v>
                </c:pt>
                <c:pt idx="209">
                  <c:v>1497.4979589688373</c:v>
                </c:pt>
                <c:pt idx="210">
                  <c:v>1500.3801729926554</c:v>
                </c:pt>
                <c:pt idx="211">
                  <c:v>1503.2679343747382</c:v>
                </c:pt>
                <c:pt idx="212">
                  <c:v>1506.1612537920107</c:v>
                </c:pt>
                <c:pt idx="213">
                  <c:v>1509.0601419419486</c:v>
                </c:pt>
                <c:pt idx="214">
                  <c:v>1511.9646095426153</c:v>
                </c:pt>
                <c:pt idx="215">
                  <c:v>1514.8746673327048</c:v>
                </c:pt>
                <c:pt idx="216">
                  <c:v>1517.7903260715784</c:v>
                </c:pt>
                <c:pt idx="217">
                  <c:v>1520.7115965393066</c:v>
                </c:pt>
                <c:pt idx="218">
                  <c:v>1523.6384895367075</c:v>
                </c:pt>
                <c:pt idx="219">
                  <c:v>1526.5710158853883</c:v>
                </c:pt>
                <c:pt idx="220">
                  <c:v>1529.5091864277831</c:v>
                </c:pt>
                <c:pt idx="221">
                  <c:v>1532.4530120271957</c:v>
                </c:pt>
                <c:pt idx="222">
                  <c:v>1535.4025035678376</c:v>
                </c:pt>
                <c:pt idx="223">
                  <c:v>1538.3576719548689</c:v>
                </c:pt>
                <c:pt idx="224">
                  <c:v>1541.3185281144385</c:v>
                </c:pt>
                <c:pt idx="225">
                  <c:v>1544.2850829937261</c:v>
                </c:pt>
                <c:pt idx="226">
                  <c:v>1547.2573475609797</c:v>
                </c:pt>
                <c:pt idx="227">
                  <c:v>1550.2353328055581</c:v>
                </c:pt>
                <c:pt idx="228">
                  <c:v>1553.2190497379718</c:v>
                </c:pt>
                <c:pt idx="229">
                  <c:v>1556.2085093899227</c:v>
                </c:pt>
                <c:pt idx="230">
                  <c:v>1559.2037228143449</c:v>
                </c:pt>
                <c:pt idx="231">
                  <c:v>1562.2047010854467</c:v>
                </c:pt>
                <c:pt idx="232">
                  <c:v>1565.2114552987503</c:v>
                </c:pt>
                <c:pt idx="233">
                  <c:v>1568.2239965711328</c:v>
                </c:pt>
                <c:pt idx="234">
                  <c:v>1571.2423360408691</c:v>
                </c:pt>
                <c:pt idx="235">
                  <c:v>1574.2664848676709</c:v>
                </c:pt>
                <c:pt idx="236">
                  <c:v>1577.2964542327288</c:v>
                </c:pt>
                <c:pt idx="237">
                  <c:v>1580.3322553387538</c:v>
                </c:pt>
                <c:pt idx="238">
                  <c:v>1583.373899410019</c:v>
                </c:pt>
                <c:pt idx="239">
                  <c:v>1586.4213976924002</c:v>
                </c:pt>
                <c:pt idx="240">
                  <c:v>1589.4747614534183</c:v>
                </c:pt>
                <c:pt idx="241">
                  <c:v>1592.5340019822804</c:v>
                </c:pt>
                <c:pt idx="242">
                  <c:v>1595.5991305899222</c:v>
                </c:pt>
                <c:pt idx="243">
                  <c:v>1598.6701586090485</c:v>
                </c:pt>
                <c:pt idx="244">
                  <c:v>1601.7470973941772</c:v>
                </c:pt>
                <c:pt idx="245">
                  <c:v>1604.8299583216794</c:v>
                </c:pt>
                <c:pt idx="246">
                  <c:v>1607.9187527898223</c:v>
                </c:pt>
                <c:pt idx="247">
                  <c:v>1611.0134922188108</c:v>
                </c:pt>
                <c:pt idx="248">
                  <c:v>1614.1141880508308</c:v>
                </c:pt>
                <c:pt idx="249">
                  <c:v>1617.2208517500901</c:v>
                </c:pt>
                <c:pt idx="250">
                  <c:v>1620.3334948028626</c:v>
                </c:pt>
                <c:pt idx="251">
                  <c:v>1623.452128717528</c:v>
                </c:pt>
                <c:pt idx="252">
                  <c:v>1626.576765024618</c:v>
                </c:pt>
                <c:pt idx="253">
                  <c:v>1629.7074152768548</c:v>
                </c:pt>
                <c:pt idx="254">
                  <c:v>1632.8440910491984</c:v>
                </c:pt>
                <c:pt idx="255">
                  <c:v>1635.9868039388846</c:v>
                </c:pt>
                <c:pt idx="256">
                  <c:v>1639.135565565472</c:v>
                </c:pt>
                <c:pt idx="257">
                  <c:v>1642.2903875708821</c:v>
                </c:pt>
                <c:pt idx="258">
                  <c:v>1645.451281619444</c:v>
                </c:pt>
                <c:pt idx="259">
                  <c:v>1648.6182593979368</c:v>
                </c:pt>
                <c:pt idx="260">
                  <c:v>1651.7913326156336</c:v>
                </c:pt>
                <c:pt idx="261">
                  <c:v>1654.9705130043426</c:v>
                </c:pt>
                <c:pt idx="262">
                  <c:v>1658.1558123184539</c:v>
                </c:pt>
                <c:pt idx="263">
                  <c:v>1661.3472423349797</c:v>
                </c:pt>
                <c:pt idx="264">
                  <c:v>1664.5448148536004</c:v>
                </c:pt>
                <c:pt idx="265">
                  <c:v>1667.7485416967061</c:v>
                </c:pt>
                <c:pt idx="266">
                  <c:v>1670.9584347094419</c:v>
                </c:pt>
                <c:pt idx="267">
                  <c:v>1674.1745057597511</c:v>
                </c:pt>
                <c:pt idx="268">
                  <c:v>1677.3967667384184</c:v>
                </c:pt>
                <c:pt idx="269">
                  <c:v>1680.625229559115</c:v>
                </c:pt>
                <c:pt idx="270">
                  <c:v>1683.859906158443</c:v>
                </c:pt>
                <c:pt idx="271">
                  <c:v>1687.1008084959772</c:v>
                </c:pt>
                <c:pt idx="272">
                  <c:v>1690.3479485543116</c:v>
                </c:pt>
                <c:pt idx="273">
                  <c:v>1693.6013383391028</c:v>
                </c:pt>
                <c:pt idx="274">
                  <c:v>1696.8609898791151</c:v>
                </c:pt>
                <c:pt idx="275">
                  <c:v>1700.1269152262635</c:v>
                </c:pt>
                <c:pt idx="276">
                  <c:v>1703.3991264556596</c:v>
                </c:pt>
                <c:pt idx="277">
                  <c:v>1706.677635665656</c:v>
                </c:pt>
                <c:pt idx="278">
                  <c:v>1709.9624549778898</c:v>
                </c:pt>
                <c:pt idx="279">
                  <c:v>1713.2535965373302</c:v>
                </c:pt>
                <c:pt idx="280">
                  <c:v>1716.5510725123204</c:v>
                </c:pt>
                <c:pt idx="281">
                  <c:v>1719.854895094624</c:v>
                </c:pt>
                <c:pt idx="282">
                  <c:v>1723.1650764994702</c:v>
                </c:pt>
                <c:pt idx="283">
                  <c:v>1726.4816289655985</c:v>
                </c:pt>
                <c:pt idx="284">
                  <c:v>1729.8045647553042</c:v>
                </c:pt>
                <c:pt idx="285">
                  <c:v>1733.1338961544836</c:v>
                </c:pt>
                <c:pt idx="286">
                  <c:v>1736.4696354726796</c:v>
                </c:pt>
                <c:pt idx="287">
                  <c:v>1739.8117950431274</c:v>
                </c:pt>
                <c:pt idx="288">
                  <c:v>1743.160387222799</c:v>
                </c:pt>
                <c:pt idx="289">
                  <c:v>1746.5154243924503</c:v>
                </c:pt>
                <c:pt idx="290">
                  <c:v>1749.8769189566665</c:v>
                </c:pt>
                <c:pt idx="291">
                  <c:v>1753.2448833439068</c:v>
                </c:pt>
                <c:pt idx="292">
                  <c:v>1756.6193300065524</c:v>
                </c:pt>
                <c:pt idx="293">
                  <c:v>1760.0002714209509</c:v>
                </c:pt>
                <c:pt idx="294">
                  <c:v>1763.3877200874624</c:v>
                </c:pt>
                <c:pt idx="295">
                  <c:v>1766.7816885305072</c:v>
                </c:pt>
                <c:pt idx="296">
                  <c:v>1770.1821892986109</c:v>
                </c:pt>
                <c:pt idx="297">
                  <c:v>1773.5892349644514</c:v>
                </c:pt>
                <c:pt idx="298">
                  <c:v>1777.0028381249037</c:v>
                </c:pt>
                <c:pt idx="299">
                  <c:v>1780.4230114010895</c:v>
                </c:pt>
                <c:pt idx="300">
                  <c:v>1783.8497674384209</c:v>
                </c:pt>
                <c:pt idx="301">
                  <c:v>1787.2831189066501</c:v>
                </c:pt>
                <c:pt idx="302">
                  <c:v>1790.7230784999126</c:v>
                </c:pt>
                <c:pt idx="303">
                  <c:v>1794.1696589367775</c:v>
                </c:pt>
                <c:pt idx="304">
                  <c:v>1797.6228729602926</c:v>
                </c:pt>
                <c:pt idx="305">
                  <c:v>1801.0827333380321</c:v>
                </c:pt>
                <c:pt idx="306">
                  <c:v>1804.5492528621439</c:v>
                </c:pt>
                <c:pt idx="307">
                  <c:v>1808.0224443493971</c:v>
                </c:pt>
                <c:pt idx="308">
                  <c:v>1811.5023206412284</c:v>
                </c:pt>
                <c:pt idx="309">
                  <c:v>1814.9888946037909</c:v>
                </c:pt>
                <c:pt idx="310">
                  <c:v>1818.4821791280001</c:v>
                </c:pt>
                <c:pt idx="311">
                  <c:v>1821.9821871295837</c:v>
                </c:pt>
                <c:pt idx="312">
                  <c:v>1825.4889315491268</c:v>
                </c:pt>
                <c:pt idx="313">
                  <c:v>1829.0024253521224</c:v>
                </c:pt>
                <c:pt idx="314">
                  <c:v>1832.5226815290171</c:v>
                </c:pt>
                <c:pt idx="315">
                  <c:v>1836.0497130952599</c:v>
                </c:pt>
                <c:pt idx="316">
                  <c:v>1839.5835330913512</c:v>
                </c:pt>
                <c:pt idx="317">
                  <c:v>1843.1241545828902</c:v>
                </c:pt>
                <c:pt idx="318">
                  <c:v>1846.6715906606223</c:v>
                </c:pt>
                <c:pt idx="319">
                  <c:v>1850.2258544404897</c:v>
                </c:pt>
                <c:pt idx="320">
                  <c:v>1853.7869590636781</c:v>
                </c:pt>
                <c:pt idx="321">
                  <c:v>1857.3549176966658</c:v>
                </c:pt>
                <c:pt idx="322">
                  <c:v>1860.9297435312724</c:v>
                </c:pt>
                <c:pt idx="323">
                  <c:v>1864.5114497847082</c:v>
                </c:pt>
                <c:pt idx="324">
                  <c:v>1868.1000496996216</c:v>
                </c:pt>
                <c:pt idx="325">
                  <c:v>1871.6955565441494</c:v>
                </c:pt>
                <c:pt idx="326">
                  <c:v>1875.2979836119662</c:v>
                </c:pt>
                <c:pt idx="327">
                  <c:v>1878.9073442223312</c:v>
                </c:pt>
                <c:pt idx="328">
                  <c:v>1882.5236517201397</c:v>
                </c:pt>
                <c:pt idx="329">
                  <c:v>1886.1469194759723</c:v>
                </c:pt>
                <c:pt idx="330">
                  <c:v>1889.7771608861431</c:v>
                </c:pt>
                <c:pt idx="331">
                  <c:v>1893.4143893727498</c:v>
                </c:pt>
                <c:pt idx="332">
                  <c:v>1897.058618383724</c:v>
                </c:pt>
                <c:pt idx="333">
                  <c:v>1900.7098613928802</c:v>
                </c:pt>
                <c:pt idx="334">
                  <c:v>1904.368131899965</c:v>
                </c:pt>
                <c:pt idx="335">
                  <c:v>1908.0334434307092</c:v>
                </c:pt>
                <c:pt idx="336">
                  <c:v>1911.705809536875</c:v>
                </c:pt>
                <c:pt idx="337">
                  <c:v>1915.3852437963083</c:v>
                </c:pt>
                <c:pt idx="338">
                  <c:v>1919.0717598129881</c:v>
                </c:pt>
                <c:pt idx="339">
                  <c:v>1922.7653712170763</c:v>
                </c:pt>
                <c:pt idx="340">
                  <c:v>1926.4660916649686</c:v>
                </c:pt>
                <c:pt idx="341">
                  <c:v>1930.1739348393462</c:v>
                </c:pt>
                <c:pt idx="342">
                  <c:v>1933.8889144492234</c:v>
                </c:pt>
                <c:pt idx="343">
                  <c:v>1937.6110442300012</c:v>
                </c:pt>
                <c:pt idx="344">
                  <c:v>1941.340337943516</c:v>
                </c:pt>
                <c:pt idx="345">
                  <c:v>1945.076809378093</c:v>
                </c:pt>
                <c:pt idx="346">
                  <c:v>1948.8204723485942</c:v>
                </c:pt>
                <c:pt idx="347">
                  <c:v>1952.5713406964712</c:v>
                </c:pt>
                <c:pt idx="348">
                  <c:v>1956.3294282898164</c:v>
                </c:pt>
                <c:pt idx="349">
                  <c:v>1960.0947490234137</c:v>
                </c:pt>
                <c:pt idx="350">
                  <c:v>1963.8673168187897</c:v>
                </c:pt>
                <c:pt idx="351">
                  <c:v>1967.6471456242664</c:v>
                </c:pt>
                <c:pt idx="352">
                  <c:v>1971.4342494150112</c:v>
                </c:pt>
                <c:pt idx="353">
                  <c:v>1975.2286421930901</c:v>
                </c:pt>
                <c:pt idx="354">
                  <c:v>1979.0303379875179</c:v>
                </c:pt>
                <c:pt idx="355">
                  <c:v>1982.8393508543109</c:v>
                </c:pt>
                <c:pt idx="356">
                  <c:v>1986.6556948765397</c:v>
                </c:pt>
                <c:pt idx="357">
                  <c:v>1990.4793841643793</c:v>
                </c:pt>
                <c:pt idx="358">
                  <c:v>1994.3104328551633</c:v>
                </c:pt>
                <c:pt idx="359">
                  <c:v>1998.1488551134346</c:v>
                </c:pt>
                <c:pt idx="360">
                  <c:v>2001.9946651309986</c:v>
                </c:pt>
                <c:pt idx="361">
                  <c:v>2005.8478771269752</c:v>
                </c:pt>
                <c:pt idx="362">
                  <c:v>2009.7085053478522</c:v>
                </c:pt>
                <c:pt idx="363">
                  <c:v>2013.5765640675372</c:v>
                </c:pt>
                <c:pt idx="364">
                  <c:v>2017.4520675874103</c:v>
                </c:pt>
                <c:pt idx="365">
                  <c:v>2021.3350302363779</c:v>
                </c:pt>
                <c:pt idx="366">
                  <c:v>2025.2254663709243</c:v>
                </c:pt>
                <c:pt idx="367">
                  <c:v>2029.1233903751663</c:v>
                </c:pt>
                <c:pt idx="368">
                  <c:v>2033.0288166609046</c:v>
                </c:pt>
                <c:pt idx="369">
                  <c:v>2036.9417596676788</c:v>
                </c:pt>
                <c:pt idx="370">
                  <c:v>2040.8622338628204</c:v>
                </c:pt>
                <c:pt idx="371">
                  <c:v>2044.7902537415055</c:v>
                </c:pt>
                <c:pt idx="372">
                  <c:v>2048.7258338268089</c:v>
                </c:pt>
                <c:pt idx="373">
                  <c:v>2052.6689886697577</c:v>
                </c:pt>
                <c:pt idx="374">
                  <c:v>2056.6197328493849</c:v>
                </c:pt>
                <c:pt idx="375">
                  <c:v>2060.5780809727848</c:v>
                </c:pt>
                <c:pt idx="376">
                  <c:v>2064.5440476751646</c:v>
                </c:pt>
                <c:pt idx="377">
                  <c:v>2068.5176476198994</c:v>
                </c:pt>
                <c:pt idx="378">
                  <c:v>2072.4988954985879</c:v>
                </c:pt>
                <c:pt idx="379">
                  <c:v>2076.4878060311048</c:v>
                </c:pt>
                <c:pt idx="380">
                  <c:v>2080.4843939656553</c:v>
                </c:pt>
                <c:pt idx="381">
                  <c:v>2084.4886740788324</c:v>
                </c:pt>
                <c:pt idx="382">
                  <c:v>2088.5006611756676</c:v>
                </c:pt>
                <c:pt idx="383">
                  <c:v>2092.5203700896877</c:v>
                </c:pt>
                <c:pt idx="384">
                  <c:v>2096.5478156829695</c:v>
                </c:pt>
                <c:pt idx="385">
                  <c:v>2100.5830128461948</c:v>
                </c:pt>
                <c:pt idx="386">
                  <c:v>2104.6259764987049</c:v>
                </c:pt>
                <c:pt idx="387">
                  <c:v>2108.6767215885566</c:v>
                </c:pt>
                <c:pt idx="388">
                  <c:v>2112.735263092577</c:v>
                </c:pt>
                <c:pt idx="389">
                  <c:v>2116.8016160164188</c:v>
                </c:pt>
                <c:pt idx="390">
                  <c:v>2120.875795394616</c:v>
                </c:pt>
                <c:pt idx="391">
                  <c:v>2124.9578162906387</c:v>
                </c:pt>
                <c:pt idx="392">
                  <c:v>2129.0476937969511</c:v>
                </c:pt>
                <c:pt idx="393">
                  <c:v>2133.1454430350627</c:v>
                </c:pt>
                <c:pt idx="394">
                  <c:v>2137.2510791555906</c:v>
                </c:pt>
                <c:pt idx="395">
                  <c:v>2141.3646173383095</c:v>
                </c:pt>
                <c:pt idx="396">
                  <c:v>2145.4860727922123</c:v>
                </c:pt>
                <c:pt idx="397">
                  <c:v>2149.6154607555627</c:v>
                </c:pt>
                <c:pt idx="398">
                  <c:v>2153.752796495955</c:v>
                </c:pt>
                <c:pt idx="399">
                  <c:v>2157.8980953103664</c:v>
                </c:pt>
                <c:pt idx="400">
                  <c:v>2162.0513725252194</c:v>
                </c:pt>
                <c:pt idx="401">
                  <c:v>2166.2126434964321</c:v>
                </c:pt>
                <c:pt idx="402">
                  <c:v>2170.3819236094791</c:v>
                </c:pt>
                <c:pt idx="403">
                  <c:v>2174.5592282794473</c:v>
                </c:pt>
                <c:pt idx="404">
                  <c:v>2178.7445729510923</c:v>
                </c:pt>
                <c:pt idx="405">
                  <c:v>2182.9379730988971</c:v>
                </c:pt>
                <c:pt idx="406">
                  <c:v>2187.1394442271267</c:v>
                </c:pt>
                <c:pt idx="407">
                  <c:v>2191.3490018698881</c:v>
                </c:pt>
                <c:pt idx="408">
                  <c:v>2195.5666615911864</c:v>
                </c:pt>
                <c:pt idx="409">
                  <c:v>2199.7924389849818</c:v>
                </c:pt>
                <c:pt idx="410">
                  <c:v>2204.0263496752486</c:v>
                </c:pt>
                <c:pt idx="411">
                  <c:v>2208.2684093160328</c:v>
                </c:pt>
                <c:pt idx="412">
                  <c:v>2212.5186335915087</c:v>
                </c:pt>
                <c:pt idx="413">
                  <c:v>2216.7770382160379</c:v>
                </c:pt>
                <c:pt idx="414">
                  <c:v>2221.0436389342276</c:v>
                </c:pt>
                <c:pt idx="415">
                  <c:v>2225.3184515209878</c:v>
                </c:pt>
                <c:pt idx="416">
                  <c:v>2229.601491781591</c:v>
                </c:pt>
                <c:pt idx="417">
                  <c:v>2233.8927755517298</c:v>
                </c:pt>
                <c:pt idx="418">
                  <c:v>2238.1923186975741</c:v>
                </c:pt>
                <c:pt idx="419">
                  <c:v>2242.5001371158341</c:v>
                </c:pt>
                <c:pt idx="420">
                  <c:v>2246.8162467338125</c:v>
                </c:pt>
                <c:pt idx="421">
                  <c:v>2251.1406635094704</c:v>
                </c:pt>
                <c:pt idx="422">
                  <c:v>2255.4734034314815</c:v>
                </c:pt>
                <c:pt idx="423">
                  <c:v>2259.8144825192921</c:v>
                </c:pt>
                <c:pt idx="424">
                  <c:v>2264.1639168231818</c:v>
                </c:pt>
                <c:pt idx="425">
                  <c:v>2268.521722424322</c:v>
                </c:pt>
                <c:pt idx="426">
                  <c:v>2272.8879154348351</c:v>
                </c:pt>
                <c:pt idx="427">
                  <c:v>2277.2625119978538</c:v>
                </c:pt>
                <c:pt idx="428">
                  <c:v>2281.6455282875818</c:v>
                </c:pt>
                <c:pt idx="429">
                  <c:v>2286.0369805093533</c:v>
                </c:pt>
                <c:pt idx="430">
                  <c:v>2290.4368848996924</c:v>
                </c:pt>
                <c:pt idx="431">
                  <c:v>2294.8452577263729</c:v>
                </c:pt>
                <c:pt idx="432">
                  <c:v>2299.2621152884799</c:v>
                </c:pt>
                <c:pt idx="433">
                  <c:v>2303.6874739164682</c:v>
                </c:pt>
                <c:pt idx="434">
                  <c:v>2308.1213499722248</c:v>
                </c:pt>
                <c:pt idx="435">
                  <c:v>2312.5637598491267</c:v>
                </c:pt>
                <c:pt idx="436">
                  <c:v>2317.0147199721041</c:v>
                </c:pt>
                <c:pt idx="437">
                  <c:v>2321.4742467976994</c:v>
                </c:pt>
                <c:pt idx="438">
                  <c:v>2325.9423568141297</c:v>
                </c:pt>
                <c:pt idx="439">
                  <c:v>2330.4190665413457</c:v>
                </c:pt>
                <c:pt idx="440">
                  <c:v>2334.9043925310948</c:v>
                </c:pt>
                <c:pt idx="441">
                  <c:v>2339.3983513669791</c:v>
                </c:pt>
                <c:pt idx="442">
                  <c:v>2343.9009596645224</c:v>
                </c:pt>
                <c:pt idx="443">
                  <c:v>2348.4122340712247</c:v>
                </c:pt>
                <c:pt idx="444">
                  <c:v>2352.9321912666296</c:v>
                </c:pt>
                <c:pt idx="445">
                  <c:v>2357.4608479623835</c:v>
                </c:pt>
                <c:pt idx="446">
                  <c:v>2361.998220902296</c:v>
                </c:pt>
                <c:pt idx="447">
                  <c:v>2366.5443268624035</c:v>
                </c:pt>
                <c:pt idx="448">
                  <c:v>2371.0991826510331</c:v>
                </c:pt>
                <c:pt idx="449">
                  <c:v>2375.6628051088596</c:v>
                </c:pt>
                <c:pt idx="450">
                  <c:v>2380.2352111089735</c:v>
                </c:pt>
                <c:pt idx="451">
                  <c:v>2384.8164175569395</c:v>
                </c:pt>
                <c:pt idx="452">
                  <c:v>2389.40644139086</c:v>
                </c:pt>
                <c:pt idx="453">
                  <c:v>2394.0052995814376</c:v>
                </c:pt>
                <c:pt idx="454">
                  <c:v>2398.6130091320406</c:v>
                </c:pt>
                <c:pt idx="455">
                  <c:v>2403.2295870787593</c:v>
                </c:pt>
                <c:pt idx="456">
                  <c:v>2407.8550504904774</c:v>
                </c:pt>
                <c:pt idx="457">
                  <c:v>2412.4894164689281</c:v>
                </c:pt>
                <c:pt idx="458">
                  <c:v>2417.1327021487614</c:v>
                </c:pt>
                <c:pt idx="459">
                  <c:v>2421.7849246976048</c:v>
                </c:pt>
                <c:pt idx="460">
                  <c:v>2426.4461013161299</c:v>
                </c:pt>
                <c:pt idx="461">
                  <c:v>2431.1162492381131</c:v>
                </c:pt>
                <c:pt idx="462">
                  <c:v>2435.7953857304997</c:v>
                </c:pt>
                <c:pt idx="463">
                  <c:v>2440.4835280934699</c:v>
                </c:pt>
                <c:pt idx="464">
                  <c:v>2445.1806936605008</c:v>
                </c:pt>
                <c:pt idx="465">
                  <c:v>2449.8868997984309</c:v>
                </c:pt>
                <c:pt idx="466">
                  <c:v>2454.6021639075252</c:v>
                </c:pt>
                <c:pt idx="467">
                  <c:v>2459.3265034215365</c:v>
                </c:pt>
                <c:pt idx="468">
                  <c:v>2464.0599358077748</c:v>
                </c:pt>
                <c:pt idx="469">
                  <c:v>2468.8024785671678</c:v>
                </c:pt>
                <c:pt idx="470">
                  <c:v>2473.5541492343268</c:v>
                </c:pt>
                <c:pt idx="471">
                  <c:v>2478.3149653776127</c:v>
                </c:pt>
                <c:pt idx="472">
                  <c:v>2483.0849445991989</c:v>
                </c:pt>
                <c:pt idx="473">
                  <c:v>2487.8641045351383</c:v>
                </c:pt>
                <c:pt idx="474">
                  <c:v>2492.652462855428</c:v>
                </c:pt>
                <c:pt idx="475">
                  <c:v>2497.4500372640723</c:v>
                </c:pt>
                <c:pt idx="476">
                  <c:v>2502.2568454991524</c:v>
                </c:pt>
                <c:pt idx="477">
                  <c:v>2507.0729053328891</c:v>
                </c:pt>
                <c:pt idx="478">
                  <c:v>2511.8982345717081</c:v>
                </c:pt>
                <c:pt idx="479">
                  <c:v>2516.7328510563088</c:v>
                </c:pt>
                <c:pt idx="480">
                  <c:v>2521.5767726617264</c:v>
                </c:pt>
                <c:pt idx="481">
                  <c:v>2526.4300172974013</c:v>
                </c:pt>
                <c:pt idx="482">
                  <c:v>2531.2926029072428</c:v>
                </c:pt>
                <c:pt idx="483">
                  <c:v>2536.1645474696979</c:v>
                </c:pt>
                <c:pt idx="484">
                  <c:v>2541.0458689978159</c:v>
                </c:pt>
                <c:pt idx="485">
                  <c:v>2545.9365855393153</c:v>
                </c:pt>
                <c:pt idx="486">
                  <c:v>2550.8367151766506</c:v>
                </c:pt>
                <c:pt idx="487">
                  <c:v>2555.7462760270805</c:v>
                </c:pt>
                <c:pt idx="488">
                  <c:v>2560.6652862427322</c:v>
                </c:pt>
                <c:pt idx="489">
                  <c:v>2565.5937640106722</c:v>
                </c:pt>
                <c:pt idx="490">
                  <c:v>2570.5317275529687</c:v>
                </c:pt>
                <c:pt idx="491">
                  <c:v>2575.4791951267639</c:v>
                </c:pt>
                <c:pt idx="492">
                  <c:v>2580.4361850243367</c:v>
                </c:pt>
                <c:pt idx="493">
                  <c:v>2585.4027155731774</c:v>
                </c:pt>
                <c:pt idx="494">
                  <c:v>2590.3788051360461</c:v>
                </c:pt>
                <c:pt idx="495">
                  <c:v>2595.3644721110481</c:v>
                </c:pt>
                <c:pt idx="496">
                  <c:v>2600.3597349316992</c:v>
                </c:pt>
                <c:pt idx="497">
                  <c:v>2605.3646120669923</c:v>
                </c:pt>
                <c:pt idx="498">
                  <c:v>2610.3791220214694</c:v>
                </c:pt>
                <c:pt idx="499">
                  <c:v>2615.4032833352871</c:v>
                </c:pt>
                <c:pt idx="500">
                  <c:v>2620.4371145842856</c:v>
                </c:pt>
                <c:pt idx="501">
                  <c:v>2625.4806343800578</c:v>
                </c:pt>
                <c:pt idx="502">
                  <c:v>2630.5338613700187</c:v>
                </c:pt>
                <c:pt idx="503">
                  <c:v>2635.5968142374736</c:v>
                </c:pt>
                <c:pt idx="504">
                  <c:v>2640.6695117016861</c:v>
                </c:pt>
                <c:pt idx="505">
                  <c:v>2645.7519725179509</c:v>
                </c:pt>
                <c:pt idx="506">
                  <c:v>2650.8442154776581</c:v>
                </c:pt>
                <c:pt idx="507">
                  <c:v>2655.9462594083675</c:v>
                </c:pt>
                <c:pt idx="508">
                  <c:v>2661.0581231738747</c:v>
                </c:pt>
                <c:pt idx="509">
                  <c:v>2666.1798256742827</c:v>
                </c:pt>
                <c:pt idx="510">
                  <c:v>2671.3113858460715</c:v>
                </c:pt>
                <c:pt idx="511">
                  <c:v>2676.4528226621665</c:v>
                </c:pt>
                <c:pt idx="512">
                  <c:v>2681.6041551320127</c:v>
                </c:pt>
                <c:pt idx="513">
                  <c:v>2686.7654023016394</c:v>
                </c:pt>
                <c:pt idx="514">
                  <c:v>2691.9365832537355</c:v>
                </c:pt>
                <c:pt idx="515">
                  <c:v>2697.1177171077179</c:v>
                </c:pt>
                <c:pt idx="516">
                  <c:v>2702.3088230198014</c:v>
                </c:pt>
                <c:pt idx="517">
                  <c:v>2707.5099201830708</c:v>
                </c:pt>
                <c:pt idx="518">
                  <c:v>2712.721027827552</c:v>
                </c:pt>
                <c:pt idx="519">
                  <c:v>2717.9421652202832</c:v>
                </c:pt>
                <c:pt idx="520">
                  <c:v>2723.173351665384</c:v>
                </c:pt>
                <c:pt idx="521">
                  <c:v>2728.41460650413</c:v>
                </c:pt>
                <c:pt idx="522">
                  <c:v>2733.6659491150212</c:v>
                </c:pt>
                <c:pt idx="523">
                  <c:v>2738.9273989138569</c:v>
                </c:pt>
                <c:pt idx="524">
                  <c:v>2744.1989753538037</c:v>
                </c:pt>
                <c:pt idx="525">
                  <c:v>2749.4806979254718</c:v>
                </c:pt>
                <c:pt idx="526">
                  <c:v>2754.7725861569816</c:v>
                </c:pt>
                <c:pt idx="527">
                  <c:v>2760.074659614042</c:v>
                </c:pt>
                <c:pt idx="528">
                  <c:v>2765.3869379000184</c:v>
                </c:pt>
                <c:pt idx="529">
                  <c:v>2770.7094406560063</c:v>
                </c:pt>
                <c:pt idx="530">
                  <c:v>2776.0421875609059</c:v>
                </c:pt>
                <c:pt idx="531">
                  <c:v>2781.3851983314903</c:v>
                </c:pt>
                <c:pt idx="532">
                  <c:v>2786.738492722483</c:v>
                </c:pt>
                <c:pt idx="533">
                  <c:v>2792.1020905266287</c:v>
                </c:pt>
                <c:pt idx="534">
                  <c:v>2797.4760115747672</c:v>
                </c:pt>
                <c:pt idx="535">
                  <c:v>2802.8602757359063</c:v>
                </c:pt>
                <c:pt idx="536">
                  <c:v>2808.254902917296</c:v>
                </c:pt>
                <c:pt idx="537">
                  <c:v>2813.6599130645</c:v>
                </c:pt>
                <c:pt idx="538">
                  <c:v>2819.0753261614723</c:v>
                </c:pt>
                <c:pt idx="539">
                  <c:v>2824.5011622306288</c:v>
                </c:pt>
                <c:pt idx="540">
                  <c:v>2829.9374413329238</c:v>
                </c:pt>
                <c:pt idx="541">
                  <c:v>2835.3841835679204</c:v>
                </c:pt>
                <c:pt idx="542">
                  <c:v>2840.8414090738697</c:v>
                </c:pt>
                <c:pt idx="543">
                  <c:v>2846.3091380277797</c:v>
                </c:pt>
                <c:pt idx="544">
                  <c:v>2851.7873906454956</c:v>
                </c:pt>
                <c:pt idx="545">
                  <c:v>2857.2761871817697</c:v>
                </c:pt>
                <c:pt idx="546">
                  <c:v>2862.7755479303396</c:v>
                </c:pt>
                <c:pt idx="547">
                  <c:v>2868.2854932240007</c:v>
                </c:pt>
                <c:pt idx="548">
                  <c:v>2873.8060434346844</c:v>
                </c:pt>
                <c:pt idx="549">
                  <c:v>2879.3372189735305</c:v>
                </c:pt>
                <c:pt idx="550">
                  <c:v>2884.879040290964</c:v>
                </c:pt>
                <c:pt idx="551">
                  <c:v>2890.4315278767704</c:v>
                </c:pt>
                <c:pt idx="552">
                  <c:v>2895.9947022601723</c:v>
                </c:pt>
                <c:pt idx="553">
                  <c:v>2901.568584009904</c:v>
                </c:pt>
                <c:pt idx="554">
                  <c:v>2907.1531937342884</c:v>
                </c:pt>
                <c:pt idx="555">
                  <c:v>2912.7485520813129</c:v>
                </c:pt>
                <c:pt idx="556">
                  <c:v>2918.3546797387053</c:v>
                </c:pt>
                <c:pt idx="557">
                  <c:v>2923.971597434012</c:v>
                </c:pt>
                <c:pt idx="558">
                  <c:v>2929.5993259346728</c:v>
                </c:pt>
                <c:pt idx="559">
                  <c:v>2935.2378860480972</c:v>
                </c:pt>
                <c:pt idx="560">
                  <c:v>2940.8872986217448</c:v>
                </c:pt>
                <c:pt idx="561">
                  <c:v>2946.547584543197</c:v>
                </c:pt>
                <c:pt idx="562">
                  <c:v>2952.2187647402416</c:v>
                </c:pt>
                <c:pt idx="563">
                  <c:v>2957.9008601809401</c:v>
                </c:pt>
                <c:pt idx="564">
                  <c:v>2963.5938918737156</c:v>
                </c:pt>
                <c:pt idx="565">
                  <c:v>2969.2978808674247</c:v>
                </c:pt>
                <c:pt idx="566">
                  <c:v>2975.0128482514351</c:v>
                </c:pt>
                <c:pt idx="567">
                  <c:v>2980.7388151557066</c:v>
                </c:pt>
                <c:pt idx="568">
                  <c:v>2986.4758027508651</c:v>
                </c:pt>
                <c:pt idx="569">
                  <c:v>2992.2238322482876</c:v>
                </c:pt>
                <c:pt idx="570">
                  <c:v>2997.9829249001709</c:v>
                </c:pt>
                <c:pt idx="571">
                  <c:v>3003.75310199962</c:v>
                </c:pt>
                <c:pt idx="572">
                  <c:v>3009.5343848807215</c:v>
                </c:pt>
                <c:pt idx="573">
                  <c:v>3015.3267949186211</c:v>
                </c:pt>
                <c:pt idx="574">
                  <c:v>3021.1303535296083</c:v>
                </c:pt>
                <c:pt idx="575">
                  <c:v>3026.9450821711889</c:v>
                </c:pt>
                <c:pt idx="576">
                  <c:v>3032.7710023421705</c:v>
                </c:pt>
                <c:pt idx="577">
                  <c:v>3038.6081355827382</c:v>
                </c:pt>
                <c:pt idx="578">
                  <c:v>3044.4565034745342</c:v>
                </c:pt>
                <c:pt idx="579">
                  <c:v>3050.3161276407409</c:v>
                </c:pt>
                <c:pt idx="580">
                  <c:v>3056.1870297461555</c:v>
                </c:pt>
                <c:pt idx="581">
                  <c:v>3062.0692314972757</c:v>
                </c:pt>
                <c:pt idx="582">
                  <c:v>3067.9627546423758</c:v>
                </c:pt>
                <c:pt idx="583">
                  <c:v>3073.8676209715895</c:v>
                </c:pt>
                <c:pt idx="584">
                  <c:v>3079.7838523169899</c:v>
                </c:pt>
                <c:pt idx="585">
                  <c:v>3085.7114705526697</c:v>
                </c:pt>
                <c:pt idx="586">
                  <c:v>3091.650497594821</c:v>
                </c:pt>
                <c:pt idx="587">
                  <c:v>3097.6009554018206</c:v>
                </c:pt>
                <c:pt idx="588">
                  <c:v>3103.5628659743047</c:v>
                </c:pt>
                <c:pt idx="589">
                  <c:v>3109.5362513552582</c:v>
                </c:pt>
                <c:pt idx="590">
                  <c:v>3115.5211336300881</c:v>
                </c:pt>
                <c:pt idx="591">
                  <c:v>3121.5175349267101</c:v>
                </c:pt>
                <c:pt idx="592">
                  <c:v>3127.5254774156301</c:v>
                </c:pt>
                <c:pt idx="593">
                  <c:v>3133.5449833100233</c:v>
                </c:pt>
                <c:pt idx="594">
                  <c:v>3139.5760748658208</c:v>
                </c:pt>
                <c:pt idx="595">
                  <c:v>3145.6187743817873</c:v>
                </c:pt>
                <c:pt idx="596">
                  <c:v>3151.6731041996068</c:v>
                </c:pt>
                <c:pt idx="597">
                  <c:v>3157.7390867039626</c:v>
                </c:pt>
                <c:pt idx="598">
                  <c:v>3163.8167443226243</c:v>
                </c:pt>
                <c:pt idx="599">
                  <c:v>3169.906099526524</c:v>
                </c:pt>
                <c:pt idx="600">
                  <c:v>3176.0071748298478</c:v>
                </c:pt>
                <c:pt idx="601">
                  <c:v>3182.1199927901089</c:v>
                </c:pt>
                <c:pt idx="602">
                  <c:v>3188.2445760082437</c:v>
                </c:pt>
                <c:pt idx="603">
                  <c:v>3194.3809471286827</c:v>
                </c:pt>
                <c:pt idx="604">
                  <c:v>3200.5291288394424</c:v>
                </c:pt>
                <c:pt idx="605">
                  <c:v>3206.6891438722041</c:v>
                </c:pt>
                <c:pt idx="606">
                  <c:v>3212.8610150024047</c:v>
                </c:pt>
                <c:pt idx="607">
                  <c:v>3219.044765049312</c:v>
                </c:pt>
                <c:pt idx="608">
                  <c:v>3225.2404168761186</c:v>
                </c:pt>
                <c:pt idx="609">
                  <c:v>3231.4479933900157</c:v>
                </c:pt>
                <c:pt idx="610">
                  <c:v>3237.6675175422902</c:v>
                </c:pt>
                <c:pt idx="611">
                  <c:v>3243.899012328397</c:v>
                </c:pt>
                <c:pt idx="612">
                  <c:v>3250.1425007880543</c:v>
                </c:pt>
                <c:pt idx="613">
                  <c:v>3256.3980060053218</c:v>
                </c:pt>
                <c:pt idx="614">
                  <c:v>3262.6655511086919</c:v>
                </c:pt>
                <c:pt idx="615">
                  <c:v>3268.9451592711689</c:v>
                </c:pt>
                <c:pt idx="616">
                  <c:v>3275.2368537103598</c:v>
                </c:pt>
                <c:pt idx="617">
                  <c:v>3281.5406576885562</c:v>
                </c:pt>
                <c:pt idx="618">
                  <c:v>3287.8565945128253</c:v>
                </c:pt>
                <c:pt idx="619">
                  <c:v>3294.1846875350907</c:v>
                </c:pt>
                <c:pt idx="620">
                  <c:v>3300.5249601522223</c:v>
                </c:pt>
                <c:pt idx="621">
                  <c:v>3306.87743580612</c:v>
                </c:pt>
                <c:pt idx="622">
                  <c:v>3313.2421379838056</c:v>
                </c:pt>
                <c:pt idx="623">
                  <c:v>3319.6190902175013</c:v>
                </c:pt>
                <c:pt idx="624">
                  <c:v>3326.0083160847257</c:v>
                </c:pt>
                <c:pt idx="625">
                  <c:v>3332.4098392083729</c:v>
                </c:pt>
                <c:pt idx="626">
                  <c:v>3338.8236832568077</c:v>
                </c:pt>
                <c:pt idx="627">
                  <c:v>3345.2498719439459</c:v>
                </c:pt>
                <c:pt idx="628">
                  <c:v>3351.6884290293474</c:v>
                </c:pt>
                <c:pt idx="629">
                  <c:v>3358.1393783182989</c:v>
                </c:pt>
                <c:pt idx="630">
                  <c:v>3364.6027436619083</c:v>
                </c:pt>
                <c:pt idx="631">
                  <c:v>3371.0785489571863</c:v>
                </c:pt>
                <c:pt idx="632">
                  <c:v>3377.5668181471406</c:v>
                </c:pt>
                <c:pt idx="633">
                  <c:v>3384.067575220859</c:v>
                </c:pt>
                <c:pt idx="634">
                  <c:v>3390.5808442136035</c:v>
                </c:pt>
                <c:pt idx="635">
                  <c:v>3397.1066492068935</c:v>
                </c:pt>
                <c:pt idx="636">
                  <c:v>3403.6450143286011</c:v>
                </c:pt>
                <c:pt idx="637">
                  <c:v>3410.1959637530335</c:v>
                </c:pt>
                <c:pt idx="638">
                  <c:v>3416.7595217010285</c:v>
                </c:pt>
                <c:pt idx="639">
                  <c:v>3423.33571244004</c:v>
                </c:pt>
                <c:pt idx="640">
                  <c:v>3429.9245602842311</c:v>
                </c:pt>
                <c:pt idx="641">
                  <c:v>3436.5260895945585</c:v>
                </c:pt>
                <c:pt idx="642">
                  <c:v>3443.1403247788703</c:v>
                </c:pt>
                <c:pt idx="643">
                  <c:v>3449.7672902919876</c:v>
                </c:pt>
                <c:pt idx="644">
                  <c:v>3456.4070106358045</c:v>
                </c:pt>
                <c:pt idx="645">
                  <c:v>3463.0595103593673</c:v>
                </c:pt>
                <c:pt idx="646">
                  <c:v>3469.7248140589782</c:v>
                </c:pt>
                <c:pt idx="647">
                  <c:v>3476.402946378274</c:v>
                </c:pt>
                <c:pt idx="648">
                  <c:v>3483.0939320083271</c:v>
                </c:pt>
                <c:pt idx="649">
                  <c:v>3489.7977956877289</c:v>
                </c:pt>
                <c:pt idx="650">
                  <c:v>3496.514562202688</c:v>
                </c:pt>
                <c:pt idx="651">
                  <c:v>3503.2442563871136</c:v>
                </c:pt>
                <c:pt idx="652">
                  <c:v>3509.9869031227213</c:v>
                </c:pt>
                <c:pt idx="653">
                  <c:v>3516.7425273391059</c:v>
                </c:pt>
                <c:pt idx="654">
                  <c:v>3523.5111540138523</c:v>
                </c:pt>
                <c:pt idx="655">
                  <c:v>3530.2928081726136</c:v>
                </c:pt>
                <c:pt idx="656">
                  <c:v>3537.0875148892133</c:v>
                </c:pt>
                <c:pt idx="657">
                  <c:v>3543.8952992857303</c:v>
                </c:pt>
                <c:pt idx="658">
                  <c:v>3550.7161865326007</c:v>
                </c:pt>
                <c:pt idx="659">
                  <c:v>3557.5502018487005</c:v>
                </c:pt>
                <c:pt idx="660">
                  <c:v>3564.3973705014487</c:v>
                </c:pt>
                <c:pt idx="661">
                  <c:v>3571.2577178068918</c:v>
                </c:pt>
                <c:pt idx="662">
                  <c:v>3578.1312691298062</c:v>
                </c:pt>
                <c:pt idx="663">
                  <c:v>3585.0180498837826</c:v>
                </c:pt>
                <c:pt idx="664">
                  <c:v>3591.9180855313316</c:v>
                </c:pt>
                <c:pt idx="665">
                  <c:v>3598.8314015839642</c:v>
                </c:pt>
                <c:pt idx="666">
                  <c:v>3605.7580236022968</c:v>
                </c:pt>
                <c:pt idx="667">
                  <c:v>3612.697977196141</c:v>
                </c:pt>
                <c:pt idx="668">
                  <c:v>3619.6512880246009</c:v>
                </c:pt>
                <c:pt idx="669">
                  <c:v>3626.6179817961629</c:v>
                </c:pt>
                <c:pt idx="670">
                  <c:v>3633.5980842687977</c:v>
                </c:pt>
                <c:pt idx="671">
                  <c:v>3640.5916212500492</c:v>
                </c:pt>
                <c:pt idx="672">
                  <c:v>3647.5986185971356</c:v>
                </c:pt>
                <c:pt idx="673">
                  <c:v>3654.6191022170387</c:v>
                </c:pt>
                <c:pt idx="674">
                  <c:v>3661.6530980666053</c:v>
                </c:pt>
                <c:pt idx="675">
                  <c:v>3668.7006321526428</c:v>
                </c:pt>
                <c:pt idx="676">
                  <c:v>3675.7617305320096</c:v>
                </c:pt>
                <c:pt idx="677">
                  <c:v>3682.8364193117186</c:v>
                </c:pt>
                <c:pt idx="678">
                  <c:v>3689.9247246490272</c:v>
                </c:pt>
                <c:pt idx="679">
                  <c:v>3697.0266727515409</c:v>
                </c:pt>
                <c:pt idx="680">
                  <c:v>3704.142289877303</c:v>
                </c:pt>
                <c:pt idx="681">
                  <c:v>3711.2716023349003</c:v>
                </c:pt>
                <c:pt idx="682">
                  <c:v>3718.4146364835492</c:v>
                </c:pt>
                <c:pt idx="683">
                  <c:v>3725.5714187332046</c:v>
                </c:pt>
                <c:pt idx="684">
                  <c:v>3732.741975544649</c:v>
                </c:pt>
                <c:pt idx="685">
                  <c:v>3739.9263334295956</c:v>
                </c:pt>
                <c:pt idx="686">
                  <c:v>3747.1245189507827</c:v>
                </c:pt>
                <c:pt idx="687">
                  <c:v>3754.3365587220751</c:v>
                </c:pt>
                <c:pt idx="688">
                  <c:v>3761.5624794085588</c:v>
                </c:pt>
                <c:pt idx="689">
                  <c:v>3768.8023077266453</c:v>
                </c:pt>
                <c:pt idx="690">
                  <c:v>3776.0560704441632</c:v>
                </c:pt>
                <c:pt idx="691">
                  <c:v>3783.3237943804629</c:v>
                </c:pt>
                <c:pt idx="692">
                  <c:v>3790.6055064065117</c:v>
                </c:pt>
                <c:pt idx="693">
                  <c:v>3797.9012334449981</c:v>
                </c:pt>
                <c:pt idx="694">
                  <c:v>3805.2110024704252</c:v>
                </c:pt>
                <c:pt idx="695">
                  <c:v>3812.5348405092159</c:v>
                </c:pt>
                <c:pt idx="696">
                  <c:v>3819.8727746398081</c:v>
                </c:pt>
                <c:pt idx="697">
                  <c:v>3827.2248319927608</c:v>
                </c:pt>
                <c:pt idx="698">
                  <c:v>3834.591039750846</c:v>
                </c:pt>
                <c:pt idx="699">
                  <c:v>3841.9714251491591</c:v>
                </c:pt>
                <c:pt idx="700">
                  <c:v>3849.3660154752092</c:v>
                </c:pt>
                <c:pt idx="701">
                  <c:v>3856.7748380690323</c:v>
                </c:pt>
                <c:pt idx="702">
                  <c:v>3864.1979203232777</c:v>
                </c:pt>
                <c:pt idx="703">
                  <c:v>3871.6352896833228</c:v>
                </c:pt>
                <c:pt idx="704">
                  <c:v>3879.0869736473646</c:v>
                </c:pt>
                <c:pt idx="705">
                  <c:v>3886.552999766529</c:v>
                </c:pt>
                <c:pt idx="706">
                  <c:v>3894.0333956449658</c:v>
                </c:pt>
                <c:pt idx="707">
                  <c:v>3901.5281889399585</c:v>
                </c:pt>
                <c:pt idx="708">
                  <c:v>3909.0374073620164</c:v>
                </c:pt>
                <c:pt idx="709">
                  <c:v>3916.5610786749889</c:v>
                </c:pt>
                <c:pt idx="710">
                  <c:v>3924.0992306961571</c:v>
                </c:pt>
                <c:pt idx="711">
                  <c:v>3931.6518912963456</c:v>
                </c:pt>
                <c:pt idx="712">
                  <c:v>3939.219088400017</c:v>
                </c:pt>
                <c:pt idx="713">
                  <c:v>3946.8008499853863</c:v>
                </c:pt>
                <c:pt idx="714">
                  <c:v>3954.397204084511</c:v>
                </c:pt>
                <c:pt idx="715">
                  <c:v>3962.0081787834069</c:v>
                </c:pt>
                <c:pt idx="716">
                  <c:v>3969.6338022221421</c:v>
                </c:pt>
                <c:pt idx="717">
                  <c:v>3977.274102594949</c:v>
                </c:pt>
                <c:pt idx="718">
                  <c:v>3984.929108150322</c:v>
                </c:pt>
                <c:pt idx="719">
                  <c:v>3992.5988471911292</c:v>
                </c:pt>
                <c:pt idx="720">
                  <c:v>4000.2833480747081</c:v>
                </c:pt>
                <c:pt idx="721">
                  <c:v>4007.9826392129785</c:v>
                </c:pt>
                <c:pt idx="722">
                  <c:v>4015.6967490725428</c:v>
                </c:pt>
                <c:pt idx="723">
                  <c:v>4023.425706174793</c:v>
                </c:pt>
                <c:pt idx="724">
                  <c:v>4031.1695390960153</c:v>
                </c:pt>
                <c:pt idx="725">
                  <c:v>4038.9282764674972</c:v>
                </c:pt>
                <c:pt idx="726">
                  <c:v>4046.7019469756328</c:v>
                </c:pt>
                <c:pt idx="727">
                  <c:v>4054.4905793620283</c:v>
                </c:pt>
                <c:pt idx="728">
                  <c:v>4062.2942024236054</c:v>
                </c:pt>
                <c:pt idx="729">
                  <c:v>4070.1128450127167</c:v>
                </c:pt>
                <c:pt idx="730">
                  <c:v>4077.9465360372401</c:v>
                </c:pt>
                <c:pt idx="731">
                  <c:v>4085.7953044606984</c:v>
                </c:pt>
                <c:pt idx="732">
                  <c:v>4093.659179302354</c:v>
                </c:pt>
                <c:pt idx="733">
                  <c:v>4101.5381896373274</c:v>
                </c:pt>
                <c:pt idx="734">
                  <c:v>4109.4323645966961</c:v>
                </c:pt>
                <c:pt idx="735">
                  <c:v>4117.341733367608</c:v>
                </c:pt>
                <c:pt idx="736">
                  <c:v>4125.2663251933855</c:v>
                </c:pt>
                <c:pt idx="737">
                  <c:v>4133.2061693736368</c:v>
                </c:pt>
                <c:pt idx="738">
                  <c:v>4141.16129526436</c:v>
                </c:pt>
                <c:pt idx="739">
                  <c:v>4149.1317322780596</c:v>
                </c:pt>
                <c:pt idx="740">
                  <c:v>4157.1175098838421</c:v>
                </c:pt>
                <c:pt idx="741">
                  <c:v>4165.1186576075415</c:v>
                </c:pt>
                <c:pt idx="742">
                  <c:v>4173.1352050318119</c:v>
                </c:pt>
                <c:pt idx="743">
                  <c:v>4181.1671817962506</c:v>
                </c:pt>
                <c:pt idx="744">
                  <c:v>4189.2146175974976</c:v>
                </c:pt>
                <c:pt idx="745">
                  <c:v>4197.2775421893539</c:v>
                </c:pt>
                <c:pt idx="746">
                  <c:v>4205.355985382881</c:v>
                </c:pt>
                <c:pt idx="747">
                  <c:v>4213.4499770465254</c:v>
                </c:pt>
                <c:pt idx="748">
                  <c:v>4221.5595471062134</c:v>
                </c:pt>
                <c:pt idx="749">
                  <c:v>4229.6847255454768</c:v>
                </c:pt>
                <c:pt idx="750">
                  <c:v>4237.825542405546</c:v>
                </c:pt>
                <c:pt idx="751">
                  <c:v>4245.9820277854851</c:v>
                </c:pt>
                <c:pt idx="752">
                  <c:v>4254.1542118422749</c:v>
                </c:pt>
                <c:pt idx="753">
                  <c:v>4262.3421247909509</c:v>
                </c:pt>
                <c:pt idx="754">
                  <c:v>4270.5457969046965</c:v>
                </c:pt>
                <c:pt idx="755">
                  <c:v>4278.7652585149626</c:v>
                </c:pt>
                <c:pt idx="756">
                  <c:v>4287.0005400115788</c:v>
                </c:pt>
                <c:pt idx="757">
                  <c:v>4295.2516718428669</c:v>
                </c:pt>
                <c:pt idx="758">
                  <c:v>4303.5186845157505</c:v>
                </c:pt>
                <c:pt idx="759">
                  <c:v>4311.8016085958707</c:v>
                </c:pt>
                <c:pt idx="760">
                  <c:v>4320.1004747076968</c:v>
                </c:pt>
                <c:pt idx="761">
                  <c:v>4328.4153135346414</c:v>
                </c:pt>
                <c:pt idx="762">
                  <c:v>4336.7461558191744</c:v>
                </c:pt>
                <c:pt idx="763">
                  <c:v>4345.09303236293</c:v>
                </c:pt>
                <c:pt idx="764">
                  <c:v>4353.4559740268342</c:v>
                </c:pt>
                <c:pt idx="765">
                  <c:v>4361.835011731202</c:v>
                </c:pt>
                <c:pt idx="766">
                  <c:v>4370.2301764558661</c:v>
                </c:pt>
                <c:pt idx="767">
                  <c:v>4378.6414992402833</c:v>
                </c:pt>
                <c:pt idx="768">
                  <c:v>4387.0690111836548</c:v>
                </c:pt>
                <c:pt idx="769">
                  <c:v>4395.5127434450296</c:v>
                </c:pt>
                <c:pt idx="770">
                  <c:v>4403.9727272434411</c:v>
                </c:pt>
                <c:pt idx="771">
                  <c:v>4412.4489938579964</c:v>
                </c:pt>
                <c:pt idx="772">
                  <c:v>4420.9415746280138</c:v>
                </c:pt>
                <c:pt idx="773">
                  <c:v>4429.4505009531258</c:v>
                </c:pt>
                <c:pt idx="774">
                  <c:v>4437.9758042934045</c:v>
                </c:pt>
                <c:pt idx="775">
                  <c:v>4446.5175161694615</c:v>
                </c:pt>
                <c:pt idx="776">
                  <c:v>4455.0756681625917</c:v>
                </c:pt>
                <c:pt idx="777">
                  <c:v>4463.6502919148606</c:v>
                </c:pt>
                <c:pt idx="778">
                  <c:v>4472.2414191292419</c:v>
                </c:pt>
                <c:pt idx="779">
                  <c:v>4480.8490815697223</c:v>
                </c:pt>
                <c:pt idx="780">
                  <c:v>4489.4733110614316</c:v>
                </c:pt>
                <c:pt idx="781">
                  <c:v>4498.1141394907454</c:v>
                </c:pt>
                <c:pt idx="782">
                  <c:v>4506.771598805416</c:v>
                </c:pt>
                <c:pt idx="783">
                  <c:v>4515.4457210146811</c:v>
                </c:pt>
                <c:pt idx="784">
                  <c:v>4524.1365381893902</c:v>
                </c:pt>
                <c:pt idx="785">
                  <c:v>4532.8440824621148</c:v>
                </c:pt>
                <c:pt idx="786">
                  <c:v>4541.5683860272766</c:v>
                </c:pt>
                <c:pt idx="787">
                  <c:v>4550.3094811412548</c:v>
                </c:pt>
                <c:pt idx="788">
                  <c:v>4559.0674001225188</c:v>
                </c:pt>
                <c:pt idx="789">
                  <c:v>4567.8421753517368</c:v>
                </c:pt>
                <c:pt idx="790">
                  <c:v>4576.6338392719008</c:v>
                </c:pt>
                <c:pt idx="791">
                  <c:v>4585.4424243884459</c:v>
                </c:pt>
                <c:pt idx="792">
                  <c:v>4594.2679632693698</c:v>
                </c:pt>
                <c:pt idx="793">
                  <c:v>4603.1104885453506</c:v>
                </c:pt>
                <c:pt idx="794">
                  <c:v>4611.970032909876</c:v>
                </c:pt>
                <c:pt idx="795">
                  <c:v>4620.8466291193517</c:v>
                </c:pt>
                <c:pt idx="796">
                  <c:v>4629.7403099932344</c:v>
                </c:pt>
                <c:pt idx="797">
                  <c:v>4638.6511084141466</c:v>
                </c:pt>
                <c:pt idx="798">
                  <c:v>4647.5790573279974</c:v>
                </c:pt>
                <c:pt idx="799">
                  <c:v>4656.5241897441083</c:v>
                </c:pt>
                <c:pt idx="800">
                  <c:v>4665.4865387353348</c:v>
                </c:pt>
                <c:pt idx="801">
                  <c:v>4674.4661374381849</c:v>
                </c:pt>
                <c:pt idx="802">
                  <c:v>4683.4630190529451</c:v>
                </c:pt>
                <c:pt idx="803">
                  <c:v>4692.4772168438003</c:v>
                </c:pt>
                <c:pt idx="804">
                  <c:v>4701.5087641389619</c:v>
                </c:pt>
                <c:pt idx="805">
                  <c:v>4710.5576943307824</c:v>
                </c:pt>
                <c:pt idx="806">
                  <c:v>4719.6240408758913</c:v>
                </c:pt>
                <c:pt idx="807">
                  <c:v>4728.7078372953047</c:v>
                </c:pt>
                <c:pt idx="808">
                  <c:v>4737.8091171745618</c:v>
                </c:pt>
                <c:pt idx="809">
                  <c:v>4746.9279141638381</c:v>
                </c:pt>
                <c:pt idx="810">
                  <c:v>4756.0642619780801</c:v>
                </c:pt>
                <c:pt idx="811">
                  <c:v>4765.2181943971209</c:v>
                </c:pt>
                <c:pt idx="812">
                  <c:v>4774.3897452658121</c:v>
                </c:pt>
                <c:pt idx="813">
                  <c:v>4783.5789484941442</c:v>
                </c:pt>
                <c:pt idx="814">
                  <c:v>4792.7858380573762</c:v>
                </c:pt>
                <c:pt idx="815">
                  <c:v>4802.0104479961547</c:v>
                </c:pt>
                <c:pt idx="816">
                  <c:v>4811.2528124166483</c:v>
                </c:pt>
                <c:pt idx="817">
                  <c:v>4820.5129654906659</c:v>
                </c:pt>
                <c:pt idx="818">
                  <c:v>4829.7909414557898</c:v>
                </c:pt>
                <c:pt idx="819">
                  <c:v>4839.0867746154945</c:v>
                </c:pt>
                <c:pt idx="820">
                  <c:v>4848.4004993392819</c:v>
                </c:pt>
                <c:pt idx="821">
                  <c:v>4857.7321500628013</c:v>
                </c:pt>
                <c:pt idx="822">
                  <c:v>4867.0817612879846</c:v>
                </c:pt>
                <c:pt idx="823">
                  <c:v>4876.4493675831618</c:v>
                </c:pt>
                <c:pt idx="824">
                  <c:v>4885.8350035832054</c:v>
                </c:pt>
                <c:pt idx="825">
                  <c:v>4895.2387039896366</c:v>
                </c:pt>
                <c:pt idx="826">
                  <c:v>4904.6605035707807</c:v>
                </c:pt>
                <c:pt idx="827">
                  <c:v>4914.1004371618701</c:v>
                </c:pt>
                <c:pt idx="828">
                  <c:v>4923.5585396651886</c:v>
                </c:pt>
                <c:pt idx="829">
                  <c:v>4933.0348460501955</c:v>
                </c:pt>
                <c:pt idx="830">
                  <c:v>4942.5293913536561</c:v>
                </c:pt>
                <c:pt idx="831">
                  <c:v>4952.0422106797687</c:v>
                </c:pt>
                <c:pt idx="832">
                  <c:v>4961.5733392002958</c:v>
                </c:pt>
                <c:pt idx="833">
                  <c:v>4971.1228121546974</c:v>
                </c:pt>
                <c:pt idx="834">
                  <c:v>4980.6906648502563</c:v>
                </c:pt>
                <c:pt idx="835">
                  <c:v>4990.276932662211</c:v>
                </c:pt>
                <c:pt idx="836">
                  <c:v>4999.8816510338875</c:v>
                </c:pt>
                <c:pt idx="837">
                  <c:v>5009.5048554768246</c:v>
                </c:pt>
                <c:pt idx="838">
                  <c:v>5019.1465815709171</c:v>
                </c:pt>
                <c:pt idx="839">
                  <c:v>5028.8068649645329</c:v>
                </c:pt>
                <c:pt idx="840">
                  <c:v>5038.4857413746586</c:v>
                </c:pt>
                <c:pt idx="841">
                  <c:v>5048.1832465870166</c:v>
                </c:pt>
                <c:pt idx="842">
                  <c:v>5057.8994164562127</c:v>
                </c:pt>
                <c:pt idx="843">
                  <c:v>5067.634286905859</c:v>
                </c:pt>
                <c:pt idx="844">
                  <c:v>5077.3878939287079</c:v>
                </c:pt>
                <c:pt idx="845">
                  <c:v>5087.1602735867891</c:v>
                </c:pt>
                <c:pt idx="846">
                  <c:v>5096.9514620115378</c:v>
                </c:pt>
                <c:pt idx="847">
                  <c:v>5106.7614954039354</c:v>
                </c:pt>
                <c:pt idx="848">
                  <c:v>5116.5904100346297</c:v>
                </c:pt>
                <c:pt idx="849">
                  <c:v>5126.4382422440913</c:v>
                </c:pt>
                <c:pt idx="850">
                  <c:v>5136.3050284427218</c:v>
                </c:pt>
                <c:pt idx="851">
                  <c:v>5146.1908051110113</c:v>
                </c:pt>
                <c:pt idx="852">
                  <c:v>5156.0956087996574</c:v>
                </c:pt>
                <c:pt idx="853">
                  <c:v>5166.0194761297089</c:v>
                </c:pt>
                <c:pt idx="854">
                  <c:v>5175.9624437926959</c:v>
                </c:pt>
                <c:pt idx="855">
                  <c:v>5185.9245485507745</c:v>
                </c:pt>
                <c:pt idx="856">
                  <c:v>5195.9058272368475</c:v>
                </c:pt>
                <c:pt idx="857">
                  <c:v>5205.9063167547192</c:v>
                </c:pt>
                <c:pt idx="858">
                  <c:v>5215.926054079212</c:v>
                </c:pt>
                <c:pt idx="859">
                  <c:v>5225.9650762563224</c:v>
                </c:pt>
                <c:pt idx="860">
                  <c:v>5236.0234204033422</c:v>
                </c:pt>
                <c:pt idx="861">
                  <c:v>5246.1011237090061</c:v>
                </c:pt>
                <c:pt idx="862">
                  <c:v>5256.1982234336238</c:v>
                </c:pt>
                <c:pt idx="863">
                  <c:v>5266.3147569092225</c:v>
                </c:pt>
                <c:pt idx="864">
                  <c:v>5276.450761539676</c:v>
                </c:pt>
                <c:pt idx="865">
                  <c:v>5286.6062748008553</c:v>
                </c:pt>
                <c:pt idx="866">
                  <c:v>5296.7813342407526</c:v>
                </c:pt>
                <c:pt idx="867">
                  <c:v>5306.9759774796394</c:v>
                </c:pt>
                <c:pt idx="868">
                  <c:v>5317.1902422101821</c:v>
                </c:pt>
                <c:pt idx="869">
                  <c:v>5327.4241661976048</c:v>
                </c:pt>
                <c:pt idx="870">
                  <c:v>5337.6777872798084</c:v>
                </c:pt>
                <c:pt idx="871">
                  <c:v>5347.9511433675289</c:v>
                </c:pt>
                <c:pt idx="872">
                  <c:v>5358.24427244446</c:v>
                </c:pt>
                <c:pt idx="873">
                  <c:v>5368.557212567408</c:v>
                </c:pt>
                <c:pt idx="874">
                  <c:v>5378.8900018664217</c:v>
                </c:pt>
                <c:pt idx="875">
                  <c:v>5389.242678544947</c:v>
                </c:pt>
                <c:pt idx="876">
                  <c:v>5399.6152808799479</c:v>
                </c:pt>
                <c:pt idx="877">
                  <c:v>5410.0078472220694</c:v>
                </c:pt>
                <c:pt idx="878">
                  <c:v>5420.4204159957626</c:v>
                </c:pt>
                <c:pt idx="879">
                  <c:v>5430.8530256994381</c:v>
                </c:pt>
                <c:pt idx="880">
                  <c:v>5441.3057149056012</c:v>
                </c:pt>
                <c:pt idx="881">
                  <c:v>5451.778522261</c:v>
                </c:pt>
                <c:pt idx="882">
                  <c:v>5462.2714864867603</c:v>
                </c:pt>
                <c:pt idx="883">
                  <c:v>5472.7846463785409</c:v>
                </c:pt>
                <c:pt idx="884">
                  <c:v>5483.3180408066637</c:v>
                </c:pt>
                <c:pt idx="885">
                  <c:v>5493.8717087162686</c:v>
                </c:pt>
                <c:pt idx="886">
                  <c:v>5504.4456891274458</c:v>
                </c:pt>
                <c:pt idx="887">
                  <c:v>5515.0400211353999</c:v>
                </c:pt>
                <c:pt idx="888">
                  <c:v>5525.654743910567</c:v>
                </c:pt>
                <c:pt idx="889">
                  <c:v>5536.289896698785</c:v>
                </c:pt>
                <c:pt idx="890">
                  <c:v>5546.9455188214179</c:v>
                </c:pt>
                <c:pt idx="891">
                  <c:v>5557.6216496755196</c:v>
                </c:pt>
                <c:pt idx="892">
                  <c:v>5568.3183287339671</c:v>
                </c:pt>
                <c:pt idx="893">
                  <c:v>5579.0355955456107</c:v>
                </c:pt>
                <c:pt idx="894">
                  <c:v>5589.7734897354176</c:v>
                </c:pt>
                <c:pt idx="895">
                  <c:v>5600.5320510046276</c:v>
                </c:pt>
                <c:pt idx="896">
                  <c:v>5611.3113191308839</c:v>
                </c:pt>
                <c:pt idx="897">
                  <c:v>5622.1113339683961</c:v>
                </c:pt>
                <c:pt idx="898">
                  <c:v>5632.9321354480762</c:v>
                </c:pt>
                <c:pt idx="899">
                  <c:v>5643.7737635776957</c:v>
                </c:pt>
                <c:pt idx="900">
                  <c:v>5654.6362584420222</c:v>
                </c:pt>
                <c:pt idx="901">
                  <c:v>5665.519660202981</c:v>
                </c:pt>
                <c:pt idx="902">
                  <c:v>5676.4240090997873</c:v>
                </c:pt>
                <c:pt idx="903">
                  <c:v>5687.3493454491145</c:v>
                </c:pt>
                <c:pt idx="904">
                  <c:v>5698.2957096452255</c:v>
                </c:pt>
                <c:pt idx="905">
                  <c:v>5709.2631421601327</c:v>
                </c:pt>
                <c:pt idx="906">
                  <c:v>5720.2516835437427</c:v>
                </c:pt>
                <c:pt idx="907">
                  <c:v>5731.2613744240107</c:v>
                </c:pt>
                <c:pt idx="908">
                  <c:v>5742.2922555070836</c:v>
                </c:pt>
                <c:pt idx="909">
                  <c:v>5753.3443675774615</c:v>
                </c:pt>
                <c:pt idx="910">
                  <c:v>5764.4177514981338</c:v>
                </c:pt>
                <c:pt idx="911">
                  <c:v>5775.512448210744</c:v>
                </c:pt>
                <c:pt idx="912">
                  <c:v>5786.6284987357349</c:v>
                </c:pt>
                <c:pt idx="913">
                  <c:v>5797.7659441724991</c:v>
                </c:pt>
                <c:pt idx="914">
                  <c:v>5808.9248256995334</c:v>
                </c:pt>
                <c:pt idx="915">
                  <c:v>5820.1051845745897</c:v>
                </c:pt>
                <c:pt idx="916">
                  <c:v>5831.3070621348279</c:v>
                </c:pt>
                <c:pt idx="917">
                  <c:v>5842.5304997969724</c:v>
                </c:pt>
                <c:pt idx="918">
                  <c:v>5853.7755390574557</c:v>
                </c:pt>
                <c:pt idx="919">
                  <c:v>5865.0422214925838</c:v>
                </c:pt>
                <c:pt idx="920">
                  <c:v>5876.3305887586803</c:v>
                </c:pt>
                <c:pt idx="921">
                  <c:v>5887.6406825922468</c:v>
                </c:pt>
                <c:pt idx="922">
                  <c:v>5898.9725448101117</c:v>
                </c:pt>
                <c:pt idx="923">
                  <c:v>5910.32621730959</c:v>
                </c:pt>
                <c:pt idx="924">
                  <c:v>5921.7017420686325</c:v>
                </c:pt>
                <c:pt idx="925">
                  <c:v>5933.0991611459931</c:v>
                </c:pt>
                <c:pt idx="926">
                  <c:v>5944.5185166813626</c:v>
                </c:pt>
                <c:pt idx="927">
                  <c:v>5955.9598508955496</c:v>
                </c:pt>
                <c:pt idx="928">
                  <c:v>5967.4232060906179</c:v>
                </c:pt>
                <c:pt idx="929">
                  <c:v>5978.9086246500474</c:v>
                </c:pt>
                <c:pt idx="930">
                  <c:v>5990.4161490389024</c:v>
                </c:pt>
                <c:pt idx="931">
                  <c:v>6001.945821803969</c:v>
                </c:pt>
                <c:pt idx="932">
                  <c:v>6013.4976855739287</c:v>
                </c:pt>
                <c:pt idx="933">
                  <c:v>6025.0717830595049</c:v>
                </c:pt>
                <c:pt idx="934">
                  <c:v>6036.6681570536321</c:v>
                </c:pt>
                <c:pt idx="935">
                  <c:v>6048.2868504316011</c:v>
                </c:pt>
                <c:pt idx="936">
                  <c:v>6059.9279061512316</c:v>
                </c:pt>
                <c:pt idx="937">
                  <c:v>6071.5913672530151</c:v>
                </c:pt>
                <c:pt idx="938">
                  <c:v>6083.2772768602908</c:v>
                </c:pt>
                <c:pt idx="939">
                  <c:v>6094.9856781793906</c:v>
                </c:pt>
                <c:pt idx="940">
                  <c:v>6106.7166144998091</c:v>
                </c:pt>
                <c:pt idx="941">
                  <c:v>6118.4701291943538</c:v>
                </c:pt>
                <c:pt idx="942">
                  <c:v>6130.2462657193219</c:v>
                </c:pt>
                <c:pt idx="943">
                  <c:v>6142.0450676146374</c:v>
                </c:pt>
                <c:pt idx="944">
                  <c:v>6153.8665785040366</c:v>
                </c:pt>
                <c:pt idx="945">
                  <c:v>6165.7108420952072</c:v>
                </c:pt>
                <c:pt idx="946">
                  <c:v>6177.5779021799717</c:v>
                </c:pt>
                <c:pt idx="947">
                  <c:v>6189.4678026344263</c:v>
                </c:pt>
                <c:pt idx="948">
                  <c:v>6201.3805874191266</c:v>
                </c:pt>
                <c:pt idx="949">
                  <c:v>6213.3163005792285</c:v>
                </c:pt>
                <c:pt idx="950">
                  <c:v>6225.2749862446699</c:v>
                </c:pt>
                <c:pt idx="951">
                  <c:v>6237.2566886303157</c:v>
                </c:pt>
                <c:pt idx="952">
                  <c:v>6249.2614520361385</c:v>
                </c:pt>
                <c:pt idx="953">
                  <c:v>6261.2893208473697</c:v>
                </c:pt>
                <c:pt idx="954">
                  <c:v>6273.3403395346713</c:v>
                </c:pt>
                <c:pt idx="955">
                  <c:v>6285.4145526542934</c:v>
                </c:pt>
                <c:pt idx="956">
                  <c:v>6297.5120048482495</c:v>
                </c:pt>
                <c:pt idx="957">
                  <c:v>6309.6327408444658</c:v>
                </c:pt>
                <c:pt idx="958">
                  <c:v>6321.776805456966</c:v>
                </c:pt>
                <c:pt idx="959">
                  <c:v>6333.9442435860174</c:v>
                </c:pt>
                <c:pt idx="960">
                  <c:v>6346.1351002183137</c:v>
                </c:pt>
                <c:pt idx="961">
                  <c:v>6358.3494204271274</c:v>
                </c:pt>
                <c:pt idx="962">
                  <c:v>6370.5872493724901</c:v>
                </c:pt>
                <c:pt idx="963">
                  <c:v>6382.8486323013458</c:v>
                </c:pt>
                <c:pt idx="964">
                  <c:v>6395.1336145477298</c:v>
                </c:pt>
                <c:pt idx="965">
                  <c:v>6407.4422415329245</c:v>
                </c:pt>
                <c:pt idx="966">
                  <c:v>6419.7745587656418</c:v>
                </c:pt>
                <c:pt idx="967">
                  <c:v>6432.130611842179</c:v>
                </c:pt>
                <c:pt idx="968">
                  <c:v>6444.5104464465931</c:v>
                </c:pt>
                <c:pt idx="969">
                  <c:v>6456.9141083508657</c:v>
                </c:pt>
                <c:pt idx="970">
                  <c:v>6469.3416434150831</c:v>
                </c:pt>
                <c:pt idx="971">
                  <c:v>6481.7930975875879</c:v>
                </c:pt>
                <c:pt idx="972">
                  <c:v>6494.2685169051665</c:v>
                </c:pt>
                <c:pt idx="973">
                  <c:v>6506.7679474932047</c:v>
                </c:pt>
                <c:pt idx="974">
                  <c:v>6519.2914355658759</c:v>
                </c:pt>
                <c:pt idx="975">
                  <c:v>6531.8390274262892</c:v>
                </c:pt>
                <c:pt idx="976">
                  <c:v>6544.4107694666827</c:v>
                </c:pt>
                <c:pt idx="977">
                  <c:v>6557.0067081685756</c:v>
                </c:pt>
                <c:pt idx="978">
                  <c:v>6569.626890102958</c:v>
                </c:pt>
                <c:pt idx="979">
                  <c:v>6582.2713619304486</c:v>
                </c:pt>
                <c:pt idx="980">
                  <c:v>6594.9401704014772</c:v>
                </c:pt>
                <c:pt idx="981">
                  <c:v>6607.6333623564497</c:v>
                </c:pt>
                <c:pt idx="982">
                  <c:v>6620.3509847259293</c:v>
                </c:pt>
                <c:pt idx="983">
                  <c:v>6633.0930845308012</c:v>
                </c:pt>
                <c:pt idx="984">
                  <c:v>6645.8597088824572</c:v>
                </c:pt>
                <c:pt idx="985">
                  <c:v>6658.6509049829538</c:v>
                </c:pt>
                <c:pt idx="986">
                  <c:v>6671.4667201252114</c:v>
                </c:pt>
                <c:pt idx="987">
                  <c:v>6684.3072016931592</c:v>
                </c:pt>
                <c:pt idx="988">
                  <c:v>6697.1723971619367</c:v>
                </c:pt>
                <c:pt idx="989">
                  <c:v>6710.0623540980496</c:v>
                </c:pt>
                <c:pt idx="990">
                  <c:v>6722.9771201595622</c:v>
                </c:pt>
                <c:pt idx="991">
                  <c:v>6735.9167430962598</c:v>
                </c:pt>
                <c:pt idx="992">
                  <c:v>6748.8812707498346</c:v>
                </c:pt>
                <c:pt idx="993">
                  <c:v>6761.8707510540553</c:v>
                </c:pt>
                <c:pt idx="994">
                  <c:v>6774.8852320349542</c:v>
                </c:pt>
                <c:pt idx="995">
                  <c:v>6787.9247618109903</c:v>
                </c:pt>
                <c:pt idx="996">
                  <c:v>6800.9893885932443</c:v>
                </c:pt>
                <c:pt idx="997">
                  <c:v>6814.0791606855782</c:v>
                </c:pt>
                <c:pt idx="998">
                  <c:v>6827.1941264848365</c:v>
                </c:pt>
                <c:pt idx="999">
                  <c:v>6840.334334481</c:v>
                </c:pt>
                <c:pt idx="1000">
                  <c:v>6853.4998332573869</c:v>
                </c:pt>
                <c:pt idx="1001">
                  <c:v>6866.6906714908164</c:v>
                </c:pt>
                <c:pt idx="1002">
                  <c:v>6879.9068979517988</c:v>
                </c:pt>
                <c:pt idx="1003">
                  <c:v>6893.1485615047113</c:v>
                </c:pt>
                <c:pt idx="1004">
                  <c:v>6906.4157111079803</c:v>
                </c:pt>
                <c:pt idx="1005">
                  <c:v>6919.7083958142612</c:v>
                </c:pt>
                <c:pt idx="1006">
                  <c:v>6933.0266647706221</c:v>
                </c:pt>
                <c:pt idx="1007">
                  <c:v>6946.3705672187189</c:v>
                </c:pt>
                <c:pt idx="1008">
                  <c:v>6959.7401524949901</c:v>
                </c:pt>
                <c:pt idx="1009">
                  <c:v>6973.1354700308229</c:v>
                </c:pt>
                <c:pt idx="1010">
                  <c:v>6986.5565693527524</c:v>
                </c:pt>
                <c:pt idx="1011">
                  <c:v>7000.0035000826274</c:v>
                </c:pt>
                <c:pt idx="1012">
                  <c:v>7013.4763119378131</c:v>
                </c:pt>
                <c:pt idx="1013">
                  <c:v>7026.9750547313606</c:v>
                </c:pt>
                <c:pt idx="1014">
                  <c:v>7040.4997783721938</c:v>
                </c:pt>
                <c:pt idx="1015">
                  <c:v>7054.0505328652998</c:v>
                </c:pt>
                <c:pt idx="1016">
                  <c:v>7067.6273683119025</c:v>
                </c:pt>
                <c:pt idx="1017">
                  <c:v>7081.2303349096646</c:v>
                </c:pt>
                <c:pt idx="1018">
                  <c:v>7094.8594829528547</c:v>
                </c:pt>
                <c:pt idx="1019">
                  <c:v>7108.5148628325487</c:v>
                </c:pt>
                <c:pt idx="1020">
                  <c:v>7122.1965250368039</c:v>
                </c:pt>
                <c:pt idx="1021">
                  <c:v>7135.9045201508579</c:v>
                </c:pt>
                <c:pt idx="1022">
                  <c:v>7149.6388988572999</c:v>
                </c:pt>
                <c:pt idx="1023">
                  <c:v>7163.3997119362793</c:v>
                </c:pt>
                <c:pt idx="1024">
                  <c:v>7177.1870102656685</c:v>
                </c:pt>
                <c:pt idx="1025">
                  <c:v>7191.0008448212739</c:v>
                </c:pt>
                <c:pt idx="1026">
                  <c:v>7204.8412666770082</c:v>
                </c:pt>
                <c:pt idx="1027">
                  <c:v>7218.7083270050907</c:v>
                </c:pt>
                <c:pt idx="1028">
                  <c:v>7232.6020770762234</c:v>
                </c:pt>
                <c:pt idx="1029">
                  <c:v>7246.5225682597975</c:v>
                </c:pt>
                <c:pt idx="1030">
                  <c:v>7260.4698520240663</c:v>
                </c:pt>
                <c:pt idx="1031">
                  <c:v>7274.443979936349</c:v>
                </c:pt>
                <c:pt idx="1032">
                  <c:v>7288.4450036632106</c:v>
                </c:pt>
                <c:pt idx="1033">
                  <c:v>7302.4729749706639</c:v>
                </c:pt>
                <c:pt idx="1034">
                  <c:v>7316.5279457243487</c:v>
                </c:pt>
                <c:pt idx="1035">
                  <c:v>7330.6099678897372</c:v>
                </c:pt>
                <c:pt idx="1036">
                  <c:v>7344.7190935323124</c:v>
                </c:pt>
                <c:pt idx="1037">
                  <c:v>7358.8553748177719</c:v>
                </c:pt>
                <c:pt idx="1038">
                  <c:v>7373.0188640122087</c:v>
                </c:pt>
                <c:pt idx="1039">
                  <c:v>7387.2096134823214</c:v>
                </c:pt>
                <c:pt idx="1040">
                  <c:v>7401.4276756955896</c:v>
                </c:pt>
                <c:pt idx="1041">
                  <c:v>7415.6731032204807</c:v>
                </c:pt>
                <c:pt idx="1042">
                  <c:v>7429.9459487266395</c:v>
                </c:pt>
                <c:pt idx="1043">
                  <c:v>7444.2462649850868</c:v>
                </c:pt>
                <c:pt idx="1044">
                  <c:v>7458.5741048683994</c:v>
                </c:pt>
                <c:pt idx="1045">
                  <c:v>7472.9295213509304</c:v>
                </c:pt>
                <c:pt idx="1046">
                  <c:v>7487.3125675089841</c:v>
                </c:pt>
                <c:pt idx="1047">
                  <c:v>7501.7232965210269</c:v>
                </c:pt>
                <c:pt idx="1048">
                  <c:v>7516.161761667865</c:v>
                </c:pt>
                <c:pt idx="1049">
                  <c:v>7530.6280163328665</c:v>
                </c:pt>
                <c:pt idx="1050">
                  <c:v>7545.1221140021389</c:v>
                </c:pt>
                <c:pt idx="1051">
                  <c:v>7559.644108264738</c:v>
                </c:pt>
                <c:pt idx="1052">
                  <c:v>7574.1940528128544</c:v>
                </c:pt>
                <c:pt idx="1053">
                  <c:v>7588.7720014420238</c:v>
                </c:pt>
                <c:pt idx="1054">
                  <c:v>7603.3780080513243</c:v>
                </c:pt>
                <c:pt idx="1055">
                  <c:v>7618.012126643569</c:v>
                </c:pt>
                <c:pt idx="1056">
                  <c:v>7632.674411325509</c:v>
                </c:pt>
                <c:pt idx="1057">
                  <c:v>7647.3649163080418</c:v>
                </c:pt>
                <c:pt idx="1058">
                  <c:v>7662.0836959063872</c:v>
                </c:pt>
                <c:pt idx="1059">
                  <c:v>7676.830804540321</c:v>
                </c:pt>
                <c:pt idx="1060">
                  <c:v>7691.6062967343532</c:v>
                </c:pt>
                <c:pt idx="1061">
                  <c:v>7706.4102271179408</c:v>
                </c:pt>
                <c:pt idx="1062">
                  <c:v>7721.2426504256737</c:v>
                </c:pt>
                <c:pt idx="1063">
                  <c:v>7736.1036214975011</c:v>
                </c:pt>
                <c:pt idx="1064">
                  <c:v>7750.9931952789184</c:v>
                </c:pt>
                <c:pt idx="1065">
                  <c:v>7765.911426821177</c:v>
                </c:pt>
                <c:pt idx="1066">
                  <c:v>7780.858371281467</c:v>
                </c:pt>
                <c:pt idx="1067">
                  <c:v>7795.8340839231687</c:v>
                </c:pt>
                <c:pt idx="1068">
                  <c:v>7810.8386201160019</c:v>
                </c:pt>
                <c:pt idx="1069">
                  <c:v>7825.872035336266</c:v>
                </c:pt>
                <c:pt idx="1070">
                  <c:v>7840.9343851670337</c:v>
                </c:pt>
                <c:pt idx="1071">
                  <c:v>7856.0257252983629</c:v>
                </c:pt>
                <c:pt idx="1072">
                  <c:v>7871.1461115274833</c:v>
                </c:pt>
                <c:pt idx="1073">
                  <c:v>7886.2955997590307</c:v>
                </c:pt>
                <c:pt idx="1074">
                  <c:v>7901.4742460052321</c:v>
                </c:pt>
                <c:pt idx="1075">
                  <c:v>7916.6821063861298</c:v>
                </c:pt>
                <c:pt idx="1076">
                  <c:v>7931.919237129764</c:v>
                </c:pt>
                <c:pt idx="1077">
                  <c:v>7947.1856945724103</c:v>
                </c:pt>
                <c:pt idx="1078">
                  <c:v>7962.4815351587667</c:v>
                </c:pt>
                <c:pt idx="1079">
                  <c:v>7977.8068154421717</c:v>
                </c:pt>
                <c:pt idx="1080">
                  <c:v>7993.1615920848126</c:v>
                </c:pt>
                <c:pt idx="1081">
                  <c:v>8008.5459218579354</c:v>
                </c:pt>
                <c:pt idx="1082">
                  <c:v>8023.9598616420408</c:v>
                </c:pt>
                <c:pt idx="1083">
                  <c:v>8039.4034684271228</c:v>
                </c:pt>
                <c:pt idx="1084">
                  <c:v>8054.8767993128522</c:v>
                </c:pt>
                <c:pt idx="1085">
                  <c:v>8070.3799115088086</c:v>
                </c:pt>
                <c:pt idx="1086">
                  <c:v>8085.9128623346696</c:v>
                </c:pt>
                <c:pt idx="1087">
                  <c:v>8101.4757092204427</c:v>
                </c:pt>
                <c:pt idx="1088">
                  <c:v>8117.0685097066716</c:v>
                </c:pt>
                <c:pt idx="1089">
                  <c:v>8132.6913214446467</c:v>
                </c:pt>
                <c:pt idx="1090">
                  <c:v>8148.3442021966111</c:v>
                </c:pt>
                <c:pt idx="1091">
                  <c:v>8164.027209835991</c:v>
                </c:pt>
                <c:pt idx="1092">
                  <c:v>8179.740402347601</c:v>
                </c:pt>
                <c:pt idx="1093">
                  <c:v>8195.4838378278546</c:v>
                </c:pt>
                <c:pt idx="1094">
                  <c:v>8211.2575744849801</c:v>
                </c:pt>
                <c:pt idx="1095">
                  <c:v>8227.0616706392484</c:v>
                </c:pt>
                <c:pt idx="1096">
                  <c:v>8242.8961847231676</c:v>
                </c:pt>
                <c:pt idx="1097">
                  <c:v>8258.7611752817156</c:v>
                </c:pt>
                <c:pt idx="1098">
                  <c:v>8274.6567009725495</c:v>
                </c:pt>
                <c:pt idx="1099">
                  <c:v>8290.5828205662237</c:v>
                </c:pt>
                <c:pt idx="1100">
                  <c:v>8306.5395929464121</c:v>
                </c:pt>
                <c:pt idx="1101">
                  <c:v>8322.527077110115</c:v>
                </c:pt>
                <c:pt idx="1102">
                  <c:v>8338.5453321678833</c:v>
                </c:pt>
                <c:pt idx="1103">
                  <c:v>8354.5944173440421</c:v>
                </c:pt>
                <c:pt idx="1104">
                  <c:v>8370.6743919769015</c:v>
                </c:pt>
                <c:pt idx="1105">
                  <c:v>8386.7853155189823</c:v>
                </c:pt>
                <c:pt idx="1106">
                  <c:v>8402.9272475372327</c:v>
                </c:pt>
                <c:pt idx="1107">
                  <c:v>8419.1002477132406</c:v>
                </c:pt>
                <c:pt idx="1108">
                  <c:v>8435.3043758434687</c:v>
                </c:pt>
                <c:pt idx="1109">
                  <c:v>8451.5396918394708</c:v>
                </c:pt>
                <c:pt idx="1110">
                  <c:v>8467.8062557281137</c:v>
                </c:pt>
                <c:pt idx="1111">
                  <c:v>8484.1041276517844</c:v>
                </c:pt>
                <c:pt idx="1112">
                  <c:v>8500.433367868638</c:v>
                </c:pt>
                <c:pt idx="1113">
                  <c:v>8516.7940367528008</c:v>
                </c:pt>
                <c:pt idx="1114">
                  <c:v>8533.186194794609</c:v>
                </c:pt>
                <c:pt idx="1115">
                  <c:v>8549.6099026008069</c:v>
                </c:pt>
                <c:pt idx="1116">
                  <c:v>8566.0652208948104</c:v>
                </c:pt>
                <c:pt idx="1117">
                  <c:v>8582.5522105168893</c:v>
                </c:pt>
                <c:pt idx="1118">
                  <c:v>8599.0709324244181</c:v>
                </c:pt>
                <c:pt idx="1119">
                  <c:v>8615.6214476921014</c:v>
                </c:pt>
                <c:pt idx="1120">
                  <c:v>8632.2038175121907</c:v>
                </c:pt>
                <c:pt idx="1121">
                  <c:v>8648.8181031947024</c:v>
                </c:pt>
                <c:pt idx="1122">
                  <c:v>8665.464366167671</c:v>
                </c:pt>
                <c:pt idx="1123">
                  <c:v>8682.1426679773504</c:v>
                </c:pt>
                <c:pt idx="1124">
                  <c:v>8698.8530702884636</c:v>
                </c:pt>
                <c:pt idx="1125">
                  <c:v>8715.5956348843956</c:v>
                </c:pt>
                <c:pt idx="1126">
                  <c:v>8732.370423667473</c:v>
                </c:pt>
                <c:pt idx="1127">
                  <c:v>8749.1774986591463</c:v>
                </c:pt>
                <c:pt idx="1128">
                  <c:v>8766.0169220002444</c:v>
                </c:pt>
                <c:pt idx="1129">
                  <c:v>8782.8887559511986</c:v>
                </c:pt>
                <c:pt idx="1130">
                  <c:v>8799.7930628922695</c:v>
                </c:pt>
                <c:pt idx="1131">
                  <c:v>8816.7299053237803</c:v>
                </c:pt>
                <c:pt idx="1132">
                  <c:v>8833.6993458663474</c:v>
                </c:pt>
                <c:pt idx="1133">
                  <c:v>8850.7014472611172</c:v>
                </c:pt>
                <c:pt idx="1134">
                  <c:v>8867.736272369988</c:v>
                </c:pt>
                <c:pt idx="1135">
                  <c:v>8884.8038841758444</c:v>
                </c:pt>
                <c:pt idx="1136">
                  <c:v>8901.9043457828029</c:v>
                </c:pt>
                <c:pt idx="1137">
                  <c:v>8919.037720416427</c:v>
                </c:pt>
                <c:pt idx="1138">
                  <c:v>8936.2040714239774</c:v>
                </c:pt>
                <c:pt idx="1139">
                  <c:v>8953.4034622746294</c:v>
                </c:pt>
                <c:pt idx="1140">
                  <c:v>8970.6359565597195</c:v>
                </c:pt>
                <c:pt idx="1141">
                  <c:v>8987.9016179929858</c:v>
                </c:pt>
                <c:pt idx="1142">
                  <c:v>9005.200510410783</c:v>
                </c:pt>
                <c:pt idx="1143">
                  <c:v>9022.5326977723416</c:v>
                </c:pt>
                <c:pt idx="1144">
                  <c:v>9039.8982441599874</c:v>
                </c:pt>
                <c:pt idx="1145">
                  <c:v>9057.2972137793822</c:v>
                </c:pt>
                <c:pt idx="1146">
                  <c:v>9074.7296709597686</c:v>
                </c:pt>
                <c:pt idx="1147">
                  <c:v>9092.1956801542037</c:v>
                </c:pt>
                <c:pt idx="1148">
                  <c:v>9109.6953059397965</c:v>
                </c:pt>
                <c:pt idx="1149">
                  <c:v>9127.2286130179364</c:v>
                </c:pt>
                <c:pt idx="1150">
                  <c:v>9144.7956662145516</c:v>
                </c:pt>
                <c:pt idx="1151">
                  <c:v>9162.396530480346</c:v>
                </c:pt>
                <c:pt idx="1152">
                  <c:v>9180.0312708910224</c:v>
                </c:pt>
                <c:pt idx="1153">
                  <c:v>9197.699952647532</c:v>
                </c:pt>
                <c:pt idx="1154">
                  <c:v>9215.4026410763381</c:v>
                </c:pt>
                <c:pt idx="1155">
                  <c:v>9233.1394016296053</c:v>
                </c:pt>
                <c:pt idx="1156">
                  <c:v>9250.9102998854996</c:v>
                </c:pt>
                <c:pt idx="1157">
                  <c:v>9268.7154015483884</c:v>
                </c:pt>
                <c:pt idx="1158">
                  <c:v>9286.5547724491153</c:v>
                </c:pt>
                <c:pt idx="1159">
                  <c:v>9304.4284785452055</c:v>
                </c:pt>
                <c:pt idx="1160">
                  <c:v>9322.3365859211517</c:v>
                </c:pt>
                <c:pt idx="1161">
                  <c:v>9340.2791607886284</c:v>
                </c:pt>
                <c:pt idx="1162">
                  <c:v>9358.2562694867538</c:v>
                </c:pt>
                <c:pt idx="1163">
                  <c:v>9376.2679784823158</c:v>
                </c:pt>
                <c:pt idx="1164">
                  <c:v>9394.3143543700444</c:v>
                </c:pt>
                <c:pt idx="1165">
                  <c:v>9412.3954638728337</c:v>
                </c:pt>
                <c:pt idx="1166">
                  <c:v>9430.5113738420023</c:v>
                </c:pt>
                <c:pt idx="1167">
                  <c:v>9448.6621512575402</c:v>
                </c:pt>
                <c:pt idx="1168">
                  <c:v>9466.8478632283441</c:v>
                </c:pt>
                <c:pt idx="1169">
                  <c:v>9485.0685769924767</c:v>
                </c:pt>
                <c:pt idx="1170">
                  <c:v>9503.324359917422</c:v>
                </c:pt>
                <c:pt idx="1171">
                  <c:v>9521.6152795003181</c:v>
                </c:pt>
                <c:pt idx="1172">
                  <c:v>9539.9414033682078</c:v>
                </c:pt>
                <c:pt idx="1173">
                  <c:v>9558.3027992783027</c:v>
                </c:pt>
                <c:pt idx="1174">
                  <c:v>9576.6995351182286</c:v>
                </c:pt>
                <c:pt idx="1175">
                  <c:v>9595.1316789062712</c:v>
                </c:pt>
                <c:pt idx="1176">
                  <c:v>9613.5992987916215</c:v>
                </c:pt>
                <c:pt idx="1177">
                  <c:v>9632.1024630546399</c:v>
                </c:pt>
                <c:pt idx="1178">
                  <c:v>9650.6412401071193</c:v>
                </c:pt>
                <c:pt idx="1179">
                  <c:v>9669.2156984925132</c:v>
                </c:pt>
                <c:pt idx="1180">
                  <c:v>9687.8259068861898</c:v>
                </c:pt>
                <c:pt idx="1181">
                  <c:v>9706.4719340957072</c:v>
                </c:pt>
                <c:pt idx="1182">
                  <c:v>9725.1538490610601</c:v>
                </c:pt>
                <c:pt idx="1183">
                  <c:v>9743.8717208549242</c:v>
                </c:pt>
                <c:pt idx="1184">
                  <c:v>9762.6256186829214</c:v>
                </c:pt>
                <c:pt idx="1185">
                  <c:v>9781.4156118838655</c:v>
                </c:pt>
                <c:pt idx="1186">
                  <c:v>9800.2417699300349</c:v>
                </c:pt>
                <c:pt idx="1187">
                  <c:v>9819.1041624274148</c:v>
                </c:pt>
                <c:pt idx="1188">
                  <c:v>9838.0028591159698</c:v>
                </c:pt>
                <c:pt idx="1189">
                  <c:v>9856.937929869875</c:v>
                </c:pt>
                <c:pt idx="1190">
                  <c:v>9875.909444697807</c:v>
                </c:pt>
                <c:pt idx="1191">
                  <c:v>9894.9174737431767</c:v>
                </c:pt>
                <c:pt idx="1192">
                  <c:v>9913.9620872844116</c:v>
                </c:pt>
                <c:pt idx="1193">
                  <c:v>9933.0433557351862</c:v>
                </c:pt>
                <c:pt idx="1194">
                  <c:v>9952.1613496447098</c:v>
                </c:pt>
                <c:pt idx="1195">
                  <c:v>9971.3161396979776</c:v>
                </c:pt>
                <c:pt idx="1196">
                  <c:v>9990.5077967160305</c:v>
                </c:pt>
                <c:pt idx="1197">
                  <c:v>10009.73639165621</c:v>
                </c:pt>
                <c:pt idx="1198">
                  <c:v>10029.001995612436</c:v>
                </c:pt>
                <c:pt idx="1199">
                  <c:v>10048.304679815463</c:v>
                </c:pt>
                <c:pt idx="1200">
                  <c:v>10067.644515633139</c:v>
                </c:pt>
                <c:pt idx="1201">
                  <c:v>10087.02157457067</c:v>
                </c:pt>
                <c:pt idx="1202">
                  <c:v>10106.435928270887</c:v>
                </c:pt>
                <c:pt idx="1203">
                  <c:v>10125.887648514525</c:v>
                </c:pt>
                <c:pt idx="1204">
                  <c:v>10145.37680722046</c:v>
                </c:pt>
                <c:pt idx="1205">
                  <c:v>10164.903476445987</c:v>
                </c:pt>
                <c:pt idx="1206">
                  <c:v>10184.467728387101</c:v>
                </c:pt>
                <c:pt idx="1207">
                  <c:v>10204.069635378741</c:v>
                </c:pt>
                <c:pt idx="1208">
                  <c:v>10223.709269895076</c:v>
                </c:pt>
                <c:pt idx="1209">
                  <c:v>10243.386704549759</c:v>
                </c:pt>
                <c:pt idx="1210">
                  <c:v>10263.102012096204</c:v>
                </c:pt>
                <c:pt idx="1211">
                  <c:v>10282.85526542785</c:v>
                </c:pt>
                <c:pt idx="1212">
                  <c:v>10302.646537578445</c:v>
                </c:pt>
                <c:pt idx="1213">
                  <c:v>10322.475901722284</c:v>
                </c:pt>
                <c:pt idx="1214">
                  <c:v>10342.343431174511</c:v>
                </c:pt>
                <c:pt idx="1215">
                  <c:v>10362.249199391383</c:v>
                </c:pt>
                <c:pt idx="1216">
                  <c:v>10382.193279970534</c:v>
                </c:pt>
                <c:pt idx="1217">
                  <c:v>10402.175746651239</c:v>
                </c:pt>
                <c:pt idx="1218">
                  <c:v>10422.196673314713</c:v>
                </c:pt>
                <c:pt idx="1219">
                  <c:v>10442.25613398436</c:v>
                </c:pt>
                <c:pt idx="1220">
                  <c:v>10462.354202826071</c:v>
                </c:pt>
                <c:pt idx="1221">
                  <c:v>10482.490954148454</c:v>
                </c:pt>
                <c:pt idx="1222">
                  <c:v>10502.666462403167</c:v>
                </c:pt>
                <c:pt idx="1223">
                  <c:v>10522.880802185149</c:v>
                </c:pt>
                <c:pt idx="1224">
                  <c:v>10543.134048232918</c:v>
                </c:pt>
                <c:pt idx="1225">
                  <c:v>10563.42627542883</c:v>
                </c:pt>
                <c:pt idx="1226">
                  <c:v>10583.757558799372</c:v>
                </c:pt>
                <c:pt idx="1227">
                  <c:v>10604.127973515435</c:v>
                </c:pt>
                <c:pt idx="1228">
                  <c:v>10624.537594892601</c:v>
                </c:pt>
                <c:pt idx="1229">
                  <c:v>10644.986498391385</c:v>
                </c:pt>
                <c:pt idx="1230">
                  <c:v>10665.474759617558</c:v>
                </c:pt>
                <c:pt idx="1231">
                  <c:v>10686.002454322406</c:v>
                </c:pt>
                <c:pt idx="1232">
                  <c:v>10706.569658403016</c:v>
                </c:pt>
                <c:pt idx="1233">
                  <c:v>10727.176447902535</c:v>
                </c:pt>
                <c:pt idx="1234">
                  <c:v>10747.822899010491</c:v>
                </c:pt>
                <c:pt idx="1235">
                  <c:v>10768.509088063041</c:v>
                </c:pt>
                <c:pt idx="1236">
                  <c:v>10789.235091543276</c:v>
                </c:pt>
                <c:pt idx="1237">
                  <c:v>10810.000986081475</c:v>
                </c:pt>
                <c:pt idx="1238">
                  <c:v>10830.806848455419</c:v>
                </c:pt>
                <c:pt idx="1239">
                  <c:v>10851.652755590661</c:v>
                </c:pt>
                <c:pt idx="1240">
                  <c:v>10872.538784560818</c:v>
                </c:pt>
                <c:pt idx="1241">
                  <c:v>10893.465012587829</c:v>
                </c:pt>
                <c:pt idx="1242">
                  <c:v>10914.431517042278</c:v>
                </c:pt>
                <c:pt idx="1243">
                  <c:v>10935.438375443662</c:v>
                </c:pt>
                <c:pt idx="1244">
                  <c:v>10956.485665460677</c:v>
                </c:pt>
                <c:pt idx="1245">
                  <c:v>10977.573464911498</c:v>
                </c:pt>
                <c:pt idx="1246">
                  <c:v>10998.701851764092</c:v>
                </c:pt>
                <c:pt idx="1247">
                  <c:v>11019.870904136471</c:v>
                </c:pt>
                <c:pt idx="1248">
                  <c:v>11041.080700297023</c:v>
                </c:pt>
                <c:pt idx="1249">
                  <c:v>11062.331318664754</c:v>
                </c:pt>
                <c:pt idx="1250">
                  <c:v>11083.622837809613</c:v>
                </c:pt>
                <c:pt idx="1251">
                  <c:v>11104.955336452771</c:v>
                </c:pt>
                <c:pt idx="1252">
                  <c:v>11126.328893466933</c:v>
                </c:pt>
                <c:pt idx="1253">
                  <c:v>11147.743587876557</c:v>
                </c:pt>
                <c:pt idx="1254">
                  <c:v>11169.19949885825</c:v>
                </c:pt>
                <c:pt idx="1255">
                  <c:v>11190.696705740986</c:v>
                </c:pt>
                <c:pt idx="1256">
                  <c:v>11212.23528800643</c:v>
                </c:pt>
                <c:pt idx="1257">
                  <c:v>11233.815325289213</c:v>
                </c:pt>
                <c:pt idx="1258">
                  <c:v>11255.436897377247</c:v>
                </c:pt>
                <c:pt idx="1259">
                  <c:v>11277.10008421201</c:v>
                </c:pt>
                <c:pt idx="1260">
                  <c:v>11298.804965888845</c:v>
                </c:pt>
                <c:pt idx="1261">
                  <c:v>11320.551622657242</c:v>
                </c:pt>
                <c:pt idx="1262">
                  <c:v>11342.340134921153</c:v>
                </c:pt>
                <c:pt idx="1263">
                  <c:v>11364.170583239287</c:v>
                </c:pt>
                <c:pt idx="1264">
                  <c:v>11386.0430483254</c:v>
                </c:pt>
                <c:pt idx="1265">
                  <c:v>11407.9576110486</c:v>
                </c:pt>
                <c:pt idx="1266">
                  <c:v>11429.914352433625</c:v>
                </c:pt>
                <c:pt idx="1267">
                  <c:v>11451.913353661183</c:v>
                </c:pt>
                <c:pt idx="1268">
                  <c:v>11473.954696068218</c:v>
                </c:pt>
                <c:pt idx="1269">
                  <c:v>11496.038461148231</c:v>
                </c:pt>
                <c:pt idx="1270">
                  <c:v>11518.164730551554</c:v>
                </c:pt>
                <c:pt idx="1271">
                  <c:v>11540.33358608569</c:v>
                </c:pt>
                <c:pt idx="1272">
                  <c:v>11562.54510971558</c:v>
                </c:pt>
                <c:pt idx="1273">
                  <c:v>11584.799383563943</c:v>
                </c:pt>
                <c:pt idx="1274">
                  <c:v>11607.096489911532</c:v>
                </c:pt>
                <c:pt idx="1275">
                  <c:v>11629.43651119748</c:v>
                </c:pt>
                <c:pt idx="1276">
                  <c:v>11651.819530019588</c:v>
                </c:pt>
                <c:pt idx="1277">
                  <c:v>11674.245629134641</c:v>
                </c:pt>
                <c:pt idx="1278">
                  <c:v>11696.714891458681</c:v>
                </c:pt>
                <c:pt idx="1279">
                  <c:v>11719.227400067357</c:v>
                </c:pt>
                <c:pt idx="1280">
                  <c:v>11741.783238196207</c:v>
                </c:pt>
                <c:pt idx="1281">
                  <c:v>11764.382489240976</c:v>
                </c:pt>
                <c:pt idx="1282">
                  <c:v>11787.025236757905</c:v>
                </c:pt>
                <c:pt idx="1283">
                  <c:v>11809.711564464069</c:v>
                </c:pt>
                <c:pt idx="1284">
                  <c:v>11832.441556237667</c:v>
                </c:pt>
                <c:pt idx="1285">
                  <c:v>11855.215296118346</c:v>
                </c:pt>
                <c:pt idx="1286">
                  <c:v>11878.032868307479</c:v>
                </c:pt>
                <c:pt idx="1287">
                  <c:v>11900.894357168525</c:v>
                </c:pt>
                <c:pt idx="1288">
                  <c:v>11923.799847227307</c:v>
                </c:pt>
                <c:pt idx="1289">
                  <c:v>11946.749423172338</c:v>
                </c:pt>
                <c:pt idx="1290">
                  <c:v>11969.743169855112</c:v>
                </c:pt>
                <c:pt idx="1291">
                  <c:v>11992.781172290463</c:v>
                </c:pt>
                <c:pt idx="1292">
                  <c:v>12015.863515656831</c:v>
                </c:pt>
                <c:pt idx="1293">
                  <c:v>12038.990285296612</c:v>
                </c:pt>
                <c:pt idx="1294">
                  <c:v>12062.161566716442</c:v>
                </c:pt>
                <c:pt idx="1295">
                  <c:v>12085.377445587546</c:v>
                </c:pt>
                <c:pt idx="1296">
                  <c:v>12108.638007746036</c:v>
                </c:pt>
                <c:pt idx="1297">
                  <c:v>12131.943339193231</c:v>
                </c:pt>
                <c:pt idx="1298">
                  <c:v>12155.293526095966</c:v>
                </c:pt>
                <c:pt idx="1299">
                  <c:v>12178.688654786931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2E-CB44-BB91-0055E0FEF7DF}"/>
            </c:ext>
          </c:extLst>
        </c:ser>
        <c:ser>
          <c:idx val="13"/>
          <c:order val="13"/>
          <c:tx>
            <c:strRef>
              <c:f>'Compounding within 1 year'!$M$1</c:f>
              <c:strCache>
                <c:ptCount val="1"/>
                <c:pt idx="0">
                  <c:v>Continuous</c:v>
                </c:pt>
              </c:strCache>
            </c:strRef>
          </c:tx>
          <c:marker>
            <c:symbol val="none"/>
          </c:marker>
          <c:val>
            <c:numRef>
              <c:f>'Compounding within 1 year'!$M$2:$M$1363</c:f>
              <c:numCache>
                <c:formatCode>_("$"* #,##0.00_);_("$"* \(#,##0.00\);_("$"* "-"??_);_(@_)</c:formatCode>
                <c:ptCount val="1362"/>
                <c:pt idx="0">
                  <c:v>1001.9249503427463</c:v>
                </c:pt>
                <c:pt idx="1">
                  <c:v>1003.8536061193146</c:v>
                </c:pt>
                <c:pt idx="2">
                  <c:v>1005.7859744624811</c:v>
                </c:pt>
                <c:pt idx="3">
                  <c:v>1007.722062518752</c:v>
                </c:pt>
                <c:pt idx="4">
                  <c:v>1009.6618774483903</c:v>
                </c:pt>
                <c:pt idx="5">
                  <c:v>1011.6054264254426</c:v>
                </c:pt>
                <c:pt idx="6">
                  <c:v>1013.5527166377642</c:v>
                </c:pt>
                <c:pt idx="7">
                  <c:v>1015.5037552870474</c:v>
                </c:pt>
                <c:pt idx="8">
                  <c:v>1017.4585495888473</c:v>
                </c:pt>
                <c:pt idx="9">
                  <c:v>1019.4171067726086</c:v>
                </c:pt>
                <c:pt idx="10">
                  <c:v>1021.379434081692</c:v>
                </c:pt>
                <c:pt idx="11">
                  <c:v>1023.3455387734014</c:v>
                </c:pt>
                <c:pt idx="12">
                  <c:v>1025.3154281190111</c:v>
                </c:pt>
                <c:pt idx="13">
                  <c:v>1027.2891094037918</c:v>
                </c:pt>
                <c:pt idx="14">
                  <c:v>1029.266589927038</c:v>
                </c:pt>
                <c:pt idx="15">
                  <c:v>1031.2478770020957</c:v>
                </c:pt>
                <c:pt idx="16">
                  <c:v>1033.2329779563872</c:v>
                </c:pt>
                <c:pt idx="17">
                  <c:v>1035.2219001314409</c:v>
                </c:pt>
                <c:pt idx="18">
                  <c:v>1037.2146508829173</c:v>
                </c:pt>
                <c:pt idx="19">
                  <c:v>1039.211237580636</c:v>
                </c:pt>
                <c:pt idx="20">
                  <c:v>1041.2116676086025</c:v>
                </c:pt>
                <c:pt idx="21">
                  <c:v>1043.2159483650371</c:v>
                </c:pt>
                <c:pt idx="22">
                  <c:v>1045.2240872624009</c:v>
                </c:pt>
                <c:pt idx="23">
                  <c:v>1047.2360917274232</c:v>
                </c:pt>
                <c:pt idx="24">
                  <c:v>1049.2519692011301</c:v>
                </c:pt>
                <c:pt idx="25">
                  <c:v>1051.2717271388713</c:v>
                </c:pt>
                <c:pt idx="26">
                  <c:v>1053.2953730103466</c:v>
                </c:pt>
                <c:pt idx="27">
                  <c:v>1055.3229142996358</c:v>
                </c:pt>
                <c:pt idx="28">
                  <c:v>1057.354358505225</c:v>
                </c:pt>
                <c:pt idx="29">
                  <c:v>1059.3897131400338</c:v>
                </c:pt>
                <c:pt idx="30">
                  <c:v>1061.4289857314445</c:v>
                </c:pt>
                <c:pt idx="31">
                  <c:v>1063.4721838213293</c:v>
                </c:pt>
                <c:pt idx="32">
                  <c:v>1065.519314966077</c:v>
                </c:pt>
                <c:pt idx="33">
                  <c:v>1067.570386736624</c:v>
                </c:pt>
                <c:pt idx="34">
                  <c:v>1069.6254067184782</c:v>
                </c:pt>
                <c:pt idx="35">
                  <c:v>1071.6843825117512</c:v>
                </c:pt>
                <c:pt idx="36">
                  <c:v>1073.7473217311831</c:v>
                </c:pt>
                <c:pt idx="37">
                  <c:v>1075.8142320061722</c:v>
                </c:pt>
                <c:pt idx="38">
                  <c:v>1077.8851209808038</c:v>
                </c:pt>
                <c:pt idx="39">
                  <c:v>1079.9599963138771</c:v>
                </c:pt>
                <c:pt idx="40">
                  <c:v>1082.0388656789337</c:v>
                </c:pt>
                <c:pt idx="41">
                  <c:v>1084.1217367642871</c:v>
                </c:pt>
                <c:pt idx="42">
                  <c:v>1086.2086172730501</c:v>
                </c:pt>
                <c:pt idx="43">
                  <c:v>1088.2995149231638</c:v>
                </c:pt>
                <c:pt idx="44">
                  <c:v>1090.3944374474258</c:v>
                </c:pt>
                <c:pt idx="45">
                  <c:v>1092.493392593519</c:v>
                </c:pt>
                <c:pt idx="46">
                  <c:v>1094.5963881240398</c:v>
                </c:pt>
                <c:pt idx="47">
                  <c:v>1096.7034318165281</c:v>
                </c:pt>
                <c:pt idx="48">
                  <c:v>1098.8145314634942</c:v>
                </c:pt>
                <c:pt idx="49">
                  <c:v>1100.9296948724493</c:v>
                </c:pt>
                <c:pt idx="50">
                  <c:v>1103.0489298659336</c:v>
                </c:pt>
                <c:pt idx="51">
                  <c:v>1105.1722442815451</c:v>
                </c:pt>
                <c:pt idx="52">
                  <c:v>1107.2996459719684</c:v>
                </c:pt>
                <c:pt idx="53">
                  <c:v>1109.431142805005</c:v>
                </c:pt>
                <c:pt idx="54">
                  <c:v>1111.566742663601</c:v>
                </c:pt>
                <c:pt idx="55">
                  <c:v>1113.7064534458764</c:v>
                </c:pt>
                <c:pt idx="56">
                  <c:v>1115.850283065156</c:v>
                </c:pt>
                <c:pt idx="57">
                  <c:v>1117.9982394499957</c:v>
                </c:pt>
                <c:pt idx="58">
                  <c:v>1120.1503305442147</c:v>
                </c:pt>
                <c:pt idx="59">
                  <c:v>1122.3065643069233</c:v>
                </c:pt>
                <c:pt idx="60">
                  <c:v>1124.466948712552</c:v>
                </c:pt>
                <c:pt idx="61">
                  <c:v>1126.6314917508832</c:v>
                </c:pt>
                <c:pt idx="62">
                  <c:v>1128.800201427078</c:v>
                </c:pt>
                <c:pt idx="63">
                  <c:v>1130.9730857617069</c:v>
                </c:pt>
                <c:pt idx="64">
                  <c:v>1133.1501527907808</c:v>
                </c:pt>
                <c:pt idx="65">
                  <c:v>1135.3314105657782</c:v>
                </c:pt>
                <c:pt idx="66">
                  <c:v>1137.5168671536776</c:v>
                </c:pt>
                <c:pt idx="67">
                  <c:v>1139.7065306369848</c:v>
                </c:pt>
                <c:pt idx="68">
                  <c:v>1141.9004091137645</c:v>
                </c:pt>
                <c:pt idx="69">
                  <c:v>1144.0985106976702</c:v>
                </c:pt>
                <c:pt idx="70">
                  <c:v>1146.3008435179731</c:v>
                </c:pt>
                <c:pt idx="71">
                  <c:v>1148.5074157195934</c:v>
                </c:pt>
                <c:pt idx="72">
                  <c:v>1150.7182354631293</c:v>
                </c:pt>
                <c:pt idx="73">
                  <c:v>1152.9333109248885</c:v>
                </c:pt>
                <c:pt idx="74">
                  <c:v>1155.152650296917</c:v>
                </c:pt>
                <c:pt idx="75">
                  <c:v>1157.3762617870302</c:v>
                </c:pt>
                <c:pt idx="76">
                  <c:v>1159.6041536188436</c:v>
                </c:pt>
                <c:pt idx="77">
                  <c:v>1161.8363340318024</c:v>
                </c:pt>
                <c:pt idx="78">
                  <c:v>1164.0728112812117</c:v>
                </c:pt>
                <c:pt idx="79">
                  <c:v>1166.3135936382691</c:v>
                </c:pt>
                <c:pt idx="80">
                  <c:v>1168.5586893900927</c:v>
                </c:pt>
                <c:pt idx="81">
                  <c:v>1170.8081068397532</c:v>
                </c:pt>
                <c:pt idx="82">
                  <c:v>1173.0618543063047</c:v>
                </c:pt>
                <c:pt idx="83">
                  <c:v>1175.3199401248141</c:v>
                </c:pt>
                <c:pt idx="84">
                  <c:v>1177.5823726463939</c:v>
                </c:pt>
                <c:pt idx="85">
                  <c:v>1179.8491602382314</c:v>
                </c:pt>
                <c:pt idx="86">
                  <c:v>1182.120311283621</c:v>
                </c:pt>
                <c:pt idx="87">
                  <c:v>1184.3958341819937</c:v>
                </c:pt>
                <c:pt idx="88">
                  <c:v>1186.6757373489495</c:v>
                </c:pt>
                <c:pt idx="89">
                  <c:v>1188.9600292162884</c:v>
                </c:pt>
                <c:pt idx="90">
                  <c:v>1191.2487182320397</c:v>
                </c:pt>
                <c:pt idx="91">
                  <c:v>1193.5418128604967</c:v>
                </c:pt>
                <c:pt idx="92">
                  <c:v>1195.8393215822443</c:v>
                </c:pt>
                <c:pt idx="93">
                  <c:v>1198.1412528941935</c:v>
                </c:pt>
                <c:pt idx="94">
                  <c:v>1200.4476153096107</c:v>
                </c:pt>
                <c:pt idx="95">
                  <c:v>1202.7584173581497</c:v>
                </c:pt>
                <c:pt idx="96">
                  <c:v>1205.0736675858843</c:v>
                </c:pt>
                <c:pt idx="97">
                  <c:v>1207.3933745553384</c:v>
                </c:pt>
                <c:pt idx="98">
                  <c:v>1209.7175468455182</c:v>
                </c:pt>
                <c:pt idx="99">
                  <c:v>1212.0461930519446</c:v>
                </c:pt>
                <c:pt idx="100">
                  <c:v>1214.3793217866844</c:v>
                </c:pt>
                <c:pt idx="101">
                  <c:v>1216.7169416783815</c:v>
                </c:pt>
                <c:pt idx="102">
                  <c:v>1219.0590613722904</c:v>
                </c:pt>
                <c:pt idx="103">
                  <c:v>1221.4056895303072</c:v>
                </c:pt>
                <c:pt idx="104">
                  <c:v>1223.7568348310006</c:v>
                </c:pt>
                <c:pt idx="105">
                  <c:v>1226.1125059696467</c:v>
                </c:pt>
                <c:pt idx="106">
                  <c:v>1228.4727116582585</c:v>
                </c:pt>
                <c:pt idx="107">
                  <c:v>1230.8374606256193</c:v>
                </c:pt>
                <c:pt idx="108">
                  <c:v>1233.2067616173156</c:v>
                </c:pt>
                <c:pt idx="109">
                  <c:v>1235.580623395768</c:v>
                </c:pt>
                <c:pt idx="110">
                  <c:v>1237.9590547402643</c:v>
                </c:pt>
                <c:pt idx="111">
                  <c:v>1240.3420644469925</c:v>
                </c:pt>
                <c:pt idx="112">
                  <c:v>1242.7296613290723</c:v>
                </c:pt>
                <c:pt idx="113">
                  <c:v>1245.1218542165886</c:v>
                </c:pt>
                <c:pt idx="114">
                  <c:v>1247.5186519566237</c:v>
                </c:pt>
                <c:pt idx="115">
                  <c:v>1249.9200634132901</c:v>
                </c:pt>
                <c:pt idx="116">
                  <c:v>1252.3260974677628</c:v>
                </c:pt>
                <c:pt idx="117">
                  <c:v>1254.7367630183135</c:v>
                </c:pt>
                <c:pt idx="118">
                  <c:v>1257.1520689803419</c:v>
                </c:pt>
                <c:pt idx="119">
                  <c:v>1259.5720242864099</c:v>
                </c:pt>
                <c:pt idx="120">
                  <c:v>1261.9966378862734</c:v>
                </c:pt>
                <c:pt idx="121">
                  <c:v>1264.4259187469174</c:v>
                </c:pt>
                <c:pt idx="122">
                  <c:v>1266.8598758525864</c:v>
                </c:pt>
                <c:pt idx="123">
                  <c:v>1269.2985182048205</c:v>
                </c:pt>
                <c:pt idx="124">
                  <c:v>1271.7418548224862</c:v>
                </c:pt>
                <c:pt idx="125">
                  <c:v>1274.1898947418115</c:v>
                </c:pt>
                <c:pt idx="126">
                  <c:v>1276.6426470164186</c:v>
                </c:pt>
                <c:pt idx="127">
                  <c:v>1279.1001207173574</c:v>
                </c:pt>
                <c:pt idx="128">
                  <c:v>1281.5623249331388</c:v>
                </c:pt>
                <c:pt idx="129">
                  <c:v>1284.0292687697697</c:v>
                </c:pt>
                <c:pt idx="130">
                  <c:v>1286.5009613507843</c:v>
                </c:pt>
                <c:pt idx="131">
                  <c:v>1288.97741181728</c:v>
                </c:pt>
                <c:pt idx="132">
                  <c:v>1291.4586293279497</c:v>
                </c:pt>
                <c:pt idx="133">
                  <c:v>1293.9446230591172</c:v>
                </c:pt>
                <c:pt idx="134">
                  <c:v>1296.4354022047694</c:v>
                </c:pt>
                <c:pt idx="135">
                  <c:v>1298.9309759765922</c:v>
                </c:pt>
                <c:pt idx="136">
                  <c:v>1301.431353604002</c:v>
                </c:pt>
                <c:pt idx="137">
                  <c:v>1303.9365443341828</c:v>
                </c:pt>
                <c:pt idx="138">
                  <c:v>1306.4465574321182</c:v>
                </c:pt>
                <c:pt idx="139">
                  <c:v>1308.9614021806269</c:v>
                </c:pt>
                <c:pt idx="140">
                  <c:v>1311.481087880396</c:v>
                </c:pt>
                <c:pt idx="141">
                  <c:v>1314.0056238500167</c:v>
                </c:pt>
                <c:pt idx="142">
                  <c:v>1316.5350194260172</c:v>
                </c:pt>
                <c:pt idx="143">
                  <c:v>1319.0692839628989</c:v>
                </c:pt>
                <c:pt idx="144">
                  <c:v>1321.6084268331695</c:v>
                </c:pt>
                <c:pt idx="145">
                  <c:v>1324.1524574273783</c:v>
                </c:pt>
                <c:pt idx="146">
                  <c:v>1326.7013851541515</c:v>
                </c:pt>
                <c:pt idx="147">
                  <c:v>1329.2552194402258</c:v>
                </c:pt>
                <c:pt idx="148">
                  <c:v>1331.8139697304846</c:v>
                </c:pt>
                <c:pt idx="149">
                  <c:v>1334.3776454879915</c:v>
                </c:pt>
                <c:pt idx="150">
                  <c:v>1336.9462561940263</c:v>
                </c:pt>
                <c:pt idx="151">
                  <c:v>1339.5198113481206</c:v>
                </c:pt>
                <c:pt idx="152">
                  <c:v>1342.0983204680906</c:v>
                </c:pt>
                <c:pt idx="153">
                  <c:v>1344.6817930900747</c:v>
                </c:pt>
                <c:pt idx="154">
                  <c:v>1347.2702387685681</c:v>
                </c:pt>
                <c:pt idx="155">
                  <c:v>1349.8636670764574</c:v>
                </c:pt>
                <c:pt idx="156">
                  <c:v>1352.4620876050571</c:v>
                </c:pt>
                <c:pt idx="157">
                  <c:v>1355.0655099641438</c:v>
                </c:pt>
                <c:pt idx="158">
                  <c:v>1357.6739437819929</c:v>
                </c:pt>
                <c:pt idx="159">
                  <c:v>1360.2873987054136</c:v>
                </c:pt>
                <c:pt idx="160">
                  <c:v>1362.9058843997852</c:v>
                </c:pt>
                <c:pt idx="161">
                  <c:v>1365.5294105490914</c:v>
                </c:pt>
                <c:pt idx="162">
                  <c:v>1368.1579868559579</c:v>
                </c:pt>
                <c:pt idx="163">
                  <c:v>1370.7916230416874</c:v>
                </c:pt>
                <c:pt idx="164">
                  <c:v>1373.4303288462952</c:v>
                </c:pt>
                <c:pt idx="165">
                  <c:v>1376.0741140285459</c:v>
                </c:pt>
                <c:pt idx="166">
                  <c:v>1378.7229883659895</c:v>
                </c:pt>
                <c:pt idx="167">
                  <c:v>1381.3769616549969</c:v>
                </c:pt>
                <c:pt idx="168">
                  <c:v>1384.0360437107963</c:v>
                </c:pt>
                <c:pt idx="169">
                  <c:v>1386.7002443675108</c:v>
                </c:pt>
                <c:pt idx="170">
                  <c:v>1389.369573478192</c:v>
                </c:pt>
                <c:pt idx="171">
                  <c:v>1392.0440409148603</c:v>
                </c:pt>
                <c:pt idx="172">
                  <c:v>1394.7236565685373</c:v>
                </c:pt>
                <c:pt idx="173">
                  <c:v>1397.4084303492853</c:v>
                </c:pt>
                <c:pt idx="174">
                  <c:v>1400.0983721862426</c:v>
                </c:pt>
                <c:pt idx="175">
                  <c:v>1402.7934920276609</c:v>
                </c:pt>
                <c:pt idx="176">
                  <c:v>1405.4937998409418</c:v>
                </c:pt>
                <c:pt idx="177">
                  <c:v>1408.1993056126735</c:v>
                </c:pt>
                <c:pt idx="178">
                  <c:v>1410.9100193486677</c:v>
                </c:pt>
                <c:pt idx="179">
                  <c:v>1413.6259510739969</c:v>
                </c:pt>
                <c:pt idx="180">
                  <c:v>1416.3471108330318</c:v>
                </c:pt>
                <c:pt idx="181">
                  <c:v>1419.0735086894774</c:v>
                </c:pt>
                <c:pt idx="182">
                  <c:v>1421.8051547264117</c:v>
                </c:pt>
                <c:pt idx="183">
                  <c:v>1424.5420590463207</c:v>
                </c:pt>
                <c:pt idx="184">
                  <c:v>1427.2842317711384</c:v>
                </c:pt>
                <c:pt idx="185">
                  <c:v>1430.0316830422823</c:v>
                </c:pt>
                <c:pt idx="186">
                  <c:v>1432.7844230206927</c:v>
                </c:pt>
                <c:pt idx="187">
                  <c:v>1435.5424618868681</c:v>
                </c:pt>
                <c:pt idx="188">
                  <c:v>1438.3058098409037</c:v>
                </c:pt>
                <c:pt idx="189">
                  <c:v>1441.0744771025311</c:v>
                </c:pt>
                <c:pt idx="190">
                  <c:v>1443.8484739111523</c:v>
                </c:pt>
                <c:pt idx="191">
                  <c:v>1446.6278105258814</c:v>
                </c:pt>
                <c:pt idx="192">
                  <c:v>1449.4124972255795</c:v>
                </c:pt>
                <c:pt idx="193">
                  <c:v>1452.2025443088946</c:v>
                </c:pt>
                <c:pt idx="194">
                  <c:v>1454.9979620942991</c:v>
                </c:pt>
                <c:pt idx="195">
                  <c:v>1457.7987609201275</c:v>
                </c:pt>
                <c:pt idx="196">
                  <c:v>1460.6049511446161</c:v>
                </c:pt>
                <c:pt idx="197">
                  <c:v>1463.4165431459385</c:v>
                </c:pt>
                <c:pt idx="198">
                  <c:v>1466.2335473222479</c:v>
                </c:pt>
                <c:pt idx="199">
                  <c:v>1469.055974091712</c:v>
                </c:pt>
                <c:pt idx="200">
                  <c:v>1471.8838338925532</c:v>
                </c:pt>
                <c:pt idx="201">
                  <c:v>1474.7171371830873</c:v>
                </c:pt>
                <c:pt idx="202">
                  <c:v>1477.5558944417617</c:v>
                </c:pt>
                <c:pt idx="203">
                  <c:v>1480.4001161671943</c:v>
                </c:pt>
                <c:pt idx="204">
                  <c:v>1483.2498128782117</c:v>
                </c:pt>
                <c:pt idx="205">
                  <c:v>1486.10499511389</c:v>
                </c:pt>
                <c:pt idx="206">
                  <c:v>1488.9656734335917</c:v>
                </c:pt>
                <c:pt idx="207">
                  <c:v>1491.8318584170049</c:v>
                </c:pt>
                <c:pt idx="208">
                  <c:v>1494.7035606641846</c:v>
                </c:pt>
                <c:pt idx="209">
                  <c:v>1497.5807907955891</c:v>
                </c:pt>
                <c:pt idx="210">
                  <c:v>1500.4635594521214</c:v>
                </c:pt>
                <c:pt idx="211">
                  <c:v>1503.351877295167</c:v>
                </c:pt>
                <c:pt idx="212">
                  <c:v>1506.2457550066347</c:v>
                </c:pt>
                <c:pt idx="213">
                  <c:v>1509.1452032889947</c:v>
                </c:pt>
                <c:pt idx="214">
                  <c:v>1512.0502328653197</c:v>
                </c:pt>
                <c:pt idx="215">
                  <c:v>1514.9608544793234</c:v>
                </c:pt>
                <c:pt idx="216">
                  <c:v>1517.8770788954005</c:v>
                </c:pt>
                <c:pt idx="217">
                  <c:v>1520.7989168986669</c:v>
                </c:pt>
                <c:pt idx="218">
                  <c:v>1523.7263792949991</c:v>
                </c:pt>
                <c:pt idx="219">
                  <c:v>1526.6594769110745</c:v>
                </c:pt>
                <c:pt idx="220">
                  <c:v>1529.5982205944115</c:v>
                </c:pt>
                <c:pt idx="221">
                  <c:v>1532.5426212134089</c:v>
                </c:pt>
                <c:pt idx="222">
                  <c:v>1535.4926896573866</c:v>
                </c:pt>
                <c:pt idx="223">
                  <c:v>1538.448436836627</c:v>
                </c:pt>
                <c:pt idx="224">
                  <c:v>1541.409873682413</c:v>
                </c:pt>
                <c:pt idx="225">
                  <c:v>1544.3770111470708</c:v>
                </c:pt>
                <c:pt idx="226">
                  <c:v>1547.3498602040077</c:v>
                </c:pt>
                <c:pt idx="227">
                  <c:v>1550.3284318477556</c:v>
                </c:pt>
                <c:pt idx="228">
                  <c:v>1553.3127370940103</c:v>
                </c:pt>
                <c:pt idx="229">
                  <c:v>1556.3027869796715</c:v>
                </c:pt>
                <c:pt idx="230">
                  <c:v>1559.298592562885</c:v>
                </c:pt>
                <c:pt idx="231">
                  <c:v>1562.3001649230828</c:v>
                </c:pt>
                <c:pt idx="232">
                  <c:v>1565.307515161024</c:v>
                </c:pt>
                <c:pt idx="233">
                  <c:v>1568.3206543988367</c:v>
                </c:pt>
                <c:pt idx="234">
                  <c:v>1571.3395937800576</c:v>
                </c:pt>
                <c:pt idx="235">
                  <c:v>1574.3643444696754</c:v>
                </c:pt>
                <c:pt idx="236">
                  <c:v>1577.3949176541698</c:v>
                </c:pt>
                <c:pt idx="237">
                  <c:v>1580.4313245415544</c:v>
                </c:pt>
                <c:pt idx="238">
                  <c:v>1583.4735763614176</c:v>
                </c:pt>
                <c:pt idx="239">
                  <c:v>1586.5216843649641</c:v>
                </c:pt>
                <c:pt idx="240">
                  <c:v>1589.5756598250571</c:v>
                </c:pt>
                <c:pt idx="241">
                  <c:v>1592.6355140362582</c:v>
                </c:pt>
                <c:pt idx="242">
                  <c:v>1595.7012583148721</c:v>
                </c:pt>
                <c:pt idx="243">
                  <c:v>1598.7729039989861</c:v>
                </c:pt>
                <c:pt idx="244">
                  <c:v>1601.8504624485124</c:v>
                </c:pt>
                <c:pt idx="245">
                  <c:v>1604.933945045231</c:v>
                </c:pt>
                <c:pt idx="246">
                  <c:v>1608.0233631928309</c:v>
                </c:pt>
                <c:pt idx="247">
                  <c:v>1611.1187283169529</c:v>
                </c:pt>
                <c:pt idx="248">
                  <c:v>1614.2200518652314</c:v>
                </c:pt>
                <c:pt idx="249">
                  <c:v>1617.3273453073373</c:v>
                </c:pt>
                <c:pt idx="250">
                  <c:v>1620.4406201350196</c:v>
                </c:pt>
                <c:pt idx="251">
                  <c:v>1623.5598878621486</c:v>
                </c:pt>
                <c:pt idx="252">
                  <c:v>1626.6851600247578</c:v>
                </c:pt>
                <c:pt idx="253">
                  <c:v>1629.8164481810879</c:v>
                </c:pt>
                <c:pt idx="254">
                  <c:v>1632.9537639116277</c:v>
                </c:pt>
                <c:pt idx="255">
                  <c:v>1636.0971188191579</c:v>
                </c:pt>
                <c:pt idx="256">
                  <c:v>1639.2465245287951</c:v>
                </c:pt>
                <c:pt idx="257">
                  <c:v>1642.4019926880324</c:v>
                </c:pt>
                <c:pt idx="258">
                  <c:v>1645.5635349667846</c:v>
                </c:pt>
                <c:pt idx="259">
                  <c:v>1648.7311630574295</c:v>
                </c:pt>
                <c:pt idx="260">
                  <c:v>1651.9048886748533</c:v>
                </c:pt>
                <c:pt idx="261">
                  <c:v>1655.0847235564922</c:v>
                </c:pt>
                <c:pt idx="262">
                  <c:v>1658.2706794623762</c:v>
                </c:pt>
                <c:pt idx="263">
                  <c:v>1661.4627681751738</c:v>
                </c:pt>
                <c:pt idx="264">
                  <c:v>1664.6610015002325</c:v>
                </c:pt>
                <c:pt idx="265">
                  <c:v>1667.8653912656266</c:v>
                </c:pt>
                <c:pt idx="266">
                  <c:v>1671.0759493221983</c:v>
                </c:pt>
                <c:pt idx="267">
                  <c:v>1674.292687543601</c:v>
                </c:pt>
                <c:pt idx="268">
                  <c:v>1677.5156178263458</c:v>
                </c:pt>
                <c:pt idx="269">
                  <c:v>1680.7447520898427</c:v>
                </c:pt>
                <c:pt idx="270">
                  <c:v>1683.9801022764468</c:v>
                </c:pt>
                <c:pt idx="271">
                  <c:v>1687.2216803515018</c:v>
                </c:pt>
                <c:pt idx="272">
                  <c:v>1690.4694983033835</c:v>
                </c:pt>
                <c:pt idx="273">
                  <c:v>1693.7235681435448</c:v>
                </c:pt>
                <c:pt idx="274">
                  <c:v>1696.98390190656</c:v>
                </c:pt>
                <c:pt idx="275">
                  <c:v>1700.25051165017</c:v>
                </c:pt>
                <c:pt idx="276">
                  <c:v>1703.5234094553255</c:v>
                </c:pt>
                <c:pt idx="277">
                  <c:v>1706.8026074262327</c:v>
                </c:pt>
                <c:pt idx="278">
                  <c:v>1710.0881176903981</c:v>
                </c:pt>
                <c:pt idx="279">
                  <c:v>1713.3799523986727</c:v>
                </c:pt>
                <c:pt idx="280">
                  <c:v>1716.6781237252972</c:v>
                </c:pt>
                <c:pt idx="281">
                  <c:v>1719.982643867947</c:v>
                </c:pt>
                <c:pt idx="282">
                  <c:v>1723.2935250477781</c:v>
                </c:pt>
                <c:pt idx="283">
                  <c:v>1726.6107795094713</c:v>
                </c:pt>
                <c:pt idx="284">
                  <c:v>1729.9344195212775</c:v>
                </c:pt>
                <c:pt idx="285">
                  <c:v>1733.2644573750638</c:v>
                </c:pt>
                <c:pt idx="286">
                  <c:v>1736.6009053863577</c:v>
                </c:pt>
                <c:pt idx="287">
                  <c:v>1739.9437758943945</c:v>
                </c:pt>
                <c:pt idx="288">
                  <c:v>1743.2930812621619</c:v>
                </c:pt>
                <c:pt idx="289">
                  <c:v>1746.6488338764445</c:v>
                </c:pt>
                <c:pt idx="290">
                  <c:v>1750.0110461478723</c:v>
                </c:pt>
                <c:pt idx="291">
                  <c:v>1753.3797305109645</c:v>
                </c:pt>
                <c:pt idx="292">
                  <c:v>1756.7548994241758</c:v>
                </c:pt>
                <c:pt idx="293">
                  <c:v>1760.1365653699436</c:v>
                </c:pt>
                <c:pt idx="294">
                  <c:v>1763.5247408547327</c:v>
                </c:pt>
                <c:pt idx="295">
                  <c:v>1766.9194384090827</c:v>
                </c:pt>
                <c:pt idx="296">
                  <c:v>1770.3206705876532</c:v>
                </c:pt>
                <c:pt idx="297">
                  <c:v>1773.7284499692717</c:v>
                </c:pt>
                <c:pt idx="298">
                  <c:v>1777.1427891569788</c:v>
                </c:pt>
                <c:pt idx="299">
                  <c:v>1780.5637007780756</c:v>
                </c:pt>
                <c:pt idx="300">
                  <c:v>1783.99119748417</c:v>
                </c:pt>
                <c:pt idx="301">
                  <c:v>1787.4252919512235</c:v>
                </c:pt>
                <c:pt idx="302">
                  <c:v>1790.8659968795982</c:v>
                </c:pt>
                <c:pt idx="303">
                  <c:v>1794.3133249941043</c:v>
                </c:pt>
                <c:pt idx="304">
                  <c:v>1797.7672890440458</c:v>
                </c:pt>
                <c:pt idx="305">
                  <c:v>1801.2279018032693</c:v>
                </c:pt>
                <c:pt idx="306">
                  <c:v>1804.6951760702098</c:v>
                </c:pt>
                <c:pt idx="307">
                  <c:v>1808.1691246679384</c:v>
                </c:pt>
                <c:pt idx="308">
                  <c:v>1811.6497604442113</c:v>
                </c:pt>
                <c:pt idx="309">
                  <c:v>1815.1370962715146</c:v>
                </c:pt>
                <c:pt idx="310">
                  <c:v>1818.6311450471139</c:v>
                </c:pt>
                <c:pt idx="311">
                  <c:v>1822.1319196931015</c:v>
                </c:pt>
                <c:pt idx="312">
                  <c:v>1825.6394331564434</c:v>
                </c:pt>
                <c:pt idx="313">
                  <c:v>1829.1536984090292</c:v>
                </c:pt>
                <c:pt idx="314">
                  <c:v>1832.6747284477171</c:v>
                </c:pt>
                <c:pt idx="315">
                  <c:v>1836.202536294385</c:v>
                </c:pt>
                <c:pt idx="316">
                  <c:v>1839.7371349959762</c:v>
                </c:pt>
                <c:pt idx="317">
                  <c:v>1843.2785376245499</c:v>
                </c:pt>
                <c:pt idx="318">
                  <c:v>1846.826757277327</c:v>
                </c:pt>
                <c:pt idx="319">
                  <c:v>1850.3818070767411</c:v>
                </c:pt>
                <c:pt idx="320">
                  <c:v>1853.943700170485</c:v>
                </c:pt>
                <c:pt idx="321">
                  <c:v>1857.5124497315605</c:v>
                </c:pt>
                <c:pt idx="322">
                  <c:v>1861.0880689583269</c:v>
                </c:pt>
                <c:pt idx="323">
                  <c:v>1864.6705710745489</c:v>
                </c:pt>
                <c:pt idx="324">
                  <c:v>1868.2599693294478</c:v>
                </c:pt>
                <c:pt idx="325">
                  <c:v>1871.8562769977477</c:v>
                </c:pt>
                <c:pt idx="326">
                  <c:v>1875.4595073797261</c:v>
                </c:pt>
                <c:pt idx="327">
                  <c:v>1879.0696738012637</c:v>
                </c:pt>
                <c:pt idx="328">
                  <c:v>1882.6867896138913</c:v>
                </c:pt>
                <c:pt idx="329">
                  <c:v>1886.3108681948427</c:v>
                </c:pt>
                <c:pt idx="330">
                  <c:v>1889.9419229471005</c:v>
                </c:pt>
                <c:pt idx="331">
                  <c:v>1893.5799672994478</c:v>
                </c:pt>
                <c:pt idx="332">
                  <c:v>1897.2250147065183</c:v>
                </c:pt>
                <c:pt idx="333">
                  <c:v>1900.8770786488442</c:v>
                </c:pt>
                <c:pt idx="334">
                  <c:v>1904.5361726329079</c:v>
                </c:pt>
                <c:pt idx="335">
                  <c:v>1908.2023101911905</c:v>
                </c:pt>
                <c:pt idx="336">
                  <c:v>1911.8755048822222</c:v>
                </c:pt>
                <c:pt idx="337">
                  <c:v>1915.5557702906335</c:v>
                </c:pt>
                <c:pt idx="338">
                  <c:v>1919.2431200272038</c:v>
                </c:pt>
                <c:pt idx="339">
                  <c:v>1922.9375677289138</c:v>
                </c:pt>
                <c:pt idx="340">
                  <c:v>1926.6391270589934</c:v>
                </c:pt>
                <c:pt idx="341">
                  <c:v>1930.3478117069737</c:v>
                </c:pt>
                <c:pt idx="342">
                  <c:v>1934.0636353887389</c:v>
                </c:pt>
                <c:pt idx="343">
                  <c:v>1937.7866118465729</c:v>
                </c:pt>
                <c:pt idx="344">
                  <c:v>1941.5167548492166</c:v>
                </c:pt>
                <c:pt idx="345">
                  <c:v>1945.2540781919113</c:v>
                </c:pt>
                <c:pt idx="346">
                  <c:v>1948.9985956964551</c:v>
                </c:pt>
                <c:pt idx="347">
                  <c:v>1952.7503212112531</c:v>
                </c:pt>
                <c:pt idx="348">
                  <c:v>1956.5092686113662</c:v>
                </c:pt>
                <c:pt idx="349">
                  <c:v>1960.2754517985661</c:v>
                </c:pt>
                <c:pt idx="350">
                  <c:v>1964.048884701383</c:v>
                </c:pt>
                <c:pt idx="351">
                  <c:v>1967.8295812751594</c:v>
                </c:pt>
                <c:pt idx="352">
                  <c:v>1971.6175555021014</c:v>
                </c:pt>
                <c:pt idx="353">
                  <c:v>1975.4128213913293</c:v>
                </c:pt>
                <c:pt idx="354">
                  <c:v>1979.215392978932</c:v>
                </c:pt>
                <c:pt idx="355">
                  <c:v>1983.0252843280157</c:v>
                </c:pt>
                <c:pt idx="356">
                  <c:v>1986.8425095287573</c:v>
                </c:pt>
                <c:pt idx="357">
                  <c:v>1990.6670826984575</c:v>
                </c:pt>
                <c:pt idx="358">
                  <c:v>1994.4990179815916</c:v>
                </c:pt>
                <c:pt idx="359">
                  <c:v>1998.3383295498625</c:v>
                </c:pt>
                <c:pt idx="360">
                  <c:v>2002.1850316022526</c:v>
                </c:pt>
                <c:pt idx="361">
                  <c:v>2006.0391383650767</c:v>
                </c:pt>
                <c:pt idx="362">
                  <c:v>2009.9006640920352</c:v>
                </c:pt>
                <c:pt idx="363">
                  <c:v>2013.7696230642646</c:v>
                </c:pt>
                <c:pt idx="364">
                  <c:v>2017.6460295903942</c:v>
                </c:pt>
                <c:pt idx="365">
                  <c:v>2021.529898006595</c:v>
                </c:pt>
                <c:pt idx="366">
                  <c:v>2025.4212426766344</c:v>
                </c:pt>
                <c:pt idx="367">
                  <c:v>2029.3200779919309</c:v>
                </c:pt>
                <c:pt idx="368">
                  <c:v>2033.2264183716031</c:v>
                </c:pt>
                <c:pt idx="369">
                  <c:v>2037.140278262528</c:v>
                </c:pt>
                <c:pt idx="370">
                  <c:v>2041.0616721393922</c:v>
                </c:pt>
                <c:pt idx="371">
                  <c:v>2044.990614504743</c:v>
                </c:pt>
                <c:pt idx="372">
                  <c:v>2048.9271198890469</c:v>
                </c:pt>
                <c:pt idx="373">
                  <c:v>2052.8712028507393</c:v>
                </c:pt>
                <c:pt idx="374">
                  <c:v>2056.8228779762803</c:v>
                </c:pt>
                <c:pt idx="375">
                  <c:v>2060.7821598802097</c:v>
                </c:pt>
                <c:pt idx="376">
                  <c:v>2064.7490632051963</c:v>
                </c:pt>
                <c:pt idx="377">
                  <c:v>2068.7236026220985</c:v>
                </c:pt>
                <c:pt idx="378">
                  <c:v>2072.7057928300128</c:v>
                </c:pt>
                <c:pt idx="379">
                  <c:v>2076.6956485563333</c:v>
                </c:pt>
                <c:pt idx="380">
                  <c:v>2080.6931845568015</c:v>
                </c:pt>
                <c:pt idx="381">
                  <c:v>2084.6984156155636</c:v>
                </c:pt>
                <c:pt idx="382">
                  <c:v>2088.711356545226</c:v>
                </c:pt>
                <c:pt idx="383">
                  <c:v>2092.7320221869054</c:v>
                </c:pt>
                <c:pt idx="384">
                  <c:v>2096.76042741029</c:v>
                </c:pt>
                <c:pt idx="385">
                  <c:v>2100.7965871136903</c:v>
                </c:pt>
                <c:pt idx="386">
                  <c:v>2104.8405162240952</c:v>
                </c:pt>
                <c:pt idx="387">
                  <c:v>2108.8922296972269</c:v>
                </c:pt>
                <c:pt idx="388">
                  <c:v>2112.9517425175977</c:v>
                </c:pt>
                <c:pt idx="389">
                  <c:v>2117.0190696985628</c:v>
                </c:pt>
                <c:pt idx="390">
                  <c:v>2121.0942262823796</c:v>
                </c:pt>
                <c:pt idx="391">
                  <c:v>2125.1772273402594</c:v>
                </c:pt>
                <c:pt idx="392">
                  <c:v>2129.2680879724248</c:v>
                </c:pt>
                <c:pt idx="393">
                  <c:v>2133.3668233081657</c:v>
                </c:pt>
                <c:pt idx="394">
                  <c:v>2137.4734485058962</c:v>
                </c:pt>
                <c:pt idx="395">
                  <c:v>2141.5879787532085</c:v>
                </c:pt>
                <c:pt idx="396">
                  <c:v>2145.710429266931</c:v>
                </c:pt>
                <c:pt idx="397">
                  <c:v>2149.8408152931825</c:v>
                </c:pt>
                <c:pt idx="398">
                  <c:v>2153.9791521074312</c:v>
                </c:pt>
                <c:pt idx="399">
                  <c:v>2158.1254550145482</c:v>
                </c:pt>
                <c:pt idx="400">
                  <c:v>2162.2797393488681</c:v>
                </c:pt>
                <c:pt idx="401">
                  <c:v>2166.4420204742414</c:v>
                </c:pt>
                <c:pt idx="402">
                  <c:v>2170.6123137840932</c:v>
                </c:pt>
                <c:pt idx="403">
                  <c:v>2174.7906347014809</c:v>
                </c:pt>
                <c:pt idx="404">
                  <c:v>2178.9769986791512</c:v>
                </c:pt>
                <c:pt idx="405">
                  <c:v>2183.1714211995945</c:v>
                </c:pt>
                <c:pt idx="406">
                  <c:v>2187.3739177751067</c:v>
                </c:pt>
                <c:pt idx="407">
                  <c:v>2191.5845039478418</c:v>
                </c:pt>
                <c:pt idx="408">
                  <c:v>2195.8031952898741</c:v>
                </c:pt>
                <c:pt idx="409">
                  <c:v>2200.0300074032502</c:v>
                </c:pt>
                <c:pt idx="410">
                  <c:v>2204.2649559200536</c:v>
                </c:pt>
                <c:pt idx="411">
                  <c:v>2208.5080565024555</c:v>
                </c:pt>
                <c:pt idx="412">
                  <c:v>2212.7593248427779</c:v>
                </c:pt>
                <c:pt idx="413">
                  <c:v>2217.018776663549</c:v>
                </c:pt>
                <c:pt idx="414">
                  <c:v>2221.2864277175618</c:v>
                </c:pt>
                <c:pt idx="415">
                  <c:v>2225.5622937879343</c:v>
                </c:pt>
                <c:pt idx="416">
                  <c:v>2229.8463906881652</c:v>
                </c:pt>
                <c:pt idx="417">
                  <c:v>2234.1387342621915</c:v>
                </c:pt>
                <c:pt idx="418">
                  <c:v>2238.4393403844529</c:v>
                </c:pt>
                <c:pt idx="419">
                  <c:v>2242.748224959942</c:v>
                </c:pt>
                <c:pt idx="420">
                  <c:v>2247.0654039242722</c:v>
                </c:pt>
                <c:pt idx="421">
                  <c:v>2251.3908932437298</c:v>
                </c:pt>
                <c:pt idx="422">
                  <c:v>2255.7247089153352</c:v>
                </c:pt>
                <c:pt idx="423">
                  <c:v>2260.066866966903</c:v>
                </c:pt>
                <c:pt idx="424">
                  <c:v>2264.4173834571002</c:v>
                </c:pt>
                <c:pt idx="425">
                  <c:v>2268.7762744755069</c:v>
                </c:pt>
                <c:pt idx="426">
                  <c:v>2273.1435561426729</c:v>
                </c:pt>
                <c:pt idx="427">
                  <c:v>2277.519244610181</c:v>
                </c:pt>
                <c:pt idx="428">
                  <c:v>2281.9033560607049</c:v>
                </c:pt>
                <c:pt idx="429">
                  <c:v>2286.2959067080674</c:v>
                </c:pt>
                <c:pt idx="430">
                  <c:v>2290.6969127973043</c:v>
                </c:pt>
                <c:pt idx="431">
                  <c:v>2295.1063906047216</c:v>
                </c:pt>
                <c:pt idx="432">
                  <c:v>2299.5243564379557</c:v>
                </c:pt>
                <c:pt idx="433">
                  <c:v>2303.9508266360344</c:v>
                </c:pt>
                <c:pt idx="434">
                  <c:v>2308.3858175694372</c:v>
                </c:pt>
                <c:pt idx="435">
                  <c:v>2312.8293456401584</c:v>
                </c:pt>
                <c:pt idx="436">
                  <c:v>2317.2814272817623</c:v>
                </c:pt>
                <c:pt idx="437">
                  <c:v>2321.742078959448</c:v>
                </c:pt>
                <c:pt idx="438">
                  <c:v>2326.2113171701089</c:v>
                </c:pt>
                <c:pt idx="439">
                  <c:v>2330.6891584423956</c:v>
                </c:pt>
                <c:pt idx="440">
                  <c:v>2335.1756193367746</c:v>
                </c:pt>
                <c:pt idx="441">
                  <c:v>2339.6707164455897</c:v>
                </c:pt>
                <c:pt idx="442">
                  <c:v>2344.1744663931254</c:v>
                </c:pt>
                <c:pt idx="443">
                  <c:v>2348.6868858356656</c:v>
                </c:pt>
                <c:pt idx="444">
                  <c:v>2353.2079914615583</c:v>
                </c:pt>
                <c:pt idx="445">
                  <c:v>2357.7377999912756</c:v>
                </c:pt>
                <c:pt idx="446">
                  <c:v>2362.2763281774751</c:v>
                </c:pt>
                <c:pt idx="447">
                  <c:v>2366.8235928050617</c:v>
                </c:pt>
                <c:pt idx="448">
                  <c:v>2371.3796106912514</c:v>
                </c:pt>
                <c:pt idx="449">
                  <c:v>2375.9443986856331</c:v>
                </c:pt>
                <c:pt idx="450">
                  <c:v>2380.5179736702289</c:v>
                </c:pt>
                <c:pt idx="451">
                  <c:v>2385.1003525595593</c:v>
                </c:pt>
                <c:pt idx="452">
                  <c:v>2389.6915523007028</c:v>
                </c:pt>
                <c:pt idx="453">
                  <c:v>2394.2915898733622</c:v>
                </c:pt>
                <c:pt idx="454">
                  <c:v>2398.9004822899228</c:v>
                </c:pt>
                <c:pt idx="455">
                  <c:v>2403.5182465955213</c:v>
                </c:pt>
                <c:pt idx="456">
                  <c:v>2408.1448998681021</c:v>
                </c:pt>
                <c:pt idx="457">
                  <c:v>2412.7804592184862</c:v>
                </c:pt>
                <c:pt idx="458">
                  <c:v>2417.4249417904307</c:v>
                </c:pt>
                <c:pt idx="459">
                  <c:v>2422.0783647606931</c:v>
                </c:pt>
                <c:pt idx="460">
                  <c:v>2426.7407453390979</c:v>
                </c:pt>
                <c:pt idx="461">
                  <c:v>2431.4121007685949</c:v>
                </c:pt>
                <c:pt idx="462">
                  <c:v>2436.0924483253266</c:v>
                </c:pt>
                <c:pt idx="463">
                  <c:v>2440.781805318692</c:v>
                </c:pt>
                <c:pt idx="464">
                  <c:v>2445.4801890914086</c:v>
                </c:pt>
                <c:pt idx="465">
                  <c:v>2450.1876170195796</c:v>
                </c:pt>
                <c:pt idx="466">
                  <c:v>2454.904106512754</c:v>
                </c:pt>
                <c:pt idx="467">
                  <c:v>2459.629675013995</c:v>
                </c:pt>
                <c:pt idx="468">
                  <c:v>2464.3643399999423</c:v>
                </c:pt>
                <c:pt idx="469">
                  <c:v>2469.1081189808765</c:v>
                </c:pt>
                <c:pt idx="470">
                  <c:v>2473.8610295007866</c:v>
                </c:pt>
                <c:pt idx="471">
                  <c:v>2478.6230891374307</c:v>
                </c:pt>
                <c:pt idx="472">
                  <c:v>2483.3943155024049</c:v>
                </c:pt>
                <c:pt idx="473">
                  <c:v>2488.1747262412055</c:v>
                </c:pt>
                <c:pt idx="474">
                  <c:v>2492.9643390332953</c:v>
                </c:pt>
                <c:pt idx="475">
                  <c:v>2497.7631715921721</c:v>
                </c:pt>
                <c:pt idx="476">
                  <c:v>2502.5712416654274</c:v>
                </c:pt>
                <c:pt idx="477">
                  <c:v>2507.3885670348186</c:v>
                </c:pt>
                <c:pt idx="478">
                  <c:v>2512.2151655163302</c:v>
                </c:pt>
                <c:pt idx="479">
                  <c:v>2517.0510549602432</c:v>
                </c:pt>
                <c:pt idx="480">
                  <c:v>2521.8962532511987</c:v>
                </c:pt>
                <c:pt idx="481">
                  <c:v>2526.7507783082651</c:v>
                </c:pt>
                <c:pt idx="482">
                  <c:v>2531.6146480850039</c:v>
                </c:pt>
                <c:pt idx="483">
                  <c:v>2536.4878805695366</c:v>
                </c:pt>
                <c:pt idx="484">
                  <c:v>2541.3704937846105</c:v>
                </c:pt>
                <c:pt idx="485">
                  <c:v>2546.2625057876667</c:v>
                </c:pt>
                <c:pt idx="486">
                  <c:v>2551.1639346709044</c:v>
                </c:pt>
                <c:pt idx="487">
                  <c:v>2556.0747985613511</c:v>
                </c:pt>
                <c:pt idx="488">
                  <c:v>2560.9951156209272</c:v>
                </c:pt>
                <c:pt idx="489">
                  <c:v>2565.9249040465129</c:v>
                </c:pt>
                <c:pt idx="490">
                  <c:v>2570.8641820700186</c:v>
                </c:pt>
                <c:pt idx="491">
                  <c:v>2575.8129679584486</c:v>
                </c:pt>
                <c:pt idx="492">
                  <c:v>2580.7712800139702</c:v>
                </c:pt>
                <c:pt idx="493">
                  <c:v>2585.7391365739832</c:v>
                </c:pt>
                <c:pt idx="494">
                  <c:v>2590.7165560111835</c:v>
                </c:pt>
                <c:pt idx="495">
                  <c:v>2595.7035567336357</c:v>
                </c:pt>
                <c:pt idx="496">
                  <c:v>2600.7001571848377</c:v>
                </c:pt>
                <c:pt idx="497">
                  <c:v>2605.7063758437907</c:v>
                </c:pt>
                <c:pt idx="498">
                  <c:v>2610.7222312250674</c:v>
                </c:pt>
                <c:pt idx="499">
                  <c:v>2615.7477418788794</c:v>
                </c:pt>
                <c:pt idx="500">
                  <c:v>2620.7829263911467</c:v>
                </c:pt>
                <c:pt idx="501">
                  <c:v>2625.8278033835672</c:v>
                </c:pt>
                <c:pt idx="502">
                  <c:v>2630.8823915136836</c:v>
                </c:pt>
                <c:pt idx="503">
                  <c:v>2635.9467094749525</c:v>
                </c:pt>
                <c:pt idx="504">
                  <c:v>2641.0207759968171</c:v>
                </c:pt>
                <c:pt idx="505">
                  <c:v>2646.1046098447723</c:v>
                </c:pt>
                <c:pt idx="506">
                  <c:v>2651.1982298204357</c:v>
                </c:pt>
                <c:pt idx="507">
                  <c:v>2656.3016547616171</c:v>
                </c:pt>
                <c:pt idx="508">
                  <c:v>2661.4149035423875</c:v>
                </c:pt>
                <c:pt idx="509">
                  <c:v>2666.5379950731513</c:v>
                </c:pt>
                <c:pt idx="510">
                  <c:v>2671.6709483007135</c:v>
                </c:pt>
                <c:pt idx="511">
                  <c:v>2676.8137822083504</c:v>
                </c:pt>
                <c:pt idx="512">
                  <c:v>2681.9665158158805</c:v>
                </c:pt>
                <c:pt idx="513">
                  <c:v>2687.1291681797338</c:v>
                </c:pt>
                <c:pt idx="514">
                  <c:v>2692.301758393025</c:v>
                </c:pt>
                <c:pt idx="515">
                  <c:v>2697.4843055856195</c:v>
                </c:pt>
                <c:pt idx="516">
                  <c:v>2702.6768289242095</c:v>
                </c:pt>
                <c:pt idx="517">
                  <c:v>2707.8793476123801</c:v>
                </c:pt>
                <c:pt idx="518">
                  <c:v>2713.0918808906818</c:v>
                </c:pt>
                <c:pt idx="519">
                  <c:v>2718.3144480367041</c:v>
                </c:pt>
                <c:pt idx="520">
                  <c:v>2723.5470683651447</c:v>
                </c:pt>
                <c:pt idx="521">
                  <c:v>2728.7897612278794</c:v>
                </c:pt>
                <c:pt idx="522">
                  <c:v>2734.0425460140382</c:v>
                </c:pt>
                <c:pt idx="523">
                  <c:v>2739.3054421500706</c:v>
                </c:pt>
                <c:pt idx="524">
                  <c:v>2744.5784690998235</c:v>
                </c:pt>
                <c:pt idx="525">
                  <c:v>2749.8616463646113</c:v>
                </c:pt>
                <c:pt idx="526">
                  <c:v>2755.1549934832856</c:v>
                </c:pt>
                <c:pt idx="527">
                  <c:v>2760.4585300323106</c:v>
                </c:pt>
                <c:pt idx="528">
                  <c:v>2765.7722756258336</c:v>
                </c:pt>
                <c:pt idx="529">
                  <c:v>2771.0962499157577</c:v>
                </c:pt>
                <c:pt idx="530">
                  <c:v>2776.4304725918155</c:v>
                </c:pt>
                <c:pt idx="531">
                  <c:v>2781.774963381642</c:v>
                </c:pt>
                <c:pt idx="532">
                  <c:v>2787.1297420508472</c:v>
                </c:pt>
                <c:pt idx="533">
                  <c:v>2792.4948284030861</c:v>
                </c:pt>
                <c:pt idx="534">
                  <c:v>2797.8702422801375</c:v>
                </c:pt>
                <c:pt idx="535">
                  <c:v>2803.256003561974</c:v>
                </c:pt>
                <c:pt idx="536">
                  <c:v>2808.6521321668361</c:v>
                </c:pt>
                <c:pt idx="537">
                  <c:v>2814.0586480513061</c:v>
                </c:pt>
                <c:pt idx="538">
                  <c:v>2819.4755712103806</c:v>
                </c:pt>
                <c:pt idx="539">
                  <c:v>2824.9029216775466</c:v>
                </c:pt>
                <c:pt idx="540">
                  <c:v>2830.3407195248546</c:v>
                </c:pt>
                <c:pt idx="541">
                  <c:v>2835.7889848629925</c:v>
                </c:pt>
                <c:pt idx="542">
                  <c:v>2841.247737841361</c:v>
                </c:pt>
                <c:pt idx="543">
                  <c:v>2846.7169986481458</c:v>
                </c:pt>
                <c:pt idx="544">
                  <c:v>2852.1967875103951</c:v>
                </c:pt>
                <c:pt idx="545">
                  <c:v>2857.6871246940927</c:v>
                </c:pt>
                <c:pt idx="546">
                  <c:v>2863.1880305042346</c:v>
                </c:pt>
                <c:pt idx="547">
                  <c:v>2868.6995252849006</c:v>
                </c:pt>
                <c:pt idx="548">
                  <c:v>2874.221629419334</c:v>
                </c:pt>
                <c:pt idx="549">
                  <c:v>2879.7543633300133</c:v>
                </c:pt>
                <c:pt idx="550">
                  <c:v>2885.2977474787303</c:v>
                </c:pt>
                <c:pt idx="551">
                  <c:v>2890.8518023666652</c:v>
                </c:pt>
                <c:pt idx="552">
                  <c:v>2896.4165485344597</c:v>
                </c:pt>
                <c:pt idx="553">
                  <c:v>2901.9920065622964</c:v>
                </c:pt>
                <c:pt idx="554">
                  <c:v>2907.5781970699754</c:v>
                </c:pt>
                <c:pt idx="555">
                  <c:v>2913.1751407169868</c:v>
                </c:pt>
                <c:pt idx="556">
                  <c:v>2918.7828582025904</c:v>
                </c:pt>
                <c:pt idx="557">
                  <c:v>2924.401370265889</c:v>
                </c:pt>
                <c:pt idx="558">
                  <c:v>2930.0306976859101</c:v>
                </c:pt>
                <c:pt idx="559">
                  <c:v>2935.6708612816774</c:v>
                </c:pt>
                <c:pt idx="560">
                  <c:v>2941.3218819122922</c:v>
                </c:pt>
                <c:pt idx="561">
                  <c:v>2946.9837804770063</c:v>
                </c:pt>
                <c:pt idx="562">
                  <c:v>2952.6565779153034</c:v>
                </c:pt>
                <c:pt idx="563">
                  <c:v>2958.3402952069732</c:v>
                </c:pt>
                <c:pt idx="564">
                  <c:v>2964.0349533721919</c:v>
                </c:pt>
                <c:pt idx="565">
                  <c:v>2969.7405734715976</c:v>
                </c:pt>
                <c:pt idx="566">
                  <c:v>2975.4571766063696</c:v>
                </c:pt>
                <c:pt idx="567">
                  <c:v>2981.1847839183047</c:v>
                </c:pt>
                <c:pt idx="568">
                  <c:v>2986.9234165898984</c:v>
                </c:pt>
                <c:pt idx="569">
                  <c:v>2992.6730958444195</c:v>
                </c:pt>
                <c:pt idx="570">
                  <c:v>2998.4338429459926</c:v>
                </c:pt>
                <c:pt idx="571">
                  <c:v>3004.2056791996743</c:v>
                </c:pt>
                <c:pt idx="572">
                  <c:v>3009.9886259515297</c:v>
                </c:pt>
                <c:pt idx="573">
                  <c:v>3015.7827045887175</c:v>
                </c:pt>
                <c:pt idx="574">
                  <c:v>3021.5879365395635</c:v>
                </c:pt>
                <c:pt idx="575">
                  <c:v>3027.404343273643</c:v>
                </c:pt>
                <c:pt idx="576">
                  <c:v>3033.2319463018598</c:v>
                </c:pt>
                <c:pt idx="577">
                  <c:v>3039.0707671765226</c:v>
                </c:pt>
                <c:pt idx="578">
                  <c:v>3044.920827491429</c:v>
                </c:pt>
                <c:pt idx="579">
                  <c:v>3050.7821488819436</c:v>
                </c:pt>
                <c:pt idx="580">
                  <c:v>3056.6547530250778</c:v>
                </c:pt>
                <c:pt idx="581">
                  <c:v>3062.5386616395713</c:v>
                </c:pt>
                <c:pt idx="582">
                  <c:v>3068.433896485968</c:v>
                </c:pt>
                <c:pt idx="583">
                  <c:v>3074.3404793667028</c:v>
                </c:pt>
                <c:pt idx="584">
                  <c:v>3080.2584321261779</c:v>
                </c:pt>
                <c:pt idx="585">
                  <c:v>3086.187776650846</c:v>
                </c:pt>
                <c:pt idx="586">
                  <c:v>3092.12853486929</c:v>
                </c:pt>
                <c:pt idx="587">
                  <c:v>3098.0807287523021</c:v>
                </c:pt>
                <c:pt idx="588">
                  <c:v>3104.0443803129697</c:v>
                </c:pt>
                <c:pt idx="589">
                  <c:v>3110.0195116067525</c:v>
                </c:pt>
                <c:pt idx="590">
                  <c:v>3116.006144731567</c:v>
                </c:pt>
                <c:pt idx="591">
                  <c:v>3122.0043018278679</c:v>
                </c:pt>
                <c:pt idx="592">
                  <c:v>3128.0140050787272</c:v>
                </c:pt>
                <c:pt idx="593">
                  <c:v>3134.0352767099184</c:v>
                </c:pt>
                <c:pt idx="594">
                  <c:v>3140.0681389899996</c:v>
                </c:pt>
                <c:pt idx="595">
                  <c:v>3146.1126142303951</c:v>
                </c:pt>
                <c:pt idx="596">
                  <c:v>3152.1687247854766</c:v>
                </c:pt>
                <c:pt idx="597">
                  <c:v>3158.2364930526464</c:v>
                </c:pt>
                <c:pt idx="598">
                  <c:v>3164.3159414724219</c:v>
                </c:pt>
                <c:pt idx="599">
                  <c:v>3170.4070925285164</c:v>
                </c:pt>
                <c:pt idx="600">
                  <c:v>3176.5099687479242</c:v>
                </c:pt>
                <c:pt idx="601">
                  <c:v>3182.6245927010032</c:v>
                </c:pt>
                <c:pt idx="602">
                  <c:v>3188.7509870015551</c:v>
                </c:pt>
                <c:pt idx="603">
                  <c:v>3194.8891743069162</c:v>
                </c:pt>
                <c:pt idx="604">
                  <c:v>3201.0391773180345</c:v>
                </c:pt>
                <c:pt idx="605">
                  <c:v>3207.2010187795568</c:v>
                </c:pt>
                <c:pt idx="606">
                  <c:v>3213.3747214799137</c:v>
                </c:pt>
                <c:pt idx="607">
                  <c:v>3219.5603082513985</c:v>
                </c:pt>
                <c:pt idx="608">
                  <c:v>3225.7578019702592</c:v>
                </c:pt>
                <c:pt idx="609">
                  <c:v>3231.967225556778</c:v>
                </c:pt>
                <c:pt idx="610">
                  <c:v>3238.1886019753579</c:v>
                </c:pt>
                <c:pt idx="611">
                  <c:v>3244.4219542346082</c:v>
                </c:pt>
                <c:pt idx="612">
                  <c:v>3250.6673053874256</c:v>
                </c:pt>
                <c:pt idx="613">
                  <c:v>3256.9246785310847</c:v>
                </c:pt>
                <c:pt idx="614">
                  <c:v>3263.1940968073222</c:v>
                </c:pt>
                <c:pt idx="615">
                  <c:v>3269.4755834024186</c:v>
                </c:pt>
                <c:pt idx="616">
                  <c:v>3275.76916154729</c:v>
                </c:pt>
                <c:pt idx="617">
                  <c:v>3282.0748545175684</c:v>
                </c:pt>
                <c:pt idx="618">
                  <c:v>3288.3926856336907</c:v>
                </c:pt>
                <c:pt idx="619">
                  <c:v>3294.7226782609855</c:v>
                </c:pt>
                <c:pt idx="620">
                  <c:v>3301.0648558097573</c:v>
                </c:pt>
                <c:pt idx="621">
                  <c:v>3307.419241735377</c:v>
                </c:pt>
                <c:pt idx="622">
                  <c:v>3313.7858595383609</c:v>
                </c:pt>
                <c:pt idx="623">
                  <c:v>3320.1647327644664</c:v>
                </c:pt>
                <c:pt idx="624">
                  <c:v>3326.5558850047755</c:v>
                </c:pt>
                <c:pt idx="625">
                  <c:v>3332.95933989578</c:v>
                </c:pt>
                <c:pt idx="626">
                  <c:v>3339.3751211194722</c:v>
                </c:pt>
                <c:pt idx="627">
                  <c:v>3345.8032524034293</c:v>
                </c:pt>
                <c:pt idx="628">
                  <c:v>3352.2437575209046</c:v>
                </c:pt>
                <c:pt idx="629">
                  <c:v>3358.6966602909138</c:v>
                </c:pt>
                <c:pt idx="630">
                  <c:v>3365.1619845783212</c:v>
                </c:pt>
                <c:pt idx="631">
                  <c:v>3371.6397542939326</c:v>
                </c:pt>
                <c:pt idx="632">
                  <c:v>3378.1299933945775</c:v>
                </c:pt>
                <c:pt idx="633">
                  <c:v>3384.6327258832034</c:v>
                </c:pt>
                <c:pt idx="634">
                  <c:v>3391.1479758089627</c:v>
                </c:pt>
                <c:pt idx="635">
                  <c:v>3397.6757672672993</c:v>
                </c:pt>
                <c:pt idx="636">
                  <c:v>3404.2161244000417</c:v>
                </c:pt>
                <c:pt idx="637">
                  <c:v>3410.769071395488</c:v>
                </c:pt>
                <c:pt idx="638">
                  <c:v>3417.3346324884988</c:v>
                </c:pt>
                <c:pt idx="639">
                  <c:v>3423.9128319605857</c:v>
                </c:pt>
                <c:pt idx="640">
                  <c:v>3430.5036941400026</c:v>
                </c:pt>
                <c:pt idx="641">
                  <c:v>3437.1072434018297</c:v>
                </c:pt>
                <c:pt idx="642">
                  <c:v>3443.7235041680706</c:v>
                </c:pt>
                <c:pt idx="643">
                  <c:v>3450.352500907743</c:v>
                </c:pt>
                <c:pt idx="644">
                  <c:v>3456.9942581369605</c:v>
                </c:pt>
                <c:pt idx="645">
                  <c:v>3463.6488004190337</c:v>
                </c:pt>
                <c:pt idx="646">
                  <c:v>3470.3161523645531</c:v>
                </c:pt>
                <c:pt idx="647">
                  <c:v>3476.9963386314839</c:v>
                </c:pt>
                <c:pt idx="648">
                  <c:v>3483.6893839252612</c:v>
                </c:pt>
                <c:pt idx="649">
                  <c:v>3490.3953129988695</c:v>
                </c:pt>
                <c:pt idx="650">
                  <c:v>3497.114150652947</c:v>
                </c:pt>
                <c:pt idx="651">
                  <c:v>3503.8459217358691</c:v>
                </c:pt>
                <c:pt idx="652">
                  <c:v>3510.5906511438438</c:v>
                </c:pt>
                <c:pt idx="653">
                  <c:v>3517.3483638210055</c:v>
                </c:pt>
                <c:pt idx="654">
                  <c:v>3524.1190847595003</c:v>
                </c:pt>
                <c:pt idx="655">
                  <c:v>3530.9028389995879</c:v>
                </c:pt>
                <c:pt idx="656">
                  <c:v>3537.6996516297236</c:v>
                </c:pt>
                <c:pt idx="657">
                  <c:v>3544.5095477866607</c:v>
                </c:pt>
                <c:pt idx="658">
                  <c:v>3551.3325526555404</c:v>
                </c:pt>
                <c:pt idx="659">
                  <c:v>3558.1686914699808</c:v>
                </c:pt>
                <c:pt idx="660">
                  <c:v>3565.0179895121755</c:v>
                </c:pt>
                <c:pt idx="661">
                  <c:v>3571.8804721129836</c:v>
                </c:pt>
                <c:pt idx="662">
                  <c:v>3578.7561646520253</c:v>
                </c:pt>
                <c:pt idx="663">
                  <c:v>3585.6450925577778</c:v>
                </c:pt>
                <c:pt idx="664">
                  <c:v>3592.5472813076631</c:v>
                </c:pt>
                <c:pt idx="665">
                  <c:v>3599.4627564281495</c:v>
                </c:pt>
                <c:pt idx="666">
                  <c:v>3606.3915434948381</c:v>
                </c:pt>
                <c:pt idx="667">
                  <c:v>3613.3336681325641</c:v>
                </c:pt>
                <c:pt idx="668">
                  <c:v>3620.2891560154935</c:v>
                </c:pt>
                <c:pt idx="669">
                  <c:v>3627.2580328672061</c:v>
                </c:pt>
                <c:pt idx="670">
                  <c:v>3634.2403244608035</c:v>
                </c:pt>
                <c:pt idx="671">
                  <c:v>3641.2360566189964</c:v>
                </c:pt>
                <c:pt idx="672">
                  <c:v>3648.245255214204</c:v>
                </c:pt>
                <c:pt idx="673">
                  <c:v>3655.2679461686521</c:v>
                </c:pt>
                <c:pt idx="674">
                  <c:v>3662.3041554544584</c:v>
                </c:pt>
                <c:pt idx="675">
                  <c:v>3669.3539090937425</c:v>
                </c:pt>
                <c:pt idx="676">
                  <c:v>3676.4172331587097</c:v>
                </c:pt>
                <c:pt idx="677">
                  <c:v>3683.4941537717559</c:v>
                </c:pt>
                <c:pt idx="678">
                  <c:v>3690.5846971055635</c:v>
                </c:pt>
                <c:pt idx="679">
                  <c:v>3697.6888893831906</c:v>
                </c:pt>
                <c:pt idx="680">
                  <c:v>3704.8067568781785</c:v>
                </c:pt>
                <c:pt idx="681">
                  <c:v>3711.9383259146398</c:v>
                </c:pt>
                <c:pt idx="682">
                  <c:v>3719.0836228673611</c:v>
                </c:pt>
                <c:pt idx="683">
                  <c:v>3726.2426741619024</c:v>
                </c:pt>
                <c:pt idx="684">
                  <c:v>3733.4155062746859</c:v>
                </c:pt>
                <c:pt idx="685">
                  <c:v>3740.6021457331044</c:v>
                </c:pt>
                <c:pt idx="686">
                  <c:v>3747.8026191156105</c:v>
                </c:pt>
                <c:pt idx="687">
                  <c:v>3755.0169530518215</c:v>
                </c:pt>
                <c:pt idx="688">
                  <c:v>3762.2451742226172</c:v>
                </c:pt>
                <c:pt idx="689">
                  <c:v>3769.4873093602323</c:v>
                </c:pt>
                <c:pt idx="690">
                  <c:v>3776.7433852483637</c:v>
                </c:pt>
                <c:pt idx="691">
                  <c:v>3784.0134287222618</c:v>
                </c:pt>
                <c:pt idx="692">
                  <c:v>3791.297466668836</c:v>
                </c:pt>
                <c:pt idx="693">
                  <c:v>3798.5955260267542</c:v>
                </c:pt>
                <c:pt idx="694">
                  <c:v>3805.907633786534</c:v>
                </c:pt>
                <c:pt idx="695">
                  <c:v>3813.2338169906525</c:v>
                </c:pt>
                <c:pt idx="696">
                  <c:v>3820.5741027336398</c:v>
                </c:pt>
                <c:pt idx="697">
                  <c:v>3827.928518162184</c:v>
                </c:pt>
                <c:pt idx="698">
                  <c:v>3835.2970904752287</c:v>
                </c:pt>
                <c:pt idx="699">
                  <c:v>3842.6798469240725</c:v>
                </c:pt>
                <c:pt idx="700">
                  <c:v>3850.0768148124739</c:v>
                </c:pt>
                <c:pt idx="701">
                  <c:v>3857.4880214967466</c:v>
                </c:pt>
                <c:pt idx="702">
                  <c:v>3864.9134943858653</c:v>
                </c:pt>
                <c:pt idx="703">
                  <c:v>3872.3532609415688</c:v>
                </c:pt>
                <c:pt idx="704">
                  <c:v>3879.8073486784529</c:v>
                </c:pt>
                <c:pt idx="705">
                  <c:v>3887.2757851640818</c:v>
                </c:pt>
                <c:pt idx="706">
                  <c:v>3894.758598019082</c:v>
                </c:pt>
                <c:pt idx="707">
                  <c:v>3902.2558149172519</c:v>
                </c:pt>
                <c:pt idx="708">
                  <c:v>3909.7674635856611</c:v>
                </c:pt>
                <c:pt idx="709">
                  <c:v>3917.2935718047484</c:v>
                </c:pt>
                <c:pt idx="710">
                  <c:v>3924.8341674084327</c:v>
                </c:pt>
                <c:pt idx="711">
                  <c:v>3932.3892782842072</c:v>
                </c:pt>
                <c:pt idx="712">
                  <c:v>3939.9589323732512</c:v>
                </c:pt>
                <c:pt idx="713">
                  <c:v>3947.54315767053</c:v>
                </c:pt>
                <c:pt idx="714">
                  <c:v>3955.1419822248931</c:v>
                </c:pt>
                <c:pt idx="715">
                  <c:v>3962.7554341391883</c:v>
                </c:pt>
                <c:pt idx="716">
                  <c:v>3970.3835415703538</c:v>
                </c:pt>
                <c:pt idx="717">
                  <c:v>3978.0263327295324</c:v>
                </c:pt>
                <c:pt idx="718">
                  <c:v>3985.6838358821751</c:v>
                </c:pt>
                <c:pt idx="719">
                  <c:v>3993.3560793481342</c:v>
                </c:pt>
                <c:pt idx="720">
                  <c:v>4001.0430915017841</c:v>
                </c:pt>
                <c:pt idx="721">
                  <c:v>4008.7449007721129</c:v>
                </c:pt>
                <c:pt idx="722">
                  <c:v>4016.4615356428353</c:v>
                </c:pt>
                <c:pt idx="723">
                  <c:v>4024.1930246524989</c:v>
                </c:pt>
                <c:pt idx="724">
                  <c:v>4031.9393963945809</c:v>
                </c:pt>
                <c:pt idx="725">
                  <c:v>4039.7006795176039</c:v>
                </c:pt>
                <c:pt idx="726">
                  <c:v>4047.4769027252328</c:v>
                </c:pt>
                <c:pt idx="727">
                  <c:v>4055.2680947763902</c:v>
                </c:pt>
                <c:pt idx="728">
                  <c:v>4063.0742844853589</c:v>
                </c:pt>
                <c:pt idx="729">
                  <c:v>4070.8955007218829</c:v>
                </c:pt>
                <c:pt idx="730">
                  <c:v>4078.7317724112818</c:v>
                </c:pt>
                <c:pt idx="731">
                  <c:v>4086.5831285345548</c:v>
                </c:pt>
                <c:pt idx="732">
                  <c:v>4094.4495981284872</c:v>
                </c:pt>
                <c:pt idx="733">
                  <c:v>4102.3312102857635</c:v>
                </c:pt>
                <c:pt idx="734">
                  <c:v>4110.2279941550614</c:v>
                </c:pt>
                <c:pt idx="735">
                  <c:v>4118.1399789411762</c:v>
                </c:pt>
                <c:pt idx="736">
                  <c:v>4126.0671939051163</c:v>
                </c:pt>
                <c:pt idx="737">
                  <c:v>4134.0096683642169</c:v>
                </c:pt>
                <c:pt idx="738">
                  <c:v>4141.967431692251</c:v>
                </c:pt>
                <c:pt idx="739">
                  <c:v>4149.9405133195305</c:v>
                </c:pt>
                <c:pt idx="740">
                  <c:v>4157.9289427330223</c:v>
                </c:pt>
                <c:pt idx="741">
                  <c:v>4165.9327494764511</c:v>
                </c:pt>
                <c:pt idx="742">
                  <c:v>4173.9519631504136</c:v>
                </c:pt>
                <c:pt idx="743">
                  <c:v>4181.9866134124859</c:v>
                </c:pt>
                <c:pt idx="744">
                  <c:v>4190.0367299773343</c:v>
                </c:pt>
                <c:pt idx="745">
                  <c:v>4198.102342616824</c:v>
                </c:pt>
                <c:pt idx="746">
                  <c:v>4206.1834811601293</c:v>
                </c:pt>
                <c:pt idx="747">
                  <c:v>4214.2801754938409</c:v>
                </c:pt>
                <c:pt idx="748">
                  <c:v>4222.392455562087</c:v>
                </c:pt>
                <c:pt idx="749">
                  <c:v>4230.5203513666302</c:v>
                </c:pt>
                <c:pt idx="750">
                  <c:v>4238.6638929669889</c:v>
                </c:pt>
                <c:pt idx="751">
                  <c:v>4246.8231104805418</c:v>
                </c:pt>
                <c:pt idx="752">
                  <c:v>4254.9980340826442</c:v>
                </c:pt>
                <c:pt idx="753">
                  <c:v>4263.1886940067361</c:v>
                </c:pt>
                <c:pt idx="754">
                  <c:v>4271.3951205444564</c:v>
                </c:pt>
                <c:pt idx="755">
                  <c:v>4279.6173440457533</c:v>
                </c:pt>
                <c:pt idx="756">
                  <c:v>4287.8553949189973</c:v>
                </c:pt>
                <c:pt idx="757">
                  <c:v>4296.1093036310922</c:v>
                </c:pt>
                <c:pt idx="758">
                  <c:v>4304.3791007075924</c:v>
                </c:pt>
                <c:pt idx="759">
                  <c:v>4312.6648167328094</c:v>
                </c:pt>
                <c:pt idx="760">
                  <c:v>4320.9664823499288</c:v>
                </c:pt>
                <c:pt idx="761">
                  <c:v>4329.2841282611234</c:v>
                </c:pt>
                <c:pt idx="762">
                  <c:v>4337.617785227666</c:v>
                </c:pt>
                <c:pt idx="763">
                  <c:v>4345.9674840700418</c:v>
                </c:pt>
                <c:pt idx="764">
                  <c:v>4354.3332556680671</c:v>
                </c:pt>
                <c:pt idx="765">
                  <c:v>4362.7151309609972</c:v>
                </c:pt>
                <c:pt idx="766">
                  <c:v>4371.1131409476448</c:v>
                </c:pt>
                <c:pt idx="767">
                  <c:v>4379.5273166864954</c:v>
                </c:pt>
                <c:pt idx="768">
                  <c:v>4387.9576892958157</c:v>
                </c:pt>
                <c:pt idx="769">
                  <c:v>4396.4042899537826</c:v>
                </c:pt>
                <c:pt idx="770">
                  <c:v>4404.8671498985814</c:v>
                </c:pt>
                <c:pt idx="771">
                  <c:v>4413.3463004285295</c:v>
                </c:pt>
                <c:pt idx="772">
                  <c:v>4421.8417729021985</c:v>
                </c:pt>
                <c:pt idx="773">
                  <c:v>4430.3535987385158</c:v>
                </c:pt>
                <c:pt idx="774">
                  <c:v>4438.8818094168937</c:v>
                </c:pt>
                <c:pt idx="775">
                  <c:v>4447.4264364773417</c:v>
                </c:pt>
                <c:pt idx="776">
                  <c:v>4455.9875115205778</c:v>
                </c:pt>
                <c:pt idx="777">
                  <c:v>4464.5650662081534</c:v>
                </c:pt>
                <c:pt idx="778">
                  <c:v>4473.1591322625627</c:v>
                </c:pt>
                <c:pt idx="779">
                  <c:v>4481.7697414673694</c:v>
                </c:pt>
                <c:pt idx="780">
                  <c:v>4490.3969256673172</c:v>
                </c:pt>
                <c:pt idx="781">
                  <c:v>4499.0407167684471</c:v>
                </c:pt>
                <c:pt idx="782">
                  <c:v>4507.7011467382208</c:v>
                </c:pt>
                <c:pt idx="783">
                  <c:v>4516.3782476056322</c:v>
                </c:pt>
                <c:pt idx="784">
                  <c:v>4525.0720514613313</c:v>
                </c:pt>
                <c:pt idx="785">
                  <c:v>4533.7825904577448</c:v>
                </c:pt>
                <c:pt idx="786">
                  <c:v>4542.5098968091825</c:v>
                </c:pt>
                <c:pt idx="787">
                  <c:v>4551.2540027919749</c:v>
                </c:pt>
                <c:pt idx="788">
                  <c:v>4560.0149407445742</c:v>
                </c:pt>
                <c:pt idx="789">
                  <c:v>4568.7927430676873</c:v>
                </c:pt>
                <c:pt idx="790">
                  <c:v>4577.5874422243924</c:v>
                </c:pt>
                <c:pt idx="791">
                  <c:v>4586.3990707402536</c:v>
                </c:pt>
                <c:pt idx="792">
                  <c:v>4595.2276612034475</c:v>
                </c:pt>
                <c:pt idx="793">
                  <c:v>4604.0732462648775</c:v>
                </c:pt>
                <c:pt idx="794">
                  <c:v>4612.9358586383032</c:v>
                </c:pt>
                <c:pt idx="795">
                  <c:v>4621.8155311004557</c:v>
                </c:pt>
                <c:pt idx="796">
                  <c:v>4630.7122964911578</c:v>
                </c:pt>
                <c:pt idx="797">
                  <c:v>4639.6261877134484</c:v>
                </c:pt>
                <c:pt idx="798">
                  <c:v>4648.5572377337012</c:v>
                </c:pt>
                <c:pt idx="799">
                  <c:v>4657.5054795817514</c:v>
                </c:pt>
                <c:pt idx="800">
                  <c:v>4666.4709463510153</c:v>
                </c:pt>
                <c:pt idx="801">
                  <c:v>4675.4536711986093</c:v>
                </c:pt>
                <c:pt idx="802">
                  <c:v>4684.453687345479</c:v>
                </c:pt>
                <c:pt idx="803">
                  <c:v>4693.471028076513</c:v>
                </c:pt>
                <c:pt idx="804">
                  <c:v>4702.5057267406773</c:v>
                </c:pt>
                <c:pt idx="805">
                  <c:v>4711.5578167511339</c:v>
                </c:pt>
                <c:pt idx="806">
                  <c:v>4720.6273315853578</c:v>
                </c:pt>
                <c:pt idx="807">
                  <c:v>4729.7143047852715</c:v>
                </c:pt>
                <c:pt idx="808">
                  <c:v>4738.8187699573591</c:v>
                </c:pt>
                <c:pt idx="809">
                  <c:v>4747.9407607727999</c:v>
                </c:pt>
                <c:pt idx="810">
                  <c:v>4757.080310967589</c:v>
                </c:pt>
                <c:pt idx="811">
                  <c:v>4766.2374543426567</c:v>
                </c:pt>
                <c:pt idx="812">
                  <c:v>4775.4122247640053</c:v>
                </c:pt>
                <c:pt idx="813">
                  <c:v>4784.6046561628191</c:v>
                </c:pt>
                <c:pt idx="814">
                  <c:v>4793.8147825356036</c:v>
                </c:pt>
                <c:pt idx="815">
                  <c:v>4803.0426379443088</c:v>
                </c:pt>
                <c:pt idx="816">
                  <c:v>4812.2882565164446</c:v>
                </c:pt>
                <c:pt idx="817">
                  <c:v>4821.5516724452209</c:v>
                </c:pt>
                <c:pt idx="818">
                  <c:v>4830.8329199896625</c:v>
                </c:pt>
                <c:pt idx="819">
                  <c:v>4840.1320334747452</c:v>
                </c:pt>
                <c:pt idx="820">
                  <c:v>4849.4490472915204</c:v>
                </c:pt>
                <c:pt idx="821">
                  <c:v>4858.7839958972345</c:v>
                </c:pt>
                <c:pt idx="822">
                  <c:v>4868.1369138154687</c:v>
                </c:pt>
                <c:pt idx="823">
                  <c:v>4877.5078356362528</c:v>
                </c:pt>
                <c:pt idx="824">
                  <c:v>4886.8967960162072</c:v>
                </c:pt>
                <c:pt idx="825">
                  <c:v>4896.3038296786654</c:v>
                </c:pt>
                <c:pt idx="826">
                  <c:v>4905.7289714137942</c:v>
                </c:pt>
                <c:pt idx="827">
                  <c:v>4915.1722560787384</c:v>
                </c:pt>
                <c:pt idx="828">
                  <c:v>4924.6337185977345</c:v>
                </c:pt>
                <c:pt idx="829">
                  <c:v>4934.1133939622478</c:v>
                </c:pt>
                <c:pt idx="830">
                  <c:v>4943.6113172311052</c:v>
                </c:pt>
                <c:pt idx="831">
                  <c:v>4953.127523530613</c:v>
                </c:pt>
                <c:pt idx="832">
                  <c:v>4962.6620480546999</c:v>
                </c:pt>
                <c:pt idx="833">
                  <c:v>4972.2149260650367</c:v>
                </c:pt>
                <c:pt idx="834">
                  <c:v>4981.7861928911716</c:v>
                </c:pt>
                <c:pt idx="835">
                  <c:v>4991.3758839306674</c:v>
                </c:pt>
                <c:pt idx="836">
                  <c:v>5000.9840346492147</c:v>
                </c:pt>
                <c:pt idx="837">
                  <c:v>5010.6106805807831</c:v>
                </c:pt>
                <c:pt idx="838">
                  <c:v>5020.2558573277347</c:v>
                </c:pt>
                <c:pt idx="839">
                  <c:v>5029.9196005609701</c:v>
                </c:pt>
                <c:pt idx="840">
                  <c:v>5039.6019460200569</c:v>
                </c:pt>
                <c:pt idx="841">
                  <c:v>5049.3029295133538</c:v>
                </c:pt>
                <c:pt idx="842">
                  <c:v>5059.0225869181504</c:v>
                </c:pt>
                <c:pt idx="843">
                  <c:v>5068.7609541807997</c:v>
                </c:pt>
                <c:pt idx="844">
                  <c:v>5078.518067316847</c:v>
                </c:pt>
                <c:pt idx="845">
                  <c:v>5088.2939624111723</c:v>
                </c:pt>
                <c:pt idx="846">
                  <c:v>5098.0886756181098</c:v>
                </c:pt>
                <c:pt idx="847">
                  <c:v>5107.9022431615922</c:v>
                </c:pt>
                <c:pt idx="848">
                  <c:v>5117.734701335281</c:v>
                </c:pt>
                <c:pt idx="849">
                  <c:v>5127.5860865026989</c:v>
                </c:pt>
                <c:pt idx="850">
                  <c:v>5137.4564350973742</c:v>
                </c:pt>
                <c:pt idx="851">
                  <c:v>5147.3457836229591</c:v>
                </c:pt>
                <c:pt idx="852">
                  <c:v>5157.2541686533787</c:v>
                </c:pt>
                <c:pt idx="853">
                  <c:v>5167.1816268329576</c:v>
                </c:pt>
                <c:pt idx="854">
                  <c:v>5177.12819487656</c:v>
                </c:pt>
                <c:pt idx="855">
                  <c:v>5187.0939095697295</c:v>
                </c:pt>
                <c:pt idx="856">
                  <c:v>5197.078807768813</c:v>
                </c:pt>
                <c:pt idx="857">
                  <c:v>5207.0829264011072</c:v>
                </c:pt>
                <c:pt idx="858">
                  <c:v>5217.106302464992</c:v>
                </c:pt>
                <c:pt idx="859">
                  <c:v>5227.1489730300646</c:v>
                </c:pt>
                <c:pt idx="860">
                  <c:v>5237.2109752372844</c:v>
                </c:pt>
                <c:pt idx="861">
                  <c:v>5247.2923462991021</c:v>
                </c:pt>
                <c:pt idx="862">
                  <c:v>5257.3931234996016</c:v>
                </c:pt>
                <c:pt idx="863">
                  <c:v>5267.5133441946336</c:v>
                </c:pt>
                <c:pt idx="864">
                  <c:v>5277.6530458119605</c:v>
                </c:pt>
                <c:pt idx="865">
                  <c:v>5287.812265851393</c:v>
                </c:pt>
                <c:pt idx="866">
                  <c:v>5297.9910418849213</c:v>
                </c:pt>
                <c:pt idx="867">
                  <c:v>5308.1894115568648</c:v>
                </c:pt>
                <c:pt idx="868">
                  <c:v>5318.4074125840034</c:v>
                </c:pt>
                <c:pt idx="869">
                  <c:v>5328.6450827557192</c:v>
                </c:pt>
                <c:pt idx="870">
                  <c:v>5338.9024599341437</c:v>
                </c:pt>
                <c:pt idx="871">
                  <c:v>5349.1795820542829</c:v>
                </c:pt>
                <c:pt idx="872">
                  <c:v>5359.4764871241714</c:v>
                </c:pt>
                <c:pt idx="873">
                  <c:v>5369.7932132250007</c:v>
                </c:pt>
                <c:pt idx="874">
                  <c:v>5380.1297985112733</c:v>
                </c:pt>
                <c:pt idx="875">
                  <c:v>5390.4862812109386</c:v>
                </c:pt>
                <c:pt idx="876">
                  <c:v>5400.8626996255234</c:v>
                </c:pt>
                <c:pt idx="877">
                  <c:v>5411.2590921302944</c:v>
                </c:pt>
                <c:pt idx="878">
                  <c:v>5421.6754971743794</c:v>
                </c:pt>
                <c:pt idx="879">
                  <c:v>5432.1119532809225</c:v>
                </c:pt>
                <c:pt idx="880">
                  <c:v>5442.5684990472282</c:v>
                </c:pt>
                <c:pt idx="881">
                  <c:v>5453.0451731448893</c:v>
                </c:pt>
                <c:pt idx="882">
                  <c:v>5463.5420143199453</c:v>
                </c:pt>
                <c:pt idx="883">
                  <c:v>5474.059061393019</c:v>
                </c:pt>
                <c:pt idx="884">
                  <c:v>5484.5963532594596</c:v>
                </c:pt>
                <c:pt idx="885">
                  <c:v>5495.1539288894928</c:v>
                </c:pt>
                <c:pt idx="886">
                  <c:v>5505.7318273283518</c:v>
                </c:pt>
                <c:pt idx="887">
                  <c:v>5516.3300876964377</c:v>
                </c:pt>
                <c:pt idx="888">
                  <c:v>5526.9487491894497</c:v>
                </c:pt>
                <c:pt idx="889">
                  <c:v>5537.5878510785415</c:v>
                </c:pt>
                <c:pt idx="890">
                  <c:v>5548.2474327104637</c:v>
                </c:pt>
                <c:pt idx="891">
                  <c:v>5558.9275335077009</c:v>
                </c:pt>
                <c:pt idx="892">
                  <c:v>5569.6281929686293</c:v>
                </c:pt>
                <c:pt idx="893">
                  <c:v>5580.3494506676525</c:v>
                </c:pt>
                <c:pt idx="894">
                  <c:v>5591.0913462553581</c:v>
                </c:pt>
                <c:pt idx="895">
                  <c:v>5601.8539194586583</c:v>
                </c:pt>
                <c:pt idx="896">
                  <c:v>5612.6372100809349</c:v>
                </c:pt>
                <c:pt idx="897">
                  <c:v>5623.4412580021917</c:v>
                </c:pt>
                <c:pt idx="898">
                  <c:v>5634.2661031791968</c:v>
                </c:pt>
                <c:pt idx="899">
                  <c:v>5645.111785645634</c:v>
                </c:pt>
                <c:pt idx="900">
                  <c:v>5655.9783455122533</c:v>
                </c:pt>
                <c:pt idx="901">
                  <c:v>5666.8658229670136</c:v>
                </c:pt>
                <c:pt idx="902">
                  <c:v>5677.7742582752317</c:v>
                </c:pt>
                <c:pt idx="903">
                  <c:v>5688.7036917797341</c:v>
                </c:pt>
                <c:pt idx="904">
                  <c:v>5699.6541639010065</c:v>
                </c:pt>
                <c:pt idx="905">
                  <c:v>5710.6257151373438</c:v>
                </c:pt>
                <c:pt idx="906">
                  <c:v>5721.6183860649926</c:v>
                </c:pt>
                <c:pt idx="907">
                  <c:v>5732.6322173383123</c:v>
                </c:pt>
                <c:pt idx="908">
                  <c:v>5743.6672496899164</c:v>
                </c:pt>
                <c:pt idx="909">
                  <c:v>5754.7235239308256</c:v>
                </c:pt>
                <c:pt idx="910">
                  <c:v>5765.8010809506277</c:v>
                </c:pt>
                <c:pt idx="911">
                  <c:v>5776.8999617176096</c:v>
                </c:pt>
                <c:pt idx="912">
                  <c:v>5788.0202072789298</c:v>
                </c:pt>
                <c:pt idx="913">
                  <c:v>5799.1618587607536</c:v>
                </c:pt>
                <c:pt idx="914">
                  <c:v>5810.3249573684143</c:v>
                </c:pt>
                <c:pt idx="915">
                  <c:v>5821.5095443865694</c:v>
                </c:pt>
                <c:pt idx="916">
                  <c:v>5832.7156611793362</c:v>
                </c:pt>
                <c:pt idx="917">
                  <c:v>5843.9433491904665</c:v>
                </c:pt>
                <c:pt idx="918">
                  <c:v>5855.1926499434803</c:v>
                </c:pt>
                <c:pt idx="919">
                  <c:v>5866.4636050418321</c:v>
                </c:pt>
                <c:pt idx="920">
                  <c:v>5877.7562561690675</c:v>
                </c:pt>
                <c:pt idx="921">
                  <c:v>5889.0706450889584</c:v>
                </c:pt>
                <c:pt idx="922">
                  <c:v>5900.4068136456808</c:v>
                </c:pt>
                <c:pt idx="923">
                  <c:v>5911.7648037639501</c:v>
                </c:pt>
                <c:pt idx="924">
                  <c:v>5923.1446574491893</c:v>
                </c:pt>
                <c:pt idx="925">
                  <c:v>5934.5464167876826</c:v>
                </c:pt>
                <c:pt idx="926">
                  <c:v>5945.9701239467213</c:v>
                </c:pt>
                <c:pt idx="927">
                  <c:v>5957.4158211747726</c:v>
                </c:pt>
                <c:pt idx="928">
                  <c:v>5968.8835508016255</c:v>
                </c:pt>
                <c:pt idx="929">
                  <c:v>5980.373355238552</c:v>
                </c:pt>
                <c:pt idx="930">
                  <c:v>5991.8852769784698</c:v>
                </c:pt>
                <c:pt idx="931">
                  <c:v>6003.4193585960857</c:v>
                </c:pt>
                <c:pt idx="932">
                  <c:v>6014.9756427480661</c:v>
                </c:pt>
                <c:pt idx="933">
                  <c:v>6026.5541721731843</c:v>
                </c:pt>
                <c:pt idx="934">
                  <c:v>6038.1549896924862</c:v>
                </c:pt>
                <c:pt idx="935">
                  <c:v>6049.7781382094508</c:v>
                </c:pt>
                <c:pt idx="936">
                  <c:v>6061.4236607101357</c:v>
                </c:pt>
                <c:pt idx="937">
                  <c:v>6073.0916002633512</c:v>
                </c:pt>
                <c:pt idx="938">
                  <c:v>6084.7820000208067</c:v>
                </c:pt>
                <c:pt idx="939">
                  <c:v>6096.4949032172817</c:v>
                </c:pt>
                <c:pt idx="940">
                  <c:v>6108.2303531707821</c:v>
                </c:pt>
                <c:pt idx="941">
                  <c:v>6119.9883932826915</c:v>
                </c:pt>
                <c:pt idx="942">
                  <c:v>6131.7690670379443</c:v>
                </c:pt>
                <c:pt idx="943">
                  <c:v>6143.5724180051793</c:v>
                </c:pt>
                <c:pt idx="944">
                  <c:v>6155.3984898369044</c:v>
                </c:pt>
                <c:pt idx="945">
                  <c:v>6167.2473262696567</c:v>
                </c:pt>
                <c:pt idx="946">
                  <c:v>6179.1189711241595</c:v>
                </c:pt>
                <c:pt idx="947">
                  <c:v>6191.0134683054966</c:v>
                </c:pt>
                <c:pt idx="948">
                  <c:v>6202.9308618032574</c:v>
                </c:pt>
                <c:pt idx="949">
                  <c:v>6214.8711956917159</c:v>
                </c:pt>
                <c:pt idx="950">
                  <c:v>6226.8345141299878</c:v>
                </c:pt>
                <c:pt idx="951">
                  <c:v>6238.8208613621855</c:v>
                </c:pt>
                <c:pt idx="952">
                  <c:v>6250.8302817175982</c:v>
                </c:pt>
                <c:pt idx="953">
                  <c:v>6262.8628196108402</c:v>
                </c:pt>
                <c:pt idx="954">
                  <c:v>6274.9185195420205</c:v>
                </c:pt>
                <c:pt idx="955">
                  <c:v>6286.9974260969193</c:v>
                </c:pt>
                <c:pt idx="956">
                  <c:v>6299.0995839471288</c:v>
                </c:pt>
                <c:pt idx="957">
                  <c:v>6311.2250378502413</c:v>
                </c:pt>
                <c:pt idx="958">
                  <c:v>6323.3738326499997</c:v>
                </c:pt>
                <c:pt idx="959">
                  <c:v>6335.546013276472</c:v>
                </c:pt>
                <c:pt idx="960">
                  <c:v>6347.7416247462133</c:v>
                </c:pt>
                <c:pt idx="961">
                  <c:v>6359.9607121624331</c:v>
                </c:pt>
                <c:pt idx="962">
                  <c:v>6372.2033207151635</c:v>
                </c:pt>
                <c:pt idx="963">
                  <c:v>6384.4694956814228</c:v>
                </c:pt>
                <c:pt idx="964">
                  <c:v>6396.7592824253879</c:v>
                </c:pt>
                <c:pt idx="965">
                  <c:v>6409.0727263985573</c:v>
                </c:pt>
                <c:pt idx="966">
                  <c:v>6421.4098731399245</c:v>
                </c:pt>
                <c:pt idx="967">
                  <c:v>6433.7707682761402</c:v>
                </c:pt>
                <c:pt idx="968">
                  <c:v>6446.1554575216833</c:v>
                </c:pt>
                <c:pt idx="969">
                  <c:v>6458.5639866790361</c:v>
                </c:pt>
                <c:pt idx="970">
                  <c:v>6470.9964016388421</c:v>
                </c:pt>
                <c:pt idx="971">
                  <c:v>6483.4527483800866</c:v>
                </c:pt>
                <c:pt idx="972">
                  <c:v>6495.9330729702606</c:v>
                </c:pt>
                <c:pt idx="973">
                  <c:v>6508.4374215655316</c:v>
                </c:pt>
                <c:pt idx="974">
                  <c:v>6520.9658404109159</c:v>
                </c:pt>
                <c:pt idx="975">
                  <c:v>6533.5183758404519</c:v>
                </c:pt>
                <c:pt idx="976">
                  <c:v>6546.0950742773648</c:v>
                </c:pt>
                <c:pt idx="977">
                  <c:v>6558.6959822342451</c:v>
                </c:pt>
                <c:pt idx="978">
                  <c:v>6571.3211463132156</c:v>
                </c:pt>
                <c:pt idx="979">
                  <c:v>6583.9706132061074</c:v>
                </c:pt>
                <c:pt idx="980">
                  <c:v>6596.6444296946283</c:v>
                </c:pt>
                <c:pt idx="981">
                  <c:v>6609.3426426505448</c:v>
                </c:pt>
                <c:pt idx="982">
                  <c:v>6622.0652990358431</c:v>
                </c:pt>
                <c:pt idx="983">
                  <c:v>6634.8124459029104</c:v>
                </c:pt>
                <c:pt idx="984">
                  <c:v>6647.5841303947082</c:v>
                </c:pt>
                <c:pt idx="985">
                  <c:v>6660.3803997449459</c:v>
                </c:pt>
                <c:pt idx="986">
                  <c:v>6673.2013012782554</c:v>
                </c:pt>
                <c:pt idx="987">
                  <c:v>6686.0468824103664</c:v>
                </c:pt>
                <c:pt idx="988">
                  <c:v>6698.9171906482798</c:v>
                </c:pt>
                <c:pt idx="989">
                  <c:v>6711.8122735904462</c:v>
                </c:pt>
                <c:pt idx="990">
                  <c:v>6724.7321789269427</c:v>
                </c:pt>
                <c:pt idx="991">
                  <c:v>6737.6769544396448</c:v>
                </c:pt>
                <c:pt idx="992">
                  <c:v>6750.6466480024083</c:v>
                </c:pt>
                <c:pt idx="993">
                  <c:v>6763.6413075812397</c:v>
                </c:pt>
                <c:pt idx="994">
                  <c:v>6776.6609812344805</c:v>
                </c:pt>
                <c:pt idx="995">
                  <c:v>6789.7057171129827</c:v>
                </c:pt>
                <c:pt idx="996">
                  <c:v>6802.7755634602854</c:v>
                </c:pt>
                <c:pt idx="997">
                  <c:v>6815.8705686127951</c:v>
                </c:pt>
                <c:pt idx="998">
                  <c:v>6828.9907809999595</c:v>
                </c:pt>
                <c:pt idx="999">
                  <c:v>6842.136249144457</c:v>
                </c:pt>
                <c:pt idx="1000">
                  <c:v>6855.3070216623646</c:v>
                </c:pt>
                <c:pt idx="1001">
                  <c:v>6868.5031472633436</c:v>
                </c:pt>
                <c:pt idx="1002">
                  <c:v>6881.7246747508234</c:v>
                </c:pt>
                <c:pt idx="1003">
                  <c:v>6894.9716530221694</c:v>
                </c:pt>
                <c:pt idx="1004">
                  <c:v>6908.2441310688801</c:v>
                </c:pt>
                <c:pt idx="1005">
                  <c:v>6921.5421579767572</c:v>
                </c:pt>
                <c:pt idx="1006">
                  <c:v>6934.8657829260865</c:v>
                </c:pt>
                <c:pt idx="1007">
                  <c:v>6948.2150551918303</c:v>
                </c:pt>
                <c:pt idx="1008">
                  <c:v>6961.5900241437957</c:v>
                </c:pt>
                <c:pt idx="1009">
                  <c:v>6974.9907392468303</c:v>
                </c:pt>
                <c:pt idx="1010">
                  <c:v>6988.4172500609966</c:v>
                </c:pt>
                <c:pt idx="1011">
                  <c:v>7001.8696062417539</c:v>
                </c:pt>
                <c:pt idx="1012">
                  <c:v>7015.347857540155</c:v>
                </c:pt>
                <c:pt idx="1013">
                  <c:v>7028.8520538030107</c:v>
                </c:pt>
                <c:pt idx="1014">
                  <c:v>7042.3822449730906</c:v>
                </c:pt>
                <c:pt idx="1015">
                  <c:v>7055.9384810893025</c:v>
                </c:pt>
                <c:pt idx="1016">
                  <c:v>7069.5208122868708</c:v>
                </c:pt>
                <c:pt idx="1017">
                  <c:v>7083.129288797536</c:v>
                </c:pt>
                <c:pt idx="1018">
                  <c:v>7096.7639609497228</c:v>
                </c:pt>
                <c:pt idx="1019">
                  <c:v>7110.4248791687414</c:v>
                </c:pt>
                <c:pt idx="1020">
                  <c:v>7124.1120939769708</c:v>
                </c:pt>
                <c:pt idx="1021">
                  <c:v>7137.8256559940319</c:v>
                </c:pt>
                <c:pt idx="1022">
                  <c:v>7151.5656159370028</c:v>
                </c:pt>
                <c:pt idx="1023">
                  <c:v>7165.3320246205722</c:v>
                </c:pt>
                <c:pt idx="1024">
                  <c:v>7179.1249329572565</c:v>
                </c:pt>
                <c:pt idx="1025">
                  <c:v>7192.9443919575724</c:v>
                </c:pt>
                <c:pt idx="1026">
                  <c:v>7206.7904527302226</c:v>
                </c:pt>
                <c:pt idx="1027">
                  <c:v>7220.663166482308</c:v>
                </c:pt>
                <c:pt idx="1028">
                  <c:v>7234.5625845194827</c:v>
                </c:pt>
                <c:pt idx="1029">
                  <c:v>7248.4887582461724</c:v>
                </c:pt>
                <c:pt idx="1030">
                  <c:v>7262.4417391657526</c:v>
                </c:pt>
                <c:pt idx="1031">
                  <c:v>7276.4215788807323</c:v>
                </c:pt>
                <c:pt idx="1032">
                  <c:v>7290.4283290929661</c:v>
                </c:pt>
                <c:pt idx="1033">
                  <c:v>7304.4620416038206</c:v>
                </c:pt>
                <c:pt idx="1034">
                  <c:v>7318.522768314383</c:v>
                </c:pt>
                <c:pt idx="1035">
                  <c:v>7332.610561225647</c:v>
                </c:pt>
                <c:pt idx="1036">
                  <c:v>7346.7254724387012</c:v>
                </c:pt>
                <c:pt idx="1037">
                  <c:v>7360.8675541549364</c:v>
                </c:pt>
                <c:pt idx="1038">
                  <c:v>7375.036858676217</c:v>
                </c:pt>
                <c:pt idx="1039">
                  <c:v>7389.2334384050919</c:v>
                </c:pt>
                <c:pt idx="1040">
                  <c:v>7403.4573458449813</c:v>
                </c:pt>
                <c:pt idx="1041">
                  <c:v>7417.7086336003722</c:v>
                </c:pt>
                <c:pt idx="1042">
                  <c:v>7431.9873543770173</c:v>
                </c:pt>
                <c:pt idx="1043">
                  <c:v>7446.293560982107</c:v>
                </c:pt>
                <c:pt idx="1044">
                  <c:v>7460.6273063245089</c:v>
                </c:pt>
                <c:pt idx="1045">
                  <c:v>7474.988643414923</c:v>
                </c:pt>
                <c:pt idx="1046">
                  <c:v>7489.377625366089</c:v>
                </c:pt>
                <c:pt idx="1047">
                  <c:v>7503.794305392993</c:v>
                </c:pt>
                <c:pt idx="1048">
                  <c:v>7518.2387368130558</c:v>
                </c:pt>
                <c:pt idx="1049">
                  <c:v>7532.7109730463326</c:v>
                </c:pt>
                <c:pt idx="1050">
                  <c:v>7547.2110676157063</c:v>
                </c:pt>
                <c:pt idx="1051">
                  <c:v>7561.7390741470917</c:v>
                </c:pt>
                <c:pt idx="1052">
                  <c:v>7576.2950463696316</c:v>
                </c:pt>
                <c:pt idx="1053">
                  <c:v>7590.8790381158842</c:v>
                </c:pt>
                <c:pt idx="1054">
                  <c:v>7605.4911033220505</c:v>
                </c:pt>
                <c:pt idx="1055">
                  <c:v>7620.1312960281466</c:v>
                </c:pt>
                <c:pt idx="1056">
                  <c:v>7634.7996703782073</c:v>
                </c:pt>
                <c:pt idx="1057">
                  <c:v>7649.4962806205003</c:v>
                </c:pt>
                <c:pt idx="1058">
                  <c:v>7664.2211811077168</c:v>
                </c:pt>
                <c:pt idx="1059">
                  <c:v>7678.9744262971726</c:v>
                </c:pt>
                <c:pt idx="1060">
                  <c:v>7693.7560707510138</c:v>
                </c:pt>
                <c:pt idx="1061">
                  <c:v>7708.5661691364112</c:v>
                </c:pt>
                <c:pt idx="1062">
                  <c:v>7723.404776225776</c:v>
                </c:pt>
                <c:pt idx="1063">
                  <c:v>7738.2719468969362</c:v>
                </c:pt>
                <c:pt idx="1064">
                  <c:v>7753.1677361333786</c:v>
                </c:pt>
                <c:pt idx="1065">
                  <c:v>7768.0921990244215</c:v>
                </c:pt>
                <c:pt idx="1066">
                  <c:v>7783.0453907654173</c:v>
                </c:pt>
                <c:pt idx="1067">
                  <c:v>7798.0273666579806</c:v>
                </c:pt>
                <c:pt idx="1068">
                  <c:v>7813.0381821101728</c:v>
                </c:pt>
                <c:pt idx="1069">
                  <c:v>7828.0778926367148</c:v>
                </c:pt>
                <c:pt idx="1070">
                  <c:v>7843.1465538591901</c:v>
                </c:pt>
                <c:pt idx="1071">
                  <c:v>7858.2442215062511</c:v>
                </c:pt>
                <c:pt idx="1072">
                  <c:v>7873.3709514138263</c:v>
                </c:pt>
                <c:pt idx="1073">
                  <c:v>7888.5267995253153</c:v>
                </c:pt>
                <c:pt idx="1074">
                  <c:v>7903.711821891824</c:v>
                </c:pt>
                <c:pt idx="1075">
                  <c:v>7918.9260746723457</c:v>
                </c:pt>
                <c:pt idx="1076">
                  <c:v>7934.169614133968</c:v>
                </c:pt>
                <c:pt idx="1077">
                  <c:v>7949.4424966521019</c:v>
                </c:pt>
                <c:pt idx="1078">
                  <c:v>7964.7447787106739</c:v>
                </c:pt>
                <c:pt idx="1079">
                  <c:v>7980.0765169023389</c:v>
                </c:pt>
                <c:pt idx="1080">
                  <c:v>7995.4377679286908</c:v>
                </c:pt>
                <c:pt idx="1081">
                  <c:v>8010.8285886004714</c:v>
                </c:pt>
                <c:pt idx="1082">
                  <c:v>8026.2490358377827</c:v>
                </c:pt>
                <c:pt idx="1083">
                  <c:v>8041.6991666702825</c:v>
                </c:pt>
                <c:pt idx="1084">
                  <c:v>8057.1790382374256</c:v>
                </c:pt>
                <c:pt idx="1085">
                  <c:v>8072.6887077886522</c:v>
                </c:pt>
                <c:pt idx="1086">
                  <c:v>8088.2282326835939</c:v>
                </c:pt>
                <c:pt idx="1087">
                  <c:v>8103.7976703923068</c:v>
                </c:pt>
                <c:pt idx="1088">
                  <c:v>8119.3970784954763</c:v>
                </c:pt>
                <c:pt idx="1089">
                  <c:v>8135.0265146846186</c:v>
                </c:pt>
                <c:pt idx="1090">
                  <c:v>8150.6860367623094</c:v>
                </c:pt>
                <c:pt idx="1091">
                  <c:v>8166.3757026423928</c:v>
                </c:pt>
                <c:pt idx="1092">
                  <c:v>8182.0955703501922</c:v>
                </c:pt>
                <c:pt idx="1093">
                  <c:v>8197.8456980227202</c:v>
                </c:pt>
                <c:pt idx="1094">
                  <c:v>8213.6261439089067</c:v>
                </c:pt>
                <c:pt idx="1095">
                  <c:v>8229.4369663698162</c:v>
                </c:pt>
                <c:pt idx="1096">
                  <c:v>8245.2782238788386</c:v>
                </c:pt>
                <c:pt idx="1097">
                  <c:v>8261.1499750219318</c:v>
                </c:pt>
                <c:pt idx="1098">
                  <c:v>8277.0522784978275</c:v>
                </c:pt>
                <c:pt idx="1099">
                  <c:v>8292.9851931182493</c:v>
                </c:pt>
                <c:pt idx="1100">
                  <c:v>8308.9487778081329</c:v>
                </c:pt>
                <c:pt idx="1101">
                  <c:v>8324.9430916058354</c:v>
                </c:pt>
                <c:pt idx="1102">
                  <c:v>8340.9681936633679</c:v>
                </c:pt>
                <c:pt idx="1103">
                  <c:v>8357.0241432465955</c:v>
                </c:pt>
                <c:pt idx="1104">
                  <c:v>8373.1109997354743</c:v>
                </c:pt>
                <c:pt idx="1105">
                  <c:v>8389.2288226242708</c:v>
                </c:pt>
                <c:pt idx="1106">
                  <c:v>8405.3776715217573</c:v>
                </c:pt>
                <c:pt idx="1107">
                  <c:v>8421.5576061514657</c:v>
                </c:pt>
                <c:pt idx="1108">
                  <c:v>8437.7686863518829</c:v>
                </c:pt>
                <c:pt idx="1109">
                  <c:v>8454.0109720766905</c:v>
                </c:pt>
                <c:pt idx="1110">
                  <c:v>8470.2845233949683</c:v>
                </c:pt>
                <c:pt idx="1111">
                  <c:v>8486.5894004914353</c:v>
                </c:pt>
                <c:pt idx="1112">
                  <c:v>8502.9256636666632</c:v>
                </c:pt>
                <c:pt idx="1113">
                  <c:v>8519.2933733372829</c:v>
                </c:pt>
                <c:pt idx="1114">
                  <c:v>8535.6925900362403</c:v>
                </c:pt>
                <c:pt idx="1115">
                  <c:v>8552.1233744130113</c:v>
                </c:pt>
                <c:pt idx="1116">
                  <c:v>8568.5857872337947</c:v>
                </c:pt>
                <c:pt idx="1117">
                  <c:v>8585.079889381781</c:v>
                </c:pt>
                <c:pt idx="1118">
                  <c:v>8601.6057418573491</c:v>
                </c:pt>
                <c:pt idx="1119">
                  <c:v>8618.1634057783067</c:v>
                </c:pt>
                <c:pt idx="1120">
                  <c:v>8634.7529423801025</c:v>
                </c:pt>
                <c:pt idx="1121">
                  <c:v>8651.3744130160667</c:v>
                </c:pt>
                <c:pt idx="1122">
                  <c:v>8668.0278791576311</c:v>
                </c:pt>
                <c:pt idx="1123">
                  <c:v>8684.7134023945491</c:v>
                </c:pt>
                <c:pt idx="1124">
                  <c:v>8701.4310444351377</c:v>
                </c:pt>
                <c:pt idx="1125">
                  <c:v>8718.18086710651</c:v>
                </c:pt>
                <c:pt idx="1126">
                  <c:v>8734.9629323547688</c:v>
                </c:pt>
                <c:pt idx="1127">
                  <c:v>8751.777302245282</c:v>
                </c:pt>
                <c:pt idx="1128">
                  <c:v>8768.6240389628765</c:v>
                </c:pt>
                <c:pt idx="1129">
                  <c:v>8785.503204812092</c:v>
                </c:pt>
                <c:pt idx="1130">
                  <c:v>8802.4148622173907</c:v>
                </c:pt>
                <c:pt idx="1131">
                  <c:v>8819.3590737234117</c:v>
                </c:pt>
                <c:pt idx="1132">
                  <c:v>8836.3359019951822</c:v>
                </c:pt>
                <c:pt idx="1133">
                  <c:v>8853.3454098183483</c:v>
                </c:pt>
                <c:pt idx="1134">
                  <c:v>8870.3876600994245</c:v>
                </c:pt>
                <c:pt idx="1135">
                  <c:v>8887.4627158660296</c:v>
                </c:pt>
                <c:pt idx="1136">
                  <c:v>8904.5706402670803</c:v>
                </c:pt>
                <c:pt idx="1137">
                  <c:v>8921.7114965730689</c:v>
                </c:pt>
                <c:pt idx="1138">
                  <c:v>8938.8853481762817</c:v>
                </c:pt>
                <c:pt idx="1139">
                  <c:v>8956.092258591023</c:v>
                </c:pt>
                <c:pt idx="1140">
                  <c:v>8973.3322914538621</c:v>
                </c:pt>
                <c:pt idx="1141">
                  <c:v>8990.6055105238738</c:v>
                </c:pt>
                <c:pt idx="1142">
                  <c:v>9007.9119796828563</c:v>
                </c:pt>
                <c:pt idx="1143">
                  <c:v>9025.2517629355752</c:v>
                </c:pt>
                <c:pt idx="1144">
                  <c:v>9042.6249244100054</c:v>
                </c:pt>
                <c:pt idx="1145">
                  <c:v>9060.0315283575765</c:v>
                </c:pt>
                <c:pt idx="1146">
                  <c:v>9077.4716391533802</c:v>
                </c:pt>
                <c:pt idx="1147">
                  <c:v>9094.9453212964381</c:v>
                </c:pt>
                <c:pt idx="1148">
                  <c:v>9112.4526394099248</c:v>
                </c:pt>
                <c:pt idx="1149">
                  <c:v>9129.9936582414157</c:v>
                </c:pt>
                <c:pt idx="1150">
                  <c:v>9147.5684426631196</c:v>
                </c:pt>
                <c:pt idx="1151">
                  <c:v>9165.1770576721174</c:v>
                </c:pt>
                <c:pt idx="1152">
                  <c:v>9182.8195683906179</c:v>
                </c:pt>
                <c:pt idx="1153">
                  <c:v>9200.4960400661676</c:v>
                </c:pt>
                <c:pt idx="1154">
                  <c:v>9218.206538071925</c:v>
                </c:pt>
                <c:pt idx="1155">
                  <c:v>9235.9511279068956</c:v>
                </c:pt>
                <c:pt idx="1156">
                  <c:v>9253.729875196148</c:v>
                </c:pt>
                <c:pt idx="1157">
                  <c:v>9271.5428456910868</c:v>
                </c:pt>
                <c:pt idx="1158">
                  <c:v>9289.3901052696874</c:v>
                </c:pt>
                <c:pt idx="1159">
                  <c:v>9307.2717199367289</c:v>
                </c:pt>
                <c:pt idx="1160">
                  <c:v>9325.187755824054</c:v>
                </c:pt>
                <c:pt idx="1161">
                  <c:v>9343.1382791907999</c:v>
                </c:pt>
                <c:pt idx="1162">
                  <c:v>9361.1233564236572</c:v>
                </c:pt>
                <c:pt idx="1163">
                  <c:v>9379.1430540370966</c:v>
                </c:pt>
                <c:pt idx="1164">
                  <c:v>9397.1974386736256</c:v>
                </c:pt>
                <c:pt idx="1165">
                  <c:v>9415.2865771040597</c:v>
                </c:pt>
                <c:pt idx="1166">
                  <c:v>9433.4105362277078</c:v>
                </c:pt>
                <c:pt idx="1167">
                  <c:v>9451.569383072685</c:v>
                </c:pt>
                <c:pt idx="1168">
                  <c:v>9469.763184796122</c:v>
                </c:pt>
                <c:pt idx="1169">
                  <c:v>9487.9920086844213</c:v>
                </c:pt>
                <c:pt idx="1170">
                  <c:v>9506.2559221535103</c:v>
                </c:pt>
                <c:pt idx="1171">
                  <c:v>9524.5549927490938</c:v>
                </c:pt>
                <c:pt idx="1172">
                  <c:v>9542.8892881468946</c:v>
                </c:pt>
                <c:pt idx="1173">
                  <c:v>9561.2588761529041</c:v>
                </c:pt>
                <c:pt idx="1174">
                  <c:v>9579.6638247036353</c:v>
                </c:pt>
                <c:pt idx="1175">
                  <c:v>9598.1042018663957</c:v>
                </c:pt>
                <c:pt idx="1176">
                  <c:v>9616.5800758394926</c:v>
                </c:pt>
                <c:pt idx="1177">
                  <c:v>9635.0915149525263</c:v>
                </c:pt>
                <c:pt idx="1178">
                  <c:v>9653.6385876666263</c:v>
                </c:pt>
                <c:pt idx="1179">
                  <c:v>9672.2213625747027</c:v>
                </c:pt>
                <c:pt idx="1180">
                  <c:v>9690.8399084017074</c:v>
                </c:pt>
                <c:pt idx="1181">
                  <c:v>9709.4942940048841</c:v>
                </c:pt>
                <c:pt idx="1182">
                  <c:v>9728.1845883740261</c:v>
                </c:pt>
                <c:pt idx="1183">
                  <c:v>9746.910860631715</c:v>
                </c:pt>
                <c:pt idx="1184">
                  <c:v>9765.6731800336001</c:v>
                </c:pt>
                <c:pt idx="1185">
                  <c:v>9784.4716159686577</c:v>
                </c:pt>
                <c:pt idx="1186">
                  <c:v>9803.3062379594085</c:v>
                </c:pt>
                <c:pt idx="1187">
                  <c:v>9822.1771156622144</c:v>
                </c:pt>
                <c:pt idx="1188">
                  <c:v>9841.0843188675208</c:v>
                </c:pt>
                <c:pt idx="1189">
                  <c:v>9860.0279175001215</c:v>
                </c:pt>
                <c:pt idx="1190">
                  <c:v>9879.0079816193993</c:v>
                </c:pt>
                <c:pt idx="1191">
                  <c:v>9898.0245814196114</c:v>
                </c:pt>
                <c:pt idx="1192">
                  <c:v>9917.0777872301296</c:v>
                </c:pt>
                <c:pt idx="1193">
                  <c:v>9936.1676695156984</c:v>
                </c:pt>
                <c:pt idx="1194">
                  <c:v>9955.2942988767118</c:v>
                </c:pt>
                <c:pt idx="1195">
                  <c:v>9974.4577460494784</c:v>
                </c:pt>
                <c:pt idx="1196">
                  <c:v>9993.6580819064438</c:v>
                </c:pt>
                <c:pt idx="1197">
                  <c:v>10012.895377456498</c:v>
                </c:pt>
                <c:pt idx="1198">
                  <c:v>10032.169703845217</c:v>
                </c:pt>
                <c:pt idx="1199">
                  <c:v>10051.481132355122</c:v>
                </c:pt>
                <c:pt idx="1200">
                  <c:v>10070.829734405954</c:v>
                </c:pt>
                <c:pt idx="1201">
                  <c:v>10090.215581554938</c:v>
                </c:pt>
                <c:pt idx="1202">
                  <c:v>10109.638745497041</c:v>
                </c:pt>
                <c:pt idx="1203">
                  <c:v>10129.099298065226</c:v>
                </c:pt>
                <c:pt idx="1204">
                  <c:v>10148.597311230744</c:v>
                </c:pt>
                <c:pt idx="1205">
                  <c:v>10168.132857103394</c:v>
                </c:pt>
                <c:pt idx="1206">
                  <c:v>10187.706007931763</c:v>
                </c:pt>
                <c:pt idx="1207">
                  <c:v>10207.31683610353</c:v>
                </c:pt>
                <c:pt idx="1208">
                  <c:v>10226.965414145709</c:v>
                </c:pt>
                <c:pt idx="1209">
                  <c:v>10246.651814724921</c:v>
                </c:pt>
                <c:pt idx="1210">
                  <c:v>10266.376110647678</c:v>
                </c:pt>
                <c:pt idx="1211">
                  <c:v>10286.138374860629</c:v>
                </c:pt>
                <c:pt idx="1212">
                  <c:v>10305.938680450858</c:v>
                </c:pt>
                <c:pt idx="1213">
                  <c:v>10325.777100646112</c:v>
                </c:pt>
                <c:pt idx="1214">
                  <c:v>10345.653708815118</c:v>
                </c:pt>
                <c:pt idx="1215">
                  <c:v>10365.568578467841</c:v>
                </c:pt>
                <c:pt idx="1216">
                  <c:v>10385.521783255721</c:v>
                </c:pt>
                <c:pt idx="1217">
                  <c:v>10405.513396971997</c:v>
                </c:pt>
                <c:pt idx="1218">
                  <c:v>10425.54349355195</c:v>
                </c:pt>
                <c:pt idx="1219">
                  <c:v>10445.612147073178</c:v>
                </c:pt>
                <c:pt idx="1220">
                  <c:v>10465.719431755881</c:v>
                </c:pt>
                <c:pt idx="1221">
                  <c:v>10485.865421963124</c:v>
                </c:pt>
                <c:pt idx="1222">
                  <c:v>10506.050192201128</c:v>
                </c:pt>
                <c:pt idx="1223">
                  <c:v>10526.273817119514</c:v>
                </c:pt>
                <c:pt idx="1224">
                  <c:v>10546.536371511615</c:v>
                </c:pt>
                <c:pt idx="1225">
                  <c:v>10566.837930314745</c:v>
                </c:pt>
                <c:pt idx="1226">
                  <c:v>10587.178568610449</c:v>
                </c:pt>
                <c:pt idx="1227">
                  <c:v>10607.558361624811</c:v>
                </c:pt>
                <c:pt idx="1228">
                  <c:v>10627.977384728722</c:v>
                </c:pt>
                <c:pt idx="1229">
                  <c:v>10648.435713438153</c:v>
                </c:pt>
                <c:pt idx="1230">
                  <c:v>10668.933423414448</c:v>
                </c:pt>
                <c:pt idx="1231">
                  <c:v>10689.470590464585</c:v>
                </c:pt>
                <c:pt idx="1232">
                  <c:v>10710.047290541483</c:v>
                </c:pt>
                <c:pt idx="1233">
                  <c:v>10730.663599744237</c:v>
                </c:pt>
                <c:pt idx="1234">
                  <c:v>10751.319594318455</c:v>
                </c:pt>
                <c:pt idx="1235">
                  <c:v>10772.015350656517</c:v>
                </c:pt>
                <c:pt idx="1236">
                  <c:v>10792.75094529783</c:v>
                </c:pt>
                <c:pt idx="1237">
                  <c:v>10813.526454929157</c:v>
                </c:pt>
                <c:pt idx="1238">
                  <c:v>10834.341956384869</c:v>
                </c:pt>
                <c:pt idx="1239">
                  <c:v>10855.19752664724</c:v>
                </c:pt>
                <c:pt idx="1240">
                  <c:v>10876.093242846737</c:v>
                </c:pt>
                <c:pt idx="1241">
                  <c:v>10897.029182262297</c:v>
                </c:pt>
                <c:pt idx="1242">
                  <c:v>10918.005422321612</c:v>
                </c:pt>
                <c:pt idx="1243">
                  <c:v>10939.022040601416</c:v>
                </c:pt>
                <c:pt idx="1244">
                  <c:v>10960.079114827775</c:v>
                </c:pt>
                <c:pt idx="1245">
                  <c:v>10981.176722876393</c:v>
                </c:pt>
                <c:pt idx="1246">
                  <c:v>11002.314942772849</c:v>
                </c:pt>
                <c:pt idx="1247">
                  <c:v>11023.493852692942</c:v>
                </c:pt>
                <c:pt idx="1248">
                  <c:v>11044.713530962945</c:v>
                </c:pt>
                <c:pt idx="1249">
                  <c:v>11065.974056059906</c:v>
                </c:pt>
                <c:pt idx="1250">
                  <c:v>11087.275506611941</c:v>
                </c:pt>
                <c:pt idx="1251">
                  <c:v>11108.617961398513</c:v>
                </c:pt>
                <c:pt idx="1252">
                  <c:v>11130.001499350748</c:v>
                </c:pt>
                <c:pt idx="1253">
                  <c:v>11151.426199551692</c:v>
                </c:pt>
                <c:pt idx="1254">
                  <c:v>11172.892141236622</c:v>
                </c:pt>
                <c:pt idx="1255">
                  <c:v>11194.399403793368</c:v>
                </c:pt>
                <c:pt idx="1256">
                  <c:v>11215.948066762538</c:v>
                </c:pt>
                <c:pt idx="1257">
                  <c:v>11237.538209837876</c:v>
                </c:pt>
                <c:pt idx="1258">
                  <c:v>11259.169912866528</c:v>
                </c:pt>
                <c:pt idx="1259">
                  <c:v>11280.843255849337</c:v>
                </c:pt>
                <c:pt idx="1260">
                  <c:v>11302.55831894115</c:v>
                </c:pt>
                <c:pt idx="1261">
                  <c:v>11324.315182451106</c:v>
                </c:pt>
                <c:pt idx="1262">
                  <c:v>11346.113926842936</c:v>
                </c:pt>
                <c:pt idx="1263">
                  <c:v>11367.954632735251</c:v>
                </c:pt>
                <c:pt idx="1264">
                  <c:v>11389.837380901852</c:v>
                </c:pt>
                <c:pt idx="1265">
                  <c:v>11411.762252272048</c:v>
                </c:pt>
                <c:pt idx="1266">
                  <c:v>11433.729327930898</c:v>
                </c:pt>
                <c:pt idx="1267">
                  <c:v>11455.738689119566</c:v>
                </c:pt>
                <c:pt idx="1268">
                  <c:v>11477.790417235597</c:v>
                </c:pt>
                <c:pt idx="1269">
                  <c:v>11499.884593833223</c:v>
                </c:pt>
                <c:pt idx="1270">
                  <c:v>11522.021300623665</c:v>
                </c:pt>
                <c:pt idx="1271">
                  <c:v>11544.20061947543</c:v>
                </c:pt>
                <c:pt idx="1272">
                  <c:v>11566.422632414628</c:v>
                </c:pt>
                <c:pt idx="1273">
                  <c:v>11588.68742162524</c:v>
                </c:pt>
                <c:pt idx="1274">
                  <c:v>11610.995069449471</c:v>
                </c:pt>
                <c:pt idx="1275">
                  <c:v>11633.345658388038</c:v>
                </c:pt>
                <c:pt idx="1276">
                  <c:v>11655.739271100438</c:v>
                </c:pt>
                <c:pt idx="1277">
                  <c:v>11678.175990405301</c:v>
                </c:pt>
                <c:pt idx="1278">
                  <c:v>11700.655899280684</c:v>
                </c:pt>
                <c:pt idx="1279">
                  <c:v>11723.17908086436</c:v>
                </c:pt>
                <c:pt idx="1280">
                  <c:v>11745.745618454146</c:v>
                </c:pt>
                <c:pt idx="1281">
                  <c:v>11768.355595508205</c:v>
                </c:pt>
                <c:pt idx="1282">
                  <c:v>11791.009095645337</c:v>
                </c:pt>
                <c:pt idx="1283">
                  <c:v>11813.706202645322</c:v>
                </c:pt>
                <c:pt idx="1284">
                  <c:v>11836.447000449209</c:v>
                </c:pt>
                <c:pt idx="1285">
                  <c:v>11859.231573159615</c:v>
                </c:pt>
                <c:pt idx="1286">
                  <c:v>11882.060005041081</c:v>
                </c:pt>
                <c:pt idx="1287">
                  <c:v>11904.932380520317</c:v>
                </c:pt>
                <c:pt idx="1288">
                  <c:v>11927.84878418657</c:v>
                </c:pt>
                <c:pt idx="1289">
                  <c:v>11950.809300791914</c:v>
                </c:pt>
                <c:pt idx="1290">
                  <c:v>11973.814015251568</c:v>
                </c:pt>
                <c:pt idx="1291">
                  <c:v>11996.863012644211</c:v>
                </c:pt>
                <c:pt idx="1292">
                  <c:v>12019.956378212282</c:v>
                </c:pt>
                <c:pt idx="1293">
                  <c:v>12043.094197362316</c:v>
                </c:pt>
                <c:pt idx="1294">
                  <c:v>12066.276555665252</c:v>
                </c:pt>
                <c:pt idx="1295">
                  <c:v>12089.503538856747</c:v>
                </c:pt>
                <c:pt idx="1296">
                  <c:v>12112.775232837505</c:v>
                </c:pt>
                <c:pt idx="1297">
                  <c:v>12136.091723673564</c:v>
                </c:pt>
                <c:pt idx="1298">
                  <c:v>12159.453097596648</c:v>
                </c:pt>
                <c:pt idx="1299">
                  <c:v>12182.859441004475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2E-CB44-BB91-0055E0FEF7DF}"/>
            </c:ext>
          </c:extLst>
        </c:ser>
        <c:ser>
          <c:idx val="1"/>
          <c:order val="0"/>
          <c:tx>
            <c:strRef>
              <c:f>'Compounding within 1 year'!$G$1</c:f>
              <c:strCache>
                <c:ptCount val="1"/>
                <c:pt idx="0">
                  <c:v>Annual</c:v>
                </c:pt>
              </c:strCache>
            </c:strRef>
          </c:tx>
          <c:marker>
            <c:symbol val="none"/>
          </c:marker>
          <c:val>
            <c:numRef>
              <c:f>'Compounding within 1 year'!$G$2:$G$1363</c:f>
              <c:numCache>
                <c:formatCode>_("$"* #,##0.00_);_("$"* \(#,##0.00\);_("$"* "-"??_);_(@_)</c:formatCode>
                <c:ptCount val="1362"/>
                <c:pt idx="0">
                  <c:v>1001.8345908742408</c:v>
                </c:pt>
                <c:pt idx="1">
                  <c:v>1003.6725474721575</c:v>
                </c:pt>
                <c:pt idx="2">
                  <c:v>1005.5138759684759</c:v>
                </c:pt>
                <c:pt idx="3">
                  <c:v>1007.3585825492502</c:v>
                </c:pt>
                <c:pt idx="4">
                  <c:v>1009.2066734118832</c:v>
                </c:pt>
                <c:pt idx="5">
                  <c:v>1011.0581547651474</c:v>
                </c:pt>
                <c:pt idx="6">
                  <c:v>1012.9130328292064</c:v>
                </c:pt>
                <c:pt idx="7">
                  <c:v>1014.7713138356343</c:v>
                </c:pt>
                <c:pt idx="8">
                  <c:v>1016.6330040274385</c:v>
                </c:pt>
                <c:pt idx="9">
                  <c:v>1018.4981096590793</c:v>
                </c:pt>
                <c:pt idx="10">
                  <c:v>1020.3666369964913</c:v>
                </c:pt>
                <c:pt idx="11">
                  <c:v>1022.2385923171049</c:v>
                </c:pt>
                <c:pt idx="12">
                  <c:v>1024.1139819098667</c:v>
                </c:pt>
                <c:pt idx="13">
                  <c:v>1025.9928120752609</c:v>
                </c:pt>
                <c:pt idx="14">
                  <c:v>1027.8750891253308</c:v>
                </c:pt>
                <c:pt idx="15">
                  <c:v>1029.7608193836995</c:v>
                </c:pt>
                <c:pt idx="16">
                  <c:v>1031.6500091855917</c:v>
                </c:pt>
                <c:pt idx="17">
                  <c:v>1033.5426648778539</c:v>
                </c:pt>
                <c:pt idx="18">
                  <c:v>1035.4387928189772</c:v>
                </c:pt>
                <c:pt idx="19">
                  <c:v>1037.3383993791178</c:v>
                </c:pt>
                <c:pt idx="20">
                  <c:v>1039.2414909401184</c:v>
                </c:pt>
                <c:pt idx="21">
                  <c:v>1041.1480738955295</c:v>
                </c:pt>
                <c:pt idx="22">
                  <c:v>1043.0581546506316</c:v>
                </c:pt>
                <c:pt idx="23">
                  <c:v>1044.971739622456</c:v>
                </c:pt>
                <c:pt idx="24">
                  <c:v>1046.8888352398069</c:v>
                </c:pt>
                <c:pt idx="25">
                  <c:v>1048.8094479432825</c:v>
                </c:pt>
                <c:pt idx="26">
                  <c:v>1050.7335841852966</c:v>
                </c:pt>
                <c:pt idx="27">
                  <c:v>1052.6612504301013</c:v>
                </c:pt>
                <c:pt idx="28">
                  <c:v>1054.5924531538074</c:v>
                </c:pt>
                <c:pt idx="29">
                  <c:v>1056.5271988444065</c:v>
                </c:pt>
                <c:pt idx="30">
                  <c:v>1058.4654940017938</c:v>
                </c:pt>
                <c:pt idx="31">
                  <c:v>1060.4073451377883</c:v>
                </c:pt>
                <c:pt idx="32">
                  <c:v>1062.352758776156</c:v>
                </c:pt>
                <c:pt idx="33">
                  <c:v>1064.3017414526309</c:v>
                </c:pt>
                <c:pt idx="34">
                  <c:v>1066.2542997149387</c:v>
                </c:pt>
                <c:pt idx="35">
                  <c:v>1068.2104401228157</c:v>
                </c:pt>
                <c:pt idx="36">
                  <c:v>1070.170169248034</c:v>
                </c:pt>
                <c:pt idx="37">
                  <c:v>1072.1334936744208</c:v>
                </c:pt>
                <c:pt idx="38">
                  <c:v>1074.1004199978838</c:v>
                </c:pt>
                <c:pt idx="39">
                  <c:v>1076.0709548264301</c:v>
                </c:pt>
                <c:pt idx="40">
                  <c:v>1078.0451047801905</c:v>
                </c:pt>
                <c:pt idx="41">
                  <c:v>1080.0228764914402</c:v>
                </c:pt>
                <c:pt idx="42">
                  <c:v>1082.0042766046224</c:v>
                </c:pt>
                <c:pt idx="43">
                  <c:v>1083.9893117763709</c:v>
                </c:pt>
                <c:pt idx="44">
                  <c:v>1085.9779886755302</c:v>
                </c:pt>
                <c:pt idx="45">
                  <c:v>1087.9703139831809</c:v>
                </c:pt>
                <c:pt idx="46">
                  <c:v>1089.9662943926594</c:v>
                </c:pt>
                <c:pt idx="47">
                  <c:v>1091.9659366095823</c:v>
                </c:pt>
                <c:pt idx="48">
                  <c:v>1093.9692473518678</c:v>
                </c:pt>
                <c:pt idx="49">
                  <c:v>1095.9762333497595</c:v>
                </c:pt>
                <c:pt idx="50">
                  <c:v>1097.9869013458479</c:v>
                </c:pt>
                <c:pt idx="51">
                  <c:v>1100.0012580950929</c:v>
                </c:pt>
                <c:pt idx="52">
                  <c:v>1102.0193103648476</c:v>
                </c:pt>
                <c:pt idx="53">
                  <c:v>1104.0410649348803</c:v>
                </c:pt>
                <c:pt idx="54">
                  <c:v>1106.0665285973967</c:v>
                </c:pt>
                <c:pt idx="55">
                  <c:v>1108.0957081570646</c:v>
                </c:pt>
                <c:pt idx="56">
                  <c:v>1110.128610431035</c:v>
                </c:pt>
                <c:pt idx="57">
                  <c:v>1112.1652422489653</c:v>
                </c:pt>
                <c:pt idx="58">
                  <c:v>1114.2056104530432</c:v>
                </c:pt>
                <c:pt idx="59">
                  <c:v>1116.2497218980081</c:v>
                </c:pt>
                <c:pt idx="60">
                  <c:v>1118.297583451176</c:v>
                </c:pt>
                <c:pt idx="61">
                  <c:v>1120.3492019924613</c:v>
                </c:pt>
                <c:pt idx="62">
                  <c:v>1122.4045844143996</c:v>
                </c:pt>
                <c:pt idx="63">
                  <c:v>1124.4637376221722</c:v>
                </c:pt>
                <c:pt idx="64">
                  <c:v>1126.5266685336287</c:v>
                </c:pt>
                <c:pt idx="65">
                  <c:v>1128.5933840793091</c:v>
                </c:pt>
                <c:pt idx="66">
                  <c:v>1130.6638912024696</c:v>
                </c:pt>
                <c:pt idx="67">
                  <c:v>1132.7381968591033</c:v>
                </c:pt>
                <c:pt idx="68">
                  <c:v>1134.816308017965</c:v>
                </c:pt>
                <c:pt idx="69">
                  <c:v>1136.8982316605943</c:v>
                </c:pt>
                <c:pt idx="70">
                  <c:v>1138.9839747813394</c:v>
                </c:pt>
                <c:pt idx="71">
                  <c:v>1141.0735443873796</c:v>
                </c:pt>
                <c:pt idx="72">
                  <c:v>1143.1669474987502</c:v>
                </c:pt>
                <c:pt idx="73">
                  <c:v>1145.2641911483652</c:v>
                </c:pt>
                <c:pt idx="74">
                  <c:v>1147.3652823820407</c:v>
                </c:pt>
                <c:pt idx="75">
                  <c:v>1149.4702282585197</c:v>
                </c:pt>
                <c:pt idx="76">
                  <c:v>1151.5790358494942</c:v>
                </c:pt>
                <c:pt idx="77">
                  <c:v>1153.6917122396305</c:v>
                </c:pt>
                <c:pt idx="78">
                  <c:v>1155.8082645265929</c:v>
                </c:pt>
                <c:pt idx="79">
                  <c:v>1157.9286998210653</c:v>
                </c:pt>
                <c:pt idx="80">
                  <c:v>1160.0530252467784</c:v>
                </c:pt>
                <c:pt idx="81">
                  <c:v>1162.1812479405316</c:v>
                </c:pt>
                <c:pt idx="82">
                  <c:v>1164.3133750522172</c:v>
                </c:pt>
                <c:pt idx="83">
                  <c:v>1166.4494137448444</c:v>
                </c:pt>
                <c:pt idx="84">
                  <c:v>1168.5893711945644</c:v>
                </c:pt>
                <c:pt idx="85">
                  <c:v>1170.7332545906925</c:v>
                </c:pt>
                <c:pt idx="86">
                  <c:v>1172.8810711357348</c:v>
                </c:pt>
                <c:pt idx="87">
                  <c:v>1175.0328280454103</c:v>
                </c:pt>
                <c:pt idx="88">
                  <c:v>1177.1885325486758</c:v>
                </c:pt>
                <c:pt idx="89">
                  <c:v>1179.3481918877503</c:v>
                </c:pt>
                <c:pt idx="90">
                  <c:v>1181.5118133181402</c:v>
                </c:pt>
                <c:pt idx="91">
                  <c:v>1183.6794041086612</c:v>
                </c:pt>
                <c:pt idx="92">
                  <c:v>1185.8509715414657</c:v>
                </c:pt>
                <c:pt idx="93">
                  <c:v>1188.0265229120653</c:v>
                </c:pt>
                <c:pt idx="94">
                  <c:v>1190.2060655293558</c:v>
                </c:pt>
                <c:pt idx="95">
                  <c:v>1192.389606715642</c:v>
                </c:pt>
                <c:pt idx="96">
                  <c:v>1194.5771538066622</c:v>
                </c:pt>
                <c:pt idx="97">
                  <c:v>1196.7687141516124</c:v>
                </c:pt>
                <c:pt idx="98">
                  <c:v>1198.9642951131718</c:v>
                </c:pt>
                <c:pt idx="99">
                  <c:v>1201.1639040675268</c:v>
                </c:pt>
                <c:pt idx="100">
                  <c:v>1203.3675484043965</c:v>
                </c:pt>
                <c:pt idx="101">
                  <c:v>1205.5752355270567</c:v>
                </c:pt>
                <c:pt idx="102">
                  <c:v>1207.7869728523656</c:v>
                </c:pt>
                <c:pt idx="103">
                  <c:v>1210.0027678107874</c:v>
                </c:pt>
                <c:pt idx="104">
                  <c:v>1212.2226278464191</c:v>
                </c:pt>
                <c:pt idx="105">
                  <c:v>1214.4465604170143</c:v>
                </c:pt>
                <c:pt idx="106">
                  <c:v>1216.6745729940085</c:v>
                </c:pt>
                <c:pt idx="107">
                  <c:v>1218.9066730625441</c:v>
                </c:pt>
                <c:pt idx="108">
                  <c:v>1221.1428681214959</c:v>
                </c:pt>
                <c:pt idx="109">
                  <c:v>1223.3831656834957</c:v>
                </c:pt>
                <c:pt idx="110">
                  <c:v>1225.6275732749584</c:v>
                </c:pt>
                <c:pt idx="111">
                  <c:v>1227.8760984361065</c:v>
                </c:pt>
                <c:pt idx="112">
                  <c:v>1230.1287487209959</c:v>
                </c:pt>
                <c:pt idx="113">
                  <c:v>1232.3855316975407</c:v>
                </c:pt>
                <c:pt idx="114">
                  <c:v>1234.6464549475393</c:v>
                </c:pt>
                <c:pt idx="115">
                  <c:v>1236.9115260666999</c:v>
                </c:pt>
                <c:pt idx="116">
                  <c:v>1239.1807526646653</c:v>
                </c:pt>
                <c:pt idx="117">
                  <c:v>1241.4541423650385</c:v>
                </c:pt>
                <c:pt idx="118">
                  <c:v>1243.7317028054099</c:v>
                </c:pt>
                <c:pt idx="119">
                  <c:v>1246.0134416373808</c:v>
                </c:pt>
                <c:pt idx="120">
                  <c:v>1248.2993665265901</c:v>
                </c:pt>
                <c:pt idx="121">
                  <c:v>1250.5894851527401</c:v>
                </c:pt>
                <c:pt idx="122">
                  <c:v>1252.883805209623</c:v>
                </c:pt>
                <c:pt idx="123">
                  <c:v>1255.1823344051445</c:v>
                </c:pt>
                <c:pt idx="124">
                  <c:v>1257.4850804613525</c:v>
                </c:pt>
                <c:pt idx="125">
                  <c:v>1259.7920511144607</c:v>
                </c:pt>
                <c:pt idx="126">
                  <c:v>1262.1032541148766</c:v>
                </c:pt>
                <c:pt idx="127">
                  <c:v>1264.4186972272253</c:v>
                </c:pt>
                <c:pt idx="128">
                  <c:v>1266.7383882303777</c:v>
                </c:pt>
                <c:pt idx="129">
                  <c:v>1269.0623349174757</c:v>
                </c:pt>
                <c:pt idx="130">
                  <c:v>1271.390545095958</c:v>
                </c:pt>
                <c:pt idx="131">
                  <c:v>1273.7230265875869</c:v>
                </c:pt>
                <c:pt idx="132">
                  <c:v>1276.059787228475</c:v>
                </c:pt>
                <c:pt idx="133">
                  <c:v>1278.40083486911</c:v>
                </c:pt>
                <c:pt idx="134">
                  <c:v>1280.7461773743826</c:v>
                </c:pt>
                <c:pt idx="135">
                  <c:v>1283.0958226236125</c:v>
                </c:pt>
                <c:pt idx="136">
                  <c:v>1285.4497785105743</c:v>
                </c:pt>
                <c:pt idx="137">
                  <c:v>1287.8080529435244</c:v>
                </c:pt>
                <c:pt idx="138">
                  <c:v>1290.1706538452286</c:v>
                </c:pt>
                <c:pt idx="139">
                  <c:v>1292.5375891529861</c:v>
                </c:pt>
                <c:pt idx="140">
                  <c:v>1294.9088668186596</c:v>
                </c:pt>
                <c:pt idx="141">
                  <c:v>1297.2844948086986</c:v>
                </c:pt>
                <c:pt idx="142">
                  <c:v>1299.6644811041685</c:v>
                </c:pt>
                <c:pt idx="143">
                  <c:v>1302.0488337007771</c:v>
                </c:pt>
                <c:pt idx="144">
                  <c:v>1304.4375606089006</c:v>
                </c:pt>
                <c:pt idx="145">
                  <c:v>1306.8306698536107</c:v>
                </c:pt>
                <c:pt idx="146">
                  <c:v>1309.2281694747021</c:v>
                </c:pt>
                <c:pt idx="147">
                  <c:v>1311.6300675267194</c:v>
                </c:pt>
                <c:pt idx="148">
                  <c:v>1314.0363720789835</c:v>
                </c:pt>
                <c:pt idx="149">
                  <c:v>1316.4470912156203</c:v>
                </c:pt>
                <c:pt idx="150">
                  <c:v>1318.8622330355852</c:v>
                </c:pt>
                <c:pt idx="151">
                  <c:v>1321.2818056526933</c:v>
                </c:pt>
                <c:pt idx="152">
                  <c:v>1323.7058171956439</c:v>
                </c:pt>
                <c:pt idx="153">
                  <c:v>1326.1342758080505</c:v>
                </c:pt>
                <c:pt idx="154">
                  <c:v>1328.567189648466</c:v>
                </c:pt>
                <c:pt idx="155">
                  <c:v>1331.0045668904106</c:v>
                </c:pt>
                <c:pt idx="156">
                  <c:v>1333.4464157224006</c:v>
                </c:pt>
                <c:pt idx="157">
                  <c:v>1335.892744347974</c:v>
                </c:pt>
                <c:pt idx="158">
                  <c:v>1338.3435609857193</c:v>
                </c:pt>
                <c:pt idx="159">
                  <c:v>1340.7988738693027</c:v>
                </c:pt>
                <c:pt idx="160">
                  <c:v>1343.2586912474956</c:v>
                </c:pt>
                <c:pt idx="161">
                  <c:v>1345.7230213842029</c:v>
                </c:pt>
                <c:pt idx="162">
                  <c:v>1348.1918725584901</c:v>
                </c:pt>
                <c:pt idx="163">
                  <c:v>1350.6652530646115</c:v>
                </c:pt>
                <c:pt idx="164">
                  <c:v>1353.1431712120382</c:v>
                </c:pt>
                <c:pt idx="165">
                  <c:v>1355.6256353254848</c:v>
                </c:pt>
                <c:pt idx="166">
                  <c:v>1358.1126537449397</c:v>
                </c:pt>
                <c:pt idx="167">
                  <c:v>1360.6042348256913</c:v>
                </c:pt>
                <c:pt idx="168">
                  <c:v>1363.1003869383558</c:v>
                </c:pt>
                <c:pt idx="169">
                  <c:v>1365.6011184689069</c:v>
                </c:pt>
                <c:pt idx="170">
                  <c:v>1368.1064378187032</c:v>
                </c:pt>
                <c:pt idx="171">
                  <c:v>1370.6163534045152</c:v>
                </c:pt>
                <c:pt idx="172">
                  <c:v>1373.1308736585565</c:v>
                </c:pt>
                <c:pt idx="173">
                  <c:v>1375.6500070285088</c:v>
                </c:pt>
                <c:pt idx="174">
                  <c:v>1378.1737619775524</c:v>
                </c:pt>
                <c:pt idx="175">
                  <c:v>1380.7021469843946</c:v>
                </c:pt>
                <c:pt idx="176">
                  <c:v>1383.2351705432968</c:v>
                </c:pt>
                <c:pt idx="177">
                  <c:v>1385.7728411641046</c:v>
                </c:pt>
                <c:pt idx="178">
                  <c:v>1388.3151673722748</c:v>
                </c:pt>
                <c:pt idx="179">
                  <c:v>1390.8621577089061</c:v>
                </c:pt>
                <c:pt idx="180">
                  <c:v>1393.4138207307658</c:v>
                </c:pt>
                <c:pt idx="181">
                  <c:v>1395.9701650103193</c:v>
                </c:pt>
                <c:pt idx="182">
                  <c:v>1398.5311991357596</c:v>
                </c:pt>
                <c:pt idx="183">
                  <c:v>1401.0969317110353</c:v>
                </c:pt>
                <c:pt idx="184">
                  <c:v>1403.6673713558791</c:v>
                </c:pt>
                <c:pt idx="185">
                  <c:v>1406.2425267058381</c:v>
                </c:pt>
                <c:pt idx="186">
                  <c:v>1408.8224064123021</c:v>
                </c:pt>
                <c:pt idx="187">
                  <c:v>1411.4070191425319</c:v>
                </c:pt>
                <c:pt idx="188">
                  <c:v>1413.9963735796903</c:v>
                </c:pt>
                <c:pt idx="189">
                  <c:v>1416.5904784228692</c:v>
                </c:pt>
                <c:pt idx="190">
                  <c:v>1419.18934238712</c:v>
                </c:pt>
                <c:pt idx="191">
                  <c:v>1421.7929742034835</c:v>
                </c:pt>
                <c:pt idx="192">
                  <c:v>1424.4013826190167</c:v>
                </c:pt>
                <c:pt idx="193">
                  <c:v>1427.0145763968255</c:v>
                </c:pt>
                <c:pt idx="194">
                  <c:v>1429.6325643160917</c:v>
                </c:pt>
                <c:pt idx="195">
                  <c:v>1432.2553551721035</c:v>
                </c:pt>
                <c:pt idx="196">
                  <c:v>1434.8829577762847</c:v>
                </c:pt>
                <c:pt idx="197">
                  <c:v>1437.5153809562246</c:v>
                </c:pt>
                <c:pt idx="198">
                  <c:v>1440.1526335557078</c:v>
                </c:pt>
                <c:pt idx="199">
                  <c:v>1442.7947244347431</c:v>
                </c:pt>
                <c:pt idx="200">
                  <c:v>1445.4416624695937</c:v>
                </c:pt>
                <c:pt idx="201">
                  <c:v>1448.0934565528078</c:v>
                </c:pt>
                <c:pt idx="202">
                  <c:v>1450.7501155932473</c:v>
                </c:pt>
                <c:pt idx="203">
                  <c:v>1453.4116485161187</c:v>
                </c:pt>
                <c:pt idx="204">
                  <c:v>1456.0780642630016</c:v>
                </c:pt>
                <c:pt idx="205">
                  <c:v>1458.7493717918808</c:v>
                </c:pt>
                <c:pt idx="206">
                  <c:v>1461.4255800771746</c:v>
                </c:pt>
                <c:pt idx="207">
                  <c:v>1464.1066981097661</c:v>
                </c:pt>
                <c:pt idx="208">
                  <c:v>1466.7927348970331</c:v>
                </c:pt>
                <c:pt idx="209">
                  <c:v>1469.4836994628779</c:v>
                </c:pt>
                <c:pt idx="210">
                  <c:v>1472.1796008477581</c:v>
                </c:pt>
                <c:pt idx="211">
                  <c:v>1474.8804481087168</c:v>
                </c:pt>
                <c:pt idx="212">
                  <c:v>1477.5862503194132</c:v>
                </c:pt>
                <c:pt idx="213">
                  <c:v>1480.2970165701529</c:v>
                </c:pt>
                <c:pt idx="214">
                  <c:v>1483.0127559679183</c:v>
                </c:pt>
                <c:pt idx="215">
                  <c:v>1485.7334776363998</c:v>
                </c:pt>
                <c:pt idx="216">
                  <c:v>1488.4591907160257</c:v>
                </c:pt>
                <c:pt idx="217">
                  <c:v>1491.189904363993</c:v>
                </c:pt>
                <c:pt idx="218">
                  <c:v>1493.9256277542991</c:v>
                </c:pt>
                <c:pt idx="219">
                  <c:v>1496.6663700777715</c:v>
                </c:pt>
                <c:pt idx="220">
                  <c:v>1499.4121405420995</c:v>
                </c:pt>
                <c:pt idx="221">
                  <c:v>1502.1629483718639</c:v>
                </c:pt>
                <c:pt idx="222">
                  <c:v>1504.9188028085694</c:v>
                </c:pt>
                <c:pt idx="223">
                  <c:v>1507.6797131106757</c:v>
                </c:pt>
                <c:pt idx="224">
                  <c:v>1510.445688553626</c:v>
                </c:pt>
                <c:pt idx="225">
                  <c:v>1513.2167384298832</c:v>
                </c:pt>
                <c:pt idx="226">
                  <c:v>1515.992872048955</c:v>
                </c:pt>
                <c:pt idx="227">
                  <c:v>1518.77409873743</c:v>
                </c:pt>
                <c:pt idx="228">
                  <c:v>1521.5604278390072</c:v>
                </c:pt>
                <c:pt idx="229">
                  <c:v>1524.3518687145263</c:v>
                </c:pt>
                <c:pt idx="230">
                  <c:v>1527.1484307420021</c:v>
                </c:pt>
                <c:pt idx="231">
                  <c:v>1529.9501233166525</c:v>
                </c:pt>
                <c:pt idx="232">
                  <c:v>1532.7569558509326</c:v>
                </c:pt>
                <c:pt idx="233">
                  <c:v>1535.5689377745659</c:v>
                </c:pt>
                <c:pt idx="234">
                  <c:v>1538.3860785345746</c:v>
                </c:pt>
                <c:pt idx="235">
                  <c:v>1541.2083875953133</c:v>
                </c:pt>
                <c:pt idx="236">
                  <c:v>1544.0358744384989</c:v>
                </c:pt>
                <c:pt idx="237">
                  <c:v>1546.8685485632443</c:v>
                </c:pt>
                <c:pt idx="238">
                  <c:v>1549.7064194860886</c:v>
                </c:pt>
                <c:pt idx="239">
                  <c:v>1552.54949674103</c:v>
                </c:pt>
                <c:pt idx="240">
                  <c:v>1555.3977898795583</c:v>
                </c:pt>
                <c:pt idx="241">
                  <c:v>1558.2513084706857</c:v>
                </c:pt>
                <c:pt idx="242">
                  <c:v>1561.1100621009796</c:v>
                </c:pt>
                <c:pt idx="243">
                  <c:v>1563.9740603745956</c:v>
                </c:pt>
                <c:pt idx="244">
                  <c:v>1566.8433129133082</c:v>
                </c:pt>
                <c:pt idx="245">
                  <c:v>1569.7178293565444</c:v>
                </c:pt>
                <c:pt idx="246">
                  <c:v>1572.5976193614149</c:v>
                </c:pt>
                <c:pt idx="247">
                  <c:v>1575.4826926027481</c:v>
                </c:pt>
                <c:pt idx="248">
                  <c:v>1578.3730587731213</c:v>
                </c:pt>
                <c:pt idx="249">
                  <c:v>1581.2687275828941</c:v>
                </c:pt>
                <c:pt idx="250">
                  <c:v>1584.1697087602399</c:v>
                </c:pt>
                <c:pt idx="251">
                  <c:v>1587.0760120511802</c:v>
                </c:pt>
                <c:pt idx="252">
                  <c:v>1589.9876472196156</c:v>
                </c:pt>
                <c:pt idx="253">
                  <c:v>1592.9046240473604</c:v>
                </c:pt>
                <c:pt idx="254">
                  <c:v>1595.8269523341737</c:v>
                </c:pt>
                <c:pt idx="255">
                  <c:v>1598.7546418977936</c:v>
                </c:pt>
                <c:pt idx="256">
                  <c:v>1601.6877025739693</c:v>
                </c:pt>
                <c:pt idx="257">
                  <c:v>1604.626144216495</c:v>
                </c:pt>
                <c:pt idx="258">
                  <c:v>1607.569976697243</c:v>
                </c:pt>
                <c:pt idx="259">
                  <c:v>1610.5192099061951</c:v>
                </c:pt>
                <c:pt idx="260">
                  <c:v>1613.4738537514786</c:v>
                </c:pt>
                <c:pt idx="261">
                  <c:v>1616.4339181593971</c:v>
                </c:pt>
                <c:pt idx="262">
                  <c:v>1619.3994130744659</c:v>
                </c:pt>
                <c:pt idx="263">
                  <c:v>1622.370348459443</c:v>
                </c:pt>
                <c:pt idx="264">
                  <c:v>1625.3467342953656</c:v>
                </c:pt>
                <c:pt idx="265">
                  <c:v>1628.3285805815808</c:v>
                </c:pt>
                <c:pt idx="266">
                  <c:v>1631.3158973357813</c:v>
                </c:pt>
                <c:pt idx="267">
                  <c:v>1634.3086945940374</c:v>
                </c:pt>
                <c:pt idx="268">
                  <c:v>1637.3069824108322</c:v>
                </c:pt>
                <c:pt idx="269">
                  <c:v>1640.3107708590935</c:v>
                </c:pt>
                <c:pt idx="270">
                  <c:v>1643.3200700302307</c:v>
                </c:pt>
                <c:pt idx="271">
                  <c:v>1646.3348900341648</c:v>
                </c:pt>
                <c:pt idx="272">
                  <c:v>1649.3552409993656</c:v>
                </c:pt>
                <c:pt idx="273">
                  <c:v>1652.3811330728843</c:v>
                </c:pt>
                <c:pt idx="274">
                  <c:v>1655.4125764203877</c:v>
                </c:pt>
                <c:pt idx="275">
                  <c:v>1658.4495812261919</c:v>
                </c:pt>
                <c:pt idx="276">
                  <c:v>1661.4921576932979</c:v>
                </c:pt>
                <c:pt idx="277">
                  <c:v>1664.5403160434246</c:v>
                </c:pt>
                <c:pt idx="278">
                  <c:v>1667.594066517044</c:v>
                </c:pt>
                <c:pt idx="279">
                  <c:v>1670.653419373414</c:v>
                </c:pt>
                <c:pt idx="280">
                  <c:v>1673.7183848906159</c:v>
                </c:pt>
                <c:pt idx="281">
                  <c:v>1676.7889733655852</c:v>
                </c:pt>
                <c:pt idx="282">
                  <c:v>1679.8651951141492</c:v>
                </c:pt>
                <c:pt idx="283">
                  <c:v>1682.9470604710602</c:v>
                </c:pt>
                <c:pt idx="284">
                  <c:v>1686.0345797900309</c:v>
                </c:pt>
                <c:pt idx="285">
                  <c:v>1689.1277634437681</c:v>
                </c:pt>
                <c:pt idx="286">
                  <c:v>1692.2266218240088</c:v>
                </c:pt>
                <c:pt idx="287">
                  <c:v>1695.3311653415544</c:v>
                </c:pt>
                <c:pt idx="288">
                  <c:v>1698.441404426306</c:v>
                </c:pt>
                <c:pt idx="289">
                  <c:v>1701.5573495272993</c:v>
                </c:pt>
                <c:pt idx="290">
                  <c:v>1704.6790111127395</c:v>
                </c:pt>
                <c:pt idx="291">
                  <c:v>1707.8063996700366</c:v>
                </c:pt>
                <c:pt idx="292">
                  <c:v>1710.9395257058413</c:v>
                </c:pt>
                <c:pt idx="293">
                  <c:v>1714.0783997460792</c:v>
                </c:pt>
                <c:pt idx="294">
                  <c:v>1717.2230323359865</c:v>
                </c:pt>
                <c:pt idx="295">
                  <c:v>1720.3734340401461</c:v>
                </c:pt>
                <c:pt idx="296">
                  <c:v>1723.5296154425225</c:v>
                </c:pt>
                <c:pt idx="297">
                  <c:v>1726.6915871464969</c:v>
                </c:pt>
                <c:pt idx="298">
                  <c:v>1729.8593597749045</c:v>
                </c:pt>
                <c:pt idx="299">
                  <c:v>1733.0329439700677</c:v>
                </c:pt>
                <c:pt idx="300">
                  <c:v>1736.2123503938337</c:v>
                </c:pt>
                <c:pt idx="301">
                  <c:v>1739.3975897276102</c:v>
                </c:pt>
                <c:pt idx="302">
                  <c:v>1742.5886726724009</c:v>
                </c:pt>
                <c:pt idx="303">
                  <c:v>1745.7856099488411</c:v>
                </c:pt>
                <c:pt idx="304">
                  <c:v>1748.9884122972344</c:v>
                </c:pt>
                <c:pt idx="305">
                  <c:v>1752.1970904775876</c:v>
                </c:pt>
                <c:pt idx="306">
                  <c:v>1755.4116552696491</c:v>
                </c:pt>
                <c:pt idx="307">
                  <c:v>1758.6321174729424</c:v>
                </c:pt>
                <c:pt idx="308">
                  <c:v>1761.8584879068053</c:v>
                </c:pt>
                <c:pt idx="309">
                  <c:v>1765.0907774104228</c:v>
                </c:pt>
                <c:pt idx="310">
                  <c:v>1768.3289968428667</c:v>
                </c:pt>
                <c:pt idx="311">
                  <c:v>1771.5731570831297</c:v>
                </c:pt>
                <c:pt idx="312">
                  <c:v>1774.8232690301645</c:v>
                </c:pt>
                <c:pt idx="313">
                  <c:v>1778.0793436029173</c:v>
                </c:pt>
                <c:pt idx="314">
                  <c:v>1781.3413917403675</c:v>
                </c:pt>
                <c:pt idx="315">
                  <c:v>1784.6094244015615</c:v>
                </c:pt>
                <c:pt idx="316">
                  <c:v>1787.8834525656528</c:v>
                </c:pt>
                <c:pt idx="317">
                  <c:v>1791.1634872319357</c:v>
                </c:pt>
                <c:pt idx="318">
                  <c:v>1794.449539419885</c:v>
                </c:pt>
                <c:pt idx="319">
                  <c:v>1797.7416201691904</c:v>
                </c:pt>
                <c:pt idx="320">
                  <c:v>1801.0397405397955</c:v>
                </c:pt>
                <c:pt idx="321">
                  <c:v>1804.3439116119346</c:v>
                </c:pt>
                <c:pt idx="322">
                  <c:v>1807.65414448617</c:v>
                </c:pt>
                <c:pt idx="323">
                  <c:v>1810.9704502834279</c:v>
                </c:pt>
                <c:pt idx="324">
                  <c:v>1814.2928401450379</c:v>
                </c:pt>
                <c:pt idx="325">
                  <c:v>1817.6213252327682</c:v>
                </c:pt>
                <c:pt idx="326">
                  <c:v>1820.9559167288655</c:v>
                </c:pt>
                <c:pt idx="327">
                  <c:v>1824.2966258360912</c:v>
                </c:pt>
                <c:pt idx="328">
                  <c:v>1827.6434637777584</c:v>
                </c:pt>
                <c:pt idx="329">
                  <c:v>1830.9964417977706</c:v>
                </c:pt>
                <c:pt idx="330">
                  <c:v>1834.3555711606602</c:v>
                </c:pt>
                <c:pt idx="331">
                  <c:v>1837.7208631516241</c:v>
                </c:pt>
                <c:pt idx="332">
                  <c:v>1841.0923290765643</c:v>
                </c:pt>
                <c:pt idx="333">
                  <c:v>1844.4699802621228</c:v>
                </c:pt>
                <c:pt idx="334">
                  <c:v>1847.8538280557229</c:v>
                </c:pt>
                <c:pt idx="335">
                  <c:v>1851.2438838256048</c:v>
                </c:pt>
                <c:pt idx="336">
                  <c:v>1854.6401589608652</c:v>
                </c:pt>
                <c:pt idx="337">
                  <c:v>1858.0426648714954</c:v>
                </c:pt>
                <c:pt idx="338">
                  <c:v>1861.4514129884187</c:v>
                </c:pt>
                <c:pt idx="339">
                  <c:v>1864.86641476353</c:v>
                </c:pt>
                <c:pt idx="340">
                  <c:v>1868.287681669733</c:v>
                </c:pt>
                <c:pt idx="341">
                  <c:v>1871.7152252009807</c:v>
                </c:pt>
                <c:pt idx="342">
                  <c:v>1875.1490568723123</c:v>
                </c:pt>
                <c:pt idx="343">
                  <c:v>1878.5891882198912</c:v>
                </c:pt>
                <c:pt idx="344">
                  <c:v>1882.0356308010471</c:v>
                </c:pt>
                <c:pt idx="345">
                  <c:v>1885.4883961943108</c:v>
                </c:pt>
                <c:pt idx="346">
                  <c:v>1888.9474959994557</c:v>
                </c:pt>
                <c:pt idx="347">
                  <c:v>1892.4129418375362</c:v>
                </c:pt>
                <c:pt idx="348">
                  <c:v>1895.8847453509266</c:v>
                </c:pt>
                <c:pt idx="349">
                  <c:v>1899.3629182033596</c:v>
                </c:pt>
                <c:pt idx="350">
                  <c:v>1902.8474720799668</c:v>
                </c:pt>
                <c:pt idx="351">
                  <c:v>1906.338418687317</c:v>
                </c:pt>
                <c:pt idx="352">
                  <c:v>1909.8357697534555</c:v>
                </c:pt>
                <c:pt idx="353">
                  <c:v>1913.3395370279436</c:v>
                </c:pt>
                <c:pt idx="354">
                  <c:v>1916.8497322818994</c:v>
                </c:pt>
                <c:pt idx="355">
                  <c:v>1920.3663673080343</c:v>
                </c:pt>
                <c:pt idx="356">
                  <c:v>1923.8894539206967</c:v>
                </c:pt>
                <c:pt idx="357">
                  <c:v>1927.4190039559076</c:v>
                </c:pt>
                <c:pt idx="358">
                  <c:v>1930.9550292714034</c:v>
                </c:pt>
                <c:pt idx="359">
                  <c:v>1934.4975417466744</c:v>
                </c:pt>
                <c:pt idx="360">
                  <c:v>1938.0465532830037</c:v>
                </c:pt>
                <c:pt idx="361">
                  <c:v>1941.6020758035106</c:v>
                </c:pt>
                <c:pt idx="362">
                  <c:v>1945.164121253187</c:v>
                </c:pt>
                <c:pt idx="363">
                  <c:v>1948.7327015989383</c:v>
                </c:pt>
                <c:pt idx="364">
                  <c:v>1952.3078288296267</c:v>
                </c:pt>
                <c:pt idx="365">
                  <c:v>1955.889514956106</c:v>
                </c:pt>
                <c:pt idx="366">
                  <c:v>1959.4777720112679</c:v>
                </c:pt>
                <c:pt idx="367">
                  <c:v>1963.0726120500774</c:v>
                </c:pt>
                <c:pt idx="368">
                  <c:v>1966.6740471496166</c:v>
                </c:pt>
                <c:pt idx="369">
                  <c:v>1970.2820894091235</c:v>
                </c:pt>
                <c:pt idx="370">
                  <c:v>1973.8967509500333</c:v>
                </c:pt>
                <c:pt idx="371">
                  <c:v>1977.5180439160199</c:v>
                </c:pt>
                <c:pt idx="372">
                  <c:v>1981.145980473035</c:v>
                </c:pt>
                <c:pt idx="373">
                  <c:v>1984.7805728093495</c:v>
                </c:pt>
                <c:pt idx="374">
                  <c:v>1988.421833135596</c:v>
                </c:pt>
                <c:pt idx="375">
                  <c:v>1992.0697736848074</c:v>
                </c:pt>
                <c:pt idx="376">
                  <c:v>1995.7244067124607</c:v>
                </c:pt>
                <c:pt idx="377">
                  <c:v>1999.3857444965149</c:v>
                </c:pt>
                <c:pt idx="378">
                  <c:v>2003.0537993374553</c:v>
                </c:pt>
                <c:pt idx="379">
                  <c:v>2006.728583558333</c:v>
                </c:pt>
                <c:pt idx="380">
                  <c:v>2010.4101095048077</c:v>
                </c:pt>
                <c:pt idx="381">
                  <c:v>2014.0983895451866</c:v>
                </c:pt>
                <c:pt idx="382">
                  <c:v>2017.7934360704692</c:v>
                </c:pt>
                <c:pt idx="383">
                  <c:v>2021.4952614943873</c:v>
                </c:pt>
                <c:pt idx="384">
                  <c:v>2025.2038782534457</c:v>
                </c:pt>
                <c:pt idx="385">
                  <c:v>2028.9192988069665</c:v>
                </c:pt>
                <c:pt idx="386">
                  <c:v>2032.6415356371288</c:v>
                </c:pt>
                <c:pt idx="387">
                  <c:v>2036.3706012490118</c:v>
                </c:pt>
                <c:pt idx="388">
                  <c:v>2040.1065081706352</c:v>
                </c:pt>
                <c:pt idx="389">
                  <c:v>2043.8492689530042</c:v>
                </c:pt>
                <c:pt idx="390">
                  <c:v>2047.5988961701489</c:v>
                </c:pt>
                <c:pt idx="391">
                  <c:v>2051.3554024191681</c:v>
                </c:pt>
                <c:pt idx="392">
                  <c:v>2055.118800320271</c:v>
                </c:pt>
                <c:pt idx="393">
                  <c:v>2058.8891025168195</c:v>
                </c:pt>
                <c:pt idx="394">
                  <c:v>2062.6663216753705</c:v>
                </c:pt>
                <c:pt idx="395">
                  <c:v>2066.45047048572</c:v>
                </c:pt>
                <c:pt idx="396">
                  <c:v>2070.2415616609437</c:v>
                </c:pt>
                <c:pt idx="397">
                  <c:v>2074.0396079374409</c:v>
                </c:pt>
                <c:pt idx="398">
                  <c:v>2077.8446220749765</c:v>
                </c:pt>
                <c:pt idx="399">
                  <c:v>2081.656616856726</c:v>
                </c:pt>
                <c:pt idx="400">
                  <c:v>2085.4756050893138</c:v>
                </c:pt>
                <c:pt idx="401">
                  <c:v>2089.3015996028626</c:v>
                </c:pt>
                <c:pt idx="402">
                  <c:v>2093.1346132510307</c:v>
                </c:pt>
                <c:pt idx="403">
                  <c:v>2096.9746589110591</c:v>
                </c:pt>
                <c:pt idx="404">
                  <c:v>2100.8217494838109</c:v>
                </c:pt>
                <c:pt idx="405">
                  <c:v>2104.675897893821</c:v>
                </c:pt>
                <c:pt idx="406">
                  <c:v>2108.5371170893313</c:v>
                </c:pt>
                <c:pt idx="407">
                  <c:v>2112.4054200423416</c:v>
                </c:pt>
                <c:pt idx="408">
                  <c:v>2116.2808197486479</c:v>
                </c:pt>
                <c:pt idx="409">
                  <c:v>2120.1633292278898</c:v>
                </c:pt>
                <c:pt idx="410">
                  <c:v>2124.052961523591</c:v>
                </c:pt>
                <c:pt idx="411">
                  <c:v>2127.9497297032062</c:v>
                </c:pt>
                <c:pt idx="412">
                  <c:v>2131.8536468581628</c:v>
                </c:pt>
                <c:pt idx="413">
                  <c:v>2135.764726103906</c:v>
                </c:pt>
                <c:pt idx="414">
                  <c:v>2139.6829805799412</c:v>
                </c:pt>
                <c:pt idx="415">
                  <c:v>2143.6084234498817</c:v>
                </c:pt>
                <c:pt idx="416">
                  <c:v>2147.5410679014885</c:v>
                </c:pt>
                <c:pt idx="417">
                  <c:v>2151.4809271467179</c:v>
                </c:pt>
                <c:pt idx="418">
                  <c:v>2155.4280144217641</c:v>
                </c:pt>
                <c:pt idx="419">
                  <c:v>2159.3823429871059</c:v>
                </c:pt>
                <c:pt idx="420">
                  <c:v>2163.3439261275466</c:v>
                </c:pt>
                <c:pt idx="421">
                  <c:v>2167.3127771522641</c:v>
                </c:pt>
                <c:pt idx="422">
                  <c:v>2171.2889093948538</c:v>
                </c:pt>
                <c:pt idx="423">
                  <c:v>2175.2723362133693</c:v>
                </c:pt>
                <c:pt idx="424">
                  <c:v>2179.2630709903747</c:v>
                </c:pt>
                <c:pt idx="425">
                  <c:v>2183.2611271329838</c:v>
                </c:pt>
                <c:pt idx="426">
                  <c:v>2187.2665180729068</c:v>
                </c:pt>
                <c:pt idx="427">
                  <c:v>2191.2792572664957</c:v>
                </c:pt>
                <c:pt idx="428">
                  <c:v>2195.2993581947899</c:v>
                </c:pt>
                <c:pt idx="429">
                  <c:v>2199.3268343635605</c:v>
                </c:pt>
                <c:pt idx="430">
                  <c:v>2203.361699303357</c:v>
                </c:pt>
                <c:pt idx="431">
                  <c:v>2207.4039665695504</c:v>
                </c:pt>
                <c:pt idx="432">
                  <c:v>2211.4536497423819</c:v>
                </c:pt>
                <c:pt idx="433">
                  <c:v>2215.5107624270058</c:v>
                </c:pt>
                <c:pt idx="434">
                  <c:v>2219.5753182535368</c:v>
                </c:pt>
                <c:pt idx="435">
                  <c:v>2223.6473308770946</c:v>
                </c:pt>
                <c:pt idx="436">
                  <c:v>2227.7268139778516</c:v>
                </c:pt>
                <c:pt idx="437">
                  <c:v>2231.8137812610771</c:v>
                </c:pt>
                <c:pt idx="438">
                  <c:v>2235.9082464571834</c:v>
                </c:pt>
                <c:pt idx="439">
                  <c:v>2240.0102233217735</c:v>
                </c:pt>
                <c:pt idx="440">
                  <c:v>2244.1197256356859</c:v>
                </c:pt>
                <c:pt idx="441">
                  <c:v>2248.2367672050405</c:v>
                </c:pt>
                <c:pt idx="442">
                  <c:v>2252.3613618612876</c:v>
                </c:pt>
                <c:pt idx="443">
                  <c:v>2256.4935234612508</c:v>
                </c:pt>
                <c:pt idx="444">
                  <c:v>2260.6332658871761</c:v>
                </c:pt>
                <c:pt idx="445">
                  <c:v>2264.7806030467777</c:v>
                </c:pt>
                <c:pt idx="446">
                  <c:v>2268.9355488732854</c:v>
                </c:pt>
                <c:pt idx="447">
                  <c:v>2273.0981173254891</c:v>
                </c:pt>
                <c:pt idx="448">
                  <c:v>2277.268322387788</c:v>
                </c:pt>
                <c:pt idx="449">
                  <c:v>2281.4461780702381</c:v>
                </c:pt>
                <c:pt idx="450">
                  <c:v>2285.6316984085975</c:v>
                </c:pt>
                <c:pt idx="451">
                  <c:v>2289.8248974643734</c:v>
                </c:pt>
                <c:pt idx="452">
                  <c:v>2294.0257893248709</c:v>
                </c:pt>
                <c:pt idx="453">
                  <c:v>2298.2343881032393</c:v>
                </c:pt>
                <c:pt idx="454">
                  <c:v>2302.4507079385203</c:v>
                </c:pt>
                <c:pt idx="455">
                  <c:v>2306.6747629956931</c:v>
                </c:pt>
                <c:pt idx="456">
                  <c:v>2310.9065674657263</c:v>
                </c:pt>
                <c:pt idx="457">
                  <c:v>2315.146135565622</c:v>
                </c:pt>
                <c:pt idx="458">
                  <c:v>2319.393481538465</c:v>
                </c:pt>
                <c:pt idx="459">
                  <c:v>2323.6486196534688</c:v>
                </c:pt>
                <c:pt idx="460">
                  <c:v>2327.9115642060269</c:v>
                </c:pt>
                <c:pt idx="461">
                  <c:v>2332.1823295177592</c:v>
                </c:pt>
                <c:pt idx="462">
                  <c:v>2336.4609299365584</c:v>
                </c:pt>
                <c:pt idx="463">
                  <c:v>2340.74737983664</c:v>
                </c:pt>
                <c:pt idx="464">
                  <c:v>2345.0416936185911</c:v>
                </c:pt>
                <c:pt idx="465">
                  <c:v>2349.3438857094179</c:v>
                </c:pt>
                <c:pt idx="466">
                  <c:v>2353.6539705625942</c:v>
                </c:pt>
                <c:pt idx="467">
                  <c:v>2357.9719626581086</c:v>
                </c:pt>
                <c:pt idx="468">
                  <c:v>2362.2978765025168</c:v>
                </c:pt>
                <c:pt idx="469">
                  <c:v>2366.6317266289866</c:v>
                </c:pt>
                <c:pt idx="470">
                  <c:v>2370.9735275973489</c:v>
                </c:pt>
                <c:pt idx="471">
                  <c:v>2375.3232939941458</c:v>
                </c:pt>
                <c:pt idx="472">
                  <c:v>2379.6810404326793</c:v>
                </c:pt>
                <c:pt idx="473">
                  <c:v>2384.0467815530606</c:v>
                </c:pt>
                <c:pt idx="474">
                  <c:v>2388.4205320222609</c:v>
                </c:pt>
                <c:pt idx="475">
                  <c:v>2392.8023065341581</c:v>
                </c:pt>
                <c:pt idx="476">
                  <c:v>2397.1921198095879</c:v>
                </c:pt>
                <c:pt idx="477">
                  <c:v>2401.5899865963925</c:v>
                </c:pt>
                <c:pt idx="478">
                  <c:v>2405.995921669471</c:v>
                </c:pt>
                <c:pt idx="479">
                  <c:v>2410.4099398308263</c:v>
                </c:pt>
                <c:pt idx="480">
                  <c:v>2414.8320559096187</c:v>
                </c:pt>
                <c:pt idx="481">
                  <c:v>2419.2622847622147</c:v>
                </c:pt>
                <c:pt idx="482">
                  <c:v>2423.7006412722344</c:v>
                </c:pt>
                <c:pt idx="483">
                  <c:v>2428.1471403506039</c:v>
                </c:pt>
                <c:pt idx="484">
                  <c:v>2432.6017969356049</c:v>
                </c:pt>
                <c:pt idx="485">
                  <c:v>2437.0646259929249</c:v>
                </c:pt>
                <c:pt idx="486">
                  <c:v>2441.535642515707</c:v>
                </c:pt>
                <c:pt idx="487">
                  <c:v>2446.0148615245994</c:v>
                </c:pt>
                <c:pt idx="488">
                  <c:v>2450.5022980678095</c:v>
                </c:pt>
                <c:pt idx="489">
                  <c:v>2454.9979672211507</c:v>
                </c:pt>
                <c:pt idx="490">
                  <c:v>2459.5018840880953</c:v>
                </c:pt>
                <c:pt idx="491">
                  <c:v>2464.0140637998211</c:v>
                </c:pt>
                <c:pt idx="492">
                  <c:v>2468.5345215152693</c:v>
                </c:pt>
                <c:pt idx="493">
                  <c:v>2473.0632724211896</c:v>
                </c:pt>
                <c:pt idx="494">
                  <c:v>2477.6003317321934</c:v>
                </c:pt>
                <c:pt idx="495">
                  <c:v>2482.1457146908051</c:v>
                </c:pt>
                <c:pt idx="496">
                  <c:v>2486.6994365675127</c:v>
                </c:pt>
                <c:pt idx="497">
                  <c:v>2491.2615126608193</c:v>
                </c:pt>
                <c:pt idx="498">
                  <c:v>2495.8319582972945</c:v>
                </c:pt>
                <c:pt idx="499">
                  <c:v>2500.4107888316248</c:v>
                </c:pt>
                <c:pt idx="500">
                  <c:v>2504.9980196466681</c:v>
                </c:pt>
                <c:pt idx="501">
                  <c:v>2509.5936661535034</c:v>
                </c:pt>
                <c:pt idx="502">
                  <c:v>2514.1977437914811</c:v>
                </c:pt>
                <c:pt idx="503">
                  <c:v>2518.8102680282782</c:v>
                </c:pt>
                <c:pt idx="504">
                  <c:v>2523.4312543599463</c:v>
                </c:pt>
                <c:pt idx="505">
                  <c:v>2528.0607183109687</c:v>
                </c:pt>
                <c:pt idx="506">
                  <c:v>2532.6986754343093</c:v>
                </c:pt>
                <c:pt idx="507">
                  <c:v>2537.3451413114626</c:v>
                </c:pt>
                <c:pt idx="508">
                  <c:v>2542.0001315525119</c:v>
                </c:pt>
                <c:pt idx="509">
                  <c:v>2546.6636617961767</c:v>
                </c:pt>
                <c:pt idx="510">
                  <c:v>2551.3357477098689</c:v>
                </c:pt>
                <c:pt idx="511">
                  <c:v>2556.0164049897417</c:v>
                </c:pt>
                <c:pt idx="512">
                  <c:v>2560.7056493607456</c:v>
                </c:pt>
                <c:pt idx="513">
                  <c:v>2565.40349657668</c:v>
                </c:pt>
                <c:pt idx="514">
                  <c:v>2570.1099624202448</c:v>
                </c:pt>
                <c:pt idx="515">
                  <c:v>2574.8250627030961</c:v>
                </c:pt>
                <c:pt idx="516">
                  <c:v>2579.5488132658975</c:v>
                </c:pt>
                <c:pt idx="517">
                  <c:v>2584.2812299783745</c:v>
                </c:pt>
                <c:pt idx="518">
                  <c:v>2589.0223287393646</c:v>
                </c:pt>
                <c:pt idx="519">
                  <c:v>2593.7721254768749</c:v>
                </c:pt>
                <c:pt idx="520">
                  <c:v>2598.5306361481353</c:v>
                </c:pt>
                <c:pt idx="521">
                  <c:v>2603.297876739648</c:v>
                </c:pt>
                <c:pt idx="522">
                  <c:v>2608.0738632672446</c:v>
                </c:pt>
                <c:pt idx="523">
                  <c:v>2612.8586117761406</c:v>
                </c:pt>
                <c:pt idx="524">
                  <c:v>2617.6521383409863</c:v>
                </c:pt>
                <c:pt idx="525">
                  <c:v>2622.4544590659243</c:v>
                </c:pt>
                <c:pt idx="526">
                  <c:v>2627.2655900846385</c:v>
                </c:pt>
                <c:pt idx="527">
                  <c:v>2632.0855475604144</c:v>
                </c:pt>
                <c:pt idx="528">
                  <c:v>2636.9143476861896</c:v>
                </c:pt>
                <c:pt idx="529">
                  <c:v>2641.7520066846096</c:v>
                </c:pt>
                <c:pt idx="530">
                  <c:v>2646.5985408080805</c:v>
                </c:pt>
                <c:pt idx="531">
                  <c:v>2651.4539663388259</c:v>
                </c:pt>
                <c:pt idx="532">
                  <c:v>2656.3182995889406</c:v>
                </c:pt>
                <c:pt idx="533">
                  <c:v>2661.1915569004454</c:v>
                </c:pt>
                <c:pt idx="534">
                  <c:v>2666.0737546453415</c:v>
                </c:pt>
                <c:pt idx="535">
                  <c:v>2670.9649092256668</c:v>
                </c:pt>
                <c:pt idx="536">
                  <c:v>2675.8650370735495</c:v>
                </c:pt>
                <c:pt idx="537">
                  <c:v>2680.7741546512648</c:v>
                </c:pt>
                <c:pt idx="538">
                  <c:v>2685.6922784512885</c:v>
                </c:pt>
                <c:pt idx="539">
                  <c:v>2690.6194249963542</c:v>
                </c:pt>
                <c:pt idx="540">
                  <c:v>2695.5556108395076</c:v>
                </c:pt>
                <c:pt idx="541">
                  <c:v>2700.5008525641624</c:v>
                </c:pt>
                <c:pt idx="542">
                  <c:v>2705.4551667841561</c:v>
                </c:pt>
                <c:pt idx="543">
                  <c:v>2710.4185701438059</c:v>
                </c:pt>
                <c:pt idx="544">
                  <c:v>2715.3910793179639</c:v>
                </c:pt>
                <c:pt idx="545">
                  <c:v>2720.3727110120763</c:v>
                </c:pt>
                <c:pt idx="546">
                  <c:v>2725.3634819622321</c:v>
                </c:pt>
                <c:pt idx="547">
                  <c:v>2730.3634089352295</c:v>
                </c:pt>
                <c:pt idx="548">
                  <c:v>2735.3725087286225</c:v>
                </c:pt>
                <c:pt idx="549">
                  <c:v>2740.3907981707862</c:v>
                </c:pt>
                <c:pt idx="550">
                  <c:v>2745.4182941209629</c:v>
                </c:pt>
                <c:pt idx="551">
                  <c:v>2750.4550134693309</c:v>
                </c:pt>
                <c:pt idx="552">
                  <c:v>2755.5009731370519</c:v>
                </c:pt>
                <c:pt idx="553">
                  <c:v>2760.5561900763305</c:v>
                </c:pt>
                <c:pt idx="554">
                  <c:v>2765.6206812704736</c:v>
                </c:pt>
                <c:pt idx="555">
                  <c:v>2770.6944637339438</c:v>
                </c:pt>
                <c:pt idx="556">
                  <c:v>2775.7775545124191</c:v>
                </c:pt>
                <c:pt idx="557">
                  <c:v>2780.8699706828511</c:v>
                </c:pt>
                <c:pt idx="558">
                  <c:v>2785.9717293535159</c:v>
                </c:pt>
                <c:pt idx="559">
                  <c:v>2791.0828476640804</c:v>
                </c:pt>
                <c:pt idx="560">
                  <c:v>2796.203342785655</c:v>
                </c:pt>
                <c:pt idx="561">
                  <c:v>2801.3332319208516</c:v>
                </c:pt>
                <c:pt idx="562">
                  <c:v>2806.472532303841</c:v>
                </c:pt>
                <c:pt idx="563">
                  <c:v>2811.6212612004128</c:v>
                </c:pt>
                <c:pt idx="564">
                  <c:v>2816.7794359080317</c:v>
                </c:pt>
                <c:pt idx="565">
                  <c:v>2821.9470737558986</c:v>
                </c:pt>
                <c:pt idx="566">
                  <c:v>2827.1241921050014</c:v>
                </c:pt>
                <c:pt idx="567">
                  <c:v>2832.3108083481825</c:v>
                </c:pt>
                <c:pt idx="568">
                  <c:v>2837.5069399101912</c:v>
                </c:pt>
                <c:pt idx="569">
                  <c:v>2842.7126042477462</c:v>
                </c:pt>
                <c:pt idx="570">
                  <c:v>2847.9278188495887</c:v>
                </c:pt>
                <c:pt idx="571">
                  <c:v>2853.1526012365462</c:v>
                </c:pt>
                <c:pt idx="572">
                  <c:v>2858.3869689615908</c:v>
                </c:pt>
                <c:pt idx="573">
                  <c:v>2863.6309396098968</c:v>
                </c:pt>
                <c:pt idx="574">
                  <c:v>2868.8845307988986</c:v>
                </c:pt>
                <c:pt idx="575">
                  <c:v>2874.1477601783527</c:v>
                </c:pt>
                <c:pt idx="576">
                  <c:v>2879.4206454303953</c:v>
                </c:pt>
                <c:pt idx="577">
                  <c:v>2884.7032042696032</c:v>
                </c:pt>
                <c:pt idx="578">
                  <c:v>2889.9954544430489</c:v>
                </c:pt>
                <c:pt idx="579">
                  <c:v>2895.2974137303677</c:v>
                </c:pt>
                <c:pt idx="580">
                  <c:v>2900.6090999438097</c:v>
                </c:pt>
                <c:pt idx="581">
                  <c:v>2905.9305309283072</c:v>
                </c:pt>
                <c:pt idx="582">
                  <c:v>2911.2617245615261</c:v>
                </c:pt>
                <c:pt idx="583">
                  <c:v>2916.6026987539331</c:v>
                </c:pt>
                <c:pt idx="584">
                  <c:v>2921.9534714488523</c:v>
                </c:pt>
                <c:pt idx="585">
                  <c:v>2927.3140606225293</c:v>
                </c:pt>
                <c:pt idx="586">
                  <c:v>2932.6844842841838</c:v>
                </c:pt>
                <c:pt idx="587">
                  <c:v>2938.0647604760793</c:v>
                </c:pt>
                <c:pt idx="588">
                  <c:v>2943.4549072735767</c:v>
                </c:pt>
                <c:pt idx="589">
                  <c:v>2948.8549427852008</c:v>
                </c:pt>
                <c:pt idx="590">
                  <c:v>2954.2648851526942</c:v>
                </c:pt>
                <c:pt idx="591">
                  <c:v>2959.6847525510852</c:v>
                </c:pt>
                <c:pt idx="592">
                  <c:v>2965.1145631887453</c:v>
                </c:pt>
                <c:pt idx="593">
                  <c:v>2970.5543353074495</c:v>
                </c:pt>
                <c:pt idx="594">
                  <c:v>2976.0040871824408</c:v>
                </c:pt>
                <c:pt idx="595">
                  <c:v>2981.4638371224887</c:v>
                </c:pt>
                <c:pt idx="596">
                  <c:v>2986.9336034699527</c:v>
                </c:pt>
                <c:pt idx="597">
                  <c:v>2992.4134046008421</c:v>
                </c:pt>
                <c:pt idx="598">
                  <c:v>2997.9032589248791</c:v>
                </c:pt>
                <c:pt idx="599">
                  <c:v>3003.4031848855589</c:v>
                </c:pt>
                <c:pt idx="600">
                  <c:v>3008.9132009602158</c:v>
                </c:pt>
                <c:pt idx="601">
                  <c:v>3014.4333256600808</c:v>
                </c:pt>
                <c:pt idx="602">
                  <c:v>3019.9635775303436</c:v>
                </c:pt>
                <c:pt idx="603">
                  <c:v>3025.50397515022</c:v>
                </c:pt>
                <c:pt idx="604">
                  <c:v>3031.0545371330095</c:v>
                </c:pt>
                <c:pt idx="605">
                  <c:v>3036.6152821261603</c:v>
                </c:pt>
                <c:pt idx="606">
                  <c:v>3042.1862288113289</c:v>
                </c:pt>
                <c:pt idx="607">
                  <c:v>3047.7673959044473</c:v>
                </c:pt>
                <c:pt idx="608">
                  <c:v>3053.3588021557821</c:v>
                </c:pt>
                <c:pt idx="609">
                  <c:v>3058.9604663500004</c:v>
                </c:pt>
                <c:pt idx="610">
                  <c:v>3064.5724073062293</c:v>
                </c:pt>
                <c:pt idx="611">
                  <c:v>3070.1946438781233</c:v>
                </c:pt>
                <c:pt idx="612">
                  <c:v>3075.8271949539248</c:v>
                </c:pt>
                <c:pt idx="613">
                  <c:v>3081.4700794565288</c:v>
                </c:pt>
                <c:pt idx="614">
                  <c:v>3087.1233163435459</c:v>
                </c:pt>
                <c:pt idx="615">
                  <c:v>3092.7869246073656</c:v>
                </c:pt>
                <c:pt idx="616">
                  <c:v>3098.4609232752214</c:v>
                </c:pt>
                <c:pt idx="617">
                  <c:v>3104.1453314092546</c:v>
                </c:pt>
                <c:pt idx="618">
                  <c:v>3109.8401681065752</c:v>
                </c:pt>
                <c:pt idx="619">
                  <c:v>3115.5454524993306</c:v>
                </c:pt>
                <c:pt idx="620">
                  <c:v>3121.2612037547683</c:v>
                </c:pt>
                <c:pt idx="621">
                  <c:v>3126.9874410752991</c:v>
                </c:pt>
                <c:pt idx="622">
                  <c:v>3132.7241836985604</c:v>
                </c:pt>
                <c:pt idx="623">
                  <c:v>3138.4714508974876</c:v>
                </c:pt>
                <c:pt idx="624">
                  <c:v>3144.2292619803693</c:v>
                </c:pt>
                <c:pt idx="625">
                  <c:v>3149.9976362909192</c:v>
                </c:pt>
                <c:pt idx="626">
                  <c:v>3155.7765932083389</c:v>
                </c:pt>
                <c:pt idx="627">
                  <c:v>3161.5661521473817</c:v>
                </c:pt>
                <c:pt idx="628">
                  <c:v>3167.3663325584193</c:v>
                </c:pt>
                <c:pt idx="629">
                  <c:v>3173.1771539275092</c:v>
                </c:pt>
                <c:pt idx="630">
                  <c:v>3178.9986357764542</c:v>
                </c:pt>
                <c:pt idx="631">
                  <c:v>3184.8307976628735</c:v>
                </c:pt>
                <c:pt idx="632">
                  <c:v>3190.6736591802669</c:v>
                </c:pt>
                <c:pt idx="633">
                  <c:v>3196.527239958079</c:v>
                </c:pt>
                <c:pt idx="634">
                  <c:v>3202.391559661768</c:v>
                </c:pt>
                <c:pt idx="635">
                  <c:v>3208.2666379928692</c:v>
                </c:pt>
                <c:pt idx="636">
                  <c:v>3214.1524946890622</c:v>
                </c:pt>
                <c:pt idx="637">
                  <c:v>3220.0491495242372</c:v>
                </c:pt>
                <c:pt idx="638">
                  <c:v>3225.9566223085612</c:v>
                </c:pt>
                <c:pt idx="639">
                  <c:v>3231.8749328885451</c:v>
                </c:pt>
                <c:pt idx="640">
                  <c:v>3237.8041011471105</c:v>
                </c:pt>
                <c:pt idx="641">
                  <c:v>3243.7441470036547</c:v>
                </c:pt>
                <c:pt idx="642">
                  <c:v>3249.6950904141186</c:v>
                </c:pt>
                <c:pt idx="643">
                  <c:v>3255.6569513710569</c:v>
                </c:pt>
                <c:pt idx="644">
                  <c:v>3261.6297499037014</c:v>
                </c:pt>
                <c:pt idx="645">
                  <c:v>3267.6135060780275</c:v>
                </c:pt>
                <c:pt idx="646">
                  <c:v>3273.6082399968236</c:v>
                </c:pt>
                <c:pt idx="647">
                  <c:v>3279.6139717997617</c:v>
                </c:pt>
                <c:pt idx="648">
                  <c:v>3285.6307216634582</c:v>
                </c:pt>
                <c:pt idx="649">
                  <c:v>3291.6585098015471</c:v>
                </c:pt>
                <c:pt idx="650">
                  <c:v>3297.697356464746</c:v>
                </c:pt>
                <c:pt idx="651">
                  <c:v>3303.747281940924</c:v>
                </c:pt>
                <c:pt idx="652">
                  <c:v>3309.8083065551705</c:v>
                </c:pt>
                <c:pt idx="653">
                  <c:v>3315.880450669863</c:v>
                </c:pt>
                <c:pt idx="654">
                  <c:v>3321.9637346847353</c:v>
                </c:pt>
                <c:pt idx="655">
                  <c:v>3328.0581790369465</c:v>
                </c:pt>
                <c:pt idx="656">
                  <c:v>3334.1638042011509</c:v>
                </c:pt>
                <c:pt idx="657">
                  <c:v>3340.2806306895623</c:v>
                </c:pt>
                <c:pt idx="658">
                  <c:v>3346.4086790520282</c:v>
                </c:pt>
                <c:pt idx="659">
                  <c:v>3352.5479698760973</c:v>
                </c:pt>
                <c:pt idx="660">
                  <c:v>3358.6985237870872</c:v>
                </c:pt>
                <c:pt idx="661">
                  <c:v>3364.8603614481522</c:v>
                </c:pt>
                <c:pt idx="662">
                  <c:v>3371.0335035603593</c:v>
                </c:pt>
                <c:pt idx="663">
                  <c:v>3377.2179708627509</c:v>
                </c:pt>
                <c:pt idx="664">
                  <c:v>3383.4137841324186</c:v>
                </c:pt>
                <c:pt idx="665">
                  <c:v>3389.620964184568</c:v>
                </c:pt>
                <c:pt idx="666">
                  <c:v>3395.8395318725961</c:v>
                </c:pt>
                <c:pt idx="667">
                  <c:v>3402.0695080881555</c:v>
                </c:pt>
                <c:pt idx="668">
                  <c:v>3408.3109137612278</c:v>
                </c:pt>
                <c:pt idx="669">
                  <c:v>3414.563769860189</c:v>
                </c:pt>
                <c:pt idx="670">
                  <c:v>3420.8280973918882</c:v>
                </c:pt>
                <c:pt idx="671">
                  <c:v>3427.1039174017096</c:v>
                </c:pt>
                <c:pt idx="672">
                  <c:v>3433.3912509736492</c:v>
                </c:pt>
                <c:pt idx="673">
                  <c:v>3439.690119230384</c:v>
                </c:pt>
                <c:pt idx="674">
                  <c:v>3446.0005433333399</c:v>
                </c:pt>
                <c:pt idx="675">
                  <c:v>3452.3225444827681</c:v>
                </c:pt>
                <c:pt idx="676">
                  <c:v>3458.6561439178122</c:v>
                </c:pt>
                <c:pt idx="677">
                  <c:v>3465.001362916581</c:v>
                </c:pt>
                <c:pt idx="678">
                  <c:v>3471.3582227962193</c:v>
                </c:pt>
                <c:pt idx="679">
                  <c:v>3477.7267449129822</c:v>
                </c:pt>
                <c:pt idx="680">
                  <c:v>3484.1069506623026</c:v>
                </c:pt>
                <c:pt idx="681">
                  <c:v>3490.4988614788663</c:v>
                </c:pt>
                <c:pt idx="682">
                  <c:v>3496.9024988366832</c:v>
                </c:pt>
                <c:pt idx="683">
                  <c:v>3503.3178842491584</c:v>
                </c:pt>
                <c:pt idx="684">
                  <c:v>3509.7450392691671</c:v>
                </c:pt>
                <c:pt idx="685">
                  <c:v>3516.1839854891223</c:v>
                </c:pt>
                <c:pt idx="686">
                  <c:v>3522.634744541052</c:v>
                </c:pt>
                <c:pt idx="687">
                  <c:v>3529.0973380966702</c:v>
                </c:pt>
                <c:pt idx="688">
                  <c:v>3535.5717878674509</c:v>
                </c:pt>
                <c:pt idx="689">
                  <c:v>3542.0581156046956</c:v>
                </c:pt>
                <c:pt idx="690">
                  <c:v>3548.556343099614</c:v>
                </c:pt>
                <c:pt idx="691">
                  <c:v>3555.0664921833936</c:v>
                </c:pt>
                <c:pt idx="692">
                  <c:v>3561.588584727273</c:v>
                </c:pt>
                <c:pt idx="693">
                  <c:v>3568.1226426426133</c:v>
                </c:pt>
                <c:pt idx="694">
                  <c:v>3574.6686878809774</c:v>
                </c:pt>
                <c:pt idx="695">
                  <c:v>3581.2267424341976</c:v>
                </c:pt>
                <c:pt idx="696">
                  <c:v>3587.7968283344553</c:v>
                </c:pt>
                <c:pt idx="697">
                  <c:v>3594.3789676543474</c:v>
                </c:pt>
                <c:pt idx="698">
                  <c:v>3600.9731825069694</c:v>
                </c:pt>
                <c:pt idx="699">
                  <c:v>3607.5794950459822</c:v>
                </c:pt>
                <c:pt idx="700">
                  <c:v>3614.1979274656915</c:v>
                </c:pt>
                <c:pt idx="701">
                  <c:v>3620.8285020011203</c:v>
                </c:pt>
                <c:pt idx="702">
                  <c:v>3627.4712409280824</c:v>
                </c:pt>
                <c:pt idx="703">
                  <c:v>3634.1261665632596</c:v>
                </c:pt>
                <c:pt idx="704">
                  <c:v>3640.793301264277</c:v>
                </c:pt>
                <c:pt idx="705">
                  <c:v>3647.4726674297731</c:v>
                </c:pt>
                <c:pt idx="706">
                  <c:v>3654.1642874994827</c:v>
                </c:pt>
                <c:pt idx="707">
                  <c:v>3660.868183954306</c:v>
                </c:pt>
                <c:pt idx="708">
                  <c:v>3667.5843793163872</c:v>
                </c:pt>
                <c:pt idx="709">
                  <c:v>3674.3128961491893</c:v>
                </c:pt>
                <c:pt idx="710">
                  <c:v>3681.0537570575693</c:v>
                </c:pt>
                <c:pt idx="711">
                  <c:v>3687.806984687857</c:v>
                </c:pt>
                <c:pt idx="712">
                  <c:v>3694.5726017279267</c:v>
                </c:pt>
                <c:pt idx="713">
                  <c:v>3701.3506309072768</c:v>
                </c:pt>
                <c:pt idx="714">
                  <c:v>3708.1410949971041</c:v>
                </c:pt>
                <c:pt idx="715">
                  <c:v>3714.9440168103833</c:v>
                </c:pt>
                <c:pt idx="716">
                  <c:v>3721.7594192019401</c:v>
                </c:pt>
                <c:pt idx="717">
                  <c:v>3728.5873250685272</c:v>
                </c:pt>
                <c:pt idx="718">
                  <c:v>3735.4277573489076</c:v>
                </c:pt>
                <c:pt idx="719">
                  <c:v>3742.2807390239259</c:v>
                </c:pt>
                <c:pt idx="720">
                  <c:v>3749.1462931165856</c:v>
                </c:pt>
                <c:pt idx="721">
                  <c:v>3756.0244426921308</c:v>
                </c:pt>
                <c:pt idx="722">
                  <c:v>3762.9152108581193</c:v>
                </c:pt>
                <c:pt idx="723">
                  <c:v>3769.8186207645012</c:v>
                </c:pt>
                <c:pt idx="724">
                  <c:v>3776.7346956036999</c:v>
                </c:pt>
                <c:pt idx="725">
                  <c:v>3783.6634586106825</c:v>
                </c:pt>
                <c:pt idx="726">
                  <c:v>3790.6049330630476</c:v>
                </c:pt>
                <c:pt idx="727">
                  <c:v>3797.5591422810971</c:v>
                </c:pt>
                <c:pt idx="728">
                  <c:v>3804.5261096279164</c:v>
                </c:pt>
                <c:pt idx="729">
                  <c:v>3811.5058585094507</c:v>
                </c:pt>
                <c:pt idx="730">
                  <c:v>3818.4984123745871</c:v>
                </c:pt>
                <c:pt idx="731">
                  <c:v>3825.5037947152318</c:v>
                </c:pt>
                <c:pt idx="732">
                  <c:v>3832.5220290663906</c:v>
                </c:pt>
                <c:pt idx="733">
                  <c:v>3839.5531390062424</c:v>
                </c:pt>
                <c:pt idx="734">
                  <c:v>3846.5971481562256</c:v>
                </c:pt>
                <c:pt idx="735">
                  <c:v>3853.6540801811138</c:v>
                </c:pt>
                <c:pt idx="736">
                  <c:v>3860.7239587890954</c:v>
                </c:pt>
                <c:pt idx="737">
                  <c:v>3867.806807731853</c:v>
                </c:pt>
                <c:pt idx="738">
                  <c:v>3874.9026508046436</c:v>
                </c:pt>
                <c:pt idx="739">
                  <c:v>3882.0115118463814</c:v>
                </c:pt>
                <c:pt idx="740">
                  <c:v>3889.133414739712</c:v>
                </c:pt>
                <c:pt idx="741">
                  <c:v>3896.2683834110985</c:v>
                </c:pt>
                <c:pt idx="742">
                  <c:v>3903.4164418308974</c:v>
                </c:pt>
                <c:pt idx="743">
                  <c:v>3910.5776140134412</c:v>
                </c:pt>
                <c:pt idx="744">
                  <c:v>3917.7519240171214</c:v>
                </c:pt>
                <c:pt idx="745">
                  <c:v>3924.9393959444628</c:v>
                </c:pt>
                <c:pt idx="746">
                  <c:v>3932.1400539422102</c:v>
                </c:pt>
                <c:pt idx="747">
                  <c:v>3939.3539222014092</c:v>
                </c:pt>
                <c:pt idx="748">
                  <c:v>3946.5810249574856</c:v>
                </c:pt>
                <c:pt idx="749">
                  <c:v>3953.8213864903241</c:v>
                </c:pt>
                <c:pt idx="750">
                  <c:v>3961.0750311243573</c:v>
                </c:pt>
                <c:pt idx="751">
                  <c:v>3968.3419832286399</c:v>
                </c:pt>
                <c:pt idx="752">
                  <c:v>3975.6222672169388</c:v>
                </c:pt>
                <c:pt idx="753">
                  <c:v>3982.9159075478033</c:v>
                </c:pt>
                <c:pt idx="754">
                  <c:v>3990.2229287246587</c:v>
                </c:pt>
                <c:pt idx="755">
                  <c:v>3997.5433552958834</c:v>
                </c:pt>
                <c:pt idx="756">
                  <c:v>4004.8772118548914</c:v>
                </c:pt>
                <c:pt idx="757">
                  <c:v>4012.2245230402154</c:v>
                </c:pt>
                <c:pt idx="758">
                  <c:v>4019.5853135355896</c:v>
                </c:pt>
                <c:pt idx="759">
                  <c:v>4026.9596080700348</c:v>
                </c:pt>
                <c:pt idx="760">
                  <c:v>4034.3474314179366</c:v>
                </c:pt>
                <c:pt idx="761">
                  <c:v>4041.7488083991316</c:v>
                </c:pt>
                <c:pt idx="762">
                  <c:v>4049.1637638789948</c:v>
                </c:pt>
                <c:pt idx="763">
                  <c:v>4056.5923227685134</c:v>
                </c:pt>
                <c:pt idx="764">
                  <c:v>4064.0345100243803</c:v>
                </c:pt>
                <c:pt idx="765">
                  <c:v>4071.4903506490705</c:v>
                </c:pt>
                <c:pt idx="766">
                  <c:v>4078.9598696909311</c:v>
                </c:pt>
                <c:pt idx="767">
                  <c:v>4086.4430922442612</c:v>
                </c:pt>
                <c:pt idx="768">
                  <c:v>4093.9400434493959</c:v>
                </c:pt>
                <c:pt idx="769">
                  <c:v>4101.4507484927972</c:v>
                </c:pt>
                <c:pt idx="770">
                  <c:v>4108.9752326071293</c:v>
                </c:pt>
                <c:pt idx="771">
                  <c:v>4116.5135210713524</c:v>
                </c:pt>
                <c:pt idx="772">
                  <c:v>4124.0656392107985</c:v>
                </c:pt>
                <c:pt idx="773">
                  <c:v>4131.6316123972647</c:v>
                </c:pt>
                <c:pt idx="774">
                  <c:v>4139.2114660490934</c:v>
                </c:pt>
                <c:pt idx="775">
                  <c:v>4146.8052256312612</c:v>
                </c:pt>
                <c:pt idx="776">
                  <c:v>4154.4129166554576</c:v>
                </c:pt>
                <c:pt idx="777">
                  <c:v>4162.0345646801816</c:v>
                </c:pt>
                <c:pt idx="778">
                  <c:v>4169.6701953108186</c:v>
                </c:pt>
                <c:pt idx="779">
                  <c:v>4177.3198341997295</c:v>
                </c:pt>
                <c:pt idx="780">
                  <c:v>4184.9835070463369</c:v>
                </c:pt>
                <c:pt idx="781">
                  <c:v>4192.6612395972124</c:v>
                </c:pt>
                <c:pt idx="782">
                  <c:v>4200.3530576461608</c:v>
                </c:pt>
                <c:pt idx="783">
                  <c:v>4208.0589870343083</c:v>
                </c:pt>
                <c:pt idx="784">
                  <c:v>4215.7790536501889</c:v>
                </c:pt>
                <c:pt idx="785">
                  <c:v>4223.5132834298302</c:v>
                </c:pt>
                <c:pt idx="786">
                  <c:v>4231.2617023568455</c:v>
                </c:pt>
                <c:pt idx="787">
                  <c:v>4239.0243364625148</c:v>
                </c:pt>
                <c:pt idx="788">
                  <c:v>4246.801211825873</c:v>
                </c:pt>
                <c:pt idx="789">
                  <c:v>4254.5923545738024</c:v>
                </c:pt>
                <c:pt idx="790">
                  <c:v>4262.3977908811175</c:v>
                </c:pt>
                <c:pt idx="791">
                  <c:v>4270.2175469706535</c:v>
                </c:pt>
                <c:pt idx="792">
                  <c:v>4278.0516491133485</c:v>
                </c:pt>
                <c:pt idx="793">
                  <c:v>4285.900123628343</c:v>
                </c:pt>
                <c:pt idx="794">
                  <c:v>4293.7629968830588</c:v>
                </c:pt>
                <c:pt idx="795">
                  <c:v>4301.640295293294</c:v>
                </c:pt>
                <c:pt idx="796">
                  <c:v>4309.5320453233053</c:v>
                </c:pt>
                <c:pt idx="797">
                  <c:v>4317.4382734859037</c:v>
                </c:pt>
                <c:pt idx="798">
                  <c:v>4325.359006342539</c:v>
                </c:pt>
                <c:pt idx="799">
                  <c:v>4333.2942705033893</c:v>
                </c:pt>
                <c:pt idx="800">
                  <c:v>4341.2440926274548</c:v>
                </c:pt>
                <c:pt idx="801">
                  <c:v>4349.2084994226407</c:v>
                </c:pt>
                <c:pt idx="802">
                  <c:v>4357.1875176458525</c:v>
                </c:pt>
                <c:pt idx="803">
                  <c:v>4365.1811741030815</c:v>
                </c:pt>
                <c:pt idx="804">
                  <c:v>4373.189495649498</c:v>
                </c:pt>
                <c:pt idx="805">
                  <c:v>4381.2125091895423</c:v>
                </c:pt>
                <c:pt idx="806">
                  <c:v>4389.2502416770112</c:v>
                </c:pt>
                <c:pt idx="807">
                  <c:v>4397.3027201151526</c:v>
                </c:pt>
                <c:pt idx="808">
                  <c:v>4405.3699715567491</c:v>
                </c:pt>
                <c:pt idx="809">
                  <c:v>4413.4520231042206</c:v>
                </c:pt>
                <c:pt idx="810">
                  <c:v>4421.5489019097067</c:v>
                </c:pt>
                <c:pt idx="811">
                  <c:v>4429.6606351751607</c:v>
                </c:pt>
                <c:pt idx="812">
                  <c:v>4437.7872501524371</c:v>
                </c:pt>
                <c:pt idx="813">
                  <c:v>4445.9287741433882</c:v>
                </c:pt>
                <c:pt idx="814">
                  <c:v>4454.0852344999566</c:v>
                </c:pt>
                <c:pt idx="815">
                  <c:v>4462.256658624261</c:v>
                </c:pt>
                <c:pt idx="816">
                  <c:v>4470.4430739686932</c:v>
                </c:pt>
                <c:pt idx="817">
                  <c:v>4478.644508036009</c:v>
                </c:pt>
                <c:pt idx="818">
                  <c:v>4486.8609883794197</c:v>
                </c:pt>
                <c:pt idx="819">
                  <c:v>4495.0925426026879</c:v>
                </c:pt>
                <c:pt idx="820">
                  <c:v>4503.3391983602151</c:v>
                </c:pt>
                <c:pt idx="821">
                  <c:v>4511.600983357137</c:v>
                </c:pt>
                <c:pt idx="822">
                  <c:v>4519.8779253494195</c:v>
                </c:pt>
                <c:pt idx="823">
                  <c:v>4528.1700521439489</c:v>
                </c:pt>
                <c:pt idx="824">
                  <c:v>4536.4773915986225</c:v>
                </c:pt>
                <c:pt idx="825">
                  <c:v>4544.7999716224485</c:v>
                </c:pt>
                <c:pt idx="826">
                  <c:v>4553.137820175637</c:v>
                </c:pt>
                <c:pt idx="827">
                  <c:v>4561.4909652696924</c:v>
                </c:pt>
                <c:pt idx="828">
                  <c:v>4569.8594349675077</c:v>
                </c:pt>
                <c:pt idx="829">
                  <c:v>4578.2432573834622</c:v>
                </c:pt>
                <c:pt idx="830">
                  <c:v>4586.6424606835117</c:v>
                </c:pt>
                <c:pt idx="831">
                  <c:v>4595.0570730852878</c:v>
                </c:pt>
                <c:pt idx="832">
                  <c:v>4603.4871228581842</c:v>
                </c:pt>
                <c:pt idx="833">
                  <c:v>4611.9326383234657</c:v>
                </c:pt>
                <c:pt idx="834">
                  <c:v>4620.3936478543483</c:v>
                </c:pt>
                <c:pt idx="835">
                  <c:v>4628.8701798761003</c:v>
                </c:pt>
                <c:pt idx="836">
                  <c:v>4637.3622628661478</c:v>
                </c:pt>
                <c:pt idx="837">
                  <c:v>4645.8699253541499</c:v>
                </c:pt>
                <c:pt idx="838">
                  <c:v>4654.3931959221145</c:v>
                </c:pt>
                <c:pt idx="839">
                  <c:v>4662.9321032044818</c:v>
                </c:pt>
                <c:pt idx="840">
                  <c:v>4671.4866758882245</c:v>
                </c:pt>
                <c:pt idx="841">
                  <c:v>4680.0569427129467</c:v>
                </c:pt>
                <c:pt idx="842">
                  <c:v>4688.6429324709761</c:v>
                </c:pt>
                <c:pt idx="843">
                  <c:v>4697.2446740074602</c:v>
                </c:pt>
                <c:pt idx="844">
                  <c:v>4705.8621962204707</c:v>
                </c:pt>
                <c:pt idx="845">
                  <c:v>4714.495528061092</c:v>
                </c:pt>
                <c:pt idx="846">
                  <c:v>4723.1446985335215</c:v>
                </c:pt>
                <c:pt idx="847">
                  <c:v>4731.8097366951688</c:v>
                </c:pt>
                <c:pt idx="848">
                  <c:v>4740.4906716567539</c:v>
                </c:pt>
                <c:pt idx="849">
                  <c:v>4749.1875325823985</c:v>
                </c:pt>
                <c:pt idx="850">
                  <c:v>4757.9003486897336</c:v>
                </c:pt>
                <c:pt idx="851">
                  <c:v>4766.6291492499859</c:v>
                </c:pt>
                <c:pt idx="852">
                  <c:v>4775.3739635880902</c:v>
                </c:pt>
                <c:pt idx="853">
                  <c:v>4784.1348210827773</c:v>
                </c:pt>
                <c:pt idx="854">
                  <c:v>4792.9117511666718</c:v>
                </c:pt>
                <c:pt idx="855">
                  <c:v>4801.704783326405</c:v>
                </c:pt>
                <c:pt idx="856">
                  <c:v>4810.5139471026923</c:v>
                </c:pt>
                <c:pt idx="857">
                  <c:v>4819.3392720904558</c:v>
                </c:pt>
                <c:pt idx="858">
                  <c:v>4828.1807879389034</c:v>
                </c:pt>
                <c:pt idx="859">
                  <c:v>4837.0385243516412</c:v>
                </c:pt>
                <c:pt idx="860">
                  <c:v>4845.9125110867672</c:v>
                </c:pt>
                <c:pt idx="861">
                  <c:v>4854.8027779569775</c:v>
                </c:pt>
                <c:pt idx="862">
                  <c:v>4863.7093548296543</c:v>
                </c:pt>
                <c:pt idx="863">
                  <c:v>4872.6322716269851</c:v>
                </c:pt>
                <c:pt idx="864">
                  <c:v>4881.5715583260426</c:v>
                </c:pt>
                <c:pt idx="865">
                  <c:v>4890.527244958902</c:v>
                </c:pt>
                <c:pt idx="866">
                  <c:v>4899.4993616127285</c:v>
                </c:pt>
                <c:pt idx="867">
                  <c:v>4908.487938429892</c:v>
                </c:pt>
                <c:pt idx="868">
                  <c:v>4917.4930056080566</c:v>
                </c:pt>
                <c:pt idx="869">
                  <c:v>4926.5145934002894</c:v>
                </c:pt>
                <c:pt idx="870">
                  <c:v>4935.552732115154</c:v>
                </c:pt>
                <c:pt idx="871">
                  <c:v>4944.6074521168266</c:v>
                </c:pt>
                <c:pt idx="872">
                  <c:v>4953.6787838251821</c:v>
                </c:pt>
                <c:pt idx="873">
                  <c:v>4962.76675771591</c:v>
                </c:pt>
                <c:pt idx="874">
                  <c:v>4971.8714043206019</c:v>
                </c:pt>
                <c:pt idx="875">
                  <c:v>4980.9927542268651</c:v>
                </c:pt>
                <c:pt idx="876">
                  <c:v>4990.1308380784303</c:v>
                </c:pt>
                <c:pt idx="877">
                  <c:v>4999.2856865752374</c:v>
                </c:pt>
                <c:pt idx="878">
                  <c:v>5008.4573304735495</c:v>
                </c:pt>
                <c:pt idx="879">
                  <c:v>5017.6458005860613</c:v>
                </c:pt>
                <c:pt idx="880">
                  <c:v>5026.8511277819871</c:v>
                </c:pt>
                <c:pt idx="881">
                  <c:v>5036.0733429871843</c:v>
                </c:pt>
                <c:pt idx="882">
                  <c:v>5045.3124771842367</c:v>
                </c:pt>
                <c:pt idx="883">
                  <c:v>5054.5685614125714</c:v>
                </c:pt>
                <c:pt idx="884">
                  <c:v>5063.8416267685643</c:v>
                </c:pt>
                <c:pt idx="885">
                  <c:v>5073.131704405635</c:v>
                </c:pt>
                <c:pt idx="886">
                  <c:v>5082.4388255343583</c:v>
                </c:pt>
                <c:pt idx="887">
                  <c:v>5091.763021422571</c:v>
                </c:pt>
                <c:pt idx="888">
                  <c:v>5101.1043233954688</c:v>
                </c:pt>
                <c:pt idx="889">
                  <c:v>5110.4627628357202</c:v>
                </c:pt>
                <c:pt idx="890">
                  <c:v>5119.8383711835668</c:v>
                </c:pt>
                <c:pt idx="891">
                  <c:v>5129.2311799369263</c:v>
                </c:pt>
                <c:pt idx="892">
                  <c:v>5138.6412206515115</c:v>
                </c:pt>
                <c:pt idx="893">
                  <c:v>5148.0685249409171</c:v>
                </c:pt>
                <c:pt idx="894">
                  <c:v>5157.513124476739</c:v>
                </c:pt>
                <c:pt idx="895">
                  <c:v>5166.9750509886817</c:v>
                </c:pt>
                <c:pt idx="896">
                  <c:v>5176.4543362646555</c:v>
                </c:pt>
                <c:pt idx="897">
                  <c:v>5185.9510121508902</c:v>
                </c:pt>
                <c:pt idx="898">
                  <c:v>5195.4651105520416</c:v>
                </c:pt>
                <c:pt idx="899">
                  <c:v>5204.9966634312959</c:v>
                </c:pt>
                <c:pt idx="900">
                  <c:v>5214.545702810482</c:v>
                </c:pt>
                <c:pt idx="901">
                  <c:v>5224.1122607701709</c:v>
                </c:pt>
                <c:pt idx="902">
                  <c:v>5233.6963694497872</c:v>
                </c:pt>
                <c:pt idx="903">
                  <c:v>5243.298061047728</c:v>
                </c:pt>
                <c:pt idx="904">
                  <c:v>5252.917367821452</c:v>
                </c:pt>
                <c:pt idx="905">
                  <c:v>5262.5543220875961</c:v>
                </c:pt>
                <c:pt idx="906">
                  <c:v>5272.2089562220945</c:v>
                </c:pt>
                <c:pt idx="907">
                  <c:v>5281.8813026602702</c:v>
                </c:pt>
                <c:pt idx="908">
                  <c:v>5291.5713938969539</c:v>
                </c:pt>
                <c:pt idx="909">
                  <c:v>5301.2792624865915</c:v>
                </c:pt>
                <c:pt idx="910">
                  <c:v>5311.0049410433503</c:v>
                </c:pt>
                <c:pt idx="911">
                  <c:v>5320.7484622412376</c:v>
                </c:pt>
                <c:pt idx="912">
                  <c:v>5330.5098588141964</c:v>
                </c:pt>
                <c:pt idx="913">
                  <c:v>5340.2891635562264</c:v>
                </c:pt>
                <c:pt idx="914">
                  <c:v>5350.0864093214941</c:v>
                </c:pt>
                <c:pt idx="915">
                  <c:v>5359.9016290244344</c:v>
                </c:pt>
                <c:pt idx="916">
                  <c:v>5369.7348556398711</c:v>
                </c:pt>
                <c:pt idx="917">
                  <c:v>5379.5861222031208</c:v>
                </c:pt>
                <c:pt idx="918">
                  <c:v>5389.4554618101056</c:v>
                </c:pt>
                <c:pt idx="919">
                  <c:v>5399.3429076174707</c:v>
                </c:pt>
                <c:pt idx="920">
                  <c:v>5409.2484928426838</c:v>
                </c:pt>
                <c:pt idx="921">
                  <c:v>5419.1722507641525</c:v>
                </c:pt>
                <c:pt idx="922">
                  <c:v>5429.1142147213441</c:v>
                </c:pt>
                <c:pt idx="923">
                  <c:v>5439.0744181148812</c:v>
                </c:pt>
                <c:pt idx="924">
                  <c:v>5449.0528944066718</c:v>
                </c:pt>
                <c:pt idx="925">
                  <c:v>5459.0496771200069</c:v>
                </c:pt>
                <c:pt idx="926">
                  <c:v>5469.0647998396771</c:v>
                </c:pt>
                <c:pt idx="927">
                  <c:v>5479.0982962120943</c:v>
                </c:pt>
                <c:pt idx="928">
                  <c:v>5489.1501999453949</c:v>
                </c:pt>
                <c:pt idx="929">
                  <c:v>5499.220544809551</c:v>
                </c:pt>
                <c:pt idx="930">
                  <c:v>5509.309364636496</c:v>
                </c:pt>
                <c:pt idx="931">
                  <c:v>5519.4166933202268</c:v>
                </c:pt>
                <c:pt idx="932">
                  <c:v>5529.5425648169248</c:v>
                </c:pt>
                <c:pt idx="933">
                  <c:v>5539.6870131450651</c:v>
                </c:pt>
                <c:pt idx="934">
                  <c:v>5549.8500723855295</c:v>
                </c:pt>
                <c:pt idx="935">
                  <c:v>5560.0317766817334</c:v>
                </c:pt>
                <c:pt idx="936">
                  <c:v>5570.2321602397224</c:v>
                </c:pt>
                <c:pt idx="937">
                  <c:v>5580.4512573283</c:v>
                </c:pt>
                <c:pt idx="938">
                  <c:v>5590.6891022791406</c:v>
                </c:pt>
                <c:pt idx="939">
                  <c:v>5600.945729486898</c:v>
                </c:pt>
                <c:pt idx="940">
                  <c:v>5611.2211734093335</c:v>
                </c:pt>
                <c:pt idx="941">
                  <c:v>5621.5154685674179</c:v>
                </c:pt>
                <c:pt idx="942">
                  <c:v>5631.828649545454</c:v>
                </c:pt>
                <c:pt idx="943">
                  <c:v>5642.1607509911992</c:v>
                </c:pt>
                <c:pt idx="944">
                  <c:v>5652.511807615967</c:v>
                </c:pt>
                <c:pt idx="945">
                  <c:v>5662.8818541947576</c:v>
                </c:pt>
                <c:pt idx="946">
                  <c:v>5673.2709255663658</c:v>
                </c:pt>
                <c:pt idx="947">
                  <c:v>5683.6790566335067</c:v>
                </c:pt>
                <c:pt idx="948">
                  <c:v>5694.106282362919</c:v>
                </c:pt>
                <c:pt idx="949">
                  <c:v>5704.5526377855003</c:v>
                </c:pt>
                <c:pt idx="950">
                  <c:v>5715.0181579964064</c:v>
                </c:pt>
                <c:pt idx="951">
                  <c:v>5725.5028781551882</c:v>
                </c:pt>
                <c:pt idx="952">
                  <c:v>5736.0068334858925</c:v>
                </c:pt>
                <c:pt idx="953">
                  <c:v>5746.5300592771864</c:v>
                </c:pt>
                <c:pt idx="954">
                  <c:v>5757.0725908824879</c:v>
                </c:pt>
                <c:pt idx="955">
                  <c:v>5767.6344637200618</c:v>
                </c:pt>
                <c:pt idx="956">
                  <c:v>5778.2157132731591</c:v>
                </c:pt>
                <c:pt idx="957">
                  <c:v>5788.8163750901258</c:v>
                </c:pt>
                <c:pt idx="958">
                  <c:v>5799.43648478452</c:v>
                </c:pt>
                <c:pt idx="959">
                  <c:v>5810.0760780352466</c:v>
                </c:pt>
                <c:pt idx="960">
                  <c:v>5820.7351905866553</c:v>
                </c:pt>
                <c:pt idx="961">
                  <c:v>5831.4138582486758</c:v>
                </c:pt>
                <c:pt idx="962">
                  <c:v>5842.1121168969421</c:v>
                </c:pt>
                <c:pt idx="963">
                  <c:v>5852.8300024728915</c:v>
                </c:pt>
                <c:pt idx="964">
                  <c:v>5863.5675509839111</c:v>
                </c:pt>
                <c:pt idx="965">
                  <c:v>5874.3247985034404</c:v>
                </c:pt>
                <c:pt idx="966">
                  <c:v>5885.1017811711017</c:v>
                </c:pt>
                <c:pt idx="967">
                  <c:v>5895.8985351928159</c:v>
                </c:pt>
                <c:pt idx="968">
                  <c:v>5906.7150968409314</c:v>
                </c:pt>
                <c:pt idx="969">
                  <c:v>5917.5515024543347</c:v>
                </c:pt>
                <c:pt idx="970">
                  <c:v>5928.4077884385879</c:v>
                </c:pt>
                <c:pt idx="971">
                  <c:v>5939.2839912660338</c:v>
                </c:pt>
                <c:pt idx="972">
                  <c:v>5950.1801474759368</c:v>
                </c:pt>
                <c:pt idx="973">
                  <c:v>5961.0962936745855</c:v>
                </c:pt>
                <c:pt idx="974">
                  <c:v>5972.0324665354301</c:v>
                </c:pt>
                <c:pt idx="975">
                  <c:v>5982.9887027992054</c:v>
                </c:pt>
                <c:pt idx="976">
                  <c:v>5993.9650392740477</c:v>
                </c:pt>
                <c:pt idx="977">
                  <c:v>6004.9615128356163</c:v>
                </c:pt>
                <c:pt idx="978">
                  <c:v>6015.978160427233</c:v>
                </c:pt>
                <c:pt idx="979">
                  <c:v>6027.0150190599834</c:v>
                </c:pt>
                <c:pt idx="980">
                  <c:v>6038.0721258128642</c:v>
                </c:pt>
                <c:pt idx="981">
                  <c:v>6049.1495178328896</c:v>
                </c:pt>
                <c:pt idx="982">
                  <c:v>6060.2472323352213</c:v>
                </c:pt>
                <c:pt idx="983">
                  <c:v>6071.3653066033085</c:v>
                </c:pt>
                <c:pt idx="984">
                  <c:v>6082.5037779889844</c:v>
                </c:pt>
                <c:pt idx="985">
                  <c:v>6093.6626839126184</c:v>
                </c:pt>
                <c:pt idx="986">
                  <c:v>6104.8420618632263</c:v>
                </c:pt>
                <c:pt idx="987">
                  <c:v>6116.0419493986019</c:v>
                </c:pt>
                <c:pt idx="988">
                  <c:v>6127.2623841454415</c:v>
                </c:pt>
                <c:pt idx="989">
                  <c:v>6138.5034037994747</c:v>
                </c:pt>
                <c:pt idx="990">
                  <c:v>6149.7650461255798</c:v>
                </c:pt>
                <c:pt idx="991">
                  <c:v>6161.0473489579281</c:v>
                </c:pt>
                <c:pt idx="992">
                  <c:v>6172.3503502000931</c:v>
                </c:pt>
                <c:pt idx="993">
                  <c:v>6183.6740878251849</c:v>
                </c:pt>
                <c:pt idx="994">
                  <c:v>6195.0185998759898</c:v>
                </c:pt>
                <c:pt idx="995">
                  <c:v>6206.3839244650726</c:v>
                </c:pt>
                <c:pt idx="996">
                  <c:v>6217.7700997749307</c:v>
                </c:pt>
                <c:pt idx="997">
                  <c:v>6229.1771640581064</c:v>
                </c:pt>
                <c:pt idx="998">
                  <c:v>6240.605155637315</c:v>
                </c:pt>
                <c:pt idx="999">
                  <c:v>6252.0541129055882</c:v>
                </c:pt>
                <c:pt idx="1000">
                  <c:v>6263.5240743263857</c:v>
                </c:pt>
                <c:pt idx="1001">
                  <c:v>6275.0150784337302</c:v>
                </c:pt>
                <c:pt idx="1002">
                  <c:v>6286.5271638323502</c:v>
                </c:pt>
                <c:pt idx="1003">
                  <c:v>6298.0603691977822</c:v>
                </c:pt>
                <c:pt idx="1004">
                  <c:v>6309.6147332765313</c:v>
                </c:pt>
                <c:pt idx="1005">
                  <c:v>6321.1902948861743</c:v>
                </c:pt>
                <c:pt idx="1006">
                  <c:v>6332.7870929155124</c:v>
                </c:pt>
                <c:pt idx="1007">
                  <c:v>6344.4051663246846</c:v>
                </c:pt>
                <c:pt idx="1008">
                  <c:v>6356.0445541453118</c:v>
                </c:pt>
                <c:pt idx="1009">
                  <c:v>6367.7052954806122</c:v>
                </c:pt>
                <c:pt idx="1010">
                  <c:v>6379.3874295055575</c:v>
                </c:pt>
                <c:pt idx="1011">
                  <c:v>6391.0909954669733</c:v>
                </c:pt>
                <c:pt idx="1012">
                  <c:v>6402.8160326837005</c:v>
                </c:pt>
                <c:pt idx="1013">
                  <c:v>6414.5625805467062</c:v>
                </c:pt>
                <c:pt idx="1014">
                  <c:v>6426.3306785192217</c:v>
                </c:pt>
                <c:pt idx="1015">
                  <c:v>6438.1203661368863</c:v>
                </c:pt>
                <c:pt idx="1016">
                  <c:v>6449.931683007866</c:v>
                </c:pt>
                <c:pt idx="1017">
                  <c:v>6461.7646688129871</c:v>
                </c:pt>
                <c:pt idx="1018">
                  <c:v>6473.6193633058847</c:v>
                </c:pt>
                <c:pt idx="1019">
                  <c:v>6485.4958063131116</c:v>
                </c:pt>
                <c:pt idx="1020">
                  <c:v>6497.3940377343015</c:v>
                </c:pt>
                <c:pt idx="1021">
                  <c:v>6509.3140975422775</c:v>
                </c:pt>
                <c:pt idx="1022">
                  <c:v>6521.2560257831938</c:v>
                </c:pt>
                <c:pt idx="1023">
                  <c:v>6533.219862576685</c:v>
                </c:pt>
                <c:pt idx="1024">
                  <c:v>6545.2056481159761</c:v>
                </c:pt>
                <c:pt idx="1025">
                  <c:v>6557.2134226680382</c:v>
                </c:pt>
                <c:pt idx="1026">
                  <c:v>6569.2432265737143</c:v>
                </c:pt>
                <c:pt idx="1027">
                  <c:v>6581.2951002478558</c:v>
                </c:pt>
                <c:pt idx="1028">
                  <c:v>6593.3690841794541</c:v>
                </c:pt>
                <c:pt idx="1029">
                  <c:v>6605.4652189317931</c:v>
                </c:pt>
                <c:pt idx="1030">
                  <c:v>6617.5835451425583</c:v>
                </c:pt>
                <c:pt idx="1031">
                  <c:v>6629.724103524004</c:v>
                </c:pt>
                <c:pt idx="1032">
                  <c:v>6641.8869348630651</c:v>
                </c:pt>
                <c:pt idx="1033">
                  <c:v>6654.0720800215013</c:v>
                </c:pt>
                <c:pt idx="1034">
                  <c:v>6666.2795799360501</c:v>
                </c:pt>
                <c:pt idx="1035">
                  <c:v>6678.509475618539</c:v>
                </c:pt>
                <c:pt idx="1036">
                  <c:v>6690.7618081560386</c:v>
                </c:pt>
                <c:pt idx="1037">
                  <c:v>6703.0366187110012</c:v>
                </c:pt>
                <c:pt idx="1038">
                  <c:v>6715.3339485213892</c:v>
                </c:pt>
                <c:pt idx="1039">
                  <c:v>6727.6538389008265</c:v>
                </c:pt>
                <c:pt idx="1040">
                  <c:v>6739.9963312387263</c:v>
                </c:pt>
                <c:pt idx="1041">
                  <c:v>6752.3614670004317</c:v>
                </c:pt>
                <c:pt idx="1042">
                  <c:v>6764.7492877273671</c:v>
                </c:pt>
                <c:pt idx="1043">
                  <c:v>6777.1598350371587</c:v>
                </c:pt>
                <c:pt idx="1044">
                  <c:v>6789.5931506237885</c:v>
                </c:pt>
                <c:pt idx="1045">
                  <c:v>6802.0492762577305</c:v>
                </c:pt>
                <c:pt idx="1046">
                  <c:v>6814.5282537860876</c:v>
                </c:pt>
                <c:pt idx="1047">
                  <c:v>6827.0301251327401</c:v>
                </c:pt>
                <c:pt idx="1048">
                  <c:v>6839.5549322984771</c:v>
                </c:pt>
                <c:pt idx="1049">
                  <c:v>6852.1027173611392</c:v>
                </c:pt>
                <c:pt idx="1050">
                  <c:v>6864.6735224757722</c:v>
                </c:pt>
                <c:pt idx="1051">
                  <c:v>6877.2673898747489</c:v>
                </c:pt>
                <c:pt idx="1052">
                  <c:v>6889.8843618679257</c:v>
                </c:pt>
                <c:pt idx="1053">
                  <c:v>6902.5244808427824</c:v>
                </c:pt>
                <c:pt idx="1054">
                  <c:v>6915.1877892645598</c:v>
                </c:pt>
                <c:pt idx="1055">
                  <c:v>6927.874329676406</c:v>
                </c:pt>
                <c:pt idx="1056">
                  <c:v>6940.5841446995182</c:v>
                </c:pt>
                <c:pt idx="1057">
                  <c:v>6953.3172770332831</c:v>
                </c:pt>
                <c:pt idx="1058">
                  <c:v>6966.0737694554309</c:v>
                </c:pt>
                <c:pt idx="1059">
                  <c:v>6978.8536648221625</c:v>
                </c:pt>
                <c:pt idx="1060">
                  <c:v>6991.6570060683061</c:v>
                </c:pt>
                <c:pt idx="1061">
                  <c:v>7004.4838362074606</c:v>
                </c:pt>
                <c:pt idx="1062">
                  <c:v>7017.3341983321325</c:v>
                </c:pt>
                <c:pt idx="1063">
                  <c:v>7030.2081356138924</c:v>
                </c:pt>
                <c:pt idx="1064">
                  <c:v>7043.1056913035018</c:v>
                </c:pt>
                <c:pt idx="1065">
                  <c:v>7056.0269087310799</c:v>
                </c:pt>
                <c:pt idx="1066">
                  <c:v>7068.9718313062367</c:v>
                </c:pt>
                <c:pt idx="1067">
                  <c:v>7081.9405025182177</c:v>
                </c:pt>
                <c:pt idx="1068">
                  <c:v>7094.9329659360519</c:v>
                </c:pt>
                <c:pt idx="1069">
                  <c:v>7107.9492652087101</c:v>
                </c:pt>
                <c:pt idx="1070">
                  <c:v>7120.9894440652261</c:v>
                </c:pt>
                <c:pt idx="1071">
                  <c:v>7134.0535463148744</c:v>
                </c:pt>
                <c:pt idx="1072">
                  <c:v>7147.1416158472884</c:v>
                </c:pt>
                <c:pt idx="1073">
                  <c:v>7160.2536966326279</c:v>
                </c:pt>
                <c:pt idx="1074">
                  <c:v>7173.3898327217194</c:v>
                </c:pt>
                <c:pt idx="1075">
                  <c:v>7186.5500682462034</c:v>
                </c:pt>
                <c:pt idx="1076">
                  <c:v>7199.7344474186812</c:v>
                </c:pt>
                <c:pt idx="1077">
                  <c:v>7212.9430145328733</c:v>
                </c:pt>
                <c:pt idx="1078">
                  <c:v>7226.1758139637532</c:v>
                </c:pt>
                <c:pt idx="1079">
                  <c:v>7239.4328901677109</c:v>
                </c:pt>
                <c:pt idx="1080">
                  <c:v>7252.7142876826929</c:v>
                </c:pt>
                <c:pt idx="1081">
                  <c:v>7266.0200511283501</c:v>
                </c:pt>
                <c:pt idx="1082">
                  <c:v>7279.3502252062008</c:v>
                </c:pt>
                <c:pt idx="1083">
                  <c:v>7292.7048546997676</c:v>
                </c:pt>
                <c:pt idx="1084">
                  <c:v>7306.0839844747297</c:v>
                </c:pt>
                <c:pt idx="1085">
                  <c:v>7319.487659479084</c:v>
                </c:pt>
                <c:pt idx="1086">
                  <c:v>7332.9159247432808</c:v>
                </c:pt>
                <c:pt idx="1087">
                  <c:v>7346.3688253803912</c:v>
                </c:pt>
                <c:pt idx="1088">
                  <c:v>7359.8464065862427</c:v>
                </c:pt>
                <c:pt idx="1089">
                  <c:v>7373.3487136395779</c:v>
                </c:pt>
                <c:pt idx="1090">
                  <c:v>7386.8757919022173</c:v>
                </c:pt>
                <c:pt idx="1091">
                  <c:v>7400.427686819191</c:v>
                </c:pt>
                <c:pt idx="1092">
                  <c:v>7414.0044439189078</c:v>
                </c:pt>
                <c:pt idx="1093">
                  <c:v>7427.6061088133019</c:v>
                </c:pt>
                <c:pt idx="1094">
                  <c:v>7441.2327271979866</c:v>
                </c:pt>
                <c:pt idx="1095">
                  <c:v>7454.8843448524049</c:v>
                </c:pt>
                <c:pt idx="1096">
                  <c:v>7468.5610076399953</c:v>
                </c:pt>
                <c:pt idx="1097">
                  <c:v>7482.2627615083193</c:v>
                </c:pt>
                <c:pt idx="1098">
                  <c:v>7495.9896524892538</c:v>
                </c:pt>
                <c:pt idx="1099">
                  <c:v>7509.741726699117</c:v>
                </c:pt>
                <c:pt idx="1100">
                  <c:v>7523.5190303388208</c:v>
                </c:pt>
                <c:pt idx="1101">
                  <c:v>7537.3216096940605</c:v>
                </c:pt>
                <c:pt idx="1102">
                  <c:v>7551.1495111354188</c:v>
                </c:pt>
                <c:pt idx="1103">
                  <c:v>7565.0027811185792</c:v>
                </c:pt>
                <c:pt idx="1104">
                  <c:v>7578.8814661844253</c:v>
                </c:pt>
                <c:pt idx="1105">
                  <c:v>7592.7856129592392</c:v>
                </c:pt>
                <c:pt idx="1106">
                  <c:v>7606.7152681548405</c:v>
                </c:pt>
                <c:pt idx="1107">
                  <c:v>7620.6704785687461</c:v>
                </c:pt>
                <c:pt idx="1108">
                  <c:v>7634.6512910843239</c:v>
                </c:pt>
                <c:pt idx="1109">
                  <c:v>7648.657752670958</c:v>
                </c:pt>
                <c:pt idx="1110">
                  <c:v>7662.6899103841988</c:v>
                </c:pt>
                <c:pt idx="1111">
                  <c:v>7676.7478113659263</c:v>
                </c:pt>
                <c:pt idx="1112">
                  <c:v>7690.8315028445095</c:v>
                </c:pt>
                <c:pt idx="1113">
                  <c:v>7704.9410321349478</c:v>
                </c:pt>
                <c:pt idx="1114">
                  <c:v>7719.0764466390692</c:v>
                </c:pt>
                <c:pt idx="1115">
                  <c:v>7733.2377938456402</c:v>
                </c:pt>
                <c:pt idx="1116">
                  <c:v>7747.4251213305624</c:v>
                </c:pt>
                <c:pt idx="1117">
                  <c:v>7761.6384767570189</c:v>
                </c:pt>
                <c:pt idx="1118">
                  <c:v>7775.8779078756334</c:v>
                </c:pt>
                <c:pt idx="1119">
                  <c:v>7790.143462524632</c:v>
                </c:pt>
                <c:pt idx="1120">
                  <c:v>7804.4351886300065</c:v>
                </c:pt>
                <c:pt idx="1121">
                  <c:v>7818.7531342056709</c:v>
                </c:pt>
                <c:pt idx="1122">
                  <c:v>7833.0973473536251</c:v>
                </c:pt>
                <c:pt idx="1123">
                  <c:v>7847.4678762641233</c:v>
                </c:pt>
                <c:pt idx="1124">
                  <c:v>7861.864769215812</c:v>
                </c:pt>
                <c:pt idx="1125">
                  <c:v>7876.2880745759339</c:v>
                </c:pt>
                <c:pt idx="1126">
                  <c:v>7890.7378408004388</c:v>
                </c:pt>
                <c:pt idx="1127">
                  <c:v>7905.2141164342011</c:v>
                </c:pt>
                <c:pt idx="1128">
                  <c:v>7919.7169501111293</c:v>
                </c:pt>
                <c:pt idx="1129">
                  <c:v>7934.24639055437</c:v>
                </c:pt>
                <c:pt idx="1130">
                  <c:v>7948.8024865764628</c:v>
                </c:pt>
                <c:pt idx="1131">
                  <c:v>7963.3852870794781</c:v>
                </c:pt>
                <c:pt idx="1132">
                  <c:v>7977.994841055217</c:v>
                </c:pt>
                <c:pt idx="1133">
                  <c:v>7992.6311975853559</c:v>
                </c:pt>
                <c:pt idx="1134">
                  <c:v>8007.2944058416178</c:v>
                </c:pt>
                <c:pt idx="1135">
                  <c:v>8021.9845150859346</c:v>
                </c:pt>
                <c:pt idx="1136">
                  <c:v>8036.701574670612</c:v>
                </c:pt>
                <c:pt idx="1137">
                  <c:v>8051.4456340384995</c:v>
                </c:pt>
                <c:pt idx="1138">
                  <c:v>8066.2167427231516</c:v>
                </c:pt>
                <c:pt idx="1139">
                  <c:v>8081.0149503490029</c:v>
                </c:pt>
                <c:pt idx="1140">
                  <c:v>8095.8403066315141</c:v>
                </c:pt>
                <c:pt idx="1141">
                  <c:v>8110.6928613773734</c:v>
                </c:pt>
                <c:pt idx="1142">
                  <c:v>8125.5726644846218</c:v>
                </c:pt>
                <c:pt idx="1143">
                  <c:v>8140.4797659428696</c:v>
                </c:pt>
                <c:pt idx="1144">
                  <c:v>8155.4142158334098</c:v>
                </c:pt>
                <c:pt idx="1145">
                  <c:v>8170.3760643294318</c:v>
                </c:pt>
                <c:pt idx="1146">
                  <c:v>8185.3653616961656</c:v>
                </c:pt>
                <c:pt idx="1147">
                  <c:v>8200.3821582910605</c:v>
                </c:pt>
                <c:pt idx="1148">
                  <c:v>8215.4265045639477</c:v>
                </c:pt>
                <c:pt idx="1149">
                  <c:v>8230.4984510572158</c:v>
                </c:pt>
                <c:pt idx="1150">
                  <c:v>8245.5980484059764</c:v>
                </c:pt>
                <c:pt idx="1151">
                  <c:v>8260.7253473382407</c:v>
                </c:pt>
                <c:pt idx="1152">
                  <c:v>8275.8803986750791</c:v>
                </c:pt>
                <c:pt idx="1153">
                  <c:v>8291.0632533307944</c:v>
                </c:pt>
                <c:pt idx="1154">
                  <c:v>8306.273962313111</c:v>
                </c:pt>
                <c:pt idx="1155">
                  <c:v>8321.5125767233149</c:v>
                </c:pt>
                <c:pt idx="1156">
                  <c:v>8336.7791477564497</c:v>
                </c:pt>
                <c:pt idx="1157">
                  <c:v>8352.0737267014847</c:v>
                </c:pt>
                <c:pt idx="1158">
                  <c:v>8367.3963649414782</c:v>
                </c:pt>
                <c:pt idx="1159">
                  <c:v>8382.7471139537556</c:v>
                </c:pt>
                <c:pt idx="1160">
                  <c:v>8398.1260253100827</c:v>
                </c:pt>
                <c:pt idx="1161">
                  <c:v>8413.5331506768398</c:v>
                </c:pt>
                <c:pt idx="1162">
                  <c:v>8428.9685418151948</c:v>
                </c:pt>
                <c:pt idx="1163">
                  <c:v>8444.4322505812743</c:v>
                </c:pt>
                <c:pt idx="1164">
                  <c:v>8459.9243289263304</c:v>
                </c:pt>
                <c:pt idx="1165">
                  <c:v>8475.4448288969506</c:v>
                </c:pt>
                <c:pt idx="1166">
                  <c:v>8490.9938026351756</c:v>
                </c:pt>
                <c:pt idx="1167">
                  <c:v>8506.5713023787266</c:v>
                </c:pt>
                <c:pt idx="1168">
                  <c:v>8522.1773804611475</c:v>
                </c:pt>
                <c:pt idx="1169">
                  <c:v>8537.8120893119976</c:v>
                </c:pt>
                <c:pt idx="1170">
                  <c:v>8553.4754814570369</c:v>
                </c:pt>
                <c:pt idx="1171">
                  <c:v>8569.1676095183593</c:v>
                </c:pt>
                <c:pt idx="1172">
                  <c:v>8584.8885262146214</c:v>
                </c:pt>
                <c:pt idx="1173">
                  <c:v>8600.6382843611882</c:v>
                </c:pt>
                <c:pt idx="1174">
                  <c:v>8616.4169368703278</c:v>
                </c:pt>
                <c:pt idx="1175">
                  <c:v>8632.2245367513606</c:v>
                </c:pt>
                <c:pt idx="1176">
                  <c:v>8648.0611371108807</c:v>
                </c:pt>
                <c:pt idx="1177">
                  <c:v>8663.9267911529023</c:v>
                </c:pt>
                <c:pt idx="1178">
                  <c:v>8679.8215521790407</c:v>
                </c:pt>
                <c:pt idx="1179">
                  <c:v>8695.7454735887095</c:v>
                </c:pt>
                <c:pt idx="1180">
                  <c:v>8711.6986088792728</c:v>
                </c:pt>
                <c:pt idx="1181">
                  <c:v>8727.681011646262</c:v>
                </c:pt>
                <c:pt idx="1182">
                  <c:v>8743.6927355835123</c:v>
                </c:pt>
                <c:pt idx="1183">
                  <c:v>8759.7338344833788</c:v>
                </c:pt>
                <c:pt idx="1184">
                  <c:v>8775.8043622369005</c:v>
                </c:pt>
                <c:pt idx="1185">
                  <c:v>8791.9043728339821</c:v>
                </c:pt>
                <c:pt idx="1186">
                  <c:v>8808.0339203635813</c:v>
                </c:pt>
                <c:pt idx="1187">
                  <c:v>8824.1930590138836</c:v>
                </c:pt>
                <c:pt idx="1188">
                  <c:v>8840.3818430724896</c:v>
                </c:pt>
                <c:pt idx="1189">
                  <c:v>8856.600326926593</c:v>
                </c:pt>
                <c:pt idx="1190">
                  <c:v>8872.8485650631737</c:v>
                </c:pt>
                <c:pt idx="1191">
                  <c:v>8889.1266120691562</c:v>
                </c:pt>
                <c:pt idx="1192">
                  <c:v>8905.4345226316327</c:v>
                </c:pt>
                <c:pt idx="1193">
                  <c:v>8921.7723515379967</c:v>
                </c:pt>
                <c:pt idx="1194">
                  <c:v>8938.1401536761859</c:v>
                </c:pt>
                <c:pt idx="1195">
                  <c:v>8954.5379840348032</c:v>
                </c:pt>
                <c:pt idx="1196">
                  <c:v>8970.9658977033559</c:v>
                </c:pt>
                <c:pt idx="1197">
                  <c:v>8987.4239498724073</c:v>
                </c:pt>
                <c:pt idx="1198">
                  <c:v>9003.9121958337782</c:v>
                </c:pt>
                <c:pt idx="1199">
                  <c:v>9020.4306909807183</c:v>
                </c:pt>
                <c:pt idx="1200">
                  <c:v>9036.979490808113</c:v>
                </c:pt>
                <c:pt idx="1201">
                  <c:v>9053.5586509126515</c:v>
                </c:pt>
                <c:pt idx="1202">
                  <c:v>9070.1682269930188</c:v>
                </c:pt>
                <c:pt idx="1203">
                  <c:v>9086.8082748500929</c:v>
                </c:pt>
                <c:pt idx="1204">
                  <c:v>9103.4788503871041</c:v>
                </c:pt>
                <c:pt idx="1205">
                  <c:v>9120.1800096098723</c:v>
                </c:pt>
                <c:pt idx="1206">
                  <c:v>9136.9118086269355</c:v>
                </c:pt>
                <c:pt idx="1207">
                  <c:v>9153.674303649781</c:v>
                </c:pt>
                <c:pt idx="1208">
                  <c:v>9170.467550993033</c:v>
                </c:pt>
                <c:pt idx="1209">
                  <c:v>9187.2916070746014</c:v>
                </c:pt>
                <c:pt idx="1210">
                  <c:v>9204.1465284159331</c:v>
                </c:pt>
                <c:pt idx="1211">
                  <c:v>9221.0323716421408</c:v>
                </c:pt>
                <c:pt idx="1212">
                  <c:v>9237.9491934822327</c:v>
                </c:pt>
                <c:pt idx="1213">
                  <c:v>9254.8970507692957</c:v>
                </c:pt>
                <c:pt idx="1214">
                  <c:v>9271.876000440674</c:v>
                </c:pt>
                <c:pt idx="1215">
                  <c:v>9288.8860995381747</c:v>
                </c:pt>
                <c:pt idx="1216">
                  <c:v>9305.9274052082492</c:v>
                </c:pt>
                <c:pt idx="1217">
                  <c:v>9322.999974702192</c:v>
                </c:pt>
                <c:pt idx="1218">
                  <c:v>9340.103865376328</c:v>
                </c:pt>
                <c:pt idx="1219">
                  <c:v>9357.2391346922104</c:v>
                </c:pt>
                <c:pt idx="1220">
                  <c:v>9374.405840216803</c:v>
                </c:pt>
                <c:pt idx="1221">
                  <c:v>9391.6040396226963</c:v>
                </c:pt>
                <c:pt idx="1222">
                  <c:v>9408.8337906882716</c:v>
                </c:pt>
                <c:pt idx="1223">
                  <c:v>9426.0951512979173</c:v>
                </c:pt>
                <c:pt idx="1224">
                  <c:v>9443.3881794422123</c:v>
                </c:pt>
                <c:pt idx="1225">
                  <c:v>9460.7129332181321</c:v>
                </c:pt>
                <c:pt idx="1226">
                  <c:v>9478.0694708292249</c:v>
                </c:pt>
                <c:pt idx="1227">
                  <c:v>9495.4578505858281</c:v>
                </c:pt>
                <c:pt idx="1228">
                  <c:v>9512.8781309052501</c:v>
                </c:pt>
                <c:pt idx="1229">
                  <c:v>9530.3303703119727</c:v>
                </c:pt>
                <c:pt idx="1230">
                  <c:v>9547.8146274378523</c:v>
                </c:pt>
                <c:pt idx="1231">
                  <c:v>9565.3309610222877</c:v>
                </c:pt>
                <c:pt idx="1232">
                  <c:v>9582.8794299124747</c:v>
                </c:pt>
                <c:pt idx="1233">
                  <c:v>9600.460093063537</c:v>
                </c:pt>
                <c:pt idx="1234">
                  <c:v>9618.073009538788</c:v>
                </c:pt>
                <c:pt idx="1235">
                  <c:v>9635.7182385098695</c:v>
                </c:pt>
                <c:pt idx="1236">
                  <c:v>9653.3958392569966</c:v>
                </c:pt>
                <c:pt idx="1237">
                  <c:v>9671.1058711691312</c:v>
                </c:pt>
                <c:pt idx="1238">
                  <c:v>9688.8483937441924</c:v>
                </c:pt>
                <c:pt idx="1239">
                  <c:v>9706.6234665892589</c:v>
                </c:pt>
                <c:pt idx="1240">
                  <c:v>9724.4311494207541</c:v>
                </c:pt>
                <c:pt idx="1241">
                  <c:v>9742.2715020646647</c:v>
                </c:pt>
                <c:pt idx="1242">
                  <c:v>9760.1445844567261</c:v>
                </c:pt>
                <c:pt idx="1243">
                  <c:v>9778.050456642648</c:v>
                </c:pt>
                <c:pt idx="1244">
                  <c:v>9795.9891787782653</c:v>
                </c:pt>
                <c:pt idx="1245">
                  <c:v>9813.9608111298112</c:v>
                </c:pt>
                <c:pt idx="1246">
                  <c:v>9831.9654140740713</c:v>
                </c:pt>
                <c:pt idx="1247">
                  <c:v>9850.0030480985788</c:v>
                </c:pt>
                <c:pt idx="1248">
                  <c:v>9868.073773801867</c:v>
                </c:pt>
                <c:pt idx="1249">
                  <c:v>9886.1776518936149</c:v>
                </c:pt>
                <c:pt idx="1250">
                  <c:v>9904.3147431949074</c:v>
                </c:pt>
                <c:pt idx="1251">
                  <c:v>9922.4851086383806</c:v>
                </c:pt>
                <c:pt idx="1252">
                  <c:v>9940.6888092684785</c:v>
                </c:pt>
                <c:pt idx="1253">
                  <c:v>9958.9259062416295</c:v>
                </c:pt>
                <c:pt idx="1254">
                  <c:v>9977.1964608264607</c:v>
                </c:pt>
                <c:pt idx="1255">
                  <c:v>9995.5005344040001</c:v>
                </c:pt>
                <c:pt idx="1256">
                  <c:v>10013.838188467886</c:v>
                </c:pt>
                <c:pt idx="1257">
                  <c:v>10032.209484624573</c:v>
                </c:pt>
                <c:pt idx="1258">
                  <c:v>10050.614484593536</c:v>
                </c:pt>
                <c:pt idx="1259">
                  <c:v>10069.053250207489</c:v>
                </c:pt>
                <c:pt idx="1260">
                  <c:v>10087.525843412559</c:v>
                </c:pt>
                <c:pt idx="1261">
                  <c:v>10106.032326268556</c:v>
                </c:pt>
                <c:pt idx="1262">
                  <c:v>10124.572760949111</c:v>
                </c:pt>
                <c:pt idx="1263">
                  <c:v>10143.147209741934</c:v>
                </c:pt>
                <c:pt idx="1264">
                  <c:v>10161.755735049006</c:v>
                </c:pt>
                <c:pt idx="1265">
                  <c:v>10180.398399386791</c:v>
                </c:pt>
                <c:pt idx="1266">
                  <c:v>10199.075265386442</c:v>
                </c:pt>
                <c:pt idx="1267">
                  <c:v>10217.786395794015</c:v>
                </c:pt>
                <c:pt idx="1268">
                  <c:v>10236.531853470678</c:v>
                </c:pt>
                <c:pt idx="1269">
                  <c:v>10255.311701392931</c:v>
                </c:pt>
                <c:pt idx="1270">
                  <c:v>10274.126002652805</c:v>
                </c:pt>
                <c:pt idx="1271">
                  <c:v>10292.974820458066</c:v>
                </c:pt>
                <c:pt idx="1272">
                  <c:v>10311.858218132475</c:v>
                </c:pt>
                <c:pt idx="1273">
                  <c:v>10330.776259115921</c:v>
                </c:pt>
                <c:pt idx="1274">
                  <c:v>10349.729006964722</c:v>
                </c:pt>
                <c:pt idx="1275">
                  <c:v>10368.716525351765</c:v>
                </c:pt>
                <c:pt idx="1276">
                  <c:v>10387.738878066764</c:v>
                </c:pt>
                <c:pt idx="1277">
                  <c:v>10406.796129016462</c:v>
                </c:pt>
                <c:pt idx="1278">
                  <c:v>10425.88834222484</c:v>
                </c:pt>
                <c:pt idx="1279">
                  <c:v>10445.015581833339</c:v>
                </c:pt>
                <c:pt idx="1280">
                  <c:v>10464.177912101071</c:v>
                </c:pt>
                <c:pt idx="1281">
                  <c:v>10483.375397405049</c:v>
                </c:pt>
                <c:pt idx="1282">
                  <c:v>10502.608102240363</c:v>
                </c:pt>
                <c:pt idx="1283">
                  <c:v>10521.876091220465</c:v>
                </c:pt>
                <c:pt idx="1284">
                  <c:v>10541.179429077305</c:v>
                </c:pt>
                <c:pt idx="1285">
                  <c:v>10560.518180661624</c:v>
                </c:pt>
                <c:pt idx="1286">
                  <c:v>10579.892410943126</c:v>
                </c:pt>
                <c:pt idx="1287">
                  <c:v>10599.302185010685</c:v>
                </c:pt>
                <c:pt idx="1288">
                  <c:v>10618.747568072631</c:v>
                </c:pt>
                <c:pt idx="1289">
                  <c:v>10638.228625456884</c:v>
                </c:pt>
                <c:pt idx="1290">
                  <c:v>10657.745422611233</c:v>
                </c:pt>
                <c:pt idx="1291">
                  <c:v>10677.298025103537</c:v>
                </c:pt>
                <c:pt idx="1292">
                  <c:v>10696.886498621941</c:v>
                </c:pt>
                <c:pt idx="1293">
                  <c:v>10716.510908975102</c:v>
                </c:pt>
                <c:pt idx="1294">
                  <c:v>10736.17132209241</c:v>
                </c:pt>
                <c:pt idx="1295">
                  <c:v>10755.867804024205</c:v>
                </c:pt>
                <c:pt idx="1296">
                  <c:v>10775.60042094201</c:v>
                </c:pt>
                <c:pt idx="1297">
                  <c:v>10795.369239138738</c:v>
                </c:pt>
                <c:pt idx="1298">
                  <c:v>10815.174325028916</c:v>
                </c:pt>
                <c:pt idx="1299">
                  <c:v>10835.015745148941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2E-CB44-BB91-0055E0FEF7DF}"/>
            </c:ext>
          </c:extLst>
        </c:ser>
        <c:ser>
          <c:idx val="2"/>
          <c:order val="1"/>
          <c:tx>
            <c:strRef>
              <c:f>'Compounding within 1 year'!$H$1</c:f>
              <c:strCache>
                <c:ptCount val="1"/>
                <c:pt idx="0">
                  <c:v>Semiannual</c:v>
                </c:pt>
              </c:strCache>
            </c:strRef>
          </c:tx>
          <c:marker>
            <c:symbol val="none"/>
          </c:marker>
          <c:val>
            <c:numRef>
              <c:f>'Compounding within 1 year'!$H$2:$H$1363</c:f>
              <c:numCache>
                <c:formatCode>_("$"* #,##0.00_);_("$"* \(#,##0.00\);_("$"* "-"??_);_(@_)</c:formatCode>
                <c:ptCount val="1362"/>
                <c:pt idx="0">
                  <c:v>1001.8783291485967</c:v>
                </c:pt>
                <c:pt idx="1">
                  <c:v>1003.7601864175838</c:v>
                </c:pt>
                <c:pt idx="2">
                  <c:v>1005.6455784339329</c:v>
                </c:pt>
                <c:pt idx="3">
                  <c:v>1007.5345118370626</c:v>
                </c:pt>
                <c:pt idx="4">
                  <c:v>1009.4269932788635</c:v>
                </c:pt>
                <c:pt idx="5">
                  <c:v>1011.3230294237194</c:v>
                </c:pt>
                <c:pt idx="6">
                  <c:v>1013.2226269485332</c:v>
                </c:pt>
                <c:pt idx="7">
                  <c:v>1015.1257925427484</c:v>
                </c:pt>
                <c:pt idx="8">
                  <c:v>1017.0325329083738</c:v>
                </c:pt>
                <c:pt idx="9">
                  <c:v>1018.9428547600068</c:v>
                </c:pt>
                <c:pt idx="10">
                  <c:v>1020.8567648248568</c:v>
                </c:pt>
                <c:pt idx="11">
                  <c:v>1022.7742698427695</c:v>
                </c:pt>
                <c:pt idx="12">
                  <c:v>1024.6953765662499</c:v>
                </c:pt>
                <c:pt idx="13">
                  <c:v>1026.6200917604865</c:v>
                </c:pt>
                <c:pt idx="14">
                  <c:v>1028.5484222033751</c:v>
                </c:pt>
                <c:pt idx="15">
                  <c:v>1030.4803746855432</c:v>
                </c:pt>
                <c:pt idx="16">
                  <c:v>1032.4159560103719</c:v>
                </c:pt>
                <c:pt idx="17">
                  <c:v>1034.3551729940223</c:v>
                </c:pt>
                <c:pt idx="18">
                  <c:v>1036.2980324654588</c:v>
                </c:pt>
                <c:pt idx="19">
                  <c:v>1038.244541266472</c:v>
                </c:pt>
                <c:pt idx="20">
                  <c:v>1040.1947062517042</c:v>
                </c:pt>
                <c:pt idx="21">
                  <c:v>1042.1485342886729</c:v>
                </c:pt>
                <c:pt idx="22">
                  <c:v>1044.1060322577946</c:v>
                </c:pt>
                <c:pt idx="23">
                  <c:v>1046.0672070524101</c:v>
                </c:pt>
                <c:pt idx="24">
                  <c:v>1048.0320655788078</c:v>
                </c:pt>
                <c:pt idx="25">
                  <c:v>1050.0006147562485</c:v>
                </c:pt>
                <c:pt idx="26">
                  <c:v>1051.9728615169897</c:v>
                </c:pt>
                <c:pt idx="27">
                  <c:v>1053.9488128063097</c:v>
                </c:pt>
                <c:pt idx="28">
                  <c:v>1055.9284755825327</c:v>
                </c:pt>
                <c:pt idx="29">
                  <c:v>1057.9118568170527</c:v>
                </c:pt>
                <c:pt idx="30">
                  <c:v>1059.8989634943582</c:v>
                </c:pt>
                <c:pt idx="31">
                  <c:v>1061.8898026120571</c:v>
                </c:pt>
                <c:pt idx="32">
                  <c:v>1063.8843811809008</c:v>
                </c:pt>
                <c:pt idx="33">
                  <c:v>1065.8827062248097</c:v>
                </c:pt>
                <c:pt idx="34">
                  <c:v>1067.884784780897</c:v>
                </c:pt>
                <c:pt idx="35">
                  <c:v>1069.8906238994939</c:v>
                </c:pt>
                <c:pt idx="36">
                  <c:v>1071.9002306441748</c:v>
                </c:pt>
                <c:pt idx="37">
                  <c:v>1073.9136120917813</c:v>
                </c:pt>
                <c:pt idx="38">
                  <c:v>1075.9307753324479</c:v>
                </c:pt>
                <c:pt idx="39">
                  <c:v>1077.951727469627</c:v>
                </c:pt>
                <c:pt idx="40">
                  <c:v>1079.9764756201137</c:v>
                </c:pt>
                <c:pt idx="41">
                  <c:v>1082.0050269140695</c:v>
                </c:pt>
                <c:pt idx="42">
                  <c:v>1084.0373884950504</c:v>
                </c:pt>
                <c:pt idx="43">
                  <c:v>1086.0735675200292</c:v>
                </c:pt>
                <c:pt idx="44">
                  <c:v>1088.1135711594225</c:v>
                </c:pt>
                <c:pt idx="45">
                  <c:v>1090.1574065971149</c:v>
                </c:pt>
                <c:pt idx="46">
                  <c:v>1092.205081030485</c:v>
                </c:pt>
                <c:pt idx="47">
                  <c:v>1094.25660167043</c:v>
                </c:pt>
                <c:pt idx="48">
                  <c:v>1096.311975741392</c:v>
                </c:pt>
                <c:pt idx="49">
                  <c:v>1098.3712104813826</c:v>
                </c:pt>
                <c:pt idx="50">
                  <c:v>1100.4343131420094</c:v>
                </c:pt>
                <c:pt idx="51">
                  <c:v>1102.5012909884999</c:v>
                </c:pt>
                <c:pt idx="52">
                  <c:v>1104.5721512997291</c:v>
                </c:pt>
                <c:pt idx="53">
                  <c:v>1106.6469013682436</c:v>
                </c:pt>
                <c:pt idx="54">
                  <c:v>1108.7255485002879</c:v>
                </c:pt>
                <c:pt idx="55">
                  <c:v>1110.8081000158297</c:v>
                </c:pt>
                <c:pt idx="56">
                  <c:v>1112.8945632485868</c:v>
                </c:pt>
                <c:pt idx="57">
                  <c:v>1114.9849455460514</c:v>
                </c:pt>
                <c:pt idx="58">
                  <c:v>1117.0792542695172</c:v>
                </c:pt>
                <c:pt idx="59">
                  <c:v>1119.1774967941042</c:v>
                </c:pt>
                <c:pt idx="60">
                  <c:v>1121.2796805087862</c:v>
                </c:pt>
                <c:pt idx="61">
                  <c:v>1123.385812816415</c:v>
                </c:pt>
                <c:pt idx="62">
                  <c:v>1125.495901133748</c:v>
                </c:pt>
                <c:pt idx="63">
                  <c:v>1127.6099528914735</c:v>
                </c:pt>
                <c:pt idx="64">
                  <c:v>1129.7279755342374</c:v>
                </c:pt>
                <c:pt idx="65">
                  <c:v>1131.8499765206686</c:v>
                </c:pt>
                <c:pt idx="66">
                  <c:v>1133.9759633234059</c:v>
                </c:pt>
                <c:pt idx="67">
                  <c:v>1136.1059434291244</c:v>
                </c:pt>
                <c:pt idx="68">
                  <c:v>1138.2399243385612</c:v>
                </c:pt>
                <c:pt idx="69">
                  <c:v>1140.3779135665429</c:v>
                </c:pt>
                <c:pt idx="70">
                  <c:v>1142.5199186420107</c:v>
                </c:pt>
                <c:pt idx="71">
                  <c:v>1144.6659471080482</c:v>
                </c:pt>
                <c:pt idx="72">
                  <c:v>1146.8160065219074</c:v>
                </c:pt>
                <c:pt idx="73">
                  <c:v>1148.970104455035</c:v>
                </c:pt>
                <c:pt idx="74">
                  <c:v>1151.1282484930989</c:v>
                </c:pt>
                <c:pt idx="75">
                  <c:v>1153.2904462360166</c:v>
                </c:pt>
                <c:pt idx="76">
                  <c:v>1155.4567052979799</c:v>
                </c:pt>
                <c:pt idx="77">
                  <c:v>1157.6270333074824</c:v>
                </c:pt>
                <c:pt idx="78">
                  <c:v>1159.8014379073475</c:v>
                </c:pt>
                <c:pt idx="79">
                  <c:v>1161.9799267547533</c:v>
                </c:pt>
                <c:pt idx="80">
                  <c:v>1164.162507521261</c:v>
                </c:pt>
                <c:pt idx="81">
                  <c:v>1166.3491878928417</c:v>
                </c:pt>
                <c:pt idx="82">
                  <c:v>1168.5399755699029</c:v>
                </c:pt>
                <c:pt idx="83">
                  <c:v>1170.7348782673164</c:v>
                </c:pt>
                <c:pt idx="84">
                  <c:v>1172.9339037144446</c:v>
                </c:pt>
                <c:pt idx="85">
                  <c:v>1175.137059655169</c:v>
                </c:pt>
                <c:pt idx="86">
                  <c:v>1177.3443538479153</c:v>
                </c:pt>
                <c:pt idx="87">
                  <c:v>1179.5557940656836</c:v>
                </c:pt>
                <c:pt idx="88">
                  <c:v>1181.7713880960735</c:v>
                </c:pt>
                <c:pt idx="89">
                  <c:v>1183.9911437413118</c:v>
                </c:pt>
                <c:pt idx="90">
                  <c:v>1186.2150688182815</c:v>
                </c:pt>
                <c:pt idx="91">
                  <c:v>1188.4431711585476</c:v>
                </c:pt>
                <c:pt idx="92">
                  <c:v>1190.6754586083855</c:v>
                </c:pt>
                <c:pt idx="93">
                  <c:v>1192.9119390288081</c:v>
                </c:pt>
                <c:pt idx="94">
                  <c:v>1195.1526202955952</c:v>
                </c:pt>
                <c:pt idx="95">
                  <c:v>1197.3975102993179</c:v>
                </c:pt>
                <c:pt idx="96">
                  <c:v>1199.6466169453704</c:v>
                </c:pt>
                <c:pt idx="97">
                  <c:v>1201.8999481539943</c:v>
                </c:pt>
                <c:pt idx="98">
                  <c:v>1204.1575118603087</c:v>
                </c:pt>
                <c:pt idx="99">
                  <c:v>1206.4193160143377</c:v>
                </c:pt>
                <c:pt idx="100">
                  <c:v>1208.6853685810374</c:v>
                </c:pt>
                <c:pt idx="101">
                  <c:v>1210.9556775403257</c:v>
                </c:pt>
                <c:pt idx="102">
                  <c:v>1213.2302508871085</c:v>
                </c:pt>
                <c:pt idx="103">
                  <c:v>1215.5090966313089</c:v>
                </c:pt>
                <c:pt idx="104">
                  <c:v>1217.7922227978959</c:v>
                </c:pt>
                <c:pt idx="105">
                  <c:v>1220.0796374269116</c:v>
                </c:pt>
                <c:pt idx="106">
                  <c:v>1222.3713485735</c:v>
                </c:pt>
                <c:pt idx="107">
                  <c:v>1224.6673643079348</c:v>
                </c:pt>
                <c:pt idx="108">
                  <c:v>1226.9676927156497</c:v>
                </c:pt>
                <c:pt idx="109">
                  <c:v>1229.2723418972639</c:v>
                </c:pt>
                <c:pt idx="110">
                  <c:v>1231.5813199686131</c:v>
                </c:pt>
                <c:pt idx="111">
                  <c:v>1233.8946350607775</c:v>
                </c:pt>
                <c:pt idx="112">
                  <c:v>1236.2122953201094</c:v>
                </c:pt>
                <c:pt idx="113">
                  <c:v>1238.5343089082628</c:v>
                </c:pt>
                <c:pt idx="114">
                  <c:v>1240.8606840022223</c:v>
                </c:pt>
                <c:pt idx="115">
                  <c:v>1243.1914287943314</c:v>
                </c:pt>
                <c:pt idx="116">
                  <c:v>1245.5265514923212</c:v>
                </c:pt>
                <c:pt idx="117">
                  <c:v>1247.8660603193402</c:v>
                </c:pt>
                <c:pt idx="118">
                  <c:v>1250.2099635139828</c:v>
                </c:pt>
                <c:pt idx="119">
                  <c:v>1252.5582693303172</c:v>
                </c:pt>
                <c:pt idx="120">
                  <c:v>1254.9109860379162</c:v>
                </c:pt>
                <c:pt idx="121">
                  <c:v>1257.2681219218853</c:v>
                </c:pt>
                <c:pt idx="122">
                  <c:v>1259.6296852828928</c:v>
                </c:pt>
                <c:pt idx="123">
                  <c:v>1261.995684437197</c:v>
                </c:pt>
                <c:pt idx="124">
                  <c:v>1264.3661277166789</c:v>
                </c:pt>
                <c:pt idx="125">
                  <c:v>1266.7410234688673</c:v>
                </c:pt>
                <c:pt idx="126">
                  <c:v>1269.1203800569724</c:v>
                </c:pt>
                <c:pt idx="127">
                  <c:v>1271.5042058599115</c:v>
                </c:pt>
                <c:pt idx="128">
                  <c:v>1273.8925092723414</c:v>
                </c:pt>
                <c:pt idx="129">
                  <c:v>1276.2852987046867</c:v>
                </c:pt>
                <c:pt idx="130">
                  <c:v>1278.6825825831691</c:v>
                </c:pt>
                <c:pt idx="131">
                  <c:v>1281.084369349838</c:v>
                </c:pt>
                <c:pt idx="132">
                  <c:v>1283.4906674625995</c:v>
                </c:pt>
                <c:pt idx="133">
                  <c:v>1285.9014853952465</c:v>
                </c:pt>
                <c:pt idx="134">
                  <c:v>1288.3168316374879</c:v>
                </c:pt>
                <c:pt idx="135">
                  <c:v>1290.7367146949805</c:v>
                </c:pt>
                <c:pt idx="136">
                  <c:v>1293.1611430893558</c:v>
                </c:pt>
                <c:pt idx="137">
                  <c:v>1295.5901253582533</c:v>
                </c:pt>
                <c:pt idx="138">
                  <c:v>1298.0236700553478</c:v>
                </c:pt>
                <c:pt idx="139">
                  <c:v>1300.4617857503813</c:v>
                </c:pt>
                <c:pt idx="140">
                  <c:v>1302.9044810291923</c:v>
                </c:pt>
                <c:pt idx="141">
                  <c:v>1305.3517644937467</c:v>
                </c:pt>
                <c:pt idx="142">
                  <c:v>1307.8036447621676</c:v>
                </c:pt>
                <c:pt idx="143">
                  <c:v>1310.2601304687653</c:v>
                </c:pt>
                <c:pt idx="144">
                  <c:v>1312.7212302640689</c:v>
                </c:pt>
                <c:pt idx="145">
                  <c:v>1315.1869528148557</c:v>
                </c:pt>
                <c:pt idx="146">
                  <c:v>1317.6573068041819</c:v>
                </c:pt>
                <c:pt idx="147">
                  <c:v>1320.1323009314137</c:v>
                </c:pt>
                <c:pt idx="148">
                  <c:v>1322.6119439122572</c:v>
                </c:pt>
                <c:pt idx="149">
                  <c:v>1325.0962444787897</c:v>
                </c:pt>
                <c:pt idx="150">
                  <c:v>1327.5852113794904</c:v>
                </c:pt>
                <c:pt idx="151">
                  <c:v>1330.0788533792702</c:v>
                </c:pt>
                <c:pt idx="152">
                  <c:v>1332.5771792595046</c:v>
                </c:pt>
                <c:pt idx="153">
                  <c:v>1335.0801978180627</c:v>
                </c:pt>
                <c:pt idx="154">
                  <c:v>1337.5879178693385</c:v>
                </c:pt>
                <c:pt idx="155">
                  <c:v>1340.1003482442832</c:v>
                </c:pt>
                <c:pt idx="156">
                  <c:v>1342.617497790435</c:v>
                </c:pt>
                <c:pt idx="157">
                  <c:v>1345.139375371951</c:v>
                </c:pt>
                <c:pt idx="158">
                  <c:v>1347.6659898696373</c:v>
                </c:pt>
                <c:pt idx="159">
                  <c:v>1350.1973501809819</c:v>
                </c:pt>
                <c:pt idx="160">
                  <c:v>1352.7334652201848</c:v>
                </c:pt>
                <c:pt idx="161">
                  <c:v>1355.27434391819</c:v>
                </c:pt>
                <c:pt idx="162">
                  <c:v>1357.8199952227169</c:v>
                </c:pt>
                <c:pt idx="163">
                  <c:v>1360.3704280982911</c:v>
                </c:pt>
                <c:pt idx="164">
                  <c:v>1362.9256515262773</c:v>
                </c:pt>
                <c:pt idx="165">
                  <c:v>1365.4856745049092</c:v>
                </c:pt>
                <c:pt idx="166">
                  <c:v>1368.0505060493228</c:v>
                </c:pt>
                <c:pt idx="167">
                  <c:v>1370.6201551915881</c:v>
                </c:pt>
                <c:pt idx="168">
                  <c:v>1373.1946309807383</c:v>
                </c:pt>
                <c:pt idx="169">
                  <c:v>1375.773942482806</c:v>
                </c:pt>
                <c:pt idx="170">
                  <c:v>1378.3580987808512</c:v>
                </c:pt>
                <c:pt idx="171">
                  <c:v>1380.9471089749959</c:v>
                </c:pt>
                <c:pt idx="172">
                  <c:v>1383.5409821824537</c:v>
                </c:pt>
                <c:pt idx="173">
                  <c:v>1386.1397275375652</c:v>
                </c:pt>
                <c:pt idx="174">
                  <c:v>1388.7433541918269</c:v>
                </c:pt>
                <c:pt idx="175">
                  <c:v>1391.3518713139254</c:v>
                </c:pt>
                <c:pt idx="176">
                  <c:v>1393.965288089769</c:v>
                </c:pt>
                <c:pt idx="177">
                  <c:v>1396.5836137225201</c:v>
                </c:pt>
                <c:pt idx="178">
                  <c:v>1399.2068574326274</c:v>
                </c:pt>
                <c:pt idx="179">
                  <c:v>1401.8350284578598</c:v>
                </c:pt>
                <c:pt idx="180">
                  <c:v>1404.4681360533359</c:v>
                </c:pt>
                <c:pt idx="181">
                  <c:v>1407.1061894915601</c:v>
                </c:pt>
                <c:pt idx="182">
                  <c:v>1409.7491980624529</c:v>
                </c:pt>
                <c:pt idx="183">
                  <c:v>1412.3971710733847</c:v>
                </c:pt>
                <c:pt idx="184">
                  <c:v>1415.0501178492073</c:v>
                </c:pt>
                <c:pt idx="185">
                  <c:v>1417.7080477322888</c:v>
                </c:pt>
                <c:pt idx="186">
                  <c:v>1420.3709700825443</c:v>
                </c:pt>
                <c:pt idx="187">
                  <c:v>1423.0388942774709</c:v>
                </c:pt>
                <c:pt idx="188">
                  <c:v>1425.7118297121792</c:v>
                </c:pt>
                <c:pt idx="189">
                  <c:v>1428.3897857994268</c:v>
                </c:pt>
                <c:pt idx="190">
                  <c:v>1431.0727719696517</c:v>
                </c:pt>
                <c:pt idx="191">
                  <c:v>1433.7607976710053</c:v>
                </c:pt>
                <c:pt idx="192">
                  <c:v>1436.4538723693861</c:v>
                </c:pt>
                <c:pt idx="193">
                  <c:v>1439.1520055484721</c:v>
                </c:pt>
                <c:pt idx="194">
                  <c:v>1441.8552067097553</c:v>
                </c:pt>
                <c:pt idx="195">
                  <c:v>1444.5634853725742</c:v>
                </c:pt>
                <c:pt idx="196">
                  <c:v>1447.2768510741478</c:v>
                </c:pt>
                <c:pt idx="197">
                  <c:v>1449.9953133696097</c:v>
                </c:pt>
                <c:pt idx="198">
                  <c:v>1452.7188818320406</c:v>
                </c:pt>
                <c:pt idx="199">
                  <c:v>1455.4475660525025</c:v>
                </c:pt>
                <c:pt idx="200">
                  <c:v>1458.1813756400729</c:v>
                </c:pt>
                <c:pt idx="201">
                  <c:v>1460.9203202218785</c:v>
                </c:pt>
                <c:pt idx="202">
                  <c:v>1463.6644094431285</c:v>
                </c:pt>
                <c:pt idx="203">
                  <c:v>1466.4136529671491</c:v>
                </c:pt>
                <c:pt idx="204">
                  <c:v>1469.1680604754176</c:v>
                </c:pt>
                <c:pt idx="205">
                  <c:v>1471.9276416675959</c:v>
                </c:pt>
                <c:pt idx="206">
                  <c:v>1474.6924062615653</c:v>
                </c:pt>
                <c:pt idx="207">
                  <c:v>1477.4623639934605</c:v>
                </c:pt>
                <c:pt idx="208">
                  <c:v>1480.2375246177039</c:v>
                </c:pt>
                <c:pt idx="209">
                  <c:v>1483.0178979070404</c:v>
                </c:pt>
                <c:pt idx="210">
                  <c:v>1485.8034936525696</c:v>
                </c:pt>
                <c:pt idx="211">
                  <c:v>1488.5943216637843</c:v>
                </c:pt>
                <c:pt idx="212">
                  <c:v>1491.3903917686007</c:v>
                </c:pt>
                <c:pt idx="213">
                  <c:v>1494.1917138133967</c:v>
                </c:pt>
                <c:pt idx="214">
                  <c:v>1496.998297663044</c:v>
                </c:pt>
                <c:pt idx="215">
                  <c:v>1499.8101532009443</c:v>
                </c:pt>
                <c:pt idx="216">
                  <c:v>1502.627290329063</c:v>
                </c:pt>
                <c:pt idx="217">
                  <c:v>1505.4497189679651</c:v>
                </c:pt>
                <c:pt idx="218">
                  <c:v>1508.277449056849</c:v>
                </c:pt>
                <c:pt idx="219">
                  <c:v>1511.1104905535838</c:v>
                </c:pt>
                <c:pt idx="220">
                  <c:v>1513.9488534347406</c:v>
                </c:pt>
                <c:pt idx="221">
                  <c:v>1516.7925476956318</c:v>
                </c:pt>
                <c:pt idx="222">
                  <c:v>1519.6415833503427</c:v>
                </c:pt>
                <c:pt idx="223">
                  <c:v>1522.4959704317696</c:v>
                </c:pt>
                <c:pt idx="224">
                  <c:v>1525.3557189916526</c:v>
                </c:pt>
                <c:pt idx="225">
                  <c:v>1528.2208391006134</c:v>
                </c:pt>
                <c:pt idx="226">
                  <c:v>1531.0913408481888</c:v>
                </c:pt>
                <c:pt idx="227">
                  <c:v>1533.9672343428679</c:v>
                </c:pt>
                <c:pt idx="228">
                  <c:v>1536.8485297121263</c:v>
                </c:pt>
                <c:pt idx="229">
                  <c:v>1539.7352371024629</c:v>
                </c:pt>
                <c:pt idx="230">
                  <c:v>1542.6273666794336</c:v>
                </c:pt>
                <c:pt idx="231">
                  <c:v>1545.5249286276908</c:v>
                </c:pt>
                <c:pt idx="232">
                  <c:v>1548.4279331510149</c:v>
                </c:pt>
                <c:pt idx="233">
                  <c:v>1551.3363904723537</c:v>
                </c:pt>
                <c:pt idx="234">
                  <c:v>1554.2503108338569</c:v>
                </c:pt>
                <c:pt idx="235">
                  <c:v>1557.1697044969117</c:v>
                </c:pt>
                <c:pt idx="236">
                  <c:v>1560.0945817421798</c:v>
                </c:pt>
                <c:pt idx="237">
                  <c:v>1563.024952869634</c:v>
                </c:pt>
                <c:pt idx="238">
                  <c:v>1565.9608281985932</c:v>
                </c:pt>
                <c:pt idx="239">
                  <c:v>1568.9022180677591</c:v>
                </c:pt>
                <c:pt idx="240">
                  <c:v>1571.8491328352541</c:v>
                </c:pt>
                <c:pt idx="241">
                  <c:v>1574.8015828786547</c:v>
                </c:pt>
                <c:pt idx="242">
                  <c:v>1577.7595785950321</c:v>
                </c:pt>
                <c:pt idx="243">
                  <c:v>1580.7231304009847</c:v>
                </c:pt>
                <c:pt idx="244">
                  <c:v>1583.6922487326779</c:v>
                </c:pt>
                <c:pt idx="245">
                  <c:v>1586.6669440458793</c:v>
                </c:pt>
                <c:pt idx="246">
                  <c:v>1589.6472268159953</c:v>
                </c:pt>
                <c:pt idx="247">
                  <c:v>1592.6331075381099</c:v>
                </c:pt>
                <c:pt idx="248">
                  <c:v>1595.6245967270188</c:v>
                </c:pt>
                <c:pt idx="249">
                  <c:v>1598.621704917269</c:v>
                </c:pt>
                <c:pt idx="250">
                  <c:v>1601.6244426631945</c:v>
                </c:pt>
                <c:pt idx="251">
                  <c:v>1604.6328205389539</c:v>
                </c:pt>
                <c:pt idx="252">
                  <c:v>1607.6468491385672</c:v>
                </c:pt>
                <c:pt idx="253">
                  <c:v>1610.6665390759538</c:v>
                </c:pt>
                <c:pt idx="254">
                  <c:v>1613.6919009849696</c:v>
                </c:pt>
                <c:pt idx="255">
                  <c:v>1616.722945519444</c:v>
                </c:pt>
                <c:pt idx="256">
                  <c:v>1619.7596833532184</c:v>
                </c:pt>
                <c:pt idx="257">
                  <c:v>1622.8021251801824</c:v>
                </c:pt>
                <c:pt idx="258">
                  <c:v>1625.8502817143133</c:v>
                </c:pt>
                <c:pt idx="259">
                  <c:v>1628.9041636897111</c:v>
                </c:pt>
                <c:pt idx="260">
                  <c:v>1631.9637818606402</c:v>
                </c:pt>
                <c:pt idx="261">
                  <c:v>1635.0291470015632</c:v>
                </c:pt>
                <c:pt idx="262">
                  <c:v>1638.1002699071814</c:v>
                </c:pt>
                <c:pt idx="263">
                  <c:v>1641.1771613924723</c:v>
                </c:pt>
                <c:pt idx="264">
                  <c:v>1644.2598322927272</c:v>
                </c:pt>
                <c:pt idx="265">
                  <c:v>1647.348293463589</c:v>
                </c:pt>
                <c:pt idx="266">
                  <c:v>1650.4425557810928</c:v>
                </c:pt>
                <c:pt idx="267">
                  <c:v>1653.5426301417008</c:v>
                </c:pt>
                <c:pt idx="268">
                  <c:v>1656.6485274623433</c:v>
                </c:pt>
                <c:pt idx="269">
                  <c:v>1659.7602586804555</c:v>
                </c:pt>
                <c:pt idx="270">
                  <c:v>1662.8778347540176</c:v>
                </c:pt>
                <c:pt idx="271">
                  <c:v>1666.0012666615914</c:v>
                </c:pt>
                <c:pt idx="272">
                  <c:v>1669.1305654023611</c:v>
                </c:pt>
                <c:pt idx="273">
                  <c:v>1672.2657419961699</c:v>
                </c:pt>
                <c:pt idx="274">
                  <c:v>1675.4068074835611</c:v>
                </c:pt>
                <c:pt idx="275">
                  <c:v>1678.5537729258149</c:v>
                </c:pt>
                <c:pt idx="276">
                  <c:v>1681.7066494049884</c:v>
                </c:pt>
                <c:pt idx="277">
                  <c:v>1684.8654480239547</c:v>
                </c:pt>
                <c:pt idx="278">
                  <c:v>1688.0301799064414</c:v>
                </c:pt>
                <c:pt idx="279">
                  <c:v>1691.2008561970706</c:v>
                </c:pt>
                <c:pt idx="280">
                  <c:v>1694.3774880613973</c:v>
                </c:pt>
                <c:pt idx="281">
                  <c:v>1697.560086685949</c:v>
                </c:pt>
                <c:pt idx="282">
                  <c:v>1700.7486632782659</c:v>
                </c:pt>
                <c:pt idx="283">
                  <c:v>1703.9432290669381</c:v>
                </c:pt>
                <c:pt idx="284">
                  <c:v>1707.1437953016487</c:v>
                </c:pt>
                <c:pt idx="285">
                  <c:v>1710.3503732532097</c:v>
                </c:pt>
                <c:pt idx="286">
                  <c:v>1713.5629742136048</c:v>
                </c:pt>
                <c:pt idx="287">
                  <c:v>1716.781609496026</c:v>
                </c:pt>
                <c:pt idx="288">
                  <c:v>1720.0062904349174</c:v>
                </c:pt>
                <c:pt idx="289">
                  <c:v>1723.2370283860107</c:v>
                </c:pt>
                <c:pt idx="290">
                  <c:v>1726.4738347263692</c:v>
                </c:pt>
                <c:pt idx="291">
                  <c:v>1729.7167208544254</c:v>
                </c:pt>
                <c:pt idx="292">
                  <c:v>1732.9656981900214</c:v>
                </c:pt>
                <c:pt idx="293">
                  <c:v>1736.2207781744498</c:v>
                </c:pt>
                <c:pt idx="294">
                  <c:v>1739.4819722704945</c:v>
                </c:pt>
                <c:pt idx="295">
                  <c:v>1742.7492919624685</c:v>
                </c:pt>
                <c:pt idx="296">
                  <c:v>1746.0227487562581</c:v>
                </c:pt>
                <c:pt idx="297">
                  <c:v>1749.3023541793598</c:v>
                </c:pt>
                <c:pt idx="298">
                  <c:v>1752.588119780924</c:v>
                </c:pt>
                <c:pt idx="299">
                  <c:v>1755.8800571317925</c:v>
                </c:pt>
                <c:pt idx="300">
                  <c:v>1759.1781778245429</c:v>
                </c:pt>
                <c:pt idx="301">
                  <c:v>1762.4824934735259</c:v>
                </c:pt>
                <c:pt idx="302">
                  <c:v>1765.793015714909</c:v>
                </c:pt>
                <c:pt idx="303">
                  <c:v>1769.1097562067146</c:v>
                </c:pt>
                <c:pt idx="304">
                  <c:v>1772.4327266288644</c:v>
                </c:pt>
                <c:pt idx="305">
                  <c:v>1775.761938683218</c:v>
                </c:pt>
                <c:pt idx="306">
                  <c:v>1779.0974040936153</c:v>
                </c:pt>
                <c:pt idx="307">
                  <c:v>1782.4391346059172</c:v>
                </c:pt>
                <c:pt idx="308">
                  <c:v>1785.7871419880471</c:v>
                </c:pt>
                <c:pt idx="309">
                  <c:v>1789.1414380300323</c:v>
                </c:pt>
                <c:pt idx="310">
                  <c:v>1792.5020345440466</c:v>
                </c:pt>
                <c:pt idx="311">
                  <c:v>1795.8689433644495</c:v>
                </c:pt>
                <c:pt idx="312">
                  <c:v>1799.2421763478305</c:v>
                </c:pt>
                <c:pt idx="313">
                  <c:v>1802.6217453730492</c:v>
                </c:pt>
                <c:pt idx="314">
                  <c:v>1806.0076623412776</c:v>
                </c:pt>
                <c:pt idx="315">
                  <c:v>1809.3999391760422</c:v>
                </c:pt>
                <c:pt idx="316">
                  <c:v>1812.798587823266</c:v>
                </c:pt>
                <c:pt idx="317">
                  <c:v>1816.2036202513093</c:v>
                </c:pt>
                <c:pt idx="318">
                  <c:v>1819.615048451014</c:v>
                </c:pt>
                <c:pt idx="319">
                  <c:v>1823.0328844357446</c:v>
                </c:pt>
                <c:pt idx="320">
                  <c:v>1826.4571402414306</c:v>
                </c:pt>
                <c:pt idx="321">
                  <c:v>1829.8878279266089</c:v>
                </c:pt>
                <c:pt idx="322">
                  <c:v>1833.3249595724656</c:v>
                </c:pt>
                <c:pt idx="323">
                  <c:v>1836.7685472828805</c:v>
                </c:pt>
                <c:pt idx="324">
                  <c:v>1840.2186031844676</c:v>
                </c:pt>
                <c:pt idx="325">
                  <c:v>1843.6751394266189</c:v>
                </c:pt>
                <c:pt idx="326">
                  <c:v>1847.1381681815471</c:v>
                </c:pt>
                <c:pt idx="327">
                  <c:v>1850.607701644328</c:v>
                </c:pt>
                <c:pt idx="328">
                  <c:v>1854.0837520329442</c:v>
                </c:pt>
                <c:pt idx="329">
                  <c:v>1857.5663315883273</c:v>
                </c:pt>
                <c:pt idx="330">
                  <c:v>1861.0554525744017</c:v>
                </c:pt>
                <c:pt idx="331">
                  <c:v>1864.5511272781268</c:v>
                </c:pt>
                <c:pt idx="332">
                  <c:v>1868.0533680095421</c:v>
                </c:pt>
                <c:pt idx="333">
                  <c:v>1871.5621871018086</c:v>
                </c:pt>
                <c:pt idx="334">
                  <c:v>1875.0775969112535</c:v>
                </c:pt>
                <c:pt idx="335">
                  <c:v>1878.5996098174126</c:v>
                </c:pt>
                <c:pt idx="336">
                  <c:v>1882.128238223075</c:v>
                </c:pt>
                <c:pt idx="337">
                  <c:v>1885.6634945543262</c:v>
                </c:pt>
                <c:pt idx="338">
                  <c:v>1889.2053912605927</c:v>
                </c:pt>
                <c:pt idx="339">
                  <c:v>1892.7539408146831</c:v>
                </c:pt>
                <c:pt idx="340">
                  <c:v>1896.3091557128369</c:v>
                </c:pt>
                <c:pt idx="341">
                  <c:v>1899.8710484747633</c:v>
                </c:pt>
                <c:pt idx="342">
                  <c:v>1903.4396316436882</c:v>
                </c:pt>
                <c:pt idx="343">
                  <c:v>1907.0149177863989</c:v>
                </c:pt>
                <c:pt idx="344">
                  <c:v>1910.5969194932859</c:v>
                </c:pt>
                <c:pt idx="345">
                  <c:v>1914.1856493783891</c:v>
                </c:pt>
                <c:pt idx="346">
                  <c:v>1917.781120079442</c:v>
                </c:pt>
                <c:pt idx="347">
                  <c:v>1921.3833442579155</c:v>
                </c:pt>
                <c:pt idx="348">
                  <c:v>1924.9923345990635</c:v>
                </c:pt>
                <c:pt idx="349">
                  <c:v>1928.608103811966</c:v>
                </c:pt>
                <c:pt idx="350">
                  <c:v>1932.2306646295763</c:v>
                </c:pt>
                <c:pt idx="351">
                  <c:v>1935.860029808762</c:v>
                </c:pt>
                <c:pt idx="352">
                  <c:v>1939.4962121303554</c:v>
                </c:pt>
                <c:pt idx="353">
                  <c:v>1943.1392243991925</c:v>
                </c:pt>
                <c:pt idx="354">
                  <c:v>1946.7890794441635</c:v>
                </c:pt>
                <c:pt idx="355">
                  <c:v>1950.4457901182529</c:v>
                </c:pt>
                <c:pt idx="356">
                  <c:v>1954.1093692985901</c:v>
                </c:pt>
                <c:pt idx="357">
                  <c:v>1957.7798298864893</c:v>
                </c:pt>
                <c:pt idx="358">
                  <c:v>1961.4571848074997</c:v>
                </c:pt>
                <c:pt idx="359">
                  <c:v>1965.1414470114482</c:v>
                </c:pt>
                <c:pt idx="360">
                  <c:v>1968.8326294724855</c:v>
                </c:pt>
                <c:pt idx="361">
                  <c:v>1972.5307451891317</c:v>
                </c:pt>
                <c:pt idx="362">
                  <c:v>1976.2358071843237</c:v>
                </c:pt>
                <c:pt idx="363">
                  <c:v>1979.9478285054586</c:v>
                </c:pt>
                <c:pt idx="364">
                  <c:v>1983.6668222244411</c:v>
                </c:pt>
                <c:pt idx="365">
                  <c:v>1987.3928014377295</c:v>
                </c:pt>
                <c:pt idx="366">
                  <c:v>1991.1257792663814</c:v>
                </c:pt>
                <c:pt idx="367">
                  <c:v>1994.8657688560997</c:v>
                </c:pt>
                <c:pt idx="368">
                  <c:v>1998.61278337728</c:v>
                </c:pt>
                <c:pt idx="369">
                  <c:v>2002.3668360250554</c:v>
                </c:pt>
                <c:pt idx="370">
                  <c:v>2006.1279400193448</c:v>
                </c:pt>
                <c:pt idx="371">
                  <c:v>2009.8961086048973</c:v>
                </c:pt>
                <c:pt idx="372">
                  <c:v>2013.6713550513407</c:v>
                </c:pt>
                <c:pt idx="373">
                  <c:v>2017.4536926532282</c:v>
                </c:pt>
                <c:pt idx="374">
                  <c:v>2021.2431347300828</c:v>
                </c:pt>
                <c:pt idx="375">
                  <c:v>2025.039694626447</c:v>
                </c:pt>
                <c:pt idx="376">
                  <c:v>2028.8433857119296</c:v>
                </c:pt>
                <c:pt idx="377">
                  <c:v>2032.6542213812497</c:v>
                </c:pt>
                <c:pt idx="378">
                  <c:v>2036.4722150542884</c:v>
                </c:pt>
                <c:pt idx="379">
                  <c:v>2040.2973801761323</c:v>
                </c:pt>
                <c:pt idx="380">
                  <c:v>2044.1297302171226</c:v>
                </c:pt>
                <c:pt idx="381">
                  <c:v>2047.9692786729026</c:v>
                </c:pt>
                <c:pt idx="382">
                  <c:v>2051.8160390644648</c:v>
                </c:pt>
                <c:pt idx="383">
                  <c:v>2055.6700249381979</c:v>
                </c:pt>
                <c:pt idx="384">
                  <c:v>2059.5312498659359</c:v>
                </c:pt>
                <c:pt idx="385">
                  <c:v>2063.3997274450048</c:v>
                </c:pt>
                <c:pt idx="386">
                  <c:v>2067.275471298271</c:v>
                </c:pt>
                <c:pt idx="387">
                  <c:v>2071.1584950741899</c:v>
                </c:pt>
                <c:pt idx="388">
                  <c:v>2075.0488124468511</c:v>
                </c:pt>
                <c:pt idx="389">
                  <c:v>2078.9464371160311</c:v>
                </c:pt>
                <c:pt idx="390">
                  <c:v>2082.8513828072373</c:v>
                </c:pt>
                <c:pt idx="391">
                  <c:v>2086.763663271759</c:v>
                </c:pt>
                <c:pt idx="392">
                  <c:v>2090.6832922867147</c:v>
                </c:pt>
                <c:pt idx="393">
                  <c:v>2094.6102836551013</c:v>
                </c:pt>
                <c:pt idx="394">
                  <c:v>2098.5446512058406</c:v>
                </c:pt>
                <c:pt idx="395">
                  <c:v>2102.4864087938327</c:v>
                </c:pt>
                <c:pt idx="396">
                  <c:v>2106.4355702999987</c:v>
                </c:pt>
                <c:pt idx="397">
                  <c:v>2110.3921496313342</c:v>
                </c:pt>
                <c:pt idx="398">
                  <c:v>2114.3561607209563</c:v>
                </c:pt>
                <c:pt idx="399">
                  <c:v>2118.3276175281535</c:v>
                </c:pt>
                <c:pt idx="400">
                  <c:v>2122.3065340384342</c:v>
                </c:pt>
                <c:pt idx="401">
                  <c:v>2126.292924263576</c:v>
                </c:pt>
                <c:pt idx="402">
                  <c:v>2130.2868022416746</c:v>
                </c:pt>
                <c:pt idx="403">
                  <c:v>2134.2881820371963</c:v>
                </c:pt>
                <c:pt idx="404">
                  <c:v>2138.2970777410223</c:v>
                </c:pt>
                <c:pt idx="405">
                  <c:v>2142.3135034705024</c:v>
                </c:pt>
                <c:pt idx="406">
                  <c:v>2146.3374733695032</c:v>
                </c:pt>
                <c:pt idx="407">
                  <c:v>2150.3690016084588</c:v>
                </c:pt>
                <c:pt idx="408">
                  <c:v>2154.4081023844187</c:v>
                </c:pt>
                <c:pt idx="409">
                  <c:v>2158.4547899211002</c:v>
                </c:pt>
                <c:pt idx="410">
                  <c:v>2162.5090784689373</c:v>
                </c:pt>
                <c:pt idx="411">
                  <c:v>2166.5709823051307</c:v>
                </c:pt>
                <c:pt idx="412">
                  <c:v>2170.6405157336981</c:v>
                </c:pt>
                <c:pt idx="413">
                  <c:v>2174.7176930855258</c:v>
                </c:pt>
                <c:pt idx="414">
                  <c:v>2178.8025287184173</c:v>
                </c:pt>
                <c:pt idx="415">
                  <c:v>2182.8950370171451</c:v>
                </c:pt>
                <c:pt idx="416">
                  <c:v>2186.9952323935013</c:v>
                </c:pt>
                <c:pt idx="417">
                  <c:v>2191.1031292863477</c:v>
                </c:pt>
                <c:pt idx="418">
                  <c:v>2195.2187421616686</c:v>
                </c:pt>
                <c:pt idx="419">
                  <c:v>2199.3420855126164</c:v>
                </c:pt>
                <c:pt idx="420">
                  <c:v>2203.4731738595701</c:v>
                </c:pt>
                <c:pt idx="421">
                  <c:v>2207.6120217501812</c:v>
                </c:pt>
                <c:pt idx="422">
                  <c:v>2211.7586437594277</c:v>
                </c:pt>
                <c:pt idx="423">
                  <c:v>2215.9130544896616</c:v>
                </c:pt>
                <c:pt idx="424">
                  <c:v>2220.0752685706652</c:v>
                </c:pt>
                <c:pt idx="425">
                  <c:v>2224.2453006597007</c:v>
                </c:pt>
                <c:pt idx="426">
                  <c:v>2228.4231654415589</c:v>
                </c:pt>
                <c:pt idx="427">
                  <c:v>2232.608877628616</c:v>
                </c:pt>
                <c:pt idx="428">
                  <c:v>2236.8024519608812</c:v>
                </c:pt>
                <c:pt idx="429">
                  <c:v>2241.0039032060517</c:v>
                </c:pt>
                <c:pt idx="430">
                  <c:v>2245.2132461595629</c:v>
                </c:pt>
                <c:pt idx="431">
                  <c:v>2249.4304956446404</c:v>
                </c:pt>
                <c:pt idx="432">
                  <c:v>2253.6556665123517</c:v>
                </c:pt>
                <c:pt idx="433">
                  <c:v>2257.8887736416618</c:v>
                </c:pt>
                <c:pt idx="434">
                  <c:v>2262.1298319394823</c:v>
                </c:pt>
                <c:pt idx="435">
                  <c:v>2266.3788563407247</c:v>
                </c:pt>
                <c:pt idx="436">
                  <c:v>2270.6358618083527</c:v>
                </c:pt>
                <c:pt idx="437">
                  <c:v>2274.9008633334361</c:v>
                </c:pt>
                <c:pt idx="438">
                  <c:v>2279.1738759352033</c:v>
                </c:pt>
                <c:pt idx="439">
                  <c:v>2283.4549146610925</c:v>
                </c:pt>
                <c:pt idx="440">
                  <c:v>2287.7439945868068</c:v>
                </c:pt>
                <c:pt idx="441">
                  <c:v>2292.0411308163666</c:v>
                </c:pt>
                <c:pt idx="442">
                  <c:v>2296.3463384821612</c:v>
                </c:pt>
                <c:pt idx="443">
                  <c:v>2300.6596327450056</c:v>
                </c:pt>
                <c:pt idx="444">
                  <c:v>2304.9810287941905</c:v>
                </c:pt>
                <c:pt idx="445">
                  <c:v>2309.3105418475366</c:v>
                </c:pt>
                <c:pt idx="446">
                  <c:v>2313.6481871514511</c:v>
                </c:pt>
                <c:pt idx="447">
                  <c:v>2317.9939799809754</c:v>
                </c:pt>
                <c:pt idx="448">
                  <c:v>2322.3479356398452</c:v>
                </c:pt>
                <c:pt idx="449">
                  <c:v>2326.7100694605406</c:v>
                </c:pt>
                <c:pt idx="450">
                  <c:v>2331.0803968043429</c:v>
                </c:pt>
                <c:pt idx="451">
                  <c:v>2335.4589330613826</c:v>
                </c:pt>
                <c:pt idx="452">
                  <c:v>2339.8456936507023</c:v>
                </c:pt>
                <c:pt idx="453">
                  <c:v>2344.2406940203045</c:v>
                </c:pt>
                <c:pt idx="454">
                  <c:v>2348.6439496472099</c:v>
                </c:pt>
                <c:pt idx="455">
                  <c:v>2353.0554760375071</c:v>
                </c:pt>
                <c:pt idx="456">
                  <c:v>2357.4752887264135</c:v>
                </c:pt>
                <c:pt idx="457">
                  <c:v>2361.9034032783247</c:v>
                </c:pt>
                <c:pt idx="458">
                  <c:v>2366.3398352868726</c:v>
                </c:pt>
                <c:pt idx="459">
                  <c:v>2370.7846003749773</c:v>
                </c:pt>
                <c:pt idx="460">
                  <c:v>2375.2377141949055</c:v>
                </c:pt>
                <c:pt idx="461">
                  <c:v>2379.6991924283238</c:v>
                </c:pt>
                <c:pt idx="462">
                  <c:v>2384.1690507863545</c:v>
                </c:pt>
                <c:pt idx="463">
                  <c:v>2388.6473050096288</c:v>
                </c:pt>
                <c:pt idx="464">
                  <c:v>2393.1339708683449</c:v>
                </c:pt>
                <c:pt idx="465">
                  <c:v>2397.6290641623241</c:v>
                </c:pt>
                <c:pt idx="466">
                  <c:v>2402.1326007210632</c:v>
                </c:pt>
                <c:pt idx="467">
                  <c:v>2406.6445964037916</c:v>
                </c:pt>
                <c:pt idx="468">
                  <c:v>2411.1650670995296</c:v>
                </c:pt>
                <c:pt idx="469">
                  <c:v>2415.6940287271409</c:v>
                </c:pt>
                <c:pt idx="470">
                  <c:v>2420.2314972353906</c:v>
                </c:pt>
                <c:pt idx="471">
                  <c:v>2424.7774886029993</c:v>
                </c:pt>
                <c:pt idx="472">
                  <c:v>2429.3320188387029</c:v>
                </c:pt>
                <c:pt idx="473">
                  <c:v>2433.8951039813073</c:v>
                </c:pt>
                <c:pt idx="474">
                  <c:v>2438.4667600997427</c:v>
                </c:pt>
                <c:pt idx="475">
                  <c:v>2443.0470032931216</c:v>
                </c:pt>
                <c:pt idx="476">
                  <c:v>2447.6358496907992</c:v>
                </c:pt>
                <c:pt idx="477">
                  <c:v>2452.2333154524235</c:v>
                </c:pt>
                <c:pt idx="478">
                  <c:v>2456.8394167679985</c:v>
                </c:pt>
                <c:pt idx="479">
                  <c:v>2461.4541698579346</c:v>
                </c:pt>
                <c:pt idx="480">
                  <c:v>2466.0775909731137</c:v>
                </c:pt>
                <c:pt idx="481">
                  <c:v>2470.7096963949398</c:v>
                </c:pt>
                <c:pt idx="482">
                  <c:v>2475.350502435399</c:v>
                </c:pt>
                <c:pt idx="483">
                  <c:v>2480.0000254371166</c:v>
                </c:pt>
                <c:pt idx="484">
                  <c:v>2484.6582817734156</c:v>
                </c:pt>
                <c:pt idx="485">
                  <c:v>2489.3252878483727</c:v>
                </c:pt>
                <c:pt idx="486">
                  <c:v>2494.0010600968776</c:v>
                </c:pt>
                <c:pt idx="487">
                  <c:v>2498.6856149846885</c:v>
                </c:pt>
                <c:pt idx="488">
                  <c:v>2503.3789690084936</c:v>
                </c:pt>
                <c:pt idx="489">
                  <c:v>2508.0811386959663</c:v>
                </c:pt>
                <c:pt idx="490">
                  <c:v>2512.7921406058249</c:v>
                </c:pt>
                <c:pt idx="491">
                  <c:v>2517.5119913278895</c:v>
                </c:pt>
                <c:pt idx="492">
                  <c:v>2522.2407074831422</c:v>
                </c:pt>
                <c:pt idx="493">
                  <c:v>2526.9783057237846</c:v>
                </c:pt>
                <c:pt idx="494">
                  <c:v>2531.7248027332976</c:v>
                </c:pt>
                <c:pt idx="495">
                  <c:v>2536.4802152264965</c:v>
                </c:pt>
                <c:pt idx="496">
                  <c:v>2541.2445599495954</c:v>
                </c:pt>
                <c:pt idx="497">
                  <c:v>2546.0178536802614</c:v>
                </c:pt>
                <c:pt idx="498">
                  <c:v>2550.8001132276772</c:v>
                </c:pt>
                <c:pt idx="499">
                  <c:v>2555.5913554325966</c:v>
                </c:pt>
                <c:pt idx="500">
                  <c:v>2560.3915971674073</c:v>
                </c:pt>
                <c:pt idx="501">
                  <c:v>2565.2008553361884</c:v>
                </c:pt>
                <c:pt idx="502">
                  <c:v>2570.0191468747721</c:v>
                </c:pt>
                <c:pt idx="503">
                  <c:v>2574.8464887507985</c:v>
                </c:pt>
                <c:pt idx="504">
                  <c:v>2579.6828979637812</c:v>
                </c:pt>
                <c:pt idx="505">
                  <c:v>2584.5283915451628</c:v>
                </c:pt>
                <c:pt idx="506">
                  <c:v>2589.3829865583775</c:v>
                </c:pt>
                <c:pt idx="507">
                  <c:v>2594.2467000989109</c:v>
                </c:pt>
                <c:pt idx="508">
                  <c:v>2599.1195492943575</c:v>
                </c:pt>
                <c:pt idx="509">
                  <c:v>2604.0015513044846</c:v>
                </c:pt>
                <c:pt idx="510">
                  <c:v>2608.8927233212908</c:v>
                </c:pt>
                <c:pt idx="511">
                  <c:v>2613.7930825690669</c:v>
                </c:pt>
                <c:pt idx="512">
                  <c:v>2618.7026463044567</c:v>
                </c:pt>
                <c:pt idx="513">
                  <c:v>2623.6214318165185</c:v>
                </c:pt>
                <c:pt idx="514">
                  <c:v>2628.5494564267819</c:v>
                </c:pt>
                <c:pt idx="515">
                  <c:v>2633.4867374893165</c:v>
                </c:pt>
                <c:pt idx="516">
                  <c:v>2638.4332923907855</c:v>
                </c:pt>
                <c:pt idx="517">
                  <c:v>2643.3891385505117</c:v>
                </c:pt>
                <c:pt idx="518">
                  <c:v>2648.3542934205348</c:v>
                </c:pt>
                <c:pt idx="519">
                  <c:v>2653.328774485678</c:v>
                </c:pt>
                <c:pt idx="520">
                  <c:v>2658.3125992636046</c:v>
                </c:pt>
                <c:pt idx="521">
                  <c:v>2663.3057853048831</c:v>
                </c:pt>
                <c:pt idx="522">
                  <c:v>2668.3083501930478</c:v>
                </c:pt>
                <c:pt idx="523">
                  <c:v>2673.3203115446595</c:v>
                </c:pt>
                <c:pt idx="524">
                  <c:v>2678.3416870093693</c:v>
                </c:pt>
                <c:pt idx="525">
                  <c:v>2683.372494269981</c:v>
                </c:pt>
                <c:pt idx="526">
                  <c:v>2688.412751042511</c:v>
                </c:pt>
                <c:pt idx="527">
                  <c:v>2693.4624750762528</c:v>
                </c:pt>
                <c:pt idx="528">
                  <c:v>2698.5216841538399</c:v>
                </c:pt>
                <c:pt idx="529">
                  <c:v>2703.5903960913065</c:v>
                </c:pt>
                <c:pt idx="530">
                  <c:v>2708.6686287381513</c:v>
                </c:pt>
                <c:pt idx="531">
                  <c:v>2713.7563999773993</c:v>
                </c:pt>
                <c:pt idx="532">
                  <c:v>2718.8537277256673</c:v>
                </c:pt>
                <c:pt idx="533">
                  <c:v>2723.9606299332254</c:v>
                </c:pt>
                <c:pt idx="534">
                  <c:v>2729.0771245840588</c:v>
                </c:pt>
                <c:pt idx="535">
                  <c:v>2734.2032296959337</c:v>
                </c:pt>
                <c:pt idx="536">
                  <c:v>2739.3389633204588</c:v>
                </c:pt>
                <c:pt idx="537">
                  <c:v>2744.4843435431508</c:v>
                </c:pt>
                <c:pt idx="538">
                  <c:v>2749.6393884834947</c:v>
                </c:pt>
                <c:pt idx="539">
                  <c:v>2754.8041162950126</c:v>
                </c:pt>
                <c:pt idx="540">
                  <c:v>2759.9785451653238</c:v>
                </c:pt>
                <c:pt idx="541">
                  <c:v>2765.1626933162097</c:v>
                </c:pt>
                <c:pt idx="542">
                  <c:v>2770.3565790036778</c:v>
                </c:pt>
                <c:pt idx="543">
                  <c:v>2775.5602205180271</c:v>
                </c:pt>
                <c:pt idx="544">
                  <c:v>2780.7736361839111</c:v>
                </c:pt>
                <c:pt idx="545">
                  <c:v>2785.9968443604057</c:v>
                </c:pt>
                <c:pt idx="546">
                  <c:v>2791.2298634410663</c:v>
                </c:pt>
                <c:pt idx="547">
                  <c:v>2796.4727118540009</c:v>
                </c:pt>
                <c:pt idx="548">
                  <c:v>2801.7254080619314</c:v>
                </c:pt>
                <c:pt idx="549">
                  <c:v>2806.9879705622584</c:v>
                </c:pt>
                <c:pt idx="550">
                  <c:v>2812.2604178871261</c:v>
                </c:pt>
                <c:pt idx="551">
                  <c:v>2817.5427686034882</c:v>
                </c:pt>
                <c:pt idx="552">
                  <c:v>2822.8350413131739</c:v>
                </c:pt>
                <c:pt idx="553">
                  <c:v>2828.1372546529519</c:v>
                </c:pt>
                <c:pt idx="554">
                  <c:v>2833.449427294599</c:v>
                </c:pt>
                <c:pt idx="555">
                  <c:v>2838.7715779449618</c:v>
                </c:pt>
                <c:pt idx="556">
                  <c:v>2844.1037253460231</c:v>
                </c:pt>
                <c:pt idx="557">
                  <c:v>2849.4458882749727</c:v>
                </c:pt>
                <c:pt idx="558">
                  <c:v>2854.7980855442688</c:v>
                </c:pt>
                <c:pt idx="559">
                  <c:v>2860.1603360017048</c:v>
                </c:pt>
                <c:pt idx="560">
                  <c:v>2865.532658530477</c:v>
                </c:pt>
                <c:pt idx="561">
                  <c:v>2870.9150720492507</c:v>
                </c:pt>
                <c:pt idx="562">
                  <c:v>2876.3075955122263</c:v>
                </c:pt>
                <c:pt idx="563">
                  <c:v>2881.7102479092068</c:v>
                </c:pt>
                <c:pt idx="564">
                  <c:v>2887.1230482656647</c:v>
                </c:pt>
                <c:pt idx="565">
                  <c:v>2892.5460156428076</c:v>
                </c:pt>
                <c:pt idx="566">
                  <c:v>2897.9791691376467</c:v>
                </c:pt>
                <c:pt idx="567">
                  <c:v>2903.4225278830645</c:v>
                </c:pt>
                <c:pt idx="568">
                  <c:v>2908.876111047879</c:v>
                </c:pt>
                <c:pt idx="569">
                  <c:v>2914.3399378369177</c:v>
                </c:pt>
                <c:pt idx="570">
                  <c:v>2919.8140274910756</c:v>
                </c:pt>
                <c:pt idx="571">
                  <c:v>2925.2983992873942</c:v>
                </c:pt>
                <c:pt idx="572">
                  <c:v>2930.7930725391188</c:v>
                </c:pt>
                <c:pt idx="573">
                  <c:v>2936.2980665957743</c:v>
                </c:pt>
                <c:pt idx="574">
                  <c:v>2941.8134008432294</c:v>
                </c:pt>
                <c:pt idx="575">
                  <c:v>2947.3390947037656</c:v>
                </c:pt>
                <c:pt idx="576">
                  <c:v>2952.8751676361462</c:v>
                </c:pt>
                <c:pt idx="577">
                  <c:v>2958.4216391356854</c:v>
                </c:pt>
                <c:pt idx="578">
                  <c:v>2963.9785287343129</c:v>
                </c:pt>
                <c:pt idx="579">
                  <c:v>2969.5458560006491</c:v>
                </c:pt>
                <c:pt idx="580">
                  <c:v>2975.1236405400696</c:v>
                </c:pt>
                <c:pt idx="581">
                  <c:v>2980.711901994775</c:v>
                </c:pt>
                <c:pt idx="582">
                  <c:v>2986.3106600438609</c:v>
                </c:pt>
                <c:pt idx="583">
                  <c:v>2991.9199344033859</c:v>
                </c:pt>
                <c:pt idx="584">
                  <c:v>2997.5397448264443</c:v>
                </c:pt>
                <c:pt idx="585">
                  <c:v>3003.1701111032289</c:v>
                </c:pt>
                <c:pt idx="586">
                  <c:v>3008.8110530611079</c:v>
                </c:pt>
                <c:pt idx="587">
                  <c:v>3014.4625905646926</c:v>
                </c:pt>
                <c:pt idx="588">
                  <c:v>3020.1247435159044</c:v>
                </c:pt>
                <c:pt idx="589">
                  <c:v>3025.7975318540489</c:v>
                </c:pt>
                <c:pt idx="590">
                  <c:v>3031.4809755558827</c:v>
                </c:pt>
                <c:pt idx="591">
                  <c:v>3037.1750946356851</c:v>
                </c:pt>
                <c:pt idx="592">
                  <c:v>3042.8799091453311</c:v>
                </c:pt>
                <c:pt idx="593">
                  <c:v>3048.5954391743589</c:v>
                </c:pt>
                <c:pt idx="594">
                  <c:v>3054.3217048500392</c:v>
                </c:pt>
                <c:pt idx="595">
                  <c:v>3060.0587263374505</c:v>
                </c:pt>
                <c:pt idx="596">
                  <c:v>3065.8065238395475</c:v>
                </c:pt>
                <c:pt idx="597">
                  <c:v>3071.5651175972339</c:v>
                </c:pt>
                <c:pt idx="598">
                  <c:v>3077.3345278894294</c:v>
                </c:pt>
                <c:pt idx="599">
                  <c:v>3083.114775033147</c:v>
                </c:pt>
                <c:pt idx="600">
                  <c:v>3088.9058793835607</c:v>
                </c:pt>
                <c:pt idx="601">
                  <c:v>3094.7078613340791</c:v>
                </c:pt>
                <c:pt idx="602">
                  <c:v>3100.5207413164144</c:v>
                </c:pt>
                <c:pt idx="603">
                  <c:v>3106.3445398006575</c:v>
                </c:pt>
                <c:pt idx="604">
                  <c:v>3112.179277295349</c:v>
                </c:pt>
                <c:pt idx="605">
                  <c:v>3118.024974347552</c:v>
                </c:pt>
                <c:pt idx="606">
                  <c:v>3123.8816515429216</c:v>
                </c:pt>
                <c:pt idx="607">
                  <c:v>3129.7493295057807</c:v>
                </c:pt>
                <c:pt idx="608">
                  <c:v>3135.6280288991925</c:v>
                </c:pt>
                <c:pt idx="609">
                  <c:v>3141.5177704250304</c:v>
                </c:pt>
                <c:pt idx="610">
                  <c:v>3147.4185748240543</c:v>
                </c:pt>
                <c:pt idx="611">
                  <c:v>3153.3304628759811</c:v>
                </c:pt>
                <c:pt idx="612">
                  <c:v>3159.2534553995588</c:v>
                </c:pt>
                <c:pt idx="613">
                  <c:v>3165.187573252641</c:v>
                </c:pt>
                <c:pt idx="614">
                  <c:v>3171.1328373322572</c:v>
                </c:pt>
                <c:pt idx="615">
                  <c:v>3177.0892685746903</c:v>
                </c:pt>
                <c:pt idx="616">
                  <c:v>3183.0568879555485</c:v>
                </c:pt>
                <c:pt idx="617">
                  <c:v>3189.0357164898373</c:v>
                </c:pt>
                <c:pt idx="618">
                  <c:v>3195.0257752320358</c:v>
                </c:pt>
                <c:pt idx="619">
                  <c:v>3201.0270852761719</c:v>
                </c:pt>
                <c:pt idx="620">
                  <c:v>3207.0396677558938</c:v>
                </c:pt>
                <c:pt idx="621">
                  <c:v>3213.0635438445456</c:v>
                </c:pt>
                <c:pt idx="622">
                  <c:v>3219.0987347552423</c:v>
                </c:pt>
                <c:pt idx="623">
                  <c:v>3225.1452617409441</c:v>
                </c:pt>
                <c:pt idx="624">
                  <c:v>3231.20314609453</c:v>
                </c:pt>
                <c:pt idx="625">
                  <c:v>3237.2724091488772</c:v>
                </c:pt>
                <c:pt idx="626">
                  <c:v>3243.3530722769297</c:v>
                </c:pt>
                <c:pt idx="627">
                  <c:v>3249.445156891778</c:v>
                </c:pt>
                <c:pt idx="628">
                  <c:v>3255.5486844467341</c:v>
                </c:pt>
                <c:pt idx="629">
                  <c:v>3261.6636764354066</c:v>
                </c:pt>
                <c:pt idx="630">
                  <c:v>3267.7901543917742</c:v>
                </c:pt>
                <c:pt idx="631">
                  <c:v>3273.9281398902654</c:v>
                </c:pt>
                <c:pt idx="632">
                  <c:v>3280.077654545832</c:v>
                </c:pt>
                <c:pt idx="633">
                  <c:v>3286.238720014027</c:v>
                </c:pt>
                <c:pt idx="634">
                  <c:v>3292.4113579910763</c:v>
                </c:pt>
                <c:pt idx="635">
                  <c:v>3298.5955902139617</c:v>
                </c:pt>
                <c:pt idx="636">
                  <c:v>3304.7914384604933</c:v>
                </c:pt>
                <c:pt idx="637">
                  <c:v>3310.9989245493862</c:v>
                </c:pt>
                <c:pt idx="638">
                  <c:v>3317.2180703403392</c:v>
                </c:pt>
                <c:pt idx="639">
                  <c:v>3323.4488977341111</c:v>
                </c:pt>
                <c:pt idx="640">
                  <c:v>3329.6914286725973</c:v>
                </c:pt>
                <c:pt idx="641">
                  <c:v>3335.9456851389059</c:v>
                </c:pt>
                <c:pt idx="642">
                  <c:v>3342.2116891574374</c:v>
                </c:pt>
                <c:pt idx="643">
                  <c:v>3348.489462793962</c:v>
                </c:pt>
                <c:pt idx="644">
                  <c:v>3354.7790281556977</c:v>
                </c:pt>
                <c:pt idx="645">
                  <c:v>3361.0804073913832</c:v>
                </c:pt>
                <c:pt idx="646">
                  <c:v>3367.3936226913638</c:v>
                </c:pt>
                <c:pt idx="647">
                  <c:v>3373.7186962876631</c:v>
                </c:pt>
                <c:pt idx="648">
                  <c:v>3380.0556504540668</c:v>
                </c:pt>
                <c:pt idx="649">
                  <c:v>3386.4045075061931</c:v>
                </c:pt>
                <c:pt idx="650">
                  <c:v>3392.7652898015817</c:v>
                </c:pt>
                <c:pt idx="651">
                  <c:v>3399.138019739763</c:v>
                </c:pt>
                <c:pt idx="652">
                  <c:v>3405.522719762344</c:v>
                </c:pt>
                <c:pt idx="653">
                  <c:v>3411.9194123530815</c:v>
                </c:pt>
                <c:pt idx="654">
                  <c:v>3418.3281200379674</c:v>
                </c:pt>
                <c:pt idx="655">
                  <c:v>3424.748865385302</c:v>
                </c:pt>
                <c:pt idx="656">
                  <c:v>3431.1816710057792</c:v>
                </c:pt>
                <c:pt idx="657">
                  <c:v>3437.6265595525601</c:v>
                </c:pt>
                <c:pt idx="658">
                  <c:v>3444.0835537213579</c:v>
                </c:pt>
                <c:pt idx="659">
                  <c:v>3450.5526762505151</c:v>
                </c:pt>
                <c:pt idx="660">
                  <c:v>3457.0339499210854</c:v>
                </c:pt>
                <c:pt idx="661">
                  <c:v>3463.5273975569107</c:v>
                </c:pt>
                <c:pt idx="662">
                  <c:v>3470.0330420247051</c:v>
                </c:pt>
                <c:pt idx="663">
                  <c:v>3476.5509062341334</c:v>
                </c:pt>
                <c:pt idx="664">
                  <c:v>3483.0810131378935</c:v>
                </c:pt>
                <c:pt idx="665">
                  <c:v>3489.6233857317934</c:v>
                </c:pt>
                <c:pt idx="666">
                  <c:v>3496.1780470548383</c:v>
                </c:pt>
                <c:pt idx="667">
                  <c:v>3502.7450201893053</c:v>
                </c:pt>
                <c:pt idx="668">
                  <c:v>3509.3243282608296</c:v>
                </c:pt>
                <c:pt idx="669">
                  <c:v>3515.915994438481</c:v>
                </c:pt>
                <c:pt idx="670">
                  <c:v>3522.5200419348521</c:v>
                </c:pt>
                <c:pt idx="671">
                  <c:v>3529.1364940061339</c:v>
                </c:pt>
                <c:pt idx="672">
                  <c:v>3535.7653739522029</c:v>
                </c:pt>
                <c:pt idx="673">
                  <c:v>3542.4067051166962</c:v>
                </c:pt>
                <c:pt idx="674">
                  <c:v>3549.0605108871009</c:v>
                </c:pt>
                <c:pt idx="675">
                  <c:v>3555.7268146948336</c:v>
                </c:pt>
                <c:pt idx="676">
                  <c:v>3562.4056400153227</c:v>
                </c:pt>
                <c:pt idx="677">
                  <c:v>3569.0970103680888</c:v>
                </c:pt>
                <c:pt idx="678">
                  <c:v>3575.8009493168324</c:v>
                </c:pt>
                <c:pt idx="679">
                  <c:v>3582.5174804695139</c:v>
                </c:pt>
                <c:pt idx="680">
                  <c:v>3589.2466274784374</c:v>
                </c:pt>
                <c:pt idx="681">
                  <c:v>3595.9884140403324</c:v>
                </c:pt>
                <c:pt idx="682">
                  <c:v>3602.7428638964402</c:v>
                </c:pt>
                <c:pt idx="683">
                  <c:v>3609.5100008325953</c:v>
                </c:pt>
                <c:pt idx="684">
                  <c:v>3616.2898486793115</c:v>
                </c:pt>
                <c:pt idx="685">
                  <c:v>3623.0824313118601</c:v>
                </c:pt>
                <c:pt idx="686">
                  <c:v>3629.8877726503615</c:v>
                </c:pt>
                <c:pt idx="687">
                  <c:v>3636.7058966598652</c:v>
                </c:pt>
                <c:pt idx="688">
                  <c:v>3643.536827350435</c:v>
                </c:pt>
                <c:pt idx="689">
                  <c:v>3650.3805887772332</c:v>
                </c:pt>
                <c:pt idx="690">
                  <c:v>3657.2372050406052</c:v>
                </c:pt>
                <c:pt idx="691">
                  <c:v>3664.1067002861655</c:v>
                </c:pt>
                <c:pt idx="692">
                  <c:v>3670.9890987048811</c:v>
                </c:pt>
                <c:pt idx="693">
                  <c:v>3677.8844245331588</c:v>
                </c:pt>
                <c:pt idx="694">
                  <c:v>3684.7927020529296</c:v>
                </c:pt>
                <c:pt idx="695">
                  <c:v>3691.7139555917315</c:v>
                </c:pt>
                <c:pt idx="696">
                  <c:v>3698.6482095228012</c:v>
                </c:pt>
                <c:pt idx="697">
                  <c:v>3705.5954882651531</c:v>
                </c:pt>
                <c:pt idx="698">
                  <c:v>3712.5558162836696</c:v>
                </c:pt>
                <c:pt idx="699">
                  <c:v>3719.5292180891875</c:v>
                </c:pt>
                <c:pt idx="700">
                  <c:v>3726.5157182385819</c:v>
                </c:pt>
                <c:pt idx="701">
                  <c:v>3733.5153413348535</c:v>
                </c:pt>
                <c:pt idx="702">
                  <c:v>3740.5281120272152</c:v>
                </c:pt>
                <c:pt idx="703">
                  <c:v>3747.5540550111814</c:v>
                </c:pt>
                <c:pt idx="704">
                  <c:v>3754.5931950286513</c:v>
                </c:pt>
                <c:pt idx="705">
                  <c:v>3761.6455568679962</c:v>
                </c:pt>
                <c:pt idx="706">
                  <c:v>3768.7111653641505</c:v>
                </c:pt>
                <c:pt idx="707">
                  <c:v>3775.7900453986958</c:v>
                </c:pt>
                <c:pt idx="708">
                  <c:v>3782.8822218999503</c:v>
                </c:pt>
                <c:pt idx="709">
                  <c:v>3789.9877198430527</c:v>
                </c:pt>
                <c:pt idx="710">
                  <c:v>3797.1065642500575</c:v>
                </c:pt>
                <c:pt idx="711">
                  <c:v>3804.2387801900159</c:v>
                </c:pt>
                <c:pt idx="712">
                  <c:v>3811.3843927790695</c:v>
                </c:pt>
                <c:pt idx="713">
                  <c:v>3818.5434271805334</c:v>
                </c:pt>
                <c:pt idx="714">
                  <c:v>3825.7159086049883</c:v>
                </c:pt>
                <c:pt idx="715">
                  <c:v>3832.9018623103711</c:v>
                </c:pt>
                <c:pt idx="716">
                  <c:v>3840.1013136020592</c:v>
                </c:pt>
                <c:pt idx="717">
                  <c:v>3847.3142878329622</c:v>
                </c:pt>
                <c:pt idx="718">
                  <c:v>3854.5408104036123</c:v>
                </c:pt>
                <c:pt idx="719">
                  <c:v>3861.7809067622488</c:v>
                </c:pt>
                <c:pt idx="720">
                  <c:v>3869.0346024049145</c:v>
                </c:pt>
                <c:pt idx="721">
                  <c:v>3876.3019228755406</c:v>
                </c:pt>
                <c:pt idx="722">
                  <c:v>3883.582893766039</c:v>
                </c:pt>
                <c:pt idx="723">
                  <c:v>3890.8775407163907</c:v>
                </c:pt>
                <c:pt idx="724">
                  <c:v>3898.1858894147399</c:v>
                </c:pt>
                <c:pt idx="725">
                  <c:v>3905.507965597476</c:v>
                </c:pt>
                <c:pt idx="726">
                  <c:v>3912.8437950493339</c:v>
                </c:pt>
                <c:pt idx="727">
                  <c:v>3920.1934036034809</c:v>
                </c:pt>
                <c:pt idx="728">
                  <c:v>3927.5568171416066</c:v>
                </c:pt>
                <c:pt idx="729">
                  <c:v>3934.9340615940127</c:v>
                </c:pt>
                <c:pt idx="730">
                  <c:v>3942.3251629397109</c:v>
                </c:pt>
                <c:pt idx="731">
                  <c:v>3949.7301472065069</c:v>
                </c:pt>
                <c:pt idx="732">
                  <c:v>3957.1490404710967</c:v>
                </c:pt>
                <c:pt idx="733">
                  <c:v>3964.5818688591548</c:v>
                </c:pt>
                <c:pt idx="734">
                  <c:v>3972.0286585454305</c:v>
                </c:pt>
                <c:pt idx="735">
                  <c:v>3979.4894357538374</c:v>
                </c:pt>
                <c:pt idx="736">
                  <c:v>3986.9642267575473</c:v>
                </c:pt>
                <c:pt idx="737">
                  <c:v>3994.4530578790786</c:v>
                </c:pt>
                <c:pt idx="738">
                  <c:v>4001.955955490394</c:v>
                </c:pt>
                <c:pt idx="739">
                  <c:v>4009.4729460129911</c:v>
                </c:pt>
                <c:pt idx="740">
                  <c:v>4017.0040559179984</c:v>
                </c:pt>
                <c:pt idx="741">
                  <c:v>4024.5493117262604</c:v>
                </c:pt>
                <c:pt idx="742">
                  <c:v>4032.1087400084402</c:v>
                </c:pt>
                <c:pt idx="743">
                  <c:v>4039.682367385109</c:v>
                </c:pt>
                <c:pt idx="744">
                  <c:v>4047.2702205268406</c:v>
                </c:pt>
                <c:pt idx="745">
                  <c:v>4054.8723261543032</c:v>
                </c:pt>
                <c:pt idx="746">
                  <c:v>4062.488711038357</c:v>
                </c:pt>
                <c:pt idx="747">
                  <c:v>4070.1194020001462</c:v>
                </c:pt>
                <c:pt idx="748">
                  <c:v>4077.7644259111917</c:v>
                </c:pt>
                <c:pt idx="749">
                  <c:v>4085.4238096934914</c:v>
                </c:pt>
                <c:pt idx="750">
                  <c:v>4093.0975803196093</c:v>
                </c:pt>
                <c:pt idx="751">
                  <c:v>4100.7857648127738</c:v>
                </c:pt>
                <c:pt idx="752">
                  <c:v>4108.4883902469737</c:v>
                </c:pt>
                <c:pt idx="753">
                  <c:v>4116.205483747045</c:v>
                </c:pt>
                <c:pt idx="754">
                  <c:v>4123.9370724887813</c:v>
                </c:pt>
                <c:pt idx="755">
                  <c:v>4131.683183699015</c:v>
                </c:pt>
                <c:pt idx="756">
                  <c:v>4139.4438446557242</c:v>
                </c:pt>
                <c:pt idx="757">
                  <c:v>4147.2190826881197</c:v>
                </c:pt>
                <c:pt idx="758">
                  <c:v>4155.0089251767495</c:v>
                </c:pt>
                <c:pt idx="759">
                  <c:v>4162.8133995535882</c:v>
                </c:pt>
                <c:pt idx="760">
                  <c:v>4170.6325333021396</c:v>
                </c:pt>
                <c:pt idx="761">
                  <c:v>4178.4663539575267</c:v>
                </c:pt>
                <c:pt idx="762">
                  <c:v>4186.3148891065957</c:v>
                </c:pt>
                <c:pt idx="763">
                  <c:v>4194.1781663880083</c:v>
                </c:pt>
                <c:pt idx="764">
                  <c:v>4202.0562134923439</c:v>
                </c:pt>
                <c:pt idx="765">
                  <c:v>4209.9490581621876</c:v>
                </c:pt>
                <c:pt idx="766">
                  <c:v>4217.8567281922406</c:v>
                </c:pt>
                <c:pt idx="767">
                  <c:v>4225.7792514294106</c:v>
                </c:pt>
                <c:pt idx="768">
                  <c:v>4233.7166557729051</c:v>
                </c:pt>
                <c:pt idx="769">
                  <c:v>4241.6689691743422</c:v>
                </c:pt>
                <c:pt idx="770">
                  <c:v>4249.6362196378414</c:v>
                </c:pt>
                <c:pt idx="771">
                  <c:v>4257.618435220119</c:v>
                </c:pt>
                <c:pt idx="772">
                  <c:v>4265.6156440305958</c:v>
                </c:pt>
                <c:pt idx="773">
                  <c:v>4273.6278742314871</c:v>
                </c:pt>
                <c:pt idx="774">
                  <c:v>4281.6551540379123</c:v>
                </c:pt>
                <c:pt idx="775">
                  <c:v>4289.6975117179809</c:v>
                </c:pt>
                <c:pt idx="776">
                  <c:v>4297.754975592904</c:v>
                </c:pt>
                <c:pt idx="777">
                  <c:v>4305.8275740370864</c:v>
                </c:pt>
                <c:pt idx="778">
                  <c:v>4313.915335478232</c:v>
                </c:pt>
                <c:pt idx="779">
                  <c:v>4322.0182883974394</c:v>
                </c:pt>
                <c:pt idx="780">
                  <c:v>4330.1364613293044</c:v>
                </c:pt>
                <c:pt idx="781">
                  <c:v>4338.2698828620205</c:v>
                </c:pt>
                <c:pt idx="782">
                  <c:v>4346.4185816374793</c:v>
                </c:pt>
                <c:pt idx="783">
                  <c:v>4354.5825863513719</c:v>
                </c:pt>
                <c:pt idx="784">
                  <c:v>4362.761925753287</c:v>
                </c:pt>
                <c:pt idx="785">
                  <c:v>4370.9566286468171</c:v>
                </c:pt>
                <c:pt idx="786">
                  <c:v>4379.1667238896562</c:v>
                </c:pt>
                <c:pt idx="787">
                  <c:v>4387.392240393704</c:v>
                </c:pt>
                <c:pt idx="788">
                  <c:v>4395.6332071251627</c:v>
                </c:pt>
                <c:pt idx="789">
                  <c:v>4403.8896531046448</c:v>
                </c:pt>
                <c:pt idx="790">
                  <c:v>4412.1616074072754</c:v>
                </c:pt>
                <c:pt idx="791">
                  <c:v>4420.4490991627881</c:v>
                </c:pt>
                <c:pt idx="792">
                  <c:v>4428.7521575556329</c:v>
                </c:pt>
                <c:pt idx="793">
                  <c:v>4437.0708118250805</c:v>
                </c:pt>
                <c:pt idx="794">
                  <c:v>4445.4050912653192</c:v>
                </c:pt>
                <c:pt idx="795">
                  <c:v>4453.7550252255633</c:v>
                </c:pt>
                <c:pt idx="796">
                  <c:v>4462.1206431101537</c:v>
                </c:pt>
                <c:pt idx="797">
                  <c:v>4470.5019743786615</c:v>
                </c:pt>
                <c:pt idx="798">
                  <c:v>4478.8990485459972</c:v>
                </c:pt>
                <c:pt idx="799">
                  <c:v>4487.3118951825027</c:v>
                </c:pt>
                <c:pt idx="800">
                  <c:v>4495.7405439140684</c:v>
                </c:pt>
                <c:pt idx="801">
                  <c:v>4504.1850244222305</c:v>
                </c:pt>
                <c:pt idx="802">
                  <c:v>4512.6453664442752</c:v>
                </c:pt>
                <c:pt idx="803">
                  <c:v>4521.121599773347</c:v>
                </c:pt>
                <c:pt idx="804">
                  <c:v>4529.613754258552</c:v>
                </c:pt>
                <c:pt idx="805">
                  <c:v>4538.12185980506</c:v>
                </c:pt>
                <c:pt idx="806">
                  <c:v>4546.6459463742149</c:v>
                </c:pt>
                <c:pt idx="807">
                  <c:v>4555.18604398364</c:v>
                </c:pt>
                <c:pt idx="808">
                  <c:v>4563.7421827073349</c:v>
                </c:pt>
                <c:pt idx="809">
                  <c:v>4572.3143926757948</c:v>
                </c:pt>
                <c:pt idx="810">
                  <c:v>4580.9027040761057</c:v>
                </c:pt>
                <c:pt idx="811">
                  <c:v>4589.5071471520578</c:v>
                </c:pt>
                <c:pt idx="812">
                  <c:v>4598.1277522042465</c:v>
                </c:pt>
                <c:pt idx="813">
                  <c:v>4606.7645495901834</c:v>
                </c:pt>
                <c:pt idx="814">
                  <c:v>4615.4175697244</c:v>
                </c:pt>
                <c:pt idx="815">
                  <c:v>4624.0868430785604</c:v>
                </c:pt>
                <c:pt idx="816">
                  <c:v>4632.7724001815568</c:v>
                </c:pt>
                <c:pt idx="817">
                  <c:v>4641.4742716196315</c:v>
                </c:pt>
                <c:pt idx="818">
                  <c:v>4650.1924880364759</c:v>
                </c:pt>
                <c:pt idx="819">
                  <c:v>4658.9270801333414</c:v>
                </c:pt>
                <c:pt idx="820">
                  <c:v>4667.6780786691415</c:v>
                </c:pt>
                <c:pt idx="821">
                  <c:v>4676.4455144605718</c:v>
                </c:pt>
                <c:pt idx="822">
                  <c:v>4685.2294183822078</c:v>
                </c:pt>
                <c:pt idx="823">
                  <c:v>4694.0298213666183</c:v>
                </c:pt>
                <c:pt idx="824">
                  <c:v>4702.8467544044734</c:v>
                </c:pt>
                <c:pt idx="825">
                  <c:v>4711.6802485446542</c:v>
                </c:pt>
                <c:pt idx="826">
                  <c:v>4720.5303348943635</c:v>
                </c:pt>
                <c:pt idx="827">
                  <c:v>4729.3970446192297</c:v>
                </c:pt>
                <c:pt idx="828">
                  <c:v>4738.2804089434258</c:v>
                </c:pt>
                <c:pt idx="829">
                  <c:v>4747.1804591497685</c:v>
                </c:pt>
                <c:pt idx="830">
                  <c:v>4756.0972265798382</c:v>
                </c:pt>
                <c:pt idx="831">
                  <c:v>4765.0307426340833</c:v>
                </c:pt>
                <c:pt idx="832">
                  <c:v>4773.9810387719317</c:v>
                </c:pt>
                <c:pt idx="833">
                  <c:v>4782.9481465119052</c:v>
                </c:pt>
                <c:pt idx="834">
                  <c:v>4791.9320974317261</c:v>
                </c:pt>
                <c:pt idx="835">
                  <c:v>4800.9329231684278</c:v>
                </c:pt>
                <c:pt idx="836">
                  <c:v>4809.9506554184727</c:v>
                </c:pt>
                <c:pt idx="837">
                  <c:v>4818.9853259378579</c:v>
                </c:pt>
                <c:pt idx="838">
                  <c:v>4828.0369665422259</c:v>
                </c:pt>
                <c:pt idx="839">
                  <c:v>4837.1056091069859</c:v>
                </c:pt>
                <c:pt idx="840">
                  <c:v>4846.19128556741</c:v>
                </c:pt>
                <c:pt idx="841">
                  <c:v>4855.2940279187678</c:v>
                </c:pt>
                <c:pt idx="842">
                  <c:v>4864.4138682164157</c:v>
                </c:pt>
                <c:pt idx="843">
                  <c:v>4873.5508385759231</c:v>
                </c:pt>
                <c:pt idx="844">
                  <c:v>4882.7049711731897</c:v>
                </c:pt>
                <c:pt idx="845">
                  <c:v>4891.8762982445423</c:v>
                </c:pt>
                <c:pt idx="846">
                  <c:v>4901.0648520868644</c:v>
                </c:pt>
                <c:pt idx="847">
                  <c:v>4910.270665057702</c:v>
                </c:pt>
                <c:pt idx="848">
                  <c:v>4919.4937695753779</c:v>
                </c:pt>
                <c:pt idx="849">
                  <c:v>4928.734198119113</c:v>
                </c:pt>
                <c:pt idx="850">
                  <c:v>4937.9919832291253</c:v>
                </c:pt>
                <c:pt idx="851">
                  <c:v>4947.2671575067607</c:v>
                </c:pt>
                <c:pt idx="852">
                  <c:v>4956.5597536146015</c:v>
                </c:pt>
                <c:pt idx="853">
                  <c:v>4965.8698042765773</c:v>
                </c:pt>
                <c:pt idx="854">
                  <c:v>4975.1973422780857</c:v>
                </c:pt>
                <c:pt idx="855">
                  <c:v>4984.5424004661072</c:v>
                </c:pt>
                <c:pt idx="856">
                  <c:v>4993.9050117493189</c:v>
                </c:pt>
                <c:pt idx="857">
                  <c:v>5003.2852090982105</c:v>
                </c:pt>
                <c:pt idx="858">
                  <c:v>5012.6830255452032</c:v>
                </c:pt>
                <c:pt idx="859">
                  <c:v>5022.0984941847591</c:v>
                </c:pt>
                <c:pt idx="860">
                  <c:v>5031.5316481735117</c:v>
                </c:pt>
                <c:pt idx="861">
                  <c:v>5040.9825207303629</c:v>
                </c:pt>
                <c:pt idx="862">
                  <c:v>5050.4511451366161</c:v>
                </c:pt>
                <c:pt idx="863">
                  <c:v>5059.9375547360914</c:v>
                </c:pt>
                <c:pt idx="864">
                  <c:v>5069.4417829352296</c:v>
                </c:pt>
                <c:pt idx="865">
                  <c:v>5078.9638632032311</c:v>
                </c:pt>
                <c:pt idx="866">
                  <c:v>5088.5038290721568</c:v>
                </c:pt>
                <c:pt idx="867">
                  <c:v>5098.0617141370476</c:v>
                </c:pt>
                <c:pt idx="868">
                  <c:v>5107.6375520560568</c:v>
                </c:pt>
                <c:pt idx="869">
                  <c:v>5117.2313765505523</c:v>
                </c:pt>
                <c:pt idx="870">
                  <c:v>5126.8432214052391</c:v>
                </c:pt>
                <c:pt idx="871">
                  <c:v>5136.4731204682912</c:v>
                </c:pt>
                <c:pt idx="872">
                  <c:v>5146.1211076514483</c:v>
                </c:pt>
                <c:pt idx="873">
                  <c:v>5155.78721693016</c:v>
                </c:pt>
                <c:pt idx="874">
                  <c:v>5165.4714823436834</c:v>
                </c:pt>
                <c:pt idx="875">
                  <c:v>5175.1739379952132</c:v>
                </c:pt>
                <c:pt idx="876">
                  <c:v>5184.8946180520088</c:v>
                </c:pt>
                <c:pt idx="877">
                  <c:v>5194.6335567454971</c:v>
                </c:pt>
                <c:pt idx="878">
                  <c:v>5204.390788371411</c:v>
                </c:pt>
                <c:pt idx="879">
                  <c:v>5214.1663472898972</c:v>
                </c:pt>
                <c:pt idx="880">
                  <c:v>5223.9602679256432</c:v>
                </c:pt>
                <c:pt idx="881">
                  <c:v>5233.7725847680003</c:v>
                </c:pt>
                <c:pt idx="882">
                  <c:v>5243.6033323710963</c:v>
                </c:pt>
                <c:pt idx="883">
                  <c:v>5253.4525453539673</c:v>
                </c:pt>
                <c:pt idx="884">
                  <c:v>5263.320258400674</c:v>
                </c:pt>
                <c:pt idx="885">
                  <c:v>5273.2065062604288</c:v>
                </c:pt>
                <c:pt idx="886">
                  <c:v>5283.1113237477066</c:v>
                </c:pt>
                <c:pt idx="887">
                  <c:v>5293.0347457423841</c:v>
                </c:pt>
                <c:pt idx="888">
                  <c:v>5302.9768071898461</c:v>
                </c:pt>
                <c:pt idx="889">
                  <c:v>5312.937543101124</c:v>
                </c:pt>
                <c:pt idx="890">
                  <c:v>5322.9169885530055</c:v>
                </c:pt>
                <c:pt idx="891">
                  <c:v>5332.9151786881639</c:v>
                </c:pt>
                <c:pt idx="892">
                  <c:v>5342.9321487152883</c:v>
                </c:pt>
                <c:pt idx="893">
                  <c:v>5352.9679339091954</c:v>
                </c:pt>
                <c:pt idx="894">
                  <c:v>5363.0225696109592</c:v>
                </c:pt>
                <c:pt idx="895">
                  <c:v>5373.0960912280434</c:v>
                </c:pt>
                <c:pt idx="896">
                  <c:v>5383.1885342344085</c:v>
                </c:pt>
                <c:pt idx="897">
                  <c:v>5393.2999341706509</c:v>
                </c:pt>
                <c:pt idx="898">
                  <c:v>5403.4303266441293</c:v>
                </c:pt>
                <c:pt idx="899">
                  <c:v>5413.5797473290759</c:v>
                </c:pt>
                <c:pt idx="900">
                  <c:v>5423.748231966737</c:v>
                </c:pt>
                <c:pt idx="901">
                  <c:v>5433.9358163654906</c:v>
                </c:pt>
                <c:pt idx="902">
                  <c:v>5444.1425364009729</c:v>
                </c:pt>
                <c:pt idx="903">
                  <c:v>5454.3684280162106</c:v>
                </c:pt>
                <c:pt idx="904">
                  <c:v>5464.6135272217389</c:v>
                </c:pt>
                <c:pt idx="905">
                  <c:v>5474.8778700957355</c:v>
                </c:pt>
                <c:pt idx="906">
                  <c:v>5485.1614927841429</c:v>
                </c:pt>
                <c:pt idx="907">
                  <c:v>5495.4644315007999</c:v>
                </c:pt>
                <c:pt idx="908">
                  <c:v>5505.7867225275641</c:v>
                </c:pt>
                <c:pt idx="909">
                  <c:v>5516.1284022144446</c:v>
                </c:pt>
                <c:pt idx="910">
                  <c:v>5526.4895069797267</c:v>
                </c:pt>
                <c:pt idx="911">
                  <c:v>5536.8700733100995</c:v>
                </c:pt>
                <c:pt idx="912">
                  <c:v>5547.2701377607918</c:v>
                </c:pt>
                <c:pt idx="913">
                  <c:v>5557.6897369556864</c:v>
                </c:pt>
                <c:pt idx="914">
                  <c:v>5568.1289075874683</c:v>
                </c:pt>
                <c:pt idx="915">
                  <c:v>5578.5876864177326</c:v>
                </c:pt>
                <c:pt idx="916">
                  <c:v>5589.0661102771337</c:v>
                </c:pt>
                <c:pt idx="917">
                  <c:v>5599.5642160655034</c:v>
                </c:pt>
                <c:pt idx="918">
                  <c:v>5610.0820407519759</c:v>
                </c:pt>
                <c:pt idx="919">
                  <c:v>5620.61962137514</c:v>
                </c:pt>
                <c:pt idx="920">
                  <c:v>5631.1769950431444</c:v>
                </c:pt>
                <c:pt idx="921">
                  <c:v>5641.7541989338406</c:v>
                </c:pt>
                <c:pt idx="922">
                  <c:v>5652.3512702949165</c:v>
                </c:pt>
                <c:pt idx="923">
                  <c:v>5662.9682464440175</c:v>
                </c:pt>
                <c:pt idx="924">
                  <c:v>5673.6051647688919</c:v>
                </c:pt>
                <c:pt idx="925">
                  <c:v>5684.2620627275073</c:v>
                </c:pt>
                <c:pt idx="926">
                  <c:v>5694.93897784819</c:v>
                </c:pt>
                <c:pt idx="927">
                  <c:v>5705.6359477297619</c:v>
                </c:pt>
                <c:pt idx="928">
                  <c:v>5716.3530100416647</c:v>
                </c:pt>
                <c:pt idx="929">
                  <c:v>5727.0902025240939</c:v>
                </c:pt>
                <c:pt idx="930">
                  <c:v>5737.8475629881386</c:v>
                </c:pt>
                <c:pt idx="931">
                  <c:v>5748.6251293159021</c:v>
                </c:pt>
                <c:pt idx="932">
                  <c:v>5759.4229394606518</c:v>
                </c:pt>
                <c:pt idx="933">
                  <c:v>5770.241031446938</c:v>
                </c:pt>
                <c:pt idx="934">
                  <c:v>5781.0794433707333</c:v>
                </c:pt>
                <c:pt idx="935">
                  <c:v>5791.9382133995696</c:v>
                </c:pt>
                <c:pt idx="936">
                  <c:v>5802.8173797726695</c:v>
                </c:pt>
                <c:pt idx="937">
                  <c:v>5813.7169808010785</c:v>
                </c:pt>
                <c:pt idx="938">
                  <c:v>5824.6370548678096</c:v>
                </c:pt>
                <c:pt idx="939">
                  <c:v>5835.577640427965</c:v>
                </c:pt>
                <c:pt idx="940">
                  <c:v>5846.5387760088788</c:v>
                </c:pt>
                <c:pt idx="941">
                  <c:v>5857.5205002102593</c:v>
                </c:pt>
                <c:pt idx="942">
                  <c:v>5868.5228517043051</c:v>
                </c:pt>
                <c:pt idx="943">
                  <c:v>5879.5458692358688</c:v>
                </c:pt>
                <c:pt idx="944">
                  <c:v>5890.5895916225663</c:v>
                </c:pt>
                <c:pt idx="945">
                  <c:v>5901.6540577549295</c:v>
                </c:pt>
                <c:pt idx="946">
                  <c:v>5912.7393065965452</c:v>
                </c:pt>
                <c:pt idx="947">
                  <c:v>5923.8453771841778</c:v>
                </c:pt>
                <c:pt idx="948">
                  <c:v>5934.9723086279246</c:v>
                </c:pt>
                <c:pt idx="949">
                  <c:v>5946.1201401113358</c:v>
                </c:pt>
                <c:pt idx="950">
                  <c:v>5957.2889108915633</c:v>
                </c:pt>
                <c:pt idx="951">
                  <c:v>5968.4786602995036</c:v>
                </c:pt>
                <c:pt idx="952">
                  <c:v>5979.6894277399224</c:v>
                </c:pt>
                <c:pt idx="953">
                  <c:v>5990.9212526915999</c:v>
                </c:pt>
                <c:pt idx="954">
                  <c:v>6002.1741747074793</c:v>
                </c:pt>
                <c:pt idx="955">
                  <c:v>6013.448233414786</c:v>
                </c:pt>
                <c:pt idx="956">
                  <c:v>6024.7434685151866</c:v>
                </c:pt>
                <c:pt idx="957">
                  <c:v>6036.0599197849178</c:v>
                </c:pt>
                <c:pt idx="958">
                  <c:v>6047.3976270749245</c:v>
                </c:pt>
                <c:pt idx="959">
                  <c:v>6058.7566303110143</c:v>
                </c:pt>
                <c:pt idx="960">
                  <c:v>6070.1369694939822</c:v>
                </c:pt>
                <c:pt idx="961">
                  <c:v>6081.5386846997562</c:v>
                </c:pt>
                <c:pt idx="962">
                  <c:v>6092.9618160795462</c:v>
                </c:pt>
                <c:pt idx="963">
                  <c:v>6104.4064038599745</c:v>
                </c:pt>
                <c:pt idx="964">
                  <c:v>6115.8724883432251</c:v>
                </c:pt>
                <c:pt idx="965">
                  <c:v>6127.3601099071811</c:v>
                </c:pt>
                <c:pt idx="966">
                  <c:v>6138.8693090055676</c:v>
                </c:pt>
                <c:pt idx="967">
                  <c:v>6150.4001261680996</c:v>
                </c:pt>
                <c:pt idx="968">
                  <c:v>6161.9526020006151</c:v>
                </c:pt>
                <c:pt idx="969">
                  <c:v>6173.5267771852223</c:v>
                </c:pt>
                <c:pt idx="970">
                  <c:v>6185.1226924804532</c:v>
                </c:pt>
                <c:pt idx="971">
                  <c:v>6196.7403887213841</c:v>
                </c:pt>
                <c:pt idx="972">
                  <c:v>6208.3799068198077</c:v>
                </c:pt>
                <c:pt idx="973">
                  <c:v>6220.0412877643503</c:v>
                </c:pt>
                <c:pt idx="974">
                  <c:v>6231.724572620632</c:v>
                </c:pt>
                <c:pt idx="975">
                  <c:v>6243.429802531412</c:v>
                </c:pt>
                <c:pt idx="976">
                  <c:v>6255.1570187167254</c:v>
                </c:pt>
                <c:pt idx="977">
                  <c:v>6266.9062624740291</c:v>
                </c:pt>
                <c:pt idx="978">
                  <c:v>6278.677575178358</c:v>
                </c:pt>
                <c:pt idx="979">
                  <c:v>6290.4709982824543</c:v>
                </c:pt>
                <c:pt idx="980">
                  <c:v>6302.286573316931</c:v>
                </c:pt>
                <c:pt idx="981">
                  <c:v>6314.1243418904032</c:v>
                </c:pt>
                <c:pt idx="982">
                  <c:v>6325.9843456896388</c:v>
                </c:pt>
                <c:pt idx="983">
                  <c:v>6337.8666264797148</c:v>
                </c:pt>
                <c:pt idx="984">
                  <c:v>6349.7712261041497</c:v>
                </c:pt>
                <c:pt idx="985">
                  <c:v>6361.6981864850613</c:v>
                </c:pt>
                <c:pt idx="986">
                  <c:v>6373.6475496233124</c:v>
                </c:pt>
                <c:pt idx="987">
                  <c:v>6385.6193575986508</c:v>
                </c:pt>
                <c:pt idx="988">
                  <c:v>6397.613652569873</c:v>
                </c:pt>
                <c:pt idx="989">
                  <c:v>6409.6304767749543</c:v>
                </c:pt>
                <c:pt idx="990">
                  <c:v>6421.6698725312144</c:v>
                </c:pt>
                <c:pt idx="991">
                  <c:v>6433.7318822354546</c:v>
                </c:pt>
                <c:pt idx="992">
                  <c:v>6445.8165483641151</c:v>
                </c:pt>
                <c:pt idx="993">
                  <c:v>6457.9239134734125</c:v>
                </c:pt>
                <c:pt idx="994">
                  <c:v>6470.0540201995109</c:v>
                </c:pt>
                <c:pt idx="995">
                  <c:v>6482.2069112586451</c:v>
                </c:pt>
                <c:pt idx="996">
                  <c:v>6494.3826294472974</c:v>
                </c:pt>
                <c:pt idx="997">
                  <c:v>6506.5812176423306</c:v>
                </c:pt>
                <c:pt idx="998">
                  <c:v>6518.8027188011374</c:v>
                </c:pt>
                <c:pt idx="999">
                  <c:v>6531.0471759618149</c:v>
                </c:pt>
                <c:pt idx="1000">
                  <c:v>6543.3146322432849</c:v>
                </c:pt>
                <c:pt idx="1001">
                  <c:v>6555.6051308454653</c:v>
                </c:pt>
                <c:pt idx="1002">
                  <c:v>6567.9187150494236</c:v>
                </c:pt>
                <c:pt idx="1003">
                  <c:v>6580.2554282175133</c:v>
                </c:pt>
                <c:pt idx="1004">
                  <c:v>6592.6153137935471</c:v>
                </c:pt>
                <c:pt idx="1005">
                  <c:v>6604.9984153029318</c:v>
                </c:pt>
                <c:pt idx="1006">
                  <c:v>6617.4047763528288</c:v>
                </c:pt>
                <c:pt idx="1007">
                  <c:v>6629.8344406323158</c:v>
                </c:pt>
                <c:pt idx="1008">
                  <c:v>6642.2874519125271</c:v>
                </c:pt>
                <c:pt idx="1009">
                  <c:v>6654.7638540468106</c:v>
                </c:pt>
                <c:pt idx="1010">
                  <c:v>6667.2636909708954</c:v>
                </c:pt>
                <c:pt idx="1011">
                  <c:v>6679.7870067030262</c:v>
                </c:pt>
                <c:pt idx="1012">
                  <c:v>6692.3338453441347</c:v>
                </c:pt>
                <c:pt idx="1013">
                  <c:v>6704.9042510779846</c:v>
                </c:pt>
                <c:pt idx="1014">
                  <c:v>6717.4982681713336</c:v>
                </c:pt>
                <c:pt idx="1015">
                  <c:v>6730.1159409740894</c:v>
                </c:pt>
                <c:pt idx="1016">
                  <c:v>6742.7573139194556</c:v>
                </c:pt>
                <c:pt idx="1017">
                  <c:v>6755.4224315241036</c:v>
                </c:pt>
                <c:pt idx="1018">
                  <c:v>6768.1113383883194</c:v>
                </c:pt>
                <c:pt idx="1019">
                  <c:v>6780.8240791961625</c:v>
                </c:pt>
                <c:pt idx="1020">
                  <c:v>6793.5606987156225</c:v>
                </c:pt>
                <c:pt idx="1021">
                  <c:v>6806.3212417987825</c:v>
                </c:pt>
                <c:pt idx="1022">
                  <c:v>6819.105753381964</c:v>
                </c:pt>
                <c:pt idx="1023">
                  <c:v>6831.9142784859059</c:v>
                </c:pt>
                <c:pt idx="1024">
                  <c:v>6844.7468622159013</c:v>
                </c:pt>
                <c:pt idx="1025">
                  <c:v>6857.603549761966</c:v>
                </c:pt>
                <c:pt idx="1026">
                  <c:v>6870.4843863990045</c:v>
                </c:pt>
                <c:pt idx="1027">
                  <c:v>6883.3894174869583</c:v>
                </c:pt>
                <c:pt idx="1028">
                  <c:v>6896.3186884709639</c:v>
                </c:pt>
                <c:pt idx="1029">
                  <c:v>6909.2722448815321</c:v>
                </c:pt>
                <c:pt idx="1030">
                  <c:v>6922.2501323346823</c:v>
                </c:pt>
                <c:pt idx="1031">
                  <c:v>6935.2523965321243</c:v>
                </c:pt>
                <c:pt idx="1032">
                  <c:v>6948.2790832614082</c:v>
                </c:pt>
                <c:pt idx="1033">
                  <c:v>6961.3302383960799</c:v>
                </c:pt>
                <c:pt idx="1034">
                  <c:v>6974.4059078958689</c:v>
                </c:pt>
                <c:pt idx="1035">
                  <c:v>6987.5061378068158</c:v>
                </c:pt>
                <c:pt idx="1036">
                  <c:v>7000.6309742614549</c:v>
                </c:pt>
                <c:pt idx="1037">
                  <c:v>7013.78046347898</c:v>
                </c:pt>
                <c:pt idx="1038">
                  <c:v>7026.9546517653889</c:v>
                </c:pt>
                <c:pt idx="1039">
                  <c:v>7040.153585513669</c:v>
                </c:pt>
                <c:pt idx="1040">
                  <c:v>7053.3773112039362</c:v>
                </c:pt>
                <c:pt idx="1041">
                  <c:v>7066.6258754036207</c:v>
                </c:pt>
                <c:pt idx="1042">
                  <c:v>7079.899324767619</c:v>
                </c:pt>
                <c:pt idx="1043">
                  <c:v>7093.1977060384615</c:v>
                </c:pt>
                <c:pt idx="1044">
                  <c:v>7106.5210660464718</c:v>
                </c:pt>
                <c:pt idx="1045">
                  <c:v>7119.8694517099439</c:v>
                </c:pt>
                <c:pt idx="1046">
                  <c:v>7133.2429100352938</c:v>
                </c:pt>
                <c:pt idx="1047">
                  <c:v>7146.6414881172332</c:v>
                </c:pt>
                <c:pt idx="1048">
                  <c:v>7160.0652331389365</c:v>
                </c:pt>
                <c:pt idx="1049">
                  <c:v>7173.5141923721931</c:v>
                </c:pt>
                <c:pt idx="1050">
                  <c:v>7186.9884131775989</c:v>
                </c:pt>
                <c:pt idx="1051">
                  <c:v>7200.4879430046985</c:v>
                </c:pt>
                <c:pt idx="1052">
                  <c:v>7214.0128293921616</c:v>
                </c:pt>
                <c:pt idx="1053">
                  <c:v>7227.563119967961</c:v>
                </c:pt>
                <c:pt idx="1054">
                  <c:v>7241.1388624495166</c:v>
                </c:pt>
                <c:pt idx="1055">
                  <c:v>7254.7401046438936</c:v>
                </c:pt>
                <c:pt idx="1056">
                  <c:v>7268.3668944479414</c:v>
                </c:pt>
                <c:pt idx="1057">
                  <c:v>7282.0192798484759</c:v>
                </c:pt>
                <c:pt idx="1058">
                  <c:v>7295.6973089224593</c:v>
                </c:pt>
                <c:pt idx="1059">
                  <c:v>7309.4010298371486</c:v>
                </c:pt>
                <c:pt idx="1060">
                  <c:v>7323.1304908502734</c:v>
                </c:pt>
                <c:pt idx="1061">
                  <c:v>7336.8857403102156</c:v>
                </c:pt>
                <c:pt idx="1062">
                  <c:v>7350.6668266561619</c:v>
                </c:pt>
                <c:pt idx="1063">
                  <c:v>7364.4737984182948</c:v>
                </c:pt>
                <c:pt idx="1064">
                  <c:v>7378.3067042179409</c:v>
                </c:pt>
                <c:pt idx="1065">
                  <c:v>7392.1655927677566</c:v>
                </c:pt>
                <c:pt idx="1066">
                  <c:v>7406.0505128719087</c:v>
                </c:pt>
                <c:pt idx="1067">
                  <c:v>7419.9615134262158</c:v>
                </c:pt>
                <c:pt idx="1068">
                  <c:v>7433.8986434183498</c:v>
                </c:pt>
                <c:pt idx="1069">
                  <c:v>7447.8619519279955</c:v>
                </c:pt>
                <c:pt idx="1070">
                  <c:v>7461.8514881270257</c:v>
                </c:pt>
                <c:pt idx="1071">
                  <c:v>7475.8673012796744</c:v>
                </c:pt>
                <c:pt idx="1072">
                  <c:v>7489.9094407427119</c:v>
                </c:pt>
                <c:pt idx="1073">
                  <c:v>7503.9779559656054</c:v>
                </c:pt>
                <c:pt idx="1074">
                  <c:v>7518.0728964907257</c:v>
                </c:pt>
                <c:pt idx="1075">
                  <c:v>7532.194311953479</c:v>
                </c:pt>
                <c:pt idx="1076">
                  <c:v>7546.3422520825152</c:v>
                </c:pt>
                <c:pt idx="1077">
                  <c:v>7560.5167666998886</c:v>
                </c:pt>
                <c:pt idx="1078">
                  <c:v>7574.7179057212334</c:v>
                </c:pt>
                <c:pt idx="1079">
                  <c:v>7588.9457191559468</c:v>
                </c:pt>
                <c:pt idx="1080">
                  <c:v>7603.2002571073563</c:v>
                </c:pt>
                <c:pt idx="1081">
                  <c:v>7617.4815697728982</c:v>
                </c:pt>
                <c:pt idx="1082">
                  <c:v>7631.7897074443035</c:v>
                </c:pt>
                <c:pt idx="1083">
                  <c:v>7646.124720507757</c:v>
                </c:pt>
                <c:pt idx="1084">
                  <c:v>7660.4866594440919</c:v>
                </c:pt>
                <c:pt idx="1085">
                  <c:v>7674.8755748289614</c:v>
                </c:pt>
                <c:pt idx="1086">
                  <c:v>7689.2915173330157</c:v>
                </c:pt>
                <c:pt idx="1087">
                  <c:v>7703.734537722079</c:v>
                </c:pt>
                <c:pt idx="1088">
                  <c:v>7718.2046868573334</c:v>
                </c:pt>
                <c:pt idx="1089">
                  <c:v>7732.7020156954923</c:v>
                </c:pt>
                <c:pt idx="1090">
                  <c:v>7747.2265752889862</c:v>
                </c:pt>
                <c:pt idx="1091">
                  <c:v>7761.7784167861373</c:v>
                </c:pt>
                <c:pt idx="1092">
                  <c:v>7776.3575914313315</c:v>
                </c:pt>
                <c:pt idx="1093">
                  <c:v>7790.9641505652316</c:v>
                </c:pt>
                <c:pt idx="1094">
                  <c:v>7805.5981456249065</c:v>
                </c:pt>
                <c:pt idx="1095">
                  <c:v>7820.2596281440692</c:v>
                </c:pt>
                <c:pt idx="1096">
                  <c:v>7834.9486497532062</c:v>
                </c:pt>
                <c:pt idx="1097">
                  <c:v>7849.6652621797957</c:v>
                </c:pt>
                <c:pt idx="1098">
                  <c:v>7864.4095172484749</c:v>
                </c:pt>
                <c:pt idx="1099">
                  <c:v>7879.1814668812267</c:v>
                </c:pt>
                <c:pt idx="1100">
                  <c:v>7893.9811630975491</c:v>
                </c:pt>
                <c:pt idx="1101">
                  <c:v>7908.8086580146719</c:v>
                </c:pt>
                <c:pt idx="1102">
                  <c:v>7923.6640038476908</c:v>
                </c:pt>
                <c:pt idx="1103">
                  <c:v>7938.5472529098079</c:v>
                </c:pt>
                <c:pt idx="1104">
                  <c:v>7953.4584576124607</c:v>
                </c:pt>
                <c:pt idx="1105">
                  <c:v>7968.397670465547</c:v>
                </c:pt>
                <c:pt idx="1106">
                  <c:v>7983.3649440775907</c:v>
                </c:pt>
                <c:pt idx="1107">
                  <c:v>7998.3603311559373</c:v>
                </c:pt>
                <c:pt idx="1108">
                  <c:v>8013.3838845069276</c:v>
                </c:pt>
                <c:pt idx="1109">
                  <c:v>8028.4356570360915</c:v>
                </c:pt>
                <c:pt idx="1110">
                  <c:v>8043.5157017483352</c:v>
                </c:pt>
                <c:pt idx="1111">
                  <c:v>8058.6240717481278</c:v>
                </c:pt>
                <c:pt idx="1112">
                  <c:v>8073.7608202396732</c:v>
                </c:pt>
                <c:pt idx="1113">
                  <c:v>8088.9260005271271</c:v>
                </c:pt>
                <c:pt idx="1114">
                  <c:v>8104.1196660147589</c:v>
                </c:pt>
                <c:pt idx="1115">
                  <c:v>8119.3418702071513</c:v>
                </c:pt>
                <c:pt idx="1116">
                  <c:v>8134.5926667093827</c:v>
                </c:pt>
                <c:pt idx="1117">
                  <c:v>8149.8721092272226</c:v>
                </c:pt>
                <c:pt idx="1118">
                  <c:v>8165.1802515673189</c:v>
                </c:pt>
                <c:pt idx="1119">
                  <c:v>8180.5171476373835</c:v>
                </c:pt>
                <c:pt idx="1120">
                  <c:v>8195.8828514463894</c:v>
                </c:pt>
                <c:pt idx="1121">
                  <c:v>8211.2774171047404</c:v>
                </c:pt>
                <c:pt idx="1122">
                  <c:v>8226.700898824507</c:v>
                </c:pt>
                <c:pt idx="1123">
                  <c:v>8242.1533509195542</c:v>
                </c:pt>
                <c:pt idx="1124">
                  <c:v>8257.6348278057922</c:v>
                </c:pt>
                <c:pt idx="1125">
                  <c:v>8273.1453840013255</c:v>
                </c:pt>
                <c:pt idx="1126">
                  <c:v>8288.6850741266735</c:v>
                </c:pt>
                <c:pt idx="1127">
                  <c:v>8304.2539529049427</c:v>
                </c:pt>
                <c:pt idx="1128">
                  <c:v>8319.8520751620381</c:v>
                </c:pt>
                <c:pt idx="1129">
                  <c:v>8335.479495826823</c:v>
                </c:pt>
                <c:pt idx="1130">
                  <c:v>8351.1362699313686</c:v>
                </c:pt>
                <c:pt idx="1131">
                  <c:v>8366.8224526110844</c:v>
                </c:pt>
                <c:pt idx="1132">
                  <c:v>8382.5380991049551</c:v>
                </c:pt>
                <c:pt idx="1133">
                  <c:v>8398.2832647557261</c:v>
                </c:pt>
                <c:pt idx="1134">
                  <c:v>8414.0580050100889</c:v>
                </c:pt>
                <c:pt idx="1135">
                  <c:v>8429.8623754188811</c:v>
                </c:pt>
                <c:pt idx="1136">
                  <c:v>8445.6964316372887</c:v>
                </c:pt>
                <c:pt idx="1137">
                  <c:v>8461.560229425033</c:v>
                </c:pt>
                <c:pt idx="1138">
                  <c:v>8477.453824646569</c:v>
                </c:pt>
                <c:pt idx="1139">
                  <c:v>8493.3772732712896</c:v>
                </c:pt>
                <c:pt idx="1140">
                  <c:v>8509.3306313737012</c:v>
                </c:pt>
                <c:pt idx="1141">
                  <c:v>8525.313955133659</c:v>
                </c:pt>
                <c:pt idx="1142">
                  <c:v>8541.3273008365231</c:v>
                </c:pt>
                <c:pt idx="1143">
                  <c:v>8557.3707248733881</c:v>
                </c:pt>
                <c:pt idx="1144">
                  <c:v>8573.444283741268</c:v>
                </c:pt>
                <c:pt idx="1145">
                  <c:v>8589.548034043286</c:v>
                </c:pt>
                <c:pt idx="1146">
                  <c:v>8605.6820324889013</c:v>
                </c:pt>
                <c:pt idx="1147">
                  <c:v>8621.8463358940844</c:v>
                </c:pt>
                <c:pt idx="1148">
                  <c:v>8638.0410011815111</c:v>
                </c:pt>
                <c:pt idx="1149">
                  <c:v>8654.2660853808084</c:v>
                </c:pt>
                <c:pt idx="1150">
                  <c:v>8670.5216456286853</c:v>
                </c:pt>
                <c:pt idx="1151">
                  <c:v>8686.8077391692132</c:v>
                </c:pt>
                <c:pt idx="1152">
                  <c:v>8703.1244233539492</c:v>
                </c:pt>
                <c:pt idx="1153">
                  <c:v>8719.4717556421983</c:v>
                </c:pt>
                <c:pt idx="1154">
                  <c:v>8735.8497936011863</c:v>
                </c:pt>
                <c:pt idx="1155">
                  <c:v>8752.2585949062723</c:v>
                </c:pt>
                <c:pt idx="1156">
                  <c:v>8768.6982173411379</c:v>
                </c:pt>
                <c:pt idx="1157">
                  <c:v>8785.1687187980206</c:v>
                </c:pt>
                <c:pt idx="1158">
                  <c:v>8801.6701572778784</c:v>
                </c:pt>
                <c:pt idx="1159">
                  <c:v>8818.2025908906289</c:v>
                </c:pt>
                <c:pt idx="1160">
                  <c:v>8834.7660778553272</c:v>
                </c:pt>
                <c:pt idx="1161">
                  <c:v>8851.3606765003969</c:v>
                </c:pt>
                <c:pt idx="1162">
                  <c:v>8867.9864452638103</c:v>
                </c:pt>
                <c:pt idx="1163">
                  <c:v>8884.6434426933083</c:v>
                </c:pt>
                <c:pt idx="1164">
                  <c:v>8901.3317274466081</c:v>
                </c:pt>
                <c:pt idx="1165">
                  <c:v>8918.0513582915992</c:v>
                </c:pt>
                <c:pt idx="1166">
                  <c:v>8934.802394106564</c:v>
                </c:pt>
                <c:pt idx="1167">
                  <c:v>8951.5848938803629</c:v>
                </c:pt>
                <c:pt idx="1168">
                  <c:v>8968.3989167126801</c:v>
                </c:pt>
                <c:pt idx="1169">
                  <c:v>8985.244521814182</c:v>
                </c:pt>
                <c:pt idx="1170">
                  <c:v>9002.121768506775</c:v>
                </c:pt>
                <c:pt idx="1171">
                  <c:v>9019.0307162237787</c:v>
                </c:pt>
                <c:pt idx="1172">
                  <c:v>9035.9714245101495</c:v>
                </c:pt>
                <c:pt idx="1173">
                  <c:v>9052.9439530226937</c:v>
                </c:pt>
                <c:pt idx="1174">
                  <c:v>9069.9483615302725</c:v>
                </c:pt>
                <c:pt idx="1175">
                  <c:v>9086.984709913997</c:v>
                </c:pt>
                <c:pt idx="1176">
                  <c:v>9104.0530581674848</c:v>
                </c:pt>
                <c:pt idx="1177">
                  <c:v>9121.1534663970069</c:v>
                </c:pt>
                <c:pt idx="1178">
                  <c:v>9138.2859948217683</c:v>
                </c:pt>
                <c:pt idx="1179">
                  <c:v>9155.450703774055</c:v>
                </c:pt>
                <c:pt idx="1180">
                  <c:v>9172.6476536994942</c:v>
                </c:pt>
                <c:pt idx="1181">
                  <c:v>9189.8769051572453</c:v>
                </c:pt>
                <c:pt idx="1182">
                  <c:v>9207.1385188202203</c:v>
                </c:pt>
                <c:pt idx="1183">
                  <c:v>9224.4325554752832</c:v>
                </c:pt>
                <c:pt idx="1184">
                  <c:v>9241.7590760234998</c:v>
                </c:pt>
                <c:pt idx="1185">
                  <c:v>9259.1181414802995</c:v>
                </c:pt>
                <c:pt idx="1186">
                  <c:v>9276.5098129757462</c:v>
                </c:pt>
                <c:pt idx="1187">
                  <c:v>9293.9341517547018</c:v>
                </c:pt>
                <c:pt idx="1188">
                  <c:v>9311.3912191770796</c:v>
                </c:pt>
                <c:pt idx="1189">
                  <c:v>9328.8810767180476</c:v>
                </c:pt>
                <c:pt idx="1190">
                  <c:v>9346.4037859682394</c:v>
                </c:pt>
                <c:pt idx="1191">
                  <c:v>9363.9594086339785</c:v>
                </c:pt>
                <c:pt idx="1192">
                  <c:v>9381.5480065374904</c:v>
                </c:pt>
                <c:pt idx="1193">
                  <c:v>9399.1696416171289</c:v>
                </c:pt>
                <c:pt idx="1194">
                  <c:v>9416.8243759275847</c:v>
                </c:pt>
                <c:pt idx="1195">
                  <c:v>9434.5122716401074</c:v>
                </c:pt>
                <c:pt idx="1196">
                  <c:v>9452.2333910427187</c:v>
                </c:pt>
                <c:pt idx="1197">
                  <c:v>9469.9877965404557</c:v>
                </c:pt>
                <c:pt idx="1198">
                  <c:v>9487.775550655555</c:v>
                </c:pt>
                <c:pt idx="1199">
                  <c:v>9505.5967160276923</c:v>
                </c:pt>
                <c:pt idx="1200">
                  <c:v>9523.4513554142122</c:v>
                </c:pt>
                <c:pt idx="1201">
                  <c:v>9541.3395316903297</c:v>
                </c:pt>
                <c:pt idx="1202">
                  <c:v>9559.2613078493614</c:v>
                </c:pt>
                <c:pt idx="1203">
                  <c:v>9577.2167470029508</c:v>
                </c:pt>
                <c:pt idx="1204">
                  <c:v>9595.2059123812705</c:v>
                </c:pt>
                <c:pt idx="1205">
                  <c:v>9613.2288673332878</c:v>
                </c:pt>
                <c:pt idx="1206">
                  <c:v>9631.2856753269298</c:v>
                </c:pt>
                <c:pt idx="1207">
                  <c:v>9649.3763999493585</c:v>
                </c:pt>
                <c:pt idx="1208">
                  <c:v>9667.5011049071636</c:v>
                </c:pt>
                <c:pt idx="1209">
                  <c:v>9685.6598540266023</c:v>
                </c:pt>
                <c:pt idx="1210">
                  <c:v>9703.8527112538122</c:v>
                </c:pt>
                <c:pt idx="1211">
                  <c:v>9722.0797406550519</c:v>
                </c:pt>
                <c:pt idx="1212">
                  <c:v>9740.341006416902</c:v>
                </c:pt>
                <c:pt idx="1213">
                  <c:v>9758.6365728465298</c:v>
                </c:pt>
                <c:pt idx="1214">
                  <c:v>9776.9665043718705</c:v>
                </c:pt>
                <c:pt idx="1215">
                  <c:v>9795.3308655418859</c:v>
                </c:pt>
                <c:pt idx="1216">
                  <c:v>9813.7297210267825</c:v>
                </c:pt>
                <c:pt idx="1217">
                  <c:v>9832.1631356182352</c:v>
                </c:pt>
                <c:pt idx="1218">
                  <c:v>9850.6311742296239</c:v>
                </c:pt>
                <c:pt idx="1219">
                  <c:v>9869.1339018962553</c:v>
                </c:pt>
                <c:pt idx="1220">
                  <c:v>9887.6713837755906</c:v>
                </c:pt>
                <c:pt idx="1221">
                  <c:v>9906.2436851474813</c:v>
                </c:pt>
                <c:pt idx="1222">
                  <c:v>9924.8508714143991</c:v>
                </c:pt>
                <c:pt idx="1223">
                  <c:v>9943.4930081016482</c:v>
                </c:pt>
                <c:pt idx="1224">
                  <c:v>9962.1701608576368</c:v>
                </c:pt>
                <c:pt idx="1225">
                  <c:v>9980.8823954540512</c:v>
                </c:pt>
                <c:pt idx="1226">
                  <c:v>9999.6297777861528</c:v>
                </c:pt>
                <c:pt idx="1227">
                  <c:v>10018.412373872943</c:v>
                </c:pt>
                <c:pt idx="1228">
                  <c:v>10037.23024985745</c:v>
                </c:pt>
                <c:pt idx="1229">
                  <c:v>10056.083472006934</c:v>
                </c:pt>
                <c:pt idx="1230">
                  <c:v>10074.97210671313</c:v>
                </c:pt>
                <c:pt idx="1231">
                  <c:v>10093.896220492463</c:v>
                </c:pt>
                <c:pt idx="1232">
                  <c:v>10112.855879986329</c:v>
                </c:pt>
                <c:pt idx="1233">
                  <c:v>10131.851151961258</c:v>
                </c:pt>
                <c:pt idx="1234">
                  <c:v>10150.882103309235</c:v>
                </c:pt>
                <c:pt idx="1235">
                  <c:v>10169.948801047849</c:v>
                </c:pt>
                <c:pt idx="1236">
                  <c:v>10189.051312320593</c:v>
                </c:pt>
                <c:pt idx="1237">
                  <c:v>10208.189704397071</c:v>
                </c:pt>
                <c:pt idx="1238">
                  <c:v>10227.36404467325</c:v>
                </c:pt>
                <c:pt idx="1239">
                  <c:v>10246.574400671663</c:v>
                </c:pt>
                <c:pt idx="1240">
                  <c:v>10265.820840041715</c:v>
                </c:pt>
                <c:pt idx="1241">
                  <c:v>10285.103430559833</c:v>
                </c:pt>
                <c:pt idx="1242">
                  <c:v>10304.422240129788</c:v>
                </c:pt>
                <c:pt idx="1243">
                  <c:v>10323.777336782872</c:v>
                </c:pt>
                <c:pt idx="1244">
                  <c:v>10343.168788678175</c:v>
                </c:pt>
                <c:pt idx="1245">
                  <c:v>10362.596664102803</c:v>
                </c:pt>
                <c:pt idx="1246">
                  <c:v>10382.061031472138</c:v>
                </c:pt>
                <c:pt idx="1247">
                  <c:v>10401.561959330062</c:v>
                </c:pt>
                <c:pt idx="1248">
                  <c:v>10421.099516349204</c:v>
                </c:pt>
                <c:pt idx="1249">
                  <c:v>10440.673771331189</c:v>
                </c:pt>
                <c:pt idx="1250">
                  <c:v>10460.284793206871</c:v>
                </c:pt>
                <c:pt idx="1251">
                  <c:v>10479.932651036577</c:v>
                </c:pt>
                <c:pt idx="1252">
                  <c:v>10499.617414010345</c:v>
                </c:pt>
                <c:pt idx="1253">
                  <c:v>10519.339151448199</c:v>
                </c:pt>
                <c:pt idx="1254">
                  <c:v>10539.097932800338</c:v>
                </c:pt>
                <c:pt idx="1255">
                  <c:v>10558.893827647431</c:v>
                </c:pt>
                <c:pt idx="1256">
                  <c:v>10578.726905700838</c:v>
                </c:pt>
                <c:pt idx="1257">
                  <c:v>10598.597236802862</c:v>
                </c:pt>
                <c:pt idx="1258">
                  <c:v>10618.504890926983</c:v>
                </c:pt>
                <c:pt idx="1259">
                  <c:v>10638.449938178132</c:v>
                </c:pt>
                <c:pt idx="1260">
                  <c:v>10658.432448792893</c:v>
                </c:pt>
                <c:pt idx="1261">
                  <c:v>10678.452493139815</c:v>
                </c:pt>
                <c:pt idx="1262">
                  <c:v>10698.510141719584</c:v>
                </c:pt>
                <c:pt idx="1263">
                  <c:v>10718.605465165334</c:v>
                </c:pt>
                <c:pt idx="1264">
                  <c:v>10738.738534242861</c:v>
                </c:pt>
                <c:pt idx="1265">
                  <c:v>10758.909419850888</c:v>
                </c:pt>
                <c:pt idx="1266">
                  <c:v>10779.118193021304</c:v>
                </c:pt>
                <c:pt idx="1267">
                  <c:v>10799.364924919431</c:v>
                </c:pt>
                <c:pt idx="1268">
                  <c:v>10819.649686844235</c:v>
                </c:pt>
                <c:pt idx="1269">
                  <c:v>10839.972550228642</c:v>
                </c:pt>
                <c:pt idx="1270">
                  <c:v>10860.333586639726</c:v>
                </c:pt>
                <c:pt idx="1271">
                  <c:v>10880.732867778994</c:v>
                </c:pt>
                <c:pt idx="1272">
                  <c:v>10901.170465482637</c:v>
                </c:pt>
                <c:pt idx="1273">
                  <c:v>10921.646451721774</c:v>
                </c:pt>
                <c:pt idx="1274">
                  <c:v>10942.160898602709</c:v>
                </c:pt>
                <c:pt idx="1275">
                  <c:v>10962.713878367191</c:v>
                </c:pt>
                <c:pt idx="1276">
                  <c:v>10983.305463392653</c:v>
                </c:pt>
                <c:pt idx="1277">
                  <c:v>11003.935726192483</c:v>
                </c:pt>
                <c:pt idx="1278">
                  <c:v>11024.604739416282</c:v>
                </c:pt>
                <c:pt idx="1279">
                  <c:v>11045.312575850077</c:v>
                </c:pt>
                <c:pt idx="1280">
                  <c:v>11066.059308416663</c:v>
                </c:pt>
                <c:pt idx="1281">
                  <c:v>11086.845010175763</c:v>
                </c:pt>
                <c:pt idx="1282">
                  <c:v>11107.669754324348</c:v>
                </c:pt>
                <c:pt idx="1283">
                  <c:v>11128.533614196882</c:v>
                </c:pt>
                <c:pt idx="1284">
                  <c:v>11149.436663265567</c:v>
                </c:pt>
                <c:pt idx="1285">
                  <c:v>11170.378975140609</c:v>
                </c:pt>
                <c:pt idx="1286">
                  <c:v>11191.360623570492</c:v>
                </c:pt>
                <c:pt idx="1287">
                  <c:v>11212.381682442197</c:v>
                </c:pt>
                <c:pt idx="1288">
                  <c:v>11233.442225781526</c:v>
                </c:pt>
                <c:pt idx="1289">
                  <c:v>11254.542327753286</c:v>
                </c:pt>
                <c:pt idx="1290">
                  <c:v>11275.682062661621</c:v>
                </c:pt>
                <c:pt idx="1291">
                  <c:v>11296.861504950228</c:v>
                </c:pt>
                <c:pt idx="1292">
                  <c:v>11318.080729202635</c:v>
                </c:pt>
                <c:pt idx="1293">
                  <c:v>11339.339810142466</c:v>
                </c:pt>
                <c:pt idx="1294">
                  <c:v>11360.638822633704</c:v>
                </c:pt>
                <c:pt idx="1295">
                  <c:v>11381.977841680929</c:v>
                </c:pt>
                <c:pt idx="1296">
                  <c:v>11403.356942429646</c:v>
                </c:pt>
                <c:pt idx="1297">
                  <c:v>11424.776200166465</c:v>
                </c:pt>
                <c:pt idx="1298">
                  <c:v>11446.23569031943</c:v>
                </c:pt>
                <c:pt idx="1299">
                  <c:v>11467.735488458266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2E-CB44-BB91-0055E0FEF7DF}"/>
            </c:ext>
          </c:extLst>
        </c:ser>
        <c:ser>
          <c:idx val="3"/>
          <c:order val="2"/>
          <c:tx>
            <c:strRef>
              <c:f>'Compounding within 1 year'!$I$1</c:f>
              <c:strCache>
                <c:ptCount val="1"/>
                <c:pt idx="0">
                  <c:v>Quarterly</c:v>
                </c:pt>
              </c:strCache>
            </c:strRef>
          </c:tx>
          <c:marker>
            <c:symbol val="none"/>
          </c:marker>
          <c:val>
            <c:numRef>
              <c:f>'Compounding within 1 year'!$I$2:$I$1363</c:f>
              <c:numCache>
                <c:formatCode>_("$"* #,##0.00_);_("$"* \(#,##0.00\);_("$"* "-"??_);_(@_)</c:formatCode>
                <c:ptCount val="1362"/>
                <c:pt idx="0">
                  <c:v>1001.9012596373842</c:v>
                </c:pt>
                <c:pt idx="1">
                  <c:v>1003.8061340629771</c:v>
                </c:pt>
                <c:pt idx="2">
                  <c:v>1005.7146301494297</c:v>
                </c:pt>
                <c:pt idx="3">
                  <c:v>1007.6267547824596</c:v>
                </c:pt>
                <c:pt idx="4">
                  <c:v>1009.5425148608758</c:v>
                </c:pt>
                <c:pt idx="5">
                  <c:v>1011.4619172966042</c:v>
                </c:pt>
                <c:pt idx="6">
                  <c:v>1013.3849690147114</c:v>
                </c:pt>
                <c:pt idx="7">
                  <c:v>1015.3116769534309</c:v>
                </c:pt>
                <c:pt idx="8">
                  <c:v>1017.2420480641873</c:v>
                </c:pt>
                <c:pt idx="9">
                  <c:v>1019.1760893116217</c:v>
                </c:pt>
                <c:pt idx="10">
                  <c:v>1021.1138076736171</c:v>
                </c:pt>
                <c:pt idx="11">
                  <c:v>1023.0552101413224</c:v>
                </c:pt>
                <c:pt idx="12">
                  <c:v>1025.0003037191798</c:v>
                </c:pt>
                <c:pt idx="13">
                  <c:v>1026.9490954249477</c:v>
                </c:pt>
                <c:pt idx="14">
                  <c:v>1028.9015922897272</c:v>
                </c:pt>
                <c:pt idx="15">
                  <c:v>1030.8578013579879</c:v>
                </c:pt>
                <c:pt idx="16">
                  <c:v>1032.8177296875924</c:v>
                </c:pt>
                <c:pt idx="17">
                  <c:v>1034.7813843498225</c:v>
                </c:pt>
                <c:pt idx="18">
                  <c:v>1036.7487724294031</c:v>
                </c:pt>
                <c:pt idx="19">
                  <c:v>1038.7199010245306</c:v>
                </c:pt>
                <c:pt idx="20">
                  <c:v>1040.6947772468964</c:v>
                </c:pt>
                <c:pt idx="21">
                  <c:v>1042.6734082217124</c:v>
                </c:pt>
                <c:pt idx="22">
                  <c:v>1044.6558010877382</c:v>
                </c:pt>
                <c:pt idx="23">
                  <c:v>1046.6419629973057</c:v>
                </c:pt>
                <c:pt idx="24">
                  <c:v>1048.6319011163448</c:v>
                </c:pt>
                <c:pt idx="25">
                  <c:v>1050.6256226244109</c:v>
                </c:pt>
                <c:pt idx="26">
                  <c:v>1052.6231347147082</c:v>
                </c:pt>
                <c:pt idx="27">
                  <c:v>1054.6244445941179</c:v>
                </c:pt>
                <c:pt idx="28">
                  <c:v>1056.6295594832236</c:v>
                </c:pt>
                <c:pt idx="29">
                  <c:v>1058.6384866163362</c:v>
                </c:pt>
                <c:pt idx="30">
                  <c:v>1060.6512332415211</c:v>
                </c:pt>
                <c:pt idx="31">
                  <c:v>1062.667806620625</c:v>
                </c:pt>
                <c:pt idx="32">
                  <c:v>1064.6882140293003</c:v>
                </c:pt>
                <c:pt idx="33">
                  <c:v>1066.7124627570331</c:v>
                </c:pt>
                <c:pt idx="34">
                  <c:v>1068.7405601071675</c:v>
                </c:pt>
                <c:pt idx="35">
                  <c:v>1070.7725133969345</c:v>
                </c:pt>
                <c:pt idx="36">
                  <c:v>1072.8083299574766</c:v>
                </c:pt>
                <c:pt idx="37">
                  <c:v>1074.8480171338742</c:v>
                </c:pt>
                <c:pt idx="38">
                  <c:v>1076.8915822851734</c:v>
                </c:pt>
                <c:pt idx="39">
                  <c:v>1078.939032784411</c:v>
                </c:pt>
                <c:pt idx="40">
                  <c:v>1080.9903760186423</c:v>
                </c:pt>
                <c:pt idx="41">
                  <c:v>1083.0456193889672</c:v>
                </c:pt>
                <c:pt idx="42">
                  <c:v>1085.1047703105571</c:v>
                </c:pt>
                <c:pt idx="43">
                  <c:v>1087.1678362126818</c:v>
                </c:pt>
                <c:pt idx="44">
                  <c:v>1089.2348245387352</c:v>
                </c:pt>
                <c:pt idx="45">
                  <c:v>1091.3057427462641</c:v>
                </c:pt>
                <c:pt idx="46">
                  <c:v>1093.3805983069931</c:v>
                </c:pt>
                <c:pt idx="47">
                  <c:v>1095.4593987068531</c:v>
                </c:pt>
                <c:pt idx="48">
                  <c:v>1097.5421514460074</c:v>
                </c:pt>
                <c:pt idx="49">
                  <c:v>1099.6288640388796</c:v>
                </c:pt>
                <c:pt idx="50">
                  <c:v>1101.7195440141793</c:v>
                </c:pt>
                <c:pt idx="51">
                  <c:v>1103.8141989149308</c:v>
                </c:pt>
                <c:pt idx="52">
                  <c:v>1105.9128362984993</c:v>
                </c:pt>
                <c:pt idx="53">
                  <c:v>1108.0154637366186</c:v>
                </c:pt>
                <c:pt idx="54">
                  <c:v>1110.1220888154187</c:v>
                </c:pt>
                <c:pt idx="55">
                  <c:v>1112.232719135452</c:v>
                </c:pt>
                <c:pt idx="56">
                  <c:v>1114.3473623117225</c:v>
                </c:pt>
                <c:pt idx="57">
                  <c:v>1116.4660259737111</c:v>
                </c:pt>
                <c:pt idx="58">
                  <c:v>1118.5887177654056</c:v>
                </c:pt>
                <c:pt idx="59">
                  <c:v>1120.7154453453263</c:v>
                </c:pt>
                <c:pt idx="60">
                  <c:v>1122.8462163865545</c:v>
                </c:pt>
                <c:pt idx="61">
                  <c:v>1124.9810385767598</c:v>
                </c:pt>
                <c:pt idx="62">
                  <c:v>1127.1199196182283</c:v>
                </c:pt>
                <c:pt idx="63">
                  <c:v>1129.2628672278902</c:v>
                </c:pt>
                <c:pt idx="64">
                  <c:v>1131.4098891373471</c:v>
                </c:pt>
                <c:pt idx="65">
                  <c:v>1133.5609930929013</c:v>
                </c:pt>
                <c:pt idx="66">
                  <c:v>1135.716186855582</c:v>
                </c:pt>
                <c:pt idx="67">
                  <c:v>1137.8754782011745</c:v>
                </c:pt>
                <c:pt idx="68">
                  <c:v>1140.0388749202475</c:v>
                </c:pt>
                <c:pt idx="69">
                  <c:v>1142.2063848181822</c:v>
                </c:pt>
                <c:pt idx="70">
                  <c:v>1144.3780157151996</c:v>
                </c:pt>
                <c:pt idx="71">
                  <c:v>1146.5537754463885</c:v>
                </c:pt>
                <c:pt idx="72">
                  <c:v>1148.7336718617353</c:v>
                </c:pt>
                <c:pt idx="73">
                  <c:v>1150.9177128261501</c:v>
                </c:pt>
                <c:pt idx="74">
                  <c:v>1153.105906219497</c:v>
                </c:pt>
                <c:pt idx="75">
                  <c:v>1155.2982599366214</c:v>
                </c:pt>
                <c:pt idx="76">
                  <c:v>1157.4947818873791</c:v>
                </c:pt>
                <c:pt idx="77">
                  <c:v>1159.6954799966643</c:v>
                </c:pt>
                <c:pt idx="78">
                  <c:v>1161.9003622044388</c:v>
                </c:pt>
                <c:pt idx="79">
                  <c:v>1164.1094364657602</c:v>
                </c:pt>
                <c:pt idx="80">
                  <c:v>1166.3227107508108</c:v>
                </c:pt>
                <c:pt idx="81">
                  <c:v>1168.5401930449257</c:v>
                </c:pt>
                <c:pt idx="82">
                  <c:v>1170.7618913486231</c:v>
                </c:pt>
                <c:pt idx="83">
                  <c:v>1172.9878136776317</c:v>
                </c:pt>
                <c:pt idx="84">
                  <c:v>1175.2179680629206</c:v>
                </c:pt>
                <c:pt idx="85">
                  <c:v>1177.4523625507275</c:v>
                </c:pt>
                <c:pt idx="86">
                  <c:v>1179.6910052025876</c:v>
                </c:pt>
                <c:pt idx="87">
                  <c:v>1181.9339040953644</c:v>
                </c:pt>
                <c:pt idx="88">
                  <c:v>1184.1810673212769</c:v>
                </c:pt>
                <c:pt idx="89">
                  <c:v>1186.4325029879292</c:v>
                </c:pt>
                <c:pt idx="90">
                  <c:v>1188.6882192183409</c:v>
                </c:pt>
                <c:pt idx="91">
                  <c:v>1190.9482241509747</c:v>
                </c:pt>
                <c:pt idx="92">
                  <c:v>1193.2125259397674</c:v>
                </c:pt>
                <c:pt idx="93">
                  <c:v>1195.4811327541579</c:v>
                </c:pt>
                <c:pt idx="94">
                  <c:v>1197.7540527791177</c:v>
                </c:pt>
                <c:pt idx="95">
                  <c:v>1200.03129421518</c:v>
                </c:pt>
                <c:pt idx="96">
                  <c:v>1202.3128652784694</c:v>
                </c:pt>
                <c:pt idx="97">
                  <c:v>1204.598774200731</c:v>
                </c:pt>
                <c:pt idx="98">
                  <c:v>1206.8890292293613</c:v>
                </c:pt>
                <c:pt idx="99">
                  <c:v>1209.1836386274367</c:v>
                </c:pt>
                <c:pt idx="100">
                  <c:v>1211.4826106737444</c:v>
                </c:pt>
                <c:pt idx="101">
                  <c:v>1213.7859536628114</c:v>
                </c:pt>
                <c:pt idx="102">
                  <c:v>1216.0936759049343</c:v>
                </c:pt>
                <c:pt idx="103">
                  <c:v>1218.4057857262105</c:v>
                </c:pt>
                <c:pt idx="104">
                  <c:v>1220.7222914685672</c:v>
                </c:pt>
                <c:pt idx="105">
                  <c:v>1223.0432014897915</c:v>
                </c:pt>
                <c:pt idx="106">
                  <c:v>1225.368524163561</c:v>
                </c:pt>
                <c:pt idx="107">
                  <c:v>1227.6982678794741</c:v>
                </c:pt>
                <c:pt idx="108">
                  <c:v>1230.0324410430799</c:v>
                </c:pt>
                <c:pt idx="109">
                  <c:v>1232.3710520759084</c:v>
                </c:pt>
                <c:pt idx="110">
                  <c:v>1234.7141094155011</c:v>
                </c:pt>
                <c:pt idx="111">
                  <c:v>1237.0616215154414</c:v>
                </c:pt>
                <c:pt idx="112">
                  <c:v>1239.4135968453857</c:v>
                </c:pt>
                <c:pt idx="113">
                  <c:v>1241.7700438910931</c:v>
                </c:pt>
                <c:pt idx="114">
                  <c:v>1244.1309711544559</c:v>
                </c:pt>
                <c:pt idx="115">
                  <c:v>1246.4963871535313</c:v>
                </c:pt>
                <c:pt idx="116">
                  <c:v>1248.8663004225716</c:v>
                </c:pt>
                <c:pt idx="117">
                  <c:v>1251.2407195120543</c:v>
                </c:pt>
                <c:pt idx="118">
                  <c:v>1253.6196529887141</c:v>
                </c:pt>
                <c:pt idx="119">
                  <c:v>1256.0031094355729</c:v>
                </c:pt>
                <c:pt idx="120">
                  <c:v>1258.391097451972</c:v>
                </c:pt>
                <c:pt idx="121">
                  <c:v>1260.7836256536009</c:v>
                </c:pt>
                <c:pt idx="122">
                  <c:v>1263.180702672531</c:v>
                </c:pt>
                <c:pt idx="123">
                  <c:v>1265.5823371572451</c:v>
                </c:pt>
                <c:pt idx="124">
                  <c:v>1267.9885377726682</c:v>
                </c:pt>
                <c:pt idx="125">
                  <c:v>1270.3993132002013</c:v>
                </c:pt>
                <c:pt idx="126">
                  <c:v>1272.8146721377493</c:v>
                </c:pt>
                <c:pt idx="127">
                  <c:v>1275.2346232997554</c:v>
                </c:pt>
                <c:pt idx="128">
                  <c:v>1277.65917541723</c:v>
                </c:pt>
                <c:pt idx="129">
                  <c:v>1280.0883372377843</c:v>
                </c:pt>
                <c:pt idx="130">
                  <c:v>1282.5221175256606</c:v>
                </c:pt>
                <c:pt idx="131">
                  <c:v>1284.9605250617647</c:v>
                </c:pt>
                <c:pt idx="132">
                  <c:v>1287.4035686436966</c:v>
                </c:pt>
                <c:pt idx="133">
                  <c:v>1289.8512570857831</c:v>
                </c:pt>
                <c:pt idx="134">
                  <c:v>1292.3035992191096</c:v>
                </c:pt>
                <c:pt idx="135">
                  <c:v>1294.7606038915515</c:v>
                </c:pt>
                <c:pt idx="136">
                  <c:v>1297.2222799678054</c:v>
                </c:pt>
                <c:pt idx="137">
                  <c:v>1299.6886363294238</c:v>
                </c:pt>
                <c:pt idx="138">
                  <c:v>1302.1596818748437</c:v>
                </c:pt>
                <c:pt idx="139">
                  <c:v>1304.6354255194215</c:v>
                </c:pt>
                <c:pt idx="140">
                  <c:v>1307.115876195463</c:v>
                </c:pt>
                <c:pt idx="141">
                  <c:v>1309.6010428522575</c:v>
                </c:pt>
                <c:pt idx="142">
                  <c:v>1312.0909344561087</c:v>
                </c:pt>
                <c:pt idx="143">
                  <c:v>1314.5855599903678</c:v>
                </c:pt>
                <c:pt idx="144">
                  <c:v>1317.0849284554656</c:v>
                </c:pt>
                <c:pt idx="145">
                  <c:v>1319.5890488689449</c:v>
                </c:pt>
                <c:pt idx="146">
                  <c:v>1322.0979302654937</c:v>
                </c:pt>
                <c:pt idx="147">
                  <c:v>1324.6115816969766</c:v>
                </c:pt>
                <c:pt idx="148">
                  <c:v>1327.1300122324687</c:v>
                </c:pt>
                <c:pt idx="149">
                  <c:v>1329.6532309582874</c:v>
                </c:pt>
                <c:pt idx="150">
                  <c:v>1332.1812469780259</c:v>
                </c:pt>
                <c:pt idx="151">
                  <c:v>1334.7140694125853</c:v>
                </c:pt>
                <c:pt idx="152">
                  <c:v>1337.2517074002083</c:v>
                </c:pt>
                <c:pt idx="153">
                  <c:v>1339.7941700965112</c:v>
                </c:pt>
                <c:pt idx="154">
                  <c:v>1342.3414666745186</c:v>
                </c:pt>
                <c:pt idx="155">
                  <c:v>1344.8936063246938</c:v>
                </c:pt>
                <c:pt idx="156">
                  <c:v>1347.4505982549749</c:v>
                </c:pt>
                <c:pt idx="157">
                  <c:v>1350.0124516908063</c:v>
                </c:pt>
                <c:pt idx="158">
                  <c:v>1352.5791758751723</c:v>
                </c:pt>
                <c:pt idx="159">
                  <c:v>1355.15078006863</c:v>
                </c:pt>
                <c:pt idx="160">
                  <c:v>1357.7272735493441</c:v>
                </c:pt>
                <c:pt idx="161">
                  <c:v>1360.308665613119</c:v>
                </c:pt>
                <c:pt idx="162">
                  <c:v>1362.8949655734332</c:v>
                </c:pt>
                <c:pt idx="163">
                  <c:v>1365.4861827614723</c:v>
                </c:pt>
                <c:pt idx="164">
                  <c:v>1368.0823265261624</c:v>
                </c:pt>
                <c:pt idx="165">
                  <c:v>1370.6834062342052</c:v>
                </c:pt>
                <c:pt idx="166">
                  <c:v>1373.2894312701105</c:v>
                </c:pt>
                <c:pt idx="167">
                  <c:v>1375.9004110362307</c:v>
                </c:pt>
                <c:pt idx="168">
                  <c:v>1378.516354952794</c:v>
                </c:pt>
                <c:pt idx="169">
                  <c:v>1381.1372724579398</c:v>
                </c:pt>
                <c:pt idx="170">
                  <c:v>1383.763173007751</c:v>
                </c:pt>
                <c:pt idx="171">
                  <c:v>1386.3940660762892</c:v>
                </c:pt>
                <c:pt idx="172">
                  <c:v>1389.0299611556288</c:v>
                </c:pt>
                <c:pt idx="173">
                  <c:v>1391.6708677558915</c:v>
                </c:pt>
                <c:pt idx="174">
                  <c:v>1394.3167954052792</c:v>
                </c:pt>
                <c:pt idx="175">
                  <c:v>1396.9677536501101</c:v>
                </c:pt>
                <c:pt idx="176">
                  <c:v>1399.6237520548525</c:v>
                </c:pt>
                <c:pt idx="177">
                  <c:v>1402.2848002021583</c:v>
                </c:pt>
                <c:pt idx="178">
                  <c:v>1404.9509076929</c:v>
                </c:pt>
                <c:pt idx="179">
                  <c:v>1407.6220841462027</c:v>
                </c:pt>
                <c:pt idx="180">
                  <c:v>1410.2983391994808</c:v>
                </c:pt>
                <c:pt idx="181">
                  <c:v>1412.9796825084707</c:v>
                </c:pt>
                <c:pt idx="182">
                  <c:v>1415.6661237472679</c:v>
                </c:pt>
                <c:pt idx="183">
                  <c:v>1418.3576726083606</c:v>
                </c:pt>
                <c:pt idx="184">
                  <c:v>1421.0543388026651</c:v>
                </c:pt>
                <c:pt idx="185">
                  <c:v>1423.7561320595603</c:v>
                </c:pt>
                <c:pt idx="186">
                  <c:v>1426.4630621269234</c:v>
                </c:pt>
                <c:pt idx="187">
                  <c:v>1429.1751387711647</c:v>
                </c:pt>
                <c:pt idx="188">
                  <c:v>1431.8923717772632</c:v>
                </c:pt>
                <c:pt idx="189">
                  <c:v>1434.6147709488016</c:v>
                </c:pt>
                <c:pt idx="190">
                  <c:v>1437.3423461080017</c:v>
                </c:pt>
                <c:pt idx="191">
                  <c:v>1440.0751070957601</c:v>
                </c:pt>
                <c:pt idx="192">
                  <c:v>1442.8130637716829</c:v>
                </c:pt>
                <c:pt idx="193">
                  <c:v>1445.5562260141226</c:v>
                </c:pt>
                <c:pt idx="194">
                  <c:v>1448.3046037202128</c:v>
                </c:pt>
                <c:pt idx="195">
                  <c:v>1451.0582068059036</c:v>
                </c:pt>
                <c:pt idx="196">
                  <c:v>1453.8170452059987</c:v>
                </c:pt>
                <c:pt idx="197">
                  <c:v>1456.5811288741902</c:v>
                </c:pt>
                <c:pt idx="198">
                  <c:v>1459.350467783094</c:v>
                </c:pt>
                <c:pt idx="199">
                  <c:v>1462.1250719242876</c:v>
                </c:pt>
                <c:pt idx="200">
                  <c:v>1464.9049513083448</c:v>
                </c:pt>
                <c:pt idx="201">
                  <c:v>1467.6901159648714</c:v>
                </c:pt>
                <c:pt idx="202">
                  <c:v>1470.4805759425433</c:v>
                </c:pt>
                <c:pt idx="203">
                  <c:v>1473.2763413091402</c:v>
                </c:pt>
                <c:pt idx="204">
                  <c:v>1476.0774221515844</c:v>
                </c:pt>
                <c:pt idx="205">
                  <c:v>1478.8838285759753</c:v>
                </c:pt>
                <c:pt idx="206">
                  <c:v>1481.695570707627</c:v>
                </c:pt>
                <c:pt idx="207">
                  <c:v>1484.5126586911042</c:v>
                </c:pt>
                <c:pt idx="208">
                  <c:v>1487.3351026902594</c:v>
                </c:pt>
                <c:pt idx="209">
                  <c:v>1490.1629128882691</c:v>
                </c:pt>
                <c:pt idx="210">
                  <c:v>1492.9960994876703</c:v>
                </c:pt>
                <c:pt idx="211">
                  <c:v>1495.8346727103983</c:v>
                </c:pt>
                <c:pt idx="212">
                  <c:v>1498.6786427978225</c:v>
                </c:pt>
                <c:pt idx="213">
                  <c:v>1501.5280200107836</c:v>
                </c:pt>
                <c:pt idx="214">
                  <c:v>1504.3828146296314</c:v>
                </c:pt>
                <c:pt idx="215">
                  <c:v>1507.243036954261</c:v>
                </c:pt>
                <c:pt idx="216">
                  <c:v>1510.1086973041506</c:v>
                </c:pt>
                <c:pt idx="217">
                  <c:v>1512.9798060183978</c:v>
                </c:pt>
                <c:pt idx="218">
                  <c:v>1515.8563734557579</c:v>
                </c:pt>
                <c:pt idx="219">
                  <c:v>1518.738409994681</c:v>
                </c:pt>
                <c:pt idx="220">
                  <c:v>1521.6259260333488</c:v>
                </c:pt>
                <c:pt idx="221">
                  <c:v>1524.5189319897133</c:v>
                </c:pt>
                <c:pt idx="222">
                  <c:v>1527.4174383015336</c:v>
                </c:pt>
                <c:pt idx="223">
                  <c:v>1530.321455426413</c:v>
                </c:pt>
                <c:pt idx="224">
                  <c:v>1533.230993841838</c:v>
                </c:pt>
                <c:pt idx="225">
                  <c:v>1536.146064045216</c:v>
                </c:pt>
                <c:pt idx="226">
                  <c:v>1539.0666765539117</c:v>
                </c:pt>
                <c:pt idx="227">
                  <c:v>1541.9928419052869</c:v>
                </c:pt>
                <c:pt idx="228">
                  <c:v>1544.9245706567365</c:v>
                </c:pt>
                <c:pt idx="229">
                  <c:v>1547.8618733857295</c:v>
                </c:pt>
                <c:pt idx="230">
                  <c:v>1550.8047606898433</c:v>
                </c:pt>
                <c:pt idx="231">
                  <c:v>1553.7532431868065</c:v>
                </c:pt>
                <c:pt idx="232">
                  <c:v>1556.7073315145321</c:v>
                </c:pt>
                <c:pt idx="233">
                  <c:v>1559.6670363311609</c:v>
                </c:pt>
                <c:pt idx="234">
                  <c:v>1562.6323683150958</c:v>
                </c:pt>
                <c:pt idx="235">
                  <c:v>1565.6033381650434</c:v>
                </c:pt>
                <c:pt idx="236">
                  <c:v>1568.5799566000505</c:v>
                </c:pt>
                <c:pt idx="237">
                  <c:v>1571.5622343595439</c:v>
                </c:pt>
                <c:pt idx="238">
                  <c:v>1574.5501822033689</c:v>
                </c:pt>
                <c:pt idx="239">
                  <c:v>1577.5438109118284</c:v>
                </c:pt>
                <c:pt idx="240">
                  <c:v>1580.5431312857202</c:v>
                </c:pt>
                <c:pt idx="241">
                  <c:v>1583.5481541463785</c:v>
                </c:pt>
                <c:pt idx="242">
                  <c:v>1586.5588903357111</c:v>
                </c:pt>
                <c:pt idx="243">
                  <c:v>1589.5753507162397</c:v>
                </c:pt>
                <c:pt idx="244">
                  <c:v>1592.5975461711371</c:v>
                </c:pt>
                <c:pt idx="245">
                  <c:v>1595.6254876042692</c:v>
                </c:pt>
                <c:pt idx="246">
                  <c:v>1598.6591859402329</c:v>
                </c:pt>
                <c:pt idx="247">
                  <c:v>1601.6986521243944</c:v>
                </c:pt>
                <c:pt idx="248">
                  <c:v>1604.743897122931</c:v>
                </c:pt>
                <c:pt idx="249">
                  <c:v>1607.7949319228694</c:v>
                </c:pt>
                <c:pt idx="250">
                  <c:v>1610.8517675321252</c:v>
                </c:pt>
                <c:pt idx="251">
                  <c:v>1613.9144149795432</c:v>
                </c:pt>
                <c:pt idx="252">
                  <c:v>1616.9828853149361</c:v>
                </c:pt>
                <c:pt idx="253">
                  <c:v>1620.0571896091265</c:v>
                </c:pt>
                <c:pt idx="254">
                  <c:v>1623.1373389539842</c:v>
                </c:pt>
                <c:pt idx="255">
                  <c:v>1626.2233444624687</c:v>
                </c:pt>
                <c:pt idx="256">
                  <c:v>1629.3152172686673</c:v>
                </c:pt>
                <c:pt idx="257">
                  <c:v>1632.4129685278358</c:v>
                </c:pt>
                <c:pt idx="258">
                  <c:v>1635.5166094164404</c:v>
                </c:pt>
                <c:pt idx="259">
                  <c:v>1638.6261511321954</c:v>
                </c:pt>
                <c:pt idx="260">
                  <c:v>1641.7416048941052</c:v>
                </c:pt>
                <c:pt idx="261">
                  <c:v>1644.8629819425046</c:v>
                </c:pt>
                <c:pt idx="262">
                  <c:v>1647.9902935390994</c:v>
                </c:pt>
                <c:pt idx="263">
                  <c:v>1651.1235509670062</c:v>
                </c:pt>
                <c:pt idx="264">
                  <c:v>1654.2627655307942</c:v>
                </c:pt>
                <c:pt idx="265">
                  <c:v>1657.4079485565251</c:v>
                </c:pt>
                <c:pt idx="266">
                  <c:v>1660.5591113917958</c:v>
                </c:pt>
                <c:pt idx="267">
                  <c:v>1663.7162654057754</c:v>
                </c:pt>
                <c:pt idx="268">
                  <c:v>1666.8794219892509</c:v>
                </c:pt>
                <c:pt idx="269">
                  <c:v>1670.0485925546652</c:v>
                </c:pt>
                <c:pt idx="270">
                  <c:v>1673.2237885361599</c:v>
                </c:pt>
                <c:pt idx="271">
                  <c:v>1676.4050213896144</c:v>
                </c:pt>
                <c:pt idx="272">
                  <c:v>1679.5923025926909</c:v>
                </c:pt>
                <c:pt idx="273">
                  <c:v>1682.7856436448715</c:v>
                </c:pt>
                <c:pt idx="274">
                  <c:v>1685.9850560675031</c:v>
                </c:pt>
                <c:pt idx="275">
                  <c:v>1689.1905514038369</c:v>
                </c:pt>
                <c:pt idx="276">
                  <c:v>1692.4021412190721</c:v>
                </c:pt>
                <c:pt idx="277">
                  <c:v>1695.6198371003943</c:v>
                </c:pt>
                <c:pt idx="278">
                  <c:v>1698.8436506570213</c:v>
                </c:pt>
                <c:pt idx="279">
                  <c:v>1702.0735935202417</c:v>
                </c:pt>
                <c:pt idx="280">
                  <c:v>1705.309677343459</c:v>
                </c:pt>
                <c:pt idx="281">
                  <c:v>1708.551913802233</c:v>
                </c:pt>
                <c:pt idx="282">
                  <c:v>1711.8003145943205</c:v>
                </c:pt>
                <c:pt idx="283">
                  <c:v>1715.0548914397202</c:v>
                </c:pt>
                <c:pt idx="284">
                  <c:v>1718.3156560807129</c:v>
                </c:pt>
                <c:pt idx="285">
                  <c:v>1721.5826202819044</c:v>
                </c:pt>
                <c:pt idx="286">
                  <c:v>1724.8557958302686</c:v>
                </c:pt>
                <c:pt idx="287">
                  <c:v>1728.1351945351889</c:v>
                </c:pt>
                <c:pt idx="288">
                  <c:v>1731.4208282285017</c:v>
                </c:pt>
                <c:pt idx="289">
                  <c:v>1734.7127087645385</c:v>
                </c:pt>
                <c:pt idx="290">
                  <c:v>1738.0108480201702</c:v>
                </c:pt>
                <c:pt idx="291">
                  <c:v>1741.3152578948468</c:v>
                </c:pt>
                <c:pt idx="292">
                  <c:v>1744.6259503106437</c:v>
                </c:pt>
                <c:pt idx="293">
                  <c:v>1747.942937212302</c:v>
                </c:pt>
                <c:pt idx="294">
                  <c:v>1751.2662305672745</c:v>
                </c:pt>
                <c:pt idx="295">
                  <c:v>1754.5958423657662</c:v>
                </c:pt>
                <c:pt idx="296">
                  <c:v>1757.9317846207782</c:v>
                </c:pt>
                <c:pt idx="297">
                  <c:v>1761.2740693681524</c:v>
                </c:pt>
                <c:pt idx="298">
                  <c:v>1764.6227086666136</c:v>
                </c:pt>
                <c:pt idx="299">
                  <c:v>1767.9777145978128</c:v>
                </c:pt>
                <c:pt idx="300">
                  <c:v>1771.3390992663724</c:v>
                </c:pt>
                <c:pt idx="301">
                  <c:v>1774.7068747999278</c:v>
                </c:pt>
                <c:pt idx="302">
                  <c:v>1778.0810533491733</c:v>
                </c:pt>
                <c:pt idx="303">
                  <c:v>1781.4616470879037</c:v>
                </c:pt>
                <c:pt idx="304">
                  <c:v>1784.8486682130599</c:v>
                </c:pt>
                <c:pt idx="305">
                  <c:v>1788.2421289447723</c:v>
                </c:pt>
                <c:pt idx="306">
                  <c:v>1791.6420415264049</c:v>
                </c:pt>
                <c:pt idx="307">
                  <c:v>1795.0484182245996</c:v>
                </c:pt>
                <c:pt idx="308">
                  <c:v>1798.4612713293204</c:v>
                </c:pt>
                <c:pt idx="309">
                  <c:v>1801.8806131538975</c:v>
                </c:pt>
                <c:pt idx="310">
                  <c:v>1805.306456035072</c:v>
                </c:pt>
                <c:pt idx="311">
                  <c:v>1808.7388123330406</c:v>
                </c:pt>
                <c:pt idx="312">
                  <c:v>1812.1776944314995</c:v>
                </c:pt>
                <c:pt idx="313">
                  <c:v>1815.62311473769</c:v>
                </c:pt>
                <c:pt idx="314">
                  <c:v>1819.0750856824425</c:v>
                </c:pt>
                <c:pt idx="315">
                  <c:v>1822.5336197202216</c:v>
                </c:pt>
                <c:pt idx="316">
                  <c:v>1825.9987293291715</c:v>
                </c:pt>
                <c:pt idx="317">
                  <c:v>1829.4704270111597</c:v>
                </c:pt>
                <c:pt idx="318">
                  <c:v>1832.9487252918241</c:v>
                </c:pt>
                <c:pt idx="319">
                  <c:v>1836.4336367206163</c:v>
                </c:pt>
                <c:pt idx="320">
                  <c:v>1839.9251738708479</c:v>
                </c:pt>
                <c:pt idx="321">
                  <c:v>1843.4233493397353</c:v>
                </c:pt>
                <c:pt idx="322">
                  <c:v>1846.9281757484468</c:v>
                </c:pt>
                <c:pt idx="323">
                  <c:v>1850.4396657421446</c:v>
                </c:pt>
                <c:pt idx="324">
                  <c:v>1853.9578319900352</c:v>
                </c:pt>
                <c:pt idx="325">
                  <c:v>1857.48268718541</c:v>
                </c:pt>
                <c:pt idx="326">
                  <c:v>1861.0142440456957</c:v>
                </c:pt>
                <c:pt idx="327">
                  <c:v>1864.5525153124963</c:v>
                </c:pt>
                <c:pt idx="328">
                  <c:v>1868.0975137516434</c:v>
                </c:pt>
                <c:pt idx="329">
                  <c:v>1871.6492521532371</c:v>
                </c:pt>
                <c:pt idx="330">
                  <c:v>1875.2077433316965</c:v>
                </c:pt>
                <c:pt idx="331">
                  <c:v>1878.7730001258033</c:v>
                </c:pt>
                <c:pt idx="332">
                  <c:v>1882.3450353987496</c:v>
                </c:pt>
                <c:pt idx="333">
                  <c:v>1885.9238620381836</c:v>
                </c:pt>
                <c:pt idx="334">
                  <c:v>1889.5094929562565</c:v>
                </c:pt>
                <c:pt idx="335">
                  <c:v>1893.1019410896686</c:v>
                </c:pt>
                <c:pt idx="336">
                  <c:v>1896.7012193997161</c:v>
                </c:pt>
                <c:pt idx="337">
                  <c:v>1900.3073408723378</c:v>
                </c:pt>
                <c:pt idx="338">
                  <c:v>1903.9203185181634</c:v>
                </c:pt>
                <c:pt idx="339">
                  <c:v>1907.5401653725576</c:v>
                </c:pt>
                <c:pt idx="340">
                  <c:v>1911.1668944956696</c:v>
                </c:pt>
                <c:pt idx="341">
                  <c:v>1914.800518972479</c:v>
                </c:pt>
                <c:pt idx="342">
                  <c:v>1918.4410519128437</c:v>
                </c:pt>
                <c:pt idx="343">
                  <c:v>1922.0885064515464</c:v>
                </c:pt>
                <c:pt idx="344">
                  <c:v>1925.7428957483426</c:v>
                </c:pt>
                <c:pt idx="345">
                  <c:v>1929.4042329880083</c:v>
                </c:pt>
                <c:pt idx="346">
                  <c:v>1933.0725313803866</c:v>
                </c:pt>
                <c:pt idx="347">
                  <c:v>1936.7478041604363</c:v>
                </c:pt>
                <c:pt idx="348">
                  <c:v>1940.430064588279</c:v>
                </c:pt>
                <c:pt idx="349">
                  <c:v>1944.1193259492472</c:v>
                </c:pt>
                <c:pt idx="350">
                  <c:v>1947.8156015539332</c:v>
                </c:pt>
                <c:pt idx="351">
                  <c:v>1951.5189047382348</c:v>
                </c:pt>
                <c:pt idx="352">
                  <c:v>1955.2292488634059</c:v>
                </c:pt>
                <c:pt idx="353">
                  <c:v>1958.9466473161028</c:v>
                </c:pt>
                <c:pt idx="354">
                  <c:v>1962.671113508434</c:v>
                </c:pt>
                <c:pt idx="355">
                  <c:v>1966.4026608780075</c:v>
                </c:pt>
                <c:pt idx="356">
                  <c:v>1970.1413028879797</c:v>
                </c:pt>
                <c:pt idx="357">
                  <c:v>1973.887053027104</c:v>
                </c:pt>
                <c:pt idx="358">
                  <c:v>1977.6399248097798</c:v>
                </c:pt>
                <c:pt idx="359">
                  <c:v>1981.3999317760999</c:v>
                </c:pt>
                <c:pt idx="360">
                  <c:v>1985.1670874919018</c:v>
                </c:pt>
                <c:pt idx="361">
                  <c:v>1988.9414055488135</c:v>
                </c:pt>
                <c:pt idx="362">
                  <c:v>1992.7228995643059</c:v>
                </c:pt>
                <c:pt idx="363">
                  <c:v>1996.5115831817384</c:v>
                </c:pt>
                <c:pt idx="364">
                  <c:v>2000.3074700704117</c:v>
                </c:pt>
                <c:pt idx="365">
                  <c:v>2004.110573925615</c:v>
                </c:pt>
                <c:pt idx="366">
                  <c:v>2007.9209084686745</c:v>
                </c:pt>
                <c:pt idx="367">
                  <c:v>2011.7384874470056</c:v>
                </c:pt>
                <c:pt idx="368">
                  <c:v>2015.5633246341611</c:v>
                </c:pt>
                <c:pt idx="369">
                  <c:v>2019.3954338298799</c:v>
                </c:pt>
                <c:pt idx="370">
                  <c:v>2023.2348288601388</c:v>
                </c:pt>
                <c:pt idx="371">
                  <c:v>2027.0815235772002</c:v>
                </c:pt>
                <c:pt idx="372">
                  <c:v>2030.9355318596647</c:v>
                </c:pt>
                <c:pt idx="373">
                  <c:v>2034.7968676125188</c:v>
                </c:pt>
                <c:pt idx="374">
                  <c:v>2038.665544767186</c:v>
                </c:pt>
                <c:pt idx="375">
                  <c:v>2042.5415772815777</c:v>
                </c:pt>
                <c:pt idx="376">
                  <c:v>2046.4249791401423</c:v>
                </c:pt>
                <c:pt idx="377">
                  <c:v>2050.3157643539162</c:v>
                </c:pt>
                <c:pt idx="378">
                  <c:v>2054.2139469605745</c:v>
                </c:pt>
                <c:pt idx="379">
                  <c:v>2058.1195410244827</c:v>
                </c:pt>
                <c:pt idx="380">
                  <c:v>2062.0325606367442</c:v>
                </c:pt>
                <c:pt idx="381">
                  <c:v>2065.9530199152546</c:v>
                </c:pt>
                <c:pt idx="382">
                  <c:v>2069.8809330047516</c:v>
                </c:pt>
                <c:pt idx="383">
                  <c:v>2073.8163140768647</c:v>
                </c:pt>
                <c:pt idx="384">
                  <c:v>2077.7591773301679</c:v>
                </c:pt>
                <c:pt idx="385">
                  <c:v>2081.7095369902299</c:v>
                </c:pt>
                <c:pt idx="386">
                  <c:v>2085.6674073096674</c:v>
                </c:pt>
                <c:pt idx="387">
                  <c:v>2089.6328025681933</c:v>
                </c:pt>
                <c:pt idx="388">
                  <c:v>2093.6057370726699</c:v>
                </c:pt>
                <c:pt idx="389">
                  <c:v>2097.5862251571625</c:v>
                </c:pt>
                <c:pt idx="390">
                  <c:v>2101.5742811829864</c:v>
                </c:pt>
                <c:pt idx="391">
                  <c:v>2105.5699195387642</c:v>
                </c:pt>
                <c:pt idx="392">
                  <c:v>2109.5731546404736</c:v>
                </c:pt>
                <c:pt idx="393">
                  <c:v>2113.5840009315011</c:v>
                </c:pt>
                <c:pt idx="394">
                  <c:v>2117.6024728826928</c:v>
                </c:pt>
                <c:pt idx="395">
                  <c:v>2121.6285849924097</c:v>
                </c:pt>
                <c:pt idx="396">
                  <c:v>2125.662351786576</c:v>
                </c:pt>
                <c:pt idx="397">
                  <c:v>2129.7037878187352</c:v>
                </c:pt>
                <c:pt idx="398">
                  <c:v>2133.7529076700989</c:v>
                </c:pt>
                <c:pt idx="399">
                  <c:v>2137.8097259496035</c:v>
                </c:pt>
                <c:pt idx="400">
                  <c:v>2141.8742572939586</c:v>
                </c:pt>
                <c:pt idx="401">
                  <c:v>2145.9465163677037</c:v>
                </c:pt>
                <c:pt idx="402">
                  <c:v>2150.026517863259</c:v>
                </c:pt>
                <c:pt idx="403">
                  <c:v>2154.1142765009781</c:v>
                </c:pt>
                <c:pt idx="404">
                  <c:v>2158.2098070292022</c:v>
                </c:pt>
                <c:pt idx="405">
                  <c:v>2162.3131242243135</c:v>
                </c:pt>
                <c:pt idx="406">
                  <c:v>2166.4242428907874</c:v>
                </c:pt>
                <c:pt idx="407">
                  <c:v>2170.543177861246</c:v>
                </c:pt>
                <c:pt idx="408">
                  <c:v>2174.6699439965132</c:v>
                </c:pt>
                <c:pt idx="409">
                  <c:v>2178.8045561856666</c:v>
                </c:pt>
                <c:pt idx="410">
                  <c:v>2182.9470293460909</c:v>
                </c:pt>
                <c:pt idx="411">
                  <c:v>2187.0973784235343</c:v>
                </c:pt>
                <c:pt idx="412">
                  <c:v>2191.2556183921597</c:v>
                </c:pt>
                <c:pt idx="413">
                  <c:v>2195.4217642546</c:v>
                </c:pt>
                <c:pt idx="414">
                  <c:v>2199.5958310420119</c:v>
                </c:pt>
                <c:pt idx="415">
                  <c:v>2203.7778338141311</c:v>
                </c:pt>
                <c:pt idx="416">
                  <c:v>2207.9677876593237</c:v>
                </c:pt>
                <c:pt idx="417">
                  <c:v>2212.1657076946449</c:v>
                </c:pt>
                <c:pt idx="418">
                  <c:v>2216.3716090658904</c:v>
                </c:pt>
                <c:pt idx="419">
                  <c:v>2220.5855069476511</c:v>
                </c:pt>
                <c:pt idx="420">
                  <c:v>2224.8074165433709</c:v>
                </c:pt>
                <c:pt idx="421">
                  <c:v>2229.0373530853976</c:v>
                </c:pt>
                <c:pt idx="422">
                  <c:v>2233.275331835041</c:v>
                </c:pt>
                <c:pt idx="423">
                  <c:v>2237.521368082625</c:v>
                </c:pt>
                <c:pt idx="424">
                  <c:v>2241.7754771475447</c:v>
                </c:pt>
                <c:pt idx="425">
                  <c:v>2246.0376743783227</c:v>
                </c:pt>
                <c:pt idx="426">
                  <c:v>2250.3079751526629</c:v>
                </c:pt>
                <c:pt idx="427">
                  <c:v>2254.5863948775041</c:v>
                </c:pt>
                <c:pt idx="428">
                  <c:v>2258.8729489890802</c:v>
                </c:pt>
                <c:pt idx="429">
                  <c:v>2263.1676529529723</c:v>
                </c:pt>
                <c:pt idx="430">
                  <c:v>2267.4705222641651</c:v>
                </c:pt>
                <c:pt idx="431">
                  <c:v>2271.7815724471043</c:v>
                </c:pt>
                <c:pt idx="432">
                  <c:v>2276.1008190557513</c:v>
                </c:pt>
                <c:pt idx="433">
                  <c:v>2280.4282776736391</c:v>
                </c:pt>
                <c:pt idx="434">
                  <c:v>2284.7639639139293</c:v>
                </c:pt>
                <c:pt idx="435">
                  <c:v>2289.1078934194688</c:v>
                </c:pt>
                <c:pt idx="436">
                  <c:v>2293.4600818628446</c:v>
                </c:pt>
                <c:pt idx="437">
                  <c:v>2297.8205449464422</c:v>
                </c:pt>
                <c:pt idx="438">
                  <c:v>2302.1892984025012</c:v>
                </c:pt>
                <c:pt idx="439">
                  <c:v>2306.5663579931716</c:v>
                </c:pt>
                <c:pt idx="440">
                  <c:v>2310.9517395105722</c:v>
                </c:pt>
                <c:pt idx="441">
                  <c:v>2315.3454587768465</c:v>
                </c:pt>
                <c:pt idx="442">
                  <c:v>2319.7475316442196</c:v>
                </c:pt>
                <c:pt idx="443">
                  <c:v>2324.1579739950566</c:v>
                </c:pt>
                <c:pt idx="444">
                  <c:v>2328.5768017419177</c:v>
                </c:pt>
                <c:pt idx="445">
                  <c:v>2333.0040308276184</c:v>
                </c:pt>
                <c:pt idx="446">
                  <c:v>2337.4396772252862</c:v>
                </c:pt>
                <c:pt idx="447">
                  <c:v>2341.883756938415</c:v>
                </c:pt>
                <c:pt idx="448">
                  <c:v>2346.3362860009274</c:v>
                </c:pt>
                <c:pt idx="449">
                  <c:v>2350.7972804772307</c:v>
                </c:pt>
                <c:pt idx="450">
                  <c:v>2355.2667564622748</c:v>
                </c:pt>
                <c:pt idx="451">
                  <c:v>2359.7447300816093</c:v>
                </c:pt>
                <c:pt idx="452">
                  <c:v>2364.2312174914432</c:v>
                </c:pt>
                <c:pt idx="453">
                  <c:v>2368.7262348787031</c:v>
                </c:pt>
                <c:pt idx="454">
                  <c:v>2373.2297984610918</c:v>
                </c:pt>
                <c:pt idx="455">
                  <c:v>2377.741924487143</c:v>
                </c:pt>
                <c:pt idx="456">
                  <c:v>2382.2626292362866</c:v>
                </c:pt>
                <c:pt idx="457">
                  <c:v>2386.791929018902</c:v>
                </c:pt>
                <c:pt idx="458">
                  <c:v>2391.32984017638</c:v>
                </c:pt>
                <c:pt idx="459">
                  <c:v>2395.8763790811795</c:v>
                </c:pt>
                <c:pt idx="460">
                  <c:v>2400.4315621368887</c:v>
                </c:pt>
                <c:pt idx="461">
                  <c:v>2404.9954057782825</c:v>
                </c:pt>
                <c:pt idx="462">
                  <c:v>2409.5679264713835</c:v>
                </c:pt>
                <c:pt idx="463">
                  <c:v>2414.1491407135186</c:v>
                </c:pt>
                <c:pt idx="464">
                  <c:v>2418.7390650333832</c:v>
                </c:pt>
                <c:pt idx="465">
                  <c:v>2423.3377159910956</c:v>
                </c:pt>
                <c:pt idx="466">
                  <c:v>2427.9451101782606</c:v>
                </c:pt>
                <c:pt idx="467">
                  <c:v>2432.5612642180263</c:v>
                </c:pt>
                <c:pt idx="468">
                  <c:v>2437.1861947651482</c:v>
                </c:pt>
                <c:pt idx="469">
                  <c:v>2441.8199185060453</c:v>
                </c:pt>
                <c:pt idx="470">
                  <c:v>2446.4624521588617</c:v>
                </c:pt>
                <c:pt idx="471">
                  <c:v>2451.1138124735271</c:v>
                </c:pt>
                <c:pt idx="472">
                  <c:v>2455.7740162318178</c:v>
                </c:pt>
                <c:pt idx="473">
                  <c:v>2460.4430802474158</c:v>
                </c:pt>
                <c:pt idx="474">
                  <c:v>2465.121021365972</c:v>
                </c:pt>
                <c:pt idx="475">
                  <c:v>2469.8078564651623</c:v>
                </c:pt>
                <c:pt idx="476">
                  <c:v>2474.5036024547535</c:v>
                </c:pt>
                <c:pt idx="477">
                  <c:v>2479.2082762766627</c:v>
                </c:pt>
                <c:pt idx="478">
                  <c:v>2483.9218949050169</c:v>
                </c:pt>
                <c:pt idx="479">
                  <c:v>2488.6444753462142</c:v>
                </c:pt>
                <c:pt idx="480">
                  <c:v>2493.376034638989</c:v>
                </c:pt>
                <c:pt idx="481">
                  <c:v>2498.1165898544687</c:v>
                </c:pt>
                <c:pt idx="482">
                  <c:v>2502.8661580962394</c:v>
                </c:pt>
                <c:pt idx="483">
                  <c:v>2507.6247565004028</c:v>
                </c:pt>
                <c:pt idx="484">
                  <c:v>2512.3924022356418</c:v>
                </c:pt>
                <c:pt idx="485">
                  <c:v>2517.169112503283</c:v>
                </c:pt>
                <c:pt idx="486">
                  <c:v>2521.954904537356</c:v>
                </c:pt>
                <c:pt idx="487">
                  <c:v>2526.7497956046559</c:v>
                </c:pt>
                <c:pt idx="488">
                  <c:v>2531.5538030048078</c:v>
                </c:pt>
                <c:pt idx="489">
                  <c:v>2536.366944070327</c:v>
                </c:pt>
                <c:pt idx="490">
                  <c:v>2541.1892361666837</c:v>
                </c:pt>
                <c:pt idx="491">
                  <c:v>2546.0206966923624</c:v>
                </c:pt>
                <c:pt idx="492">
                  <c:v>2550.8613430789283</c:v>
                </c:pt>
                <c:pt idx="493">
                  <c:v>2555.7111927910878</c:v>
                </c:pt>
                <c:pt idx="494">
                  <c:v>2560.5702633267529</c:v>
                </c:pt>
                <c:pt idx="495">
                  <c:v>2565.4385722171014</c:v>
                </c:pt>
                <c:pt idx="496">
                  <c:v>2570.3161370266466</c:v>
                </c:pt>
                <c:pt idx="497">
                  <c:v>2575.2029753532925</c:v>
                </c:pt>
                <c:pt idx="498">
                  <c:v>2580.0991048284036</c:v>
                </c:pt>
                <c:pt idx="499">
                  <c:v>2585.0045431168651</c:v>
                </c:pt>
                <c:pt idx="500">
                  <c:v>2589.9193079171473</c:v>
                </c:pt>
                <c:pt idx="501">
                  <c:v>2594.843416961372</c:v>
                </c:pt>
                <c:pt idx="502">
                  <c:v>2599.7768880153731</c:v>
                </c:pt>
                <c:pt idx="503">
                  <c:v>2604.7197388787613</c:v>
                </c:pt>
                <c:pt idx="504">
                  <c:v>2609.6719873849888</c:v>
                </c:pt>
                <c:pt idx="505">
                  <c:v>2614.633651401416</c:v>
                </c:pt>
                <c:pt idx="506">
                  <c:v>2619.6047488293725</c:v>
                </c:pt>
                <c:pt idx="507">
                  <c:v>2624.5852976042215</c:v>
                </c:pt>
                <c:pt idx="508">
                  <c:v>2629.5753156954279</c:v>
                </c:pt>
                <c:pt idx="509">
                  <c:v>2634.5748211066216</c:v>
                </c:pt>
                <c:pt idx="510">
                  <c:v>2639.583831875661</c:v>
                </c:pt>
                <c:pt idx="511">
                  <c:v>2644.6023660746978</c:v>
                </c:pt>
                <c:pt idx="512">
                  <c:v>2649.6304418102459</c:v>
                </c:pt>
                <c:pt idx="513">
                  <c:v>2654.6680772232448</c:v>
                </c:pt>
                <c:pt idx="514">
                  <c:v>2659.7152904891213</c:v>
                </c:pt>
                <c:pt idx="515">
                  <c:v>2664.7720998178615</c:v>
                </c:pt>
                <c:pt idx="516">
                  <c:v>2669.8385234540724</c:v>
                </c:pt>
                <c:pt idx="517">
                  <c:v>2674.9145796770495</c:v>
                </c:pt>
                <c:pt idx="518">
                  <c:v>2680.0002868008396</c:v>
                </c:pt>
                <c:pt idx="519">
                  <c:v>2685.0956631743124</c:v>
                </c:pt>
                <c:pt idx="520">
                  <c:v>2690.2007271812208</c:v>
                </c:pt>
                <c:pt idx="521">
                  <c:v>2695.3154972402722</c:v>
                </c:pt>
                <c:pt idx="522">
                  <c:v>2700.4399918051913</c:v>
                </c:pt>
                <c:pt idx="523">
                  <c:v>2705.5742293647882</c:v>
                </c:pt>
                <c:pt idx="524">
                  <c:v>2710.7182284430264</c:v>
                </c:pt>
                <c:pt idx="525">
                  <c:v>2715.8720075990868</c:v>
                </c:pt>
                <c:pt idx="526">
                  <c:v>2721.0355854274362</c:v>
                </c:pt>
                <c:pt idx="527">
                  <c:v>2726.2089805578953</c:v>
                </c:pt>
                <c:pt idx="528">
                  <c:v>2731.3922116557042</c:v>
                </c:pt>
                <c:pt idx="529">
                  <c:v>2736.5852974215913</c:v>
                </c:pt>
                <c:pt idx="530">
                  <c:v>2741.7882565918376</c:v>
                </c:pt>
                <c:pt idx="531">
                  <c:v>2747.0011079383494</c:v>
                </c:pt>
                <c:pt idx="532">
                  <c:v>2752.2238702687223</c:v>
                </c:pt>
                <c:pt idx="533">
                  <c:v>2757.45656242631</c:v>
                </c:pt>
                <c:pt idx="534">
                  <c:v>2762.6992032902908</c:v>
                </c:pt>
                <c:pt idx="535">
                  <c:v>2767.9518117757402</c:v>
                </c:pt>
                <c:pt idx="536">
                  <c:v>2773.2144068336938</c:v>
                </c:pt>
                <c:pt idx="537">
                  <c:v>2778.4870074512191</c:v>
                </c:pt>
                <c:pt idx="538">
                  <c:v>2783.7696326514824</c:v>
                </c:pt>
                <c:pt idx="539">
                  <c:v>2789.0623014938183</c:v>
                </c:pt>
                <c:pt idx="540">
                  <c:v>2794.3650330737983</c:v>
                </c:pt>
                <c:pt idx="541">
                  <c:v>2799.6778465232996</c:v>
                </c:pt>
                <c:pt idx="542">
                  <c:v>2805.0007610105731</c:v>
                </c:pt>
                <c:pt idx="543">
                  <c:v>2810.3337957403141</c:v>
                </c:pt>
                <c:pt idx="544">
                  <c:v>2815.6769699537313</c:v>
                </c:pt>
                <c:pt idx="545">
                  <c:v>2821.0303029286174</c:v>
                </c:pt>
                <c:pt idx="546">
                  <c:v>2826.3938139794132</c:v>
                </c:pt>
                <c:pt idx="547">
                  <c:v>2831.767522457284</c:v>
                </c:pt>
                <c:pt idx="548">
                  <c:v>2837.1514477501878</c:v>
                </c:pt>
                <c:pt idx="549">
                  <c:v>2842.5456092829413</c:v>
                </c:pt>
                <c:pt idx="550">
                  <c:v>2847.9500265172946</c:v>
                </c:pt>
                <c:pt idx="551">
                  <c:v>2853.3647189519988</c:v>
                </c:pt>
                <c:pt idx="552">
                  <c:v>2858.7897061228782</c:v>
                </c:pt>
                <c:pt idx="553">
                  <c:v>2864.2250076028995</c:v>
                </c:pt>
                <c:pt idx="554">
                  <c:v>2869.6706430022414</c:v>
                </c:pt>
                <c:pt idx="555">
                  <c:v>2875.1266319683677</c:v>
                </c:pt>
                <c:pt idx="556">
                  <c:v>2880.5929941860973</c:v>
                </c:pt>
                <c:pt idx="557">
                  <c:v>2886.0697493776756</c:v>
                </c:pt>
                <c:pt idx="558">
                  <c:v>2891.5569173028425</c:v>
                </c:pt>
                <c:pt idx="559">
                  <c:v>2897.0545177589092</c:v>
                </c:pt>
                <c:pt idx="560">
                  <c:v>2902.5625705808252</c:v>
                </c:pt>
                <c:pt idx="561">
                  <c:v>2908.0810956412529</c:v>
                </c:pt>
                <c:pt idx="562">
                  <c:v>2913.6101128506357</c:v>
                </c:pt>
                <c:pt idx="563">
                  <c:v>2919.1496421572733</c:v>
                </c:pt>
                <c:pt idx="564">
                  <c:v>2924.699703547391</c:v>
                </c:pt>
                <c:pt idx="565">
                  <c:v>2930.2603170452148</c:v>
                </c:pt>
                <c:pt idx="566">
                  <c:v>2935.8315027130411</c:v>
                </c:pt>
                <c:pt idx="567">
                  <c:v>2941.4132806513103</c:v>
                </c:pt>
                <c:pt idx="568">
                  <c:v>2947.0056709986793</c:v>
                </c:pt>
                <c:pt idx="569">
                  <c:v>2952.6086939320912</c:v>
                </c:pt>
                <c:pt idx="570">
                  <c:v>2958.2223696668539</c:v>
                </c:pt>
                <c:pt idx="571">
                  <c:v>2963.846718456708</c:v>
                </c:pt>
                <c:pt idx="572">
                  <c:v>2969.4817605939029</c:v>
                </c:pt>
                <c:pt idx="573">
                  <c:v>2975.127516409269</c:v>
                </c:pt>
                <c:pt idx="574">
                  <c:v>2980.7840062722894</c:v>
                </c:pt>
                <c:pt idx="575">
                  <c:v>2986.4512505911748</c:v>
                </c:pt>
                <c:pt idx="576">
                  <c:v>2992.1292698129391</c:v>
                </c:pt>
                <c:pt idx="577">
                  <c:v>2997.8180844234707</c:v>
                </c:pt>
                <c:pt idx="578">
                  <c:v>3003.5177149476053</c:v>
                </c:pt>
                <c:pt idx="579">
                  <c:v>3009.2281819492036</c:v>
                </c:pt>
                <c:pt idx="580">
                  <c:v>3014.9495060312224</c:v>
                </c:pt>
                <c:pt idx="581">
                  <c:v>3020.6817078357913</c:v>
                </c:pt>
                <c:pt idx="582">
                  <c:v>3026.424808044284</c:v>
                </c:pt>
                <c:pt idx="583">
                  <c:v>3032.1788273773964</c:v>
                </c:pt>
                <c:pt idx="584">
                  <c:v>3037.94378659522</c:v>
                </c:pt>
                <c:pt idx="585">
                  <c:v>3043.7197064973161</c:v>
                </c:pt>
                <c:pt idx="586">
                  <c:v>3049.50660792279</c:v>
                </c:pt>
                <c:pt idx="587">
                  <c:v>3055.3045117503698</c:v>
                </c:pt>
                <c:pt idx="588">
                  <c:v>3061.1134388984783</c:v>
                </c:pt>
                <c:pt idx="589">
                  <c:v>3066.9334103253109</c:v>
                </c:pt>
                <c:pt idx="590">
                  <c:v>3072.7644470289069</c:v>
                </c:pt>
                <c:pt idx="591">
                  <c:v>3078.6065700472323</c:v>
                </c:pt>
                <c:pt idx="592">
                  <c:v>3084.4598004582485</c:v>
                </c:pt>
                <c:pt idx="593">
                  <c:v>3090.3241593799944</c:v>
                </c:pt>
                <c:pt idx="594">
                  <c:v>3096.1996679706563</c:v>
                </c:pt>
                <c:pt idx="595">
                  <c:v>3102.0863474286516</c:v>
                </c:pt>
                <c:pt idx="596">
                  <c:v>3107.9842189926976</c:v>
                </c:pt>
                <c:pt idx="597">
                  <c:v>3113.8933039418962</c:v>
                </c:pt>
                <c:pt idx="598">
                  <c:v>3119.8136235958013</c:v>
                </c:pt>
                <c:pt idx="599">
                  <c:v>3125.7451993145055</c:v>
                </c:pt>
                <c:pt idx="600">
                  <c:v>3131.6880524987096</c:v>
                </c:pt>
                <c:pt idx="601">
                  <c:v>3137.6422045898039</c:v>
                </c:pt>
                <c:pt idx="602">
                  <c:v>3143.6076770699433</c:v>
                </c:pt>
                <c:pt idx="603">
                  <c:v>3149.5844914621275</c:v>
                </c:pt>
                <c:pt idx="604">
                  <c:v>3155.5726693302749</c:v>
                </c:pt>
                <c:pt idx="605">
                  <c:v>3161.5722322793063</c:v>
                </c:pt>
                <c:pt idx="606">
                  <c:v>3167.5832019552131</c:v>
                </c:pt>
                <c:pt idx="607">
                  <c:v>3173.6056000451467</c:v>
                </c:pt>
                <c:pt idx="608">
                  <c:v>3179.639448277489</c:v>
                </c:pt>
                <c:pt idx="609">
                  <c:v>3185.6847684219338</c:v>
                </c:pt>
                <c:pt idx="610">
                  <c:v>3191.7415822895637</c:v>
                </c:pt>
                <c:pt idx="611">
                  <c:v>3197.8099117329311</c:v>
                </c:pt>
                <c:pt idx="612">
                  <c:v>3203.8897786461362</c:v>
                </c:pt>
                <c:pt idx="613">
                  <c:v>3209.981204964904</c:v>
                </c:pt>
                <c:pt idx="614">
                  <c:v>3216.0842126666657</c:v>
                </c:pt>
                <c:pt idx="615">
                  <c:v>3222.1988237706373</c:v>
                </c:pt>
                <c:pt idx="616">
                  <c:v>3228.3250603378992</c:v>
                </c:pt>
                <c:pt idx="617">
                  <c:v>3234.4629444714756</c:v>
                </c:pt>
                <c:pt idx="618">
                  <c:v>3240.6124983164141</c:v>
                </c:pt>
                <c:pt idx="619">
                  <c:v>3246.7737440598653</c:v>
                </c:pt>
                <c:pt idx="620">
                  <c:v>3252.9467039311648</c:v>
                </c:pt>
                <c:pt idx="621">
                  <c:v>3259.1314002019117</c:v>
                </c:pt>
                <c:pt idx="622">
                  <c:v>3265.3278551860471</c:v>
                </c:pt>
                <c:pt idx="623">
                  <c:v>3271.5360912399378</c:v>
                </c:pt>
                <c:pt idx="624">
                  <c:v>3277.7561307624578</c:v>
                </c:pt>
                <c:pt idx="625">
                  <c:v>3283.9879961950651</c:v>
                </c:pt>
                <c:pt idx="626">
                  <c:v>3290.2317100218847</c:v>
                </c:pt>
                <c:pt idx="627">
                  <c:v>3296.4872947697913</c:v>
                </c:pt>
                <c:pt idx="628">
                  <c:v>3302.7547730084866</c:v>
                </c:pt>
                <c:pt idx="629">
                  <c:v>3309.0341673505854</c:v>
                </c:pt>
                <c:pt idx="630">
                  <c:v>3315.3255004516946</c:v>
                </c:pt>
                <c:pt idx="631">
                  <c:v>3321.6287950104934</c:v>
                </c:pt>
                <c:pt idx="632">
                  <c:v>3327.9440737688196</c:v>
                </c:pt>
                <c:pt idx="633">
                  <c:v>3334.2713595117484</c:v>
                </c:pt>
                <c:pt idx="634">
                  <c:v>3340.6106750676745</c:v>
                </c:pt>
                <c:pt idx="635">
                  <c:v>3346.9620433083951</c:v>
                </c:pt>
                <c:pt idx="636">
                  <c:v>3353.325487149194</c:v>
                </c:pt>
                <c:pt idx="637">
                  <c:v>3359.7010295489231</c:v>
                </c:pt>
                <c:pt idx="638">
                  <c:v>3366.0886935100821</c:v>
                </c:pt>
                <c:pt idx="639">
                  <c:v>3372.4885020789079</c:v>
                </c:pt>
                <c:pt idx="640">
                  <c:v>3378.9004783454534</c:v>
                </c:pt>
                <c:pt idx="641">
                  <c:v>3385.3246454436694</c:v>
                </c:pt>
                <c:pt idx="642">
                  <c:v>3391.7610265514932</c:v>
                </c:pt>
                <c:pt idx="643">
                  <c:v>3398.2096448909283</c:v>
                </c:pt>
                <c:pt idx="644">
                  <c:v>3404.6705237281294</c:v>
                </c:pt>
                <c:pt idx="645">
                  <c:v>3411.1436863734853</c:v>
                </c:pt>
                <c:pt idx="646">
                  <c:v>3417.6291561817047</c:v>
                </c:pt>
                <c:pt idx="647">
                  <c:v>3424.1269565519001</c:v>
                </c:pt>
                <c:pt idx="648">
                  <c:v>3430.6371109276724</c:v>
                </c:pt>
                <c:pt idx="649">
                  <c:v>3437.1596427971908</c:v>
                </c:pt>
                <c:pt idx="650">
                  <c:v>3443.6945756932869</c:v>
                </c:pt>
                <c:pt idx="651">
                  <c:v>3450.2419331935316</c:v>
                </c:pt>
                <c:pt idx="652">
                  <c:v>3456.8017389203233</c:v>
                </c:pt>
                <c:pt idx="653">
                  <c:v>3463.3740165409718</c:v>
                </c:pt>
                <c:pt idx="654">
                  <c:v>3469.9587897677861</c:v>
                </c:pt>
                <c:pt idx="655">
                  <c:v>3476.5560823581577</c:v>
                </c:pt>
                <c:pt idx="656">
                  <c:v>3483.1659181146483</c:v>
                </c:pt>
                <c:pt idx="657">
                  <c:v>3489.7883208850717</c:v>
                </c:pt>
                <c:pt idx="658">
                  <c:v>3496.4233145625849</c:v>
                </c:pt>
                <c:pt idx="659">
                  <c:v>3503.0709230857715</c:v>
                </c:pt>
                <c:pt idx="660">
                  <c:v>3509.7311704387294</c:v>
                </c:pt>
                <c:pt idx="661">
                  <c:v>3516.4040806511534</c:v>
                </c:pt>
                <c:pt idx="662">
                  <c:v>3523.0896777984281</c:v>
                </c:pt>
                <c:pt idx="663">
                  <c:v>3529.787986001711</c:v>
                </c:pt>
                <c:pt idx="664">
                  <c:v>3536.4990294280201</c:v>
                </c:pt>
                <c:pt idx="665">
                  <c:v>3543.2228322903197</c:v>
                </c:pt>
                <c:pt idx="666">
                  <c:v>3549.9594188476112</c:v>
                </c:pt>
                <c:pt idx="667">
                  <c:v>3556.7088134050182</c:v>
                </c:pt>
                <c:pt idx="668">
                  <c:v>3563.4710403138738</c:v>
                </c:pt>
                <c:pt idx="669">
                  <c:v>3570.24612397181</c:v>
                </c:pt>
                <c:pt idx="670">
                  <c:v>3577.0340888228448</c:v>
                </c:pt>
                <c:pt idx="671">
                  <c:v>3583.8349593574708</c:v>
                </c:pt>
                <c:pt idx="672">
                  <c:v>3590.6487601127442</c:v>
                </c:pt>
                <c:pt idx="673">
                  <c:v>3597.47551567237</c:v>
                </c:pt>
                <c:pt idx="674">
                  <c:v>3604.3152506667957</c:v>
                </c:pt>
                <c:pt idx="675">
                  <c:v>3611.1679897732961</c:v>
                </c:pt>
                <c:pt idx="676">
                  <c:v>3618.0337577160662</c:v>
                </c:pt>
                <c:pt idx="677">
                  <c:v>3624.9125792663053</c:v>
                </c:pt>
                <c:pt idx="678">
                  <c:v>3631.8044792423102</c:v>
                </c:pt>
                <c:pt idx="679">
                  <c:v>3638.7094825095646</c:v>
                </c:pt>
                <c:pt idx="680">
                  <c:v>3645.6276139808269</c:v>
                </c:pt>
                <c:pt idx="681">
                  <c:v>3652.5588986162225</c:v>
                </c:pt>
                <c:pt idx="682">
                  <c:v>3659.5033614233294</c:v>
                </c:pt>
                <c:pt idx="683">
                  <c:v>3666.4610274572751</c:v>
                </c:pt>
                <c:pt idx="684">
                  <c:v>3673.4319218208216</c:v>
                </c:pt>
                <c:pt idx="685">
                  <c:v>3680.4160696644581</c:v>
                </c:pt>
                <c:pt idx="686">
                  <c:v>3687.4134961864916</c:v>
                </c:pt>
                <c:pt idx="687">
                  <c:v>3694.4242266331366</c:v>
                </c:pt>
                <c:pt idx="688">
                  <c:v>3701.4482862986083</c:v>
                </c:pt>
                <c:pt idx="689">
                  <c:v>3708.4857005252125</c:v>
                </c:pt>
                <c:pt idx="690">
                  <c:v>3715.5364947034377</c:v>
                </c:pt>
                <c:pt idx="691">
                  <c:v>3722.6006942720446</c:v>
                </c:pt>
                <c:pt idx="692">
                  <c:v>3729.6783247181629</c:v>
                </c:pt>
                <c:pt idx="693">
                  <c:v>3736.7694115773761</c:v>
                </c:pt>
                <c:pt idx="694">
                  <c:v>3743.8739804338197</c:v>
                </c:pt>
                <c:pt idx="695">
                  <c:v>3750.9920569202714</c:v>
                </c:pt>
                <c:pt idx="696">
                  <c:v>3758.1236667182434</c:v>
                </c:pt>
                <c:pt idx="697">
                  <c:v>3765.2688355580722</c:v>
                </c:pt>
                <c:pt idx="698">
                  <c:v>3772.4275892190194</c:v>
                </c:pt>
                <c:pt idx="699">
                  <c:v>3779.5999535293558</c:v>
                </c:pt>
                <c:pt idx="700">
                  <c:v>3786.7859543664608</c:v>
                </c:pt>
                <c:pt idx="701">
                  <c:v>3793.985617656911</c:v>
                </c:pt>
                <c:pt idx="702">
                  <c:v>3801.1989693765781</c:v>
                </c:pt>
                <c:pt idx="703">
                  <c:v>3808.4260355507195</c:v>
                </c:pt>
                <c:pt idx="704">
                  <c:v>3815.6668422540761</c:v>
                </c:pt>
                <c:pt idx="705">
                  <c:v>3822.9214156109588</c:v>
                </c:pt>
                <c:pt idx="706">
                  <c:v>3830.1897817953509</c:v>
                </c:pt>
                <c:pt idx="707">
                  <c:v>3837.4719670309996</c:v>
                </c:pt>
                <c:pt idx="708">
                  <c:v>3844.7679975915098</c:v>
                </c:pt>
                <c:pt idx="709">
                  <c:v>3852.0778998004366</c:v>
                </c:pt>
                <c:pt idx="710">
                  <c:v>3859.4017000313866</c:v>
                </c:pt>
                <c:pt idx="711">
                  <c:v>3866.7394247081083</c:v>
                </c:pt>
                <c:pt idx="712">
                  <c:v>3874.0911003045881</c:v>
                </c:pt>
                <c:pt idx="713">
                  <c:v>3881.4567533451464</c:v>
                </c:pt>
                <c:pt idx="714">
                  <c:v>3888.8364104045336</c:v>
                </c:pt>
                <c:pt idx="715">
                  <c:v>3896.2300981080252</c:v>
                </c:pt>
                <c:pt idx="716">
                  <c:v>3903.6378431315202</c:v>
                </c:pt>
                <c:pt idx="717">
                  <c:v>3911.0596722016317</c:v>
                </c:pt>
                <c:pt idx="718">
                  <c:v>3918.4956120957891</c:v>
                </c:pt>
                <c:pt idx="719">
                  <c:v>3925.9456896423339</c:v>
                </c:pt>
                <c:pt idx="720">
                  <c:v>3933.4099317206137</c:v>
                </c:pt>
                <c:pt idx="721">
                  <c:v>3940.8883652610803</c:v>
                </c:pt>
                <c:pt idx="722">
                  <c:v>3948.3810172453877</c:v>
                </c:pt>
                <c:pt idx="723">
                  <c:v>3955.8879147064899</c:v>
                </c:pt>
                <c:pt idx="724">
                  <c:v>3963.409084728738</c:v>
                </c:pt>
                <c:pt idx="725">
                  <c:v>3970.9445544479745</c:v>
                </c:pt>
                <c:pt idx="726">
                  <c:v>3978.4943510516368</c:v>
                </c:pt>
                <c:pt idx="727">
                  <c:v>3986.0585017788517</c:v>
                </c:pt>
                <c:pt idx="728">
                  <c:v>3993.6370339205369</c:v>
                </c:pt>
                <c:pt idx="729">
                  <c:v>4001.2299748194923</c:v>
                </c:pt>
                <c:pt idx="730">
                  <c:v>4008.8373518705075</c:v>
                </c:pt>
                <c:pt idx="731">
                  <c:v>4016.4591925204577</c:v>
                </c:pt>
                <c:pt idx="732">
                  <c:v>4024.0955242683976</c:v>
                </c:pt>
                <c:pt idx="733">
                  <c:v>4031.7463746656676</c:v>
                </c:pt>
                <c:pt idx="734">
                  <c:v>4039.411771315989</c:v>
                </c:pt>
                <c:pt idx="735">
                  <c:v>4047.0917418755662</c:v>
                </c:pt>
                <c:pt idx="736">
                  <c:v>4054.7863140531863</c:v>
                </c:pt>
                <c:pt idx="737">
                  <c:v>4062.4955156103129</c:v>
                </c:pt>
                <c:pt idx="738">
                  <c:v>4070.219374361197</c:v>
                </c:pt>
                <c:pt idx="739">
                  <c:v>4077.9579181729682</c:v>
                </c:pt>
                <c:pt idx="740">
                  <c:v>4085.7111749657424</c:v>
                </c:pt>
                <c:pt idx="741">
                  <c:v>4093.479172712714</c:v>
                </c:pt>
                <c:pt idx="742">
                  <c:v>4101.2619394402655</c:v>
                </c:pt>
                <c:pt idx="743">
                  <c:v>4109.0595032280626</c:v>
                </c:pt>
                <c:pt idx="744">
                  <c:v>4116.8718922091603</c:v>
                </c:pt>
                <c:pt idx="745">
                  <c:v>4124.699134570099</c:v>
                </c:pt>
                <c:pt idx="746">
                  <c:v>4132.5412585510103</c:v>
                </c:pt>
                <c:pt idx="747">
                  <c:v>4140.3982924457187</c:v>
                </c:pt>
                <c:pt idx="748">
                  <c:v>4148.2702646018388</c:v>
                </c:pt>
                <c:pt idx="749">
                  <c:v>4156.1572034208875</c:v>
                </c:pt>
                <c:pt idx="750">
                  <c:v>4164.0591373583757</c:v>
                </c:pt>
                <c:pt idx="751">
                  <c:v>4171.9760949239153</c:v>
                </c:pt>
                <c:pt idx="752">
                  <c:v>4179.9081046813271</c:v>
                </c:pt>
                <c:pt idx="753">
                  <c:v>4187.8551952487314</c:v>
                </c:pt>
                <c:pt idx="754">
                  <c:v>4195.8173952986672</c:v>
                </c:pt>
                <c:pt idx="755">
                  <c:v>4203.794733558183</c:v>
                </c:pt>
                <c:pt idx="756">
                  <c:v>4211.7872388089463</c:v>
                </c:pt>
                <c:pt idx="757">
                  <c:v>4219.7949398873434</c:v>
                </c:pt>
                <c:pt idx="758">
                  <c:v>4227.8178656845885</c:v>
                </c:pt>
                <c:pt idx="759">
                  <c:v>4235.8560451468265</c:v>
                </c:pt>
                <c:pt idx="760">
                  <c:v>4243.9095072752343</c:v>
                </c:pt>
                <c:pt idx="761">
                  <c:v>4251.9782811261284</c:v>
                </c:pt>
                <c:pt idx="762">
                  <c:v>4260.0623958110673</c:v>
                </c:pt>
                <c:pt idx="763">
                  <c:v>4268.1618804969612</c:v>
                </c:pt>
                <c:pt idx="764">
                  <c:v>4276.2767644061714</c:v>
                </c:pt>
                <c:pt idx="765">
                  <c:v>4284.4070768166202</c:v>
                </c:pt>
                <c:pt idx="766">
                  <c:v>4292.5528470618947</c:v>
                </c:pt>
                <c:pt idx="767">
                  <c:v>4300.7141045313538</c:v>
                </c:pt>
                <c:pt idx="768">
                  <c:v>4308.8908786702268</c:v>
                </c:pt>
                <c:pt idx="769">
                  <c:v>4317.0831989797352</c:v>
                </c:pt>
                <c:pt idx="770">
                  <c:v>4325.2910950171854</c:v>
                </c:pt>
                <c:pt idx="771">
                  <c:v>4333.5145963960795</c:v>
                </c:pt>
                <c:pt idx="772">
                  <c:v>4341.7537327862219</c:v>
                </c:pt>
                <c:pt idx="773">
                  <c:v>4350.0085339138304</c:v>
                </c:pt>
                <c:pt idx="774">
                  <c:v>4358.2790295616369</c:v>
                </c:pt>
                <c:pt idx="775">
                  <c:v>4366.5652495690019</c:v>
                </c:pt>
                <c:pt idx="776">
                  <c:v>4374.8672238320105</c:v>
                </c:pt>
                <c:pt idx="777">
                  <c:v>4383.1849823035973</c:v>
                </c:pt>
                <c:pt idx="778">
                  <c:v>4391.5185549936386</c:v>
                </c:pt>
                <c:pt idx="779">
                  <c:v>4399.8679719690736</c:v>
                </c:pt>
                <c:pt idx="780">
                  <c:v>4408.2332633539972</c:v>
                </c:pt>
                <c:pt idx="781">
                  <c:v>4416.6144593297859</c:v>
                </c:pt>
                <c:pt idx="782">
                  <c:v>4425.0115901351974</c:v>
                </c:pt>
                <c:pt idx="783">
                  <c:v>4433.4246860664789</c:v>
                </c:pt>
                <c:pt idx="784">
                  <c:v>4441.8537774774795</c:v>
                </c:pt>
                <c:pt idx="785">
                  <c:v>4450.2988947797594</c:v>
                </c:pt>
                <c:pt idx="786">
                  <c:v>4458.7600684426998</c:v>
                </c:pt>
                <c:pt idx="787">
                  <c:v>4467.2373289936113</c:v>
                </c:pt>
                <c:pt idx="788">
                  <c:v>4475.7307070178422</c:v>
                </c:pt>
                <c:pt idx="789">
                  <c:v>4484.2402331588955</c:v>
                </c:pt>
                <c:pt idx="790">
                  <c:v>4492.7659381185349</c:v>
                </c:pt>
                <c:pt idx="791">
                  <c:v>4501.3078526568952</c:v>
                </c:pt>
                <c:pt idx="792">
                  <c:v>4509.8660075925909</c:v>
                </c:pt>
                <c:pt idx="793">
                  <c:v>4518.440433802838</c:v>
                </c:pt>
                <c:pt idx="794">
                  <c:v>4527.0311622235522</c:v>
                </c:pt>
                <c:pt idx="795">
                  <c:v>4535.638223849468</c:v>
                </c:pt>
                <c:pt idx="796">
                  <c:v>4544.2616497342497</c:v>
                </c:pt>
                <c:pt idx="797">
                  <c:v>4552.9014709906023</c:v>
                </c:pt>
                <c:pt idx="798">
                  <c:v>4561.5577187903846</c:v>
                </c:pt>
                <c:pt idx="799">
                  <c:v>4570.2304243647177</c:v>
                </c:pt>
                <c:pt idx="800">
                  <c:v>4578.9196190041084</c:v>
                </c:pt>
                <c:pt idx="801">
                  <c:v>4587.6253340585472</c:v>
                </c:pt>
                <c:pt idx="802">
                  <c:v>4596.3476009376336</c:v>
                </c:pt>
                <c:pt idx="803">
                  <c:v>4605.0864511106838</c:v>
                </c:pt>
                <c:pt idx="804">
                  <c:v>4613.841916106845</c:v>
                </c:pt>
                <c:pt idx="805">
                  <c:v>4622.6140275152111</c:v>
                </c:pt>
                <c:pt idx="806">
                  <c:v>4631.4028169849316</c:v>
                </c:pt>
                <c:pt idx="807">
                  <c:v>4640.2083162253311</c:v>
                </c:pt>
                <c:pt idx="808">
                  <c:v>4649.0305570060254</c:v>
                </c:pt>
                <c:pt idx="809">
                  <c:v>4657.8695711570263</c:v>
                </c:pt>
                <c:pt idx="810">
                  <c:v>4666.7253905688667</c:v>
                </c:pt>
                <c:pt idx="811">
                  <c:v>4675.5980471927123</c:v>
                </c:pt>
                <c:pt idx="812">
                  <c:v>4684.4875730404719</c:v>
                </c:pt>
                <c:pt idx="813">
                  <c:v>4693.3940001849214</c:v>
                </c:pt>
                <c:pt idx="814">
                  <c:v>4702.3173607598137</c:v>
                </c:pt>
                <c:pt idx="815">
                  <c:v>4711.257686959998</c:v>
                </c:pt>
                <c:pt idx="816">
                  <c:v>4720.2150110415305</c:v>
                </c:pt>
                <c:pt idx="817">
                  <c:v>4729.1893653217985</c:v>
                </c:pt>
                <c:pt idx="818">
                  <c:v>4738.180782179631</c:v>
                </c:pt>
                <c:pt idx="819">
                  <c:v>4747.1892940554199</c:v>
                </c:pt>
                <c:pt idx="820">
                  <c:v>4756.2149334512287</c:v>
                </c:pt>
                <c:pt idx="821">
                  <c:v>4765.2577329309233</c:v>
                </c:pt>
                <c:pt idx="822">
                  <c:v>4774.3177251202778</c:v>
                </c:pt>
                <c:pt idx="823">
                  <c:v>4783.3949427070975</c:v>
                </c:pt>
                <c:pt idx="824">
                  <c:v>4792.4894184413342</c:v>
                </c:pt>
                <c:pt idx="825">
                  <c:v>4801.6011851352068</c:v>
                </c:pt>
                <c:pt idx="826">
                  <c:v>4810.7302756633198</c:v>
                </c:pt>
                <c:pt idx="827">
                  <c:v>4819.876722962782</c:v>
                </c:pt>
                <c:pt idx="828">
                  <c:v>4829.0405600333188</c:v>
                </c:pt>
                <c:pt idx="829">
                  <c:v>4838.2218199374001</c:v>
                </c:pt>
                <c:pt idx="830">
                  <c:v>4847.4205358003583</c:v>
                </c:pt>
                <c:pt idx="831">
                  <c:v>4856.6367408105034</c:v>
                </c:pt>
                <c:pt idx="832">
                  <c:v>4865.870468219242</c:v>
                </c:pt>
                <c:pt idx="833">
                  <c:v>4875.1217513412075</c:v>
                </c:pt>
                <c:pt idx="834">
                  <c:v>4884.3906235543682</c:v>
                </c:pt>
                <c:pt idx="835">
                  <c:v>4893.6771183001474</c:v>
                </c:pt>
                <c:pt idx="836">
                  <c:v>4902.9812690835633</c:v>
                </c:pt>
                <c:pt idx="837">
                  <c:v>4912.3031094733233</c:v>
                </c:pt>
                <c:pt idx="838">
                  <c:v>4921.6426731019601</c:v>
                </c:pt>
                <c:pt idx="839">
                  <c:v>4930.9999936659578</c:v>
                </c:pt>
                <c:pt idx="840">
                  <c:v>4940.3751049258553</c:v>
                </c:pt>
                <c:pt idx="841">
                  <c:v>4949.768040706389</c:v>
                </c:pt>
                <c:pt idx="842">
                  <c:v>4959.1788348965983</c:v>
                </c:pt>
                <c:pt idx="843">
                  <c:v>4968.6075214499569</c:v>
                </c:pt>
                <c:pt idx="844">
                  <c:v>4978.0541343844934</c:v>
                </c:pt>
                <c:pt idx="845">
                  <c:v>4987.5187077829132</c:v>
                </c:pt>
                <c:pt idx="846">
                  <c:v>4997.0012757927179</c:v>
                </c:pt>
                <c:pt idx="847">
                  <c:v>5006.5018726263397</c:v>
                </c:pt>
                <c:pt idx="848">
                  <c:v>5016.0205325612524</c:v>
                </c:pt>
                <c:pt idx="849">
                  <c:v>5025.5572899401022</c:v>
                </c:pt>
                <c:pt idx="850">
                  <c:v>5035.1121791708274</c:v>
                </c:pt>
                <c:pt idx="851">
                  <c:v>5044.685234726785</c:v>
                </c:pt>
                <c:pt idx="852">
                  <c:v>5054.2764911468803</c:v>
                </c:pt>
                <c:pt idx="853">
                  <c:v>5063.8859830356778</c:v>
                </c:pt>
                <c:pt idx="854">
                  <c:v>5073.5137450635384</c:v>
                </c:pt>
                <c:pt idx="855">
                  <c:v>5083.1598119667424</c:v>
                </c:pt>
                <c:pt idx="856">
                  <c:v>5092.8242185476056</c:v>
                </c:pt>
                <c:pt idx="857">
                  <c:v>5102.5069996746242</c:v>
                </c:pt>
                <c:pt idx="858">
                  <c:v>5112.2081902825757</c:v>
                </c:pt>
                <c:pt idx="859">
                  <c:v>5121.9278253726652</c:v>
                </c:pt>
                <c:pt idx="860">
                  <c:v>5131.6659400126409</c:v>
                </c:pt>
                <c:pt idx="861">
                  <c:v>5141.4225693369262</c:v>
                </c:pt>
                <c:pt idx="862">
                  <c:v>5151.1977485467423</c:v>
                </c:pt>
                <c:pt idx="863">
                  <c:v>5160.9915129102383</c:v>
                </c:pt>
                <c:pt idx="864">
                  <c:v>5170.8038977626165</c:v>
                </c:pt>
                <c:pt idx="865">
                  <c:v>5180.6349385062622</c:v>
                </c:pt>
                <c:pt idx="866">
                  <c:v>5190.4846706108665</c:v>
                </c:pt>
                <c:pt idx="867">
                  <c:v>5200.3531296135598</c:v>
                </c:pt>
                <c:pt idx="868">
                  <c:v>5210.2403511190378</c:v>
                </c:pt>
                <c:pt idx="869">
                  <c:v>5220.1463707996918</c:v>
                </c:pt>
                <c:pt idx="870">
                  <c:v>5230.0712243957296</c:v>
                </c:pt>
                <c:pt idx="871">
                  <c:v>5240.0149477153182</c:v>
                </c:pt>
                <c:pt idx="872">
                  <c:v>5249.9775766346984</c:v>
                </c:pt>
                <c:pt idx="873">
                  <c:v>5259.959147098326</c:v>
                </c:pt>
                <c:pt idx="874">
                  <c:v>5269.9596951189951</c:v>
                </c:pt>
                <c:pt idx="875">
                  <c:v>5279.9792567779641</c:v>
                </c:pt>
                <c:pt idx="876">
                  <c:v>5290.0178682251035</c:v>
                </c:pt>
                <c:pt idx="877">
                  <c:v>5300.0755656790016</c:v>
                </c:pt>
                <c:pt idx="878">
                  <c:v>5310.1523854271118</c:v>
                </c:pt>
                <c:pt idx="879">
                  <c:v>5320.2483638258846</c:v>
                </c:pt>
                <c:pt idx="880">
                  <c:v>5330.3635373008838</c:v>
                </c:pt>
                <c:pt idx="881">
                  <c:v>5340.4979423469404</c:v>
                </c:pt>
                <c:pt idx="882">
                  <c:v>5350.6516155282579</c:v>
                </c:pt>
                <c:pt idx="883">
                  <c:v>5360.8245934785646</c:v>
                </c:pt>
                <c:pt idx="884">
                  <c:v>5371.0169129012438</c:v>
                </c:pt>
                <c:pt idx="885">
                  <c:v>5381.2286105694511</c:v>
                </c:pt>
                <c:pt idx="886">
                  <c:v>5391.4597233262621</c:v>
                </c:pt>
                <c:pt idx="887">
                  <c:v>5401.7102880848051</c:v>
                </c:pt>
                <c:pt idx="888">
                  <c:v>5411.9803418283827</c:v>
                </c:pt>
                <c:pt idx="889">
                  <c:v>5422.2699216106193</c:v>
                </c:pt>
                <c:pt idx="890">
                  <c:v>5432.5790645555799</c:v>
                </c:pt>
                <c:pt idx="891">
                  <c:v>5442.9078078579169</c:v>
                </c:pt>
                <c:pt idx="892">
                  <c:v>5453.2561887830007</c:v>
                </c:pt>
                <c:pt idx="893">
                  <c:v>5463.6242446670503</c:v>
                </c:pt>
                <c:pt idx="894">
                  <c:v>5474.0120129172683</c:v>
                </c:pt>
                <c:pt idx="895">
                  <c:v>5484.4195310119849</c:v>
                </c:pt>
                <c:pt idx="896">
                  <c:v>5494.8468365007793</c:v>
                </c:pt>
                <c:pt idx="897">
                  <c:v>5505.2939670046253</c:v>
                </c:pt>
                <c:pt idx="898">
                  <c:v>5515.7609602160273</c:v>
                </c:pt>
                <c:pt idx="899">
                  <c:v>5526.2478538991436</c:v>
                </c:pt>
                <c:pt idx="900">
                  <c:v>5536.7546858899441</c:v>
                </c:pt>
                <c:pt idx="901">
                  <c:v>5547.2814940963244</c:v>
                </c:pt>
                <c:pt idx="902">
                  <c:v>5557.8283164982568</c:v>
                </c:pt>
                <c:pt idx="903">
                  <c:v>5568.3951911479262</c:v>
                </c:pt>
                <c:pt idx="904">
                  <c:v>5578.9821561698618</c:v>
                </c:pt>
                <c:pt idx="905">
                  <c:v>5589.5892497610721</c:v>
                </c:pt>
                <c:pt idx="906">
                  <c:v>5600.2165101912005</c:v>
                </c:pt>
                <c:pt idx="907">
                  <c:v>5610.8639758026384</c:v>
                </c:pt>
                <c:pt idx="908">
                  <c:v>5621.5316850106856</c:v>
                </c:pt>
                <c:pt idx="909">
                  <c:v>5632.2196763036736</c:v>
                </c:pt>
                <c:pt idx="910">
                  <c:v>5642.9279882431092</c:v>
                </c:pt>
                <c:pt idx="911">
                  <c:v>5653.6566594638216</c:v>
                </c:pt>
                <c:pt idx="912">
                  <c:v>5664.4057286740881</c:v>
                </c:pt>
                <c:pt idx="913">
                  <c:v>5675.1752346557842</c:v>
                </c:pt>
                <c:pt idx="914">
                  <c:v>5685.9652162645189</c:v>
                </c:pt>
                <c:pt idx="915">
                  <c:v>5696.7757124297705</c:v>
                </c:pt>
                <c:pt idx="916">
                  <c:v>5707.6067621550446</c:v>
                </c:pt>
                <c:pt idx="917">
                  <c:v>5718.4584045179918</c:v>
                </c:pt>
                <c:pt idx="918">
                  <c:v>5729.3306786705616</c:v>
                </c:pt>
                <c:pt idx="919">
                  <c:v>5740.2236238391461</c:v>
                </c:pt>
                <c:pt idx="920">
                  <c:v>5751.1372793247101</c:v>
                </c:pt>
                <c:pt idx="921">
                  <c:v>5762.0716845029447</c:v>
                </c:pt>
                <c:pt idx="922">
                  <c:v>5773.0268788244039</c:v>
                </c:pt>
                <c:pt idx="923">
                  <c:v>5784.002901814647</c:v>
                </c:pt>
                <c:pt idx="924">
                  <c:v>5794.9997930743812</c:v>
                </c:pt>
                <c:pt idx="925">
                  <c:v>5806.0175922796025</c:v>
                </c:pt>
                <c:pt idx="926">
                  <c:v>5817.0563391817459</c:v>
                </c:pt>
                <c:pt idx="927">
                  <c:v>5828.1160736078218</c:v>
                </c:pt>
                <c:pt idx="928">
                  <c:v>5839.1968354605633</c:v>
                </c:pt>
                <c:pt idx="929">
                  <c:v>5850.2986647185644</c:v>
                </c:pt>
                <c:pt idx="930">
                  <c:v>5861.4216014364374</c:v>
                </c:pt>
                <c:pt idx="931">
                  <c:v>5872.5656857449394</c:v>
                </c:pt>
                <c:pt idx="932">
                  <c:v>5883.7309578511331</c:v>
                </c:pt>
                <c:pt idx="933">
                  <c:v>5894.9174580385252</c:v>
                </c:pt>
                <c:pt idx="934">
                  <c:v>5906.1252266672027</c:v>
                </c:pt>
                <c:pt idx="935">
                  <c:v>5917.3543041740031</c:v>
                </c:pt>
                <c:pt idx="936">
                  <c:v>5928.6047310726317</c:v>
                </c:pt>
                <c:pt idx="937">
                  <c:v>5939.8765479538224</c:v>
                </c:pt>
                <c:pt idx="938">
                  <c:v>5951.1697954854935</c:v>
                </c:pt>
                <c:pt idx="939">
                  <c:v>5962.4845144128685</c:v>
                </c:pt>
                <c:pt idx="940">
                  <c:v>5973.8207455586498</c:v>
                </c:pt>
                <c:pt idx="941">
                  <c:v>5985.1785298231507</c:v>
                </c:pt>
                <c:pt idx="942">
                  <c:v>5996.5579081844398</c:v>
                </c:pt>
                <c:pt idx="943">
                  <c:v>6007.9589216985087</c:v>
                </c:pt>
                <c:pt idx="944">
                  <c:v>6019.3816114993979</c:v>
                </c:pt>
                <c:pt idx="945">
                  <c:v>6030.8260187993528</c:v>
                </c:pt>
                <c:pt idx="946">
                  <c:v>6042.2921848889828</c:v>
                </c:pt>
                <c:pt idx="947">
                  <c:v>6053.7801511373918</c:v>
                </c:pt>
                <c:pt idx="948">
                  <c:v>6065.2899589923481</c:v>
                </c:pt>
                <c:pt idx="949">
                  <c:v>6076.821649980413</c:v>
                </c:pt>
                <c:pt idx="950">
                  <c:v>6088.3752657071018</c:v>
                </c:pt>
                <c:pt idx="951">
                  <c:v>6099.9508478570397</c:v>
                </c:pt>
                <c:pt idx="952">
                  <c:v>6111.5484381940987</c:v>
                </c:pt>
                <c:pt idx="953">
                  <c:v>6123.1680785615536</c:v>
                </c:pt>
                <c:pt idx="954">
                  <c:v>6134.8098108822433</c:v>
                </c:pt>
                <c:pt idx="955">
                  <c:v>6146.4736771587004</c:v>
                </c:pt>
                <c:pt idx="956">
                  <c:v>6158.1597194733276</c:v>
                </c:pt>
                <c:pt idx="957">
                  <c:v>6169.8679799885285</c:v>
                </c:pt>
                <c:pt idx="958">
                  <c:v>6181.5985009468677</c:v>
                </c:pt>
                <c:pt idx="959">
                  <c:v>6193.3513246712337</c:v>
                </c:pt>
                <c:pt idx="960">
                  <c:v>6205.1264935649715</c:v>
                </c:pt>
                <c:pt idx="961">
                  <c:v>6216.9240501120485</c:v>
                </c:pt>
                <c:pt idx="962">
                  <c:v>6228.7440368772104</c:v>
                </c:pt>
                <c:pt idx="963">
                  <c:v>6240.586496506121</c:v>
                </c:pt>
                <c:pt idx="964">
                  <c:v>6252.4514717255342</c:v>
                </c:pt>
                <c:pt idx="965">
                  <c:v>6264.3390053434305</c:v>
                </c:pt>
                <c:pt idx="966">
                  <c:v>6276.2491402491796</c:v>
                </c:pt>
                <c:pt idx="967">
                  <c:v>6288.1819194137033</c:v>
                </c:pt>
                <c:pt idx="968">
                  <c:v>6300.1373858896141</c:v>
                </c:pt>
                <c:pt idx="969">
                  <c:v>6312.1155828113797</c:v>
                </c:pt>
                <c:pt idx="970">
                  <c:v>6324.1165533954836</c:v>
                </c:pt>
                <c:pt idx="971">
                  <c:v>6336.1403409405657</c:v>
                </c:pt>
                <c:pt idx="972">
                  <c:v>6348.1869888275987</c:v>
                </c:pt>
                <c:pt idx="973">
                  <c:v>6360.2565405200248</c:v>
                </c:pt>
                <c:pt idx="974">
                  <c:v>6372.3490395639228</c:v>
                </c:pt>
                <c:pt idx="975">
                  <c:v>6384.464529588171</c:v>
                </c:pt>
                <c:pt idx="976">
                  <c:v>6396.6030543045872</c:v>
                </c:pt>
                <c:pt idx="977">
                  <c:v>6408.7646575081044</c:v>
                </c:pt>
                <c:pt idx="978">
                  <c:v>6420.9493830769197</c:v>
                </c:pt>
                <c:pt idx="979">
                  <c:v>6433.1572749726492</c:v>
                </c:pt>
                <c:pt idx="980">
                  <c:v>6445.3883772405006</c:v>
                </c:pt>
                <c:pt idx="981">
                  <c:v>6457.6427340094124</c:v>
                </c:pt>
                <c:pt idx="982">
                  <c:v>6469.9203894922312</c:v>
                </c:pt>
                <c:pt idx="983">
                  <c:v>6482.2213879858609</c:v>
                </c:pt>
                <c:pt idx="984">
                  <c:v>6494.5457738714285</c:v>
                </c:pt>
                <c:pt idx="985">
                  <c:v>6506.8935916144337</c:v>
                </c:pt>
                <c:pt idx="986">
                  <c:v>6519.2648857649247</c:v>
                </c:pt>
                <c:pt idx="987">
                  <c:v>6531.6597009576444</c:v>
                </c:pt>
                <c:pt idx="988">
                  <c:v>6544.0780819122037</c:v>
                </c:pt>
                <c:pt idx="989">
                  <c:v>6556.5200734332348</c:v>
                </c:pt>
                <c:pt idx="990">
                  <c:v>6568.9857204105519</c:v>
                </c:pt>
                <c:pt idx="991">
                  <c:v>6581.4750678193222</c:v>
                </c:pt>
                <c:pt idx="992">
                  <c:v>6593.9881607202178</c:v>
                </c:pt>
                <c:pt idx="993">
                  <c:v>6606.5250442595825</c:v>
                </c:pt>
                <c:pt idx="994">
                  <c:v>6619.0857636696019</c:v>
                </c:pt>
                <c:pt idx="995">
                  <c:v>6631.6703642684497</c:v>
                </c:pt>
                <c:pt idx="996">
                  <c:v>6644.2788914604707</c:v>
                </c:pt>
                <c:pt idx="997">
                  <c:v>6656.9113907363298</c:v>
                </c:pt>
                <c:pt idx="998">
                  <c:v>6669.5679076731785</c:v>
                </c:pt>
                <c:pt idx="999">
                  <c:v>6682.2484879348303</c:v>
                </c:pt>
                <c:pt idx="1000">
                  <c:v>6694.9531772719138</c:v>
                </c:pt>
                <c:pt idx="1001">
                  <c:v>6707.6820215220359</c:v>
                </c:pt>
                <c:pt idx="1002">
                  <c:v>6720.4350666099645</c:v>
                </c:pt>
                <c:pt idx="1003">
                  <c:v>6733.2123585477693</c:v>
                </c:pt>
                <c:pt idx="1004">
                  <c:v>6746.013943435014</c:v>
                </c:pt>
                <c:pt idx="1005">
                  <c:v>6758.8398674588989</c:v>
                </c:pt>
                <c:pt idx="1006">
                  <c:v>6771.6901768944399</c:v>
                </c:pt>
                <c:pt idx="1007">
                  <c:v>6784.564918104641</c:v>
                </c:pt>
                <c:pt idx="1008">
                  <c:v>6797.4641375406472</c:v>
                </c:pt>
                <c:pt idx="1009">
                  <c:v>6810.3878817419181</c:v>
                </c:pt>
                <c:pt idx="1010">
                  <c:v>6823.3361973364053</c:v>
                </c:pt>
                <c:pt idx="1011">
                  <c:v>6836.3091310407017</c:v>
                </c:pt>
                <c:pt idx="1012">
                  <c:v>6849.3067296602312</c:v>
                </c:pt>
                <c:pt idx="1013">
                  <c:v>6862.3290400893993</c:v>
                </c:pt>
                <c:pt idx="1014">
                  <c:v>6875.3761093117682</c:v>
                </c:pt>
                <c:pt idx="1015">
                  <c:v>6888.4479844002399</c:v>
                </c:pt>
                <c:pt idx="1016">
                  <c:v>6901.5447125172013</c:v>
                </c:pt>
                <c:pt idx="1017">
                  <c:v>6914.6663409147113</c:v>
                </c:pt>
                <c:pt idx="1018">
                  <c:v>6927.8129169346712</c:v>
                </c:pt>
                <c:pt idx="1019">
                  <c:v>6940.9844880089868</c:v>
                </c:pt>
                <c:pt idx="1020">
                  <c:v>6954.1811016597494</c:v>
                </c:pt>
                <c:pt idx="1021">
                  <c:v>6967.402805499396</c:v>
                </c:pt>
                <c:pt idx="1022">
                  <c:v>6980.6496472308872</c:v>
                </c:pt>
                <c:pt idx="1023">
                  <c:v>6993.9216746478878</c:v>
                </c:pt>
                <c:pt idx="1024">
                  <c:v>7007.2189356349245</c:v>
                </c:pt>
                <c:pt idx="1025">
                  <c:v>7020.541478167559</c:v>
                </c:pt>
                <c:pt idx="1026">
                  <c:v>7033.8893503125819</c:v>
                </c:pt>
                <c:pt idx="1027">
                  <c:v>7047.2626002281586</c:v>
                </c:pt>
                <c:pt idx="1028">
                  <c:v>7060.6612761640172</c:v>
                </c:pt>
                <c:pt idx="1029">
                  <c:v>7074.085426461631</c:v>
                </c:pt>
                <c:pt idx="1030">
                  <c:v>7087.5350995543686</c:v>
                </c:pt>
                <c:pt idx="1031">
                  <c:v>7101.0103439676959</c:v>
                </c:pt>
                <c:pt idx="1032">
                  <c:v>7114.5112083193299</c:v>
                </c:pt>
                <c:pt idx="1033">
                  <c:v>7128.0377413194228</c:v>
                </c:pt>
                <c:pt idx="1034">
                  <c:v>7141.5899917707466</c:v>
                </c:pt>
                <c:pt idx="1035">
                  <c:v>7155.1680085688458</c:v>
                </c:pt>
                <c:pt idx="1036">
                  <c:v>7168.7718407022394</c:v>
                </c:pt>
                <c:pt idx="1037">
                  <c:v>7182.4015372525837</c:v>
                </c:pt>
                <c:pt idx="1038">
                  <c:v>7196.0571473948476</c:v>
                </c:pt>
                <c:pt idx="1039">
                  <c:v>7209.7387203974995</c:v>
                </c:pt>
                <c:pt idx="1040">
                  <c:v>7223.4463056226778</c:v>
                </c:pt>
                <c:pt idx="1041">
                  <c:v>7237.1799525263696</c:v>
                </c:pt>
                <c:pt idx="1042">
                  <c:v>7250.939710658593</c:v>
                </c:pt>
                <c:pt idx="1043">
                  <c:v>7264.725629663576</c:v>
                </c:pt>
                <c:pt idx="1044">
                  <c:v>7278.537759279925</c:v>
                </c:pt>
                <c:pt idx="1045">
                  <c:v>7292.3761493408201</c:v>
                </c:pt>
                <c:pt idx="1046">
                  <c:v>7306.2408497741844</c:v>
                </c:pt>
                <c:pt idx="1047">
                  <c:v>7320.1319106028668</c:v>
                </c:pt>
                <c:pt idx="1048">
                  <c:v>7334.0493819448257</c:v>
                </c:pt>
                <c:pt idx="1049">
                  <c:v>7347.9933140132998</c:v>
                </c:pt>
                <c:pt idx="1050">
                  <c:v>7361.9637571170015</c:v>
                </c:pt>
                <c:pt idx="1051">
                  <c:v>7375.9607616602943</c:v>
                </c:pt>
                <c:pt idx="1052">
                  <c:v>7389.9843781433683</c:v>
                </c:pt>
                <c:pt idx="1053">
                  <c:v>7404.0346571624314</c:v>
                </c:pt>
                <c:pt idx="1054">
                  <c:v>7418.1116494098869</c:v>
                </c:pt>
                <c:pt idx="1055">
                  <c:v>7432.2154056745194</c:v>
                </c:pt>
                <c:pt idx="1056">
                  <c:v>7446.345976841676</c:v>
                </c:pt>
                <c:pt idx="1057">
                  <c:v>7460.5034138934398</c:v>
                </c:pt>
                <c:pt idx="1058">
                  <c:v>7474.6877679088457</c:v>
                </c:pt>
                <c:pt idx="1059">
                  <c:v>7488.8990900640183</c:v>
                </c:pt>
                <c:pt idx="1060">
                  <c:v>7503.1374316324009</c:v>
                </c:pt>
                <c:pt idx="1061">
                  <c:v>7517.4028439849089</c:v>
                </c:pt>
                <c:pt idx="1062">
                  <c:v>7531.6953785901342</c:v>
                </c:pt>
                <c:pt idx="1063">
                  <c:v>7546.0150870145198</c:v>
                </c:pt>
                <c:pt idx="1064">
                  <c:v>7560.3620209225555</c:v>
                </c:pt>
                <c:pt idx="1065">
                  <c:v>7574.7362320769444</c:v>
                </c:pt>
                <c:pt idx="1066">
                  <c:v>7589.1377723388268</c:v>
                </c:pt>
                <c:pt idx="1067">
                  <c:v>7603.5666936679218</c:v>
                </c:pt>
                <c:pt idx="1068">
                  <c:v>7618.0230481227509</c:v>
                </c:pt>
                <c:pt idx="1069">
                  <c:v>7632.5068878608081</c:v>
                </c:pt>
                <c:pt idx="1070">
                  <c:v>7647.0182651387549</c:v>
                </c:pt>
                <c:pt idx="1071">
                  <c:v>7661.5572323126025</c:v>
                </c:pt>
                <c:pt idx="1072">
                  <c:v>7676.1238418379062</c:v>
                </c:pt>
                <c:pt idx="1073">
                  <c:v>7690.7181462699546</c:v>
                </c:pt>
                <c:pt idx="1074">
                  <c:v>7705.3401982639562</c:v>
                </c:pt>
                <c:pt idx="1075">
                  <c:v>7719.9900505752321</c:v>
                </c:pt>
                <c:pt idx="1076">
                  <c:v>7734.6677560593971</c:v>
                </c:pt>
                <c:pt idx="1077">
                  <c:v>7749.3733676725697</c:v>
                </c:pt>
                <c:pt idx="1078">
                  <c:v>7764.1069384715447</c:v>
                </c:pt>
                <c:pt idx="1079">
                  <c:v>7778.8685216139947</c:v>
                </c:pt>
                <c:pt idx="1080">
                  <c:v>7793.658170358658</c:v>
                </c:pt>
                <c:pt idx="1081">
                  <c:v>7808.4759380655296</c:v>
                </c:pt>
                <c:pt idx="1082">
                  <c:v>7823.3218781960586</c:v>
                </c:pt>
                <c:pt idx="1083">
                  <c:v>7838.1960443133403</c:v>
                </c:pt>
                <c:pt idx="1084">
                  <c:v>7853.0984900822941</c:v>
                </c:pt>
                <c:pt idx="1085">
                  <c:v>7868.0292692698922</c:v>
                </c:pt>
                <c:pt idx="1086">
                  <c:v>7882.9884357453093</c:v>
                </c:pt>
                <c:pt idx="1087">
                  <c:v>7897.976043480161</c:v>
                </c:pt>
                <c:pt idx="1088">
                  <c:v>7912.9921465486568</c:v>
                </c:pt>
                <c:pt idx="1089">
                  <c:v>7928.0367991278272</c:v>
                </c:pt>
                <c:pt idx="1090">
                  <c:v>7943.1100554977047</c:v>
                </c:pt>
                <c:pt idx="1091">
                  <c:v>7958.2119700415269</c:v>
                </c:pt>
                <c:pt idx="1092">
                  <c:v>7973.3425972459099</c:v>
                </c:pt>
                <c:pt idx="1093">
                  <c:v>7988.5019917010923</c:v>
                </c:pt>
                <c:pt idx="1094">
                  <c:v>8003.690208101073</c:v>
                </c:pt>
                <c:pt idx="1095">
                  <c:v>8018.9073012438657</c:v>
                </c:pt>
                <c:pt idx="1096">
                  <c:v>8034.1533260316464</c:v>
                </c:pt>
                <c:pt idx="1097">
                  <c:v>8049.4283374709848</c:v>
                </c:pt>
                <c:pt idx="1098">
                  <c:v>8064.7323906730344</c:v>
                </c:pt>
                <c:pt idx="1099">
                  <c:v>8080.0655408537295</c:v>
                </c:pt>
                <c:pt idx="1100">
                  <c:v>8095.4278433339687</c:v>
                </c:pt>
                <c:pt idx="1101">
                  <c:v>8110.8193535398595</c:v>
                </c:pt>
                <c:pt idx="1102">
                  <c:v>8126.2401270028558</c:v>
                </c:pt>
                <c:pt idx="1103">
                  <c:v>8141.6902193600208</c:v>
                </c:pt>
                <c:pt idx="1104">
                  <c:v>8157.1696863541747</c:v>
                </c:pt>
                <c:pt idx="1105">
                  <c:v>8172.678583834132</c:v>
                </c:pt>
                <c:pt idx="1106">
                  <c:v>8188.21696775489</c:v>
                </c:pt>
                <c:pt idx="1107">
                  <c:v>8203.7848941778302</c:v>
                </c:pt>
                <c:pt idx="1108">
                  <c:v>8219.3824192709089</c:v>
                </c:pt>
                <c:pt idx="1109">
                  <c:v>8235.009599308898</c:v>
                </c:pt>
                <c:pt idx="1110">
                  <c:v>8250.6664906735296</c:v>
                </c:pt>
                <c:pt idx="1111">
                  <c:v>8266.3531498537686</c:v>
                </c:pt>
                <c:pt idx="1112">
                  <c:v>8282.0696334459481</c:v>
                </c:pt>
                <c:pt idx="1113">
                  <c:v>8297.8159981540248</c:v>
                </c:pt>
                <c:pt idx="1114">
                  <c:v>8313.5923007897563</c:v>
                </c:pt>
                <c:pt idx="1115">
                  <c:v>8329.3985982729173</c:v>
                </c:pt>
                <c:pt idx="1116">
                  <c:v>8345.2349476314939</c:v>
                </c:pt>
                <c:pt idx="1117">
                  <c:v>8361.101406001917</c:v>
                </c:pt>
                <c:pt idx="1118">
                  <c:v>8376.99803062922</c:v>
                </c:pt>
                <c:pt idx="1119">
                  <c:v>8392.9248788673049</c:v>
                </c:pt>
                <c:pt idx="1120">
                  <c:v>8408.8820081790927</c:v>
                </c:pt>
                <c:pt idx="1121">
                  <c:v>8424.8694761367697</c:v>
                </c:pt>
                <c:pt idx="1122">
                  <c:v>8440.8873404219794</c:v>
                </c:pt>
                <c:pt idx="1123">
                  <c:v>8456.9356588260307</c:v>
                </c:pt>
                <c:pt idx="1124">
                  <c:v>8473.0144892501103</c:v>
                </c:pt>
                <c:pt idx="1125">
                  <c:v>8489.1238897054955</c:v>
                </c:pt>
                <c:pt idx="1126">
                  <c:v>8505.2639183137435</c:v>
                </c:pt>
                <c:pt idx="1127">
                  <c:v>8521.4346333069352</c:v>
                </c:pt>
                <c:pt idx="1128">
                  <c:v>8537.6360930278497</c:v>
                </c:pt>
                <c:pt idx="1129">
                  <c:v>8553.8683559301971</c:v>
                </c:pt>
                <c:pt idx="1130">
                  <c:v>8570.1314805788243</c:v>
                </c:pt>
                <c:pt idx="1131">
                  <c:v>8586.4255256499237</c:v>
                </c:pt>
                <c:pt idx="1132">
                  <c:v>8602.7505499312465</c:v>
                </c:pt>
                <c:pt idx="1133">
                  <c:v>8619.1066123223136</c:v>
                </c:pt>
                <c:pt idx="1134">
                  <c:v>8635.4937718346337</c:v>
                </c:pt>
                <c:pt idx="1135">
                  <c:v>8651.9120875919052</c:v>
                </c:pt>
                <c:pt idx="1136">
                  <c:v>8668.3616188302422</c:v>
                </c:pt>
                <c:pt idx="1137">
                  <c:v>8684.8424248983738</c:v>
                </c:pt>
                <c:pt idx="1138">
                  <c:v>8701.3545652578741</c:v>
                </c:pt>
                <c:pt idx="1139">
                  <c:v>8717.8980994833692</c:v>
                </c:pt>
                <c:pt idx="1140">
                  <c:v>8734.4730872627442</c:v>
                </c:pt>
                <c:pt idx="1141">
                  <c:v>8751.0795883973733</c:v>
                </c:pt>
                <c:pt idx="1142">
                  <c:v>8767.7176628023299</c:v>
                </c:pt>
                <c:pt idx="1143">
                  <c:v>8784.3873705065962</c:v>
                </c:pt>
                <c:pt idx="1144">
                  <c:v>8801.0887716532907</c:v>
                </c:pt>
                <c:pt idx="1145">
                  <c:v>8817.8219264998661</c:v>
                </c:pt>
                <c:pt idx="1146">
                  <c:v>8834.5868954183643</c:v>
                </c:pt>
                <c:pt idx="1147">
                  <c:v>8851.3837388955872</c:v>
                </c:pt>
                <c:pt idx="1148">
                  <c:v>8868.2125175333476</c:v>
                </c:pt>
                <c:pt idx="1149">
                  <c:v>8885.0732920486789</c:v>
                </c:pt>
                <c:pt idx="1150">
                  <c:v>8901.9661232740509</c:v>
                </c:pt>
                <c:pt idx="1151">
                  <c:v>8918.8910721575921</c:v>
                </c:pt>
                <c:pt idx="1152">
                  <c:v>8935.8481997633153</c:v>
                </c:pt>
                <c:pt idx="1153">
                  <c:v>8952.8375672713119</c:v>
                </c:pt>
                <c:pt idx="1154">
                  <c:v>8969.8592359780268</c:v>
                </c:pt>
                <c:pt idx="1155">
                  <c:v>8986.913267296406</c:v>
                </c:pt>
                <c:pt idx="1156">
                  <c:v>9003.9997227561889</c:v>
                </c:pt>
                <c:pt idx="1157">
                  <c:v>9021.1186640040851</c:v>
                </c:pt>
                <c:pt idx="1158">
                  <c:v>9038.2701528040125</c:v>
                </c:pt>
                <c:pt idx="1159">
                  <c:v>9055.4542510373067</c:v>
                </c:pt>
                <c:pt idx="1160">
                  <c:v>9072.6710207029882</c:v>
                </c:pt>
                <c:pt idx="1161">
                  <c:v>9089.9205239179119</c:v>
                </c:pt>
                <c:pt idx="1162">
                  <c:v>9107.2028229170683</c:v>
                </c:pt>
                <c:pt idx="1163">
                  <c:v>9124.5179800537535</c:v>
                </c:pt>
                <c:pt idx="1164">
                  <c:v>9141.8660577998144</c:v>
                </c:pt>
                <c:pt idx="1165">
                  <c:v>9159.2471187458814</c:v>
                </c:pt>
                <c:pt idx="1166">
                  <c:v>9176.6612256015833</c:v>
                </c:pt>
                <c:pt idx="1167">
                  <c:v>9194.1084411957636</c:v>
                </c:pt>
                <c:pt idx="1168">
                  <c:v>9211.5888284767461</c:v>
                </c:pt>
                <c:pt idx="1169">
                  <c:v>9229.1024505125024</c:v>
                </c:pt>
                <c:pt idx="1170">
                  <c:v>9246.6493704909499</c:v>
                </c:pt>
                <c:pt idx="1171">
                  <c:v>9264.2296517201066</c:v>
                </c:pt>
                <c:pt idx="1172">
                  <c:v>9281.8433576283805</c:v>
                </c:pt>
                <c:pt idx="1173">
                  <c:v>9299.4905517647603</c:v>
                </c:pt>
                <c:pt idx="1174">
                  <c:v>9317.1712977990701</c:v>
                </c:pt>
                <c:pt idx="1175">
                  <c:v>9334.8856595221641</c:v>
                </c:pt>
                <c:pt idx="1176">
                  <c:v>9352.6337008462142</c:v>
                </c:pt>
                <c:pt idx="1177">
                  <c:v>9370.4154858048678</c:v>
                </c:pt>
                <c:pt idx="1178">
                  <c:v>9388.2310785535519</c:v>
                </c:pt>
                <c:pt idx="1179">
                  <c:v>9406.0805433696423</c:v>
                </c:pt>
                <c:pt idx="1180">
                  <c:v>9423.9639446527326</c:v>
                </c:pt>
                <c:pt idx="1181">
                  <c:v>9441.8813469248653</c:v>
                </c:pt>
                <c:pt idx="1182">
                  <c:v>9459.8328148307446</c:v>
                </c:pt>
                <c:pt idx="1183">
                  <c:v>9477.818413137984</c:v>
                </c:pt>
                <c:pt idx="1184">
                  <c:v>9495.8382067373423</c:v>
                </c:pt>
                <c:pt idx="1185">
                  <c:v>9513.8922606429387</c:v>
                </c:pt>
                <c:pt idx="1186">
                  <c:v>9531.9806399925237</c:v>
                </c:pt>
                <c:pt idx="1187">
                  <c:v>9550.1034100476681</c:v>
                </c:pt>
                <c:pt idx="1188">
                  <c:v>9568.2606361940361</c:v>
                </c:pt>
                <c:pt idx="1189">
                  <c:v>9586.4523839416051</c:v>
                </c:pt>
                <c:pt idx="1190">
                  <c:v>9604.6787189248989</c:v>
                </c:pt>
                <c:pt idx="1191">
                  <c:v>9622.9397069032311</c:v>
                </c:pt>
                <c:pt idx="1192">
                  <c:v>9641.2354137609473</c:v>
                </c:pt>
                <c:pt idx="1193">
                  <c:v>9659.5659055076503</c:v>
                </c:pt>
                <c:pt idx="1194">
                  <c:v>9677.9312482784444</c:v>
                </c:pt>
                <c:pt idx="1195">
                  <c:v>9696.3315083341768</c:v>
                </c:pt>
                <c:pt idx="1196">
                  <c:v>9714.7667520616687</c:v>
                </c:pt>
                <c:pt idx="1197">
                  <c:v>9733.237045973965</c:v>
                </c:pt>
                <c:pt idx="1198">
                  <c:v>9751.7424567105681</c:v>
                </c:pt>
                <c:pt idx="1199">
                  <c:v>9770.2830510376771</c:v>
                </c:pt>
                <c:pt idx="1200">
                  <c:v>9788.8588958484324</c:v>
                </c:pt>
                <c:pt idx="1201">
                  <c:v>9807.4700581631587</c:v>
                </c:pt>
                <c:pt idx="1202">
                  <c:v>9826.1166051295968</c:v>
                </c:pt>
                <c:pt idx="1203">
                  <c:v>9844.7986040231644</c:v>
                </c:pt>
                <c:pt idx="1204">
                  <c:v>9863.5161222471634</c:v>
                </c:pt>
                <c:pt idx="1205">
                  <c:v>9882.2692273330849</c:v>
                </c:pt>
                <c:pt idx="1206">
                  <c:v>9901.0579869407757</c:v>
                </c:pt>
                <c:pt idx="1207">
                  <c:v>9919.8824688587465</c:v>
                </c:pt>
                <c:pt idx="1208">
                  <c:v>9938.742741004382</c:v>
                </c:pt>
                <c:pt idx="1209">
                  <c:v>9957.6388714241984</c:v>
                </c:pt>
                <c:pt idx="1210">
                  <c:v>9976.5709282940843</c:v>
                </c:pt>
                <c:pt idx="1211">
                  <c:v>9995.5389799195545</c:v>
                </c:pt>
                <c:pt idx="1212">
                  <c:v>10014.543094735969</c:v>
                </c:pt>
                <c:pt idx="1213">
                  <c:v>10033.58334130884</c:v>
                </c:pt>
                <c:pt idx="1214">
                  <c:v>10052.659788334002</c:v>
                </c:pt>
                <c:pt idx="1215">
                  <c:v>10071.772504637915</c:v>
                </c:pt>
                <c:pt idx="1216">
                  <c:v>10090.921559177899</c:v>
                </c:pt>
                <c:pt idx="1217">
                  <c:v>10110.107021042373</c:v>
                </c:pt>
                <c:pt idx="1218">
                  <c:v>10129.328959451113</c:v>
                </c:pt>
                <c:pt idx="1219">
                  <c:v>10148.58744375551</c:v>
                </c:pt>
                <c:pt idx="1220">
                  <c:v>10167.88254343878</c:v>
                </c:pt>
                <c:pt idx="1221">
                  <c:v>10187.214328116286</c:v>
                </c:pt>
                <c:pt idx="1222">
                  <c:v>10206.582867535715</c:v>
                </c:pt>
                <c:pt idx="1223">
                  <c:v>10225.988231577379</c:v>
                </c:pt>
                <c:pt idx="1224">
                  <c:v>10245.430490254441</c:v>
                </c:pt>
                <c:pt idx="1225">
                  <c:v>10264.909713713187</c:v>
                </c:pt>
                <c:pt idx="1226">
                  <c:v>10284.425972233261</c:v>
                </c:pt>
                <c:pt idx="1227">
                  <c:v>10303.979336227938</c:v>
                </c:pt>
                <c:pt idx="1228">
                  <c:v>10323.569876244344</c:v>
                </c:pt>
                <c:pt idx="1229">
                  <c:v>10343.197662963767</c:v>
                </c:pt>
                <c:pt idx="1230">
                  <c:v>10362.862767201845</c:v>
                </c:pt>
                <c:pt idx="1231">
                  <c:v>10382.565259908877</c:v>
                </c:pt>
                <c:pt idx="1232">
                  <c:v>10402.305212170049</c:v>
                </c:pt>
                <c:pt idx="1233">
                  <c:v>10422.082695205698</c:v>
                </c:pt>
                <c:pt idx="1234">
                  <c:v>10441.897780371573</c:v>
                </c:pt>
                <c:pt idx="1235">
                  <c:v>10461.750539159088</c:v>
                </c:pt>
                <c:pt idx="1236">
                  <c:v>10481.641043195568</c:v>
                </c:pt>
                <c:pt idx="1237">
                  <c:v>10501.569364244549</c:v>
                </c:pt>
                <c:pt idx="1238">
                  <c:v>10521.535574205976</c:v>
                </c:pt>
                <c:pt idx="1239">
                  <c:v>10541.539745116515</c:v>
                </c:pt>
                <c:pt idx="1240">
                  <c:v>10561.581949149786</c:v>
                </c:pt>
                <c:pt idx="1241">
                  <c:v>10581.66225861663</c:v>
                </c:pt>
                <c:pt idx="1242">
                  <c:v>10601.780745965369</c:v>
                </c:pt>
                <c:pt idx="1243">
                  <c:v>10621.937483782072</c:v>
                </c:pt>
                <c:pt idx="1244">
                  <c:v>10642.1325447908</c:v>
                </c:pt>
                <c:pt idx="1245">
                  <c:v>10662.36600185391</c:v>
                </c:pt>
                <c:pt idx="1246">
                  <c:v>10682.63792797225</c:v>
                </c:pt>
                <c:pt idx="1247">
                  <c:v>10702.948396285492</c:v>
                </c:pt>
                <c:pt idx="1248">
                  <c:v>10723.297480072355</c:v>
                </c:pt>
                <c:pt idx="1249">
                  <c:v>10743.68525275088</c:v>
                </c:pt>
                <c:pt idx="1250">
                  <c:v>10764.111787878694</c:v>
                </c:pt>
                <c:pt idx="1251">
                  <c:v>10784.577159153279</c:v>
                </c:pt>
                <c:pt idx="1252">
                  <c:v>10805.081440412232</c:v>
                </c:pt>
                <c:pt idx="1253">
                  <c:v>10825.624705633534</c:v>
                </c:pt>
                <c:pt idx="1254">
                  <c:v>10846.207028935829</c:v>
                </c:pt>
                <c:pt idx="1255">
                  <c:v>10866.828484578658</c:v>
                </c:pt>
                <c:pt idx="1256">
                  <c:v>10887.489146962762</c:v>
                </c:pt>
                <c:pt idx="1257">
                  <c:v>10908.189090630342</c:v>
                </c:pt>
                <c:pt idx="1258">
                  <c:v>10928.928390265311</c:v>
                </c:pt>
                <c:pt idx="1259">
                  <c:v>10949.707120693583</c:v>
                </c:pt>
                <c:pt idx="1260">
                  <c:v>10970.525356883336</c:v>
                </c:pt>
                <c:pt idx="1261">
                  <c:v>10991.383173945276</c:v>
                </c:pt>
                <c:pt idx="1262">
                  <c:v>11012.280647132928</c:v>
                </c:pt>
                <c:pt idx="1263">
                  <c:v>11033.217851842861</c:v>
                </c:pt>
                <c:pt idx="1264">
                  <c:v>11054.194863615041</c:v>
                </c:pt>
                <c:pt idx="1265">
                  <c:v>11075.211758133006</c:v>
                </c:pt>
                <c:pt idx="1266">
                  <c:v>11096.268611224232</c:v>
                </c:pt>
                <c:pt idx="1267">
                  <c:v>11117.365498860325</c:v>
                </c:pt>
                <c:pt idx="1268">
                  <c:v>11138.502497157357</c:v>
                </c:pt>
                <c:pt idx="1269">
                  <c:v>11159.679682376103</c:v>
                </c:pt>
                <c:pt idx="1270">
                  <c:v>11180.897130922345</c:v>
                </c:pt>
                <c:pt idx="1271">
                  <c:v>11202.154919347107</c:v>
                </c:pt>
                <c:pt idx="1272">
                  <c:v>11223.45312434699</c:v>
                </c:pt>
                <c:pt idx="1273">
                  <c:v>11244.791822764379</c:v>
                </c:pt>
                <c:pt idx="1274">
                  <c:v>11266.171091587794</c:v>
                </c:pt>
                <c:pt idx="1275">
                  <c:v>11287.591007952093</c:v>
                </c:pt>
                <c:pt idx="1276">
                  <c:v>11309.051649138812</c:v>
                </c:pt>
                <c:pt idx="1277">
                  <c:v>11330.553092576412</c:v>
                </c:pt>
                <c:pt idx="1278">
                  <c:v>11352.095415840571</c:v>
                </c:pt>
                <c:pt idx="1279">
                  <c:v>11373.678696654437</c:v>
                </c:pt>
                <c:pt idx="1280">
                  <c:v>11395.303012888966</c:v>
                </c:pt>
                <c:pt idx="1281">
                  <c:v>11416.968442563133</c:v>
                </c:pt>
                <c:pt idx="1282">
                  <c:v>11438.675063844268</c:v>
                </c:pt>
                <c:pt idx="1283">
                  <c:v>11460.422955048307</c:v>
                </c:pt>
                <c:pt idx="1284">
                  <c:v>11482.212194640091</c:v>
                </c:pt>
                <c:pt idx="1285">
                  <c:v>11504.04286123364</c:v>
                </c:pt>
                <c:pt idx="1286">
                  <c:v>11525.915033592446</c:v>
                </c:pt>
                <c:pt idx="1287">
                  <c:v>11547.828790629728</c:v>
                </c:pt>
                <c:pt idx="1288">
                  <c:v>11569.78421140878</c:v>
                </c:pt>
                <c:pt idx="1289">
                  <c:v>11591.781375143177</c:v>
                </c:pt>
                <c:pt idx="1290">
                  <c:v>11613.820361197117</c:v>
                </c:pt>
                <c:pt idx="1291">
                  <c:v>11635.901249085691</c:v>
                </c:pt>
                <c:pt idx="1292">
                  <c:v>11658.024118475165</c:v>
                </c:pt>
                <c:pt idx="1293">
                  <c:v>11680.189049183273</c:v>
                </c:pt>
                <c:pt idx="1294">
                  <c:v>11702.396121179505</c:v>
                </c:pt>
                <c:pt idx="1295">
                  <c:v>11724.64541458538</c:v>
                </c:pt>
                <c:pt idx="1296">
                  <c:v>11746.937009674777</c:v>
                </c:pt>
                <c:pt idx="1297">
                  <c:v>11769.270986874166</c:v>
                </c:pt>
                <c:pt idx="1298">
                  <c:v>11791.647426762946</c:v>
                </c:pt>
                <c:pt idx="1299">
                  <c:v>11814.066410073714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2E-CB44-BB91-0055E0FEF7DF}"/>
            </c:ext>
          </c:extLst>
        </c:ser>
        <c:ser>
          <c:idx val="4"/>
          <c:order val="3"/>
          <c:tx>
            <c:strRef>
              <c:f>'Compounding within 1 year'!$J$1</c:f>
              <c:strCache>
                <c:ptCount val="1"/>
                <c:pt idx="0">
                  <c:v>Monthly</c:v>
                </c:pt>
              </c:strCache>
            </c:strRef>
          </c:tx>
          <c:marker>
            <c:symbol val="none"/>
          </c:marker>
          <c:val>
            <c:numRef>
              <c:f>'Compounding within 1 year'!$J$2:$J$1363</c:f>
              <c:numCache>
                <c:formatCode>_("$"* #,##0.00_);_("$"* \(#,##0.00\);_("$"* "-"??_);_(@_)</c:formatCode>
                <c:ptCount val="1362"/>
                <c:pt idx="0">
                  <c:v>1001.9169663584029</c:v>
                </c:pt>
                <c:pt idx="1">
                  <c:v>1003.8376074768247</c:v>
                </c:pt>
                <c:pt idx="2">
                  <c:v>1005.7619303996574</c:v>
                </c:pt>
                <c:pt idx="3">
                  <c:v>1007.6899421847958</c:v>
                </c:pt>
                <c:pt idx="4">
                  <c:v>1009.621649903665</c:v>
                </c:pt>
                <c:pt idx="5">
                  <c:v>1011.5570606412454</c:v>
                </c:pt>
                <c:pt idx="6">
                  <c:v>1013.4961814960994</c:v>
                </c:pt>
                <c:pt idx="7">
                  <c:v>1015.439019580397</c:v>
                </c:pt>
                <c:pt idx="8">
                  <c:v>1017.3855820199423</c:v>
                </c:pt>
                <c:pt idx="9">
                  <c:v>1019.3358759541986</c:v>
                </c:pt>
                <c:pt idx="10">
                  <c:v>1021.2899085363158</c:v>
                </c:pt>
                <c:pt idx="11">
                  <c:v>1023.2476869331562</c:v>
                </c:pt>
                <c:pt idx="12">
                  <c:v>1025.2092183253205</c:v>
                </c:pt>
                <c:pt idx="13">
                  <c:v>1027.1745099071745</c:v>
                </c:pt>
                <c:pt idx="14">
                  <c:v>1029.1435688868755</c:v>
                </c:pt>
                <c:pt idx="15">
                  <c:v>1031.1164024863981</c:v>
                </c:pt>
                <c:pt idx="16">
                  <c:v>1033.0930179415618</c:v>
                </c:pt>
                <c:pt idx="17">
                  <c:v>1035.0734225020565</c:v>
                </c:pt>
                <c:pt idx="18">
                  <c:v>1037.0576234314699</c:v>
                </c:pt>
                <c:pt idx="19">
                  <c:v>1039.0456280073133</c:v>
                </c:pt>
                <c:pt idx="20">
                  <c:v>1041.0374435210488</c:v>
                </c:pt>
                <c:pt idx="21">
                  <c:v>1043.0330772781163</c:v>
                </c:pt>
                <c:pt idx="22">
                  <c:v>1045.0325365979597</c:v>
                </c:pt>
                <c:pt idx="23">
                  <c:v>1047.0358288140544</c:v>
                </c:pt>
                <c:pt idx="24">
                  <c:v>1049.0429612739331</c:v>
                </c:pt>
                <c:pt idx="25">
                  <c:v>1051.0539413392146</c:v>
                </c:pt>
                <c:pt idx="26">
                  <c:v>1053.0687763856286</c:v>
                </c:pt>
                <c:pt idx="27">
                  <c:v>1055.0874738030443</c:v>
                </c:pt>
                <c:pt idx="28">
                  <c:v>1057.1100409954968</c:v>
                </c:pt>
                <c:pt idx="29">
                  <c:v>1059.1364853812149</c:v>
                </c:pt>
                <c:pt idx="30">
                  <c:v>1061.1668143926479</c:v>
                </c:pt>
                <c:pt idx="31">
                  <c:v>1063.2010354764918</c:v>
                </c:pt>
                <c:pt idx="32">
                  <c:v>1065.2391560937194</c:v>
                </c:pt>
                <c:pt idx="33">
                  <c:v>1067.2811837196043</c:v>
                </c:pt>
                <c:pt idx="34">
                  <c:v>1069.3271258437512</c:v>
                </c:pt>
                <c:pt idx="35">
                  <c:v>1071.376989970121</c:v>
                </c:pt>
                <c:pt idx="36">
                  <c:v>1073.4307836170606</c:v>
                </c:pt>
                <c:pt idx="37">
                  <c:v>1075.4885143173285</c:v>
                </c:pt>
                <c:pt idx="38">
                  <c:v>1077.5501896181233</c:v>
                </c:pt>
                <c:pt idx="39">
                  <c:v>1079.6158170811118</c:v>
                </c:pt>
                <c:pt idx="40">
                  <c:v>1081.6854042824559</c:v>
                </c:pt>
                <c:pt idx="41">
                  <c:v>1083.7589588128408</c:v>
                </c:pt>
                <c:pt idx="42">
                  <c:v>1085.8364882775027</c:v>
                </c:pt>
                <c:pt idx="43">
                  <c:v>1087.9180002962567</c:v>
                </c:pt>
                <c:pt idx="44">
                  <c:v>1090.0035025035256</c:v>
                </c:pt>
                <c:pt idx="45">
                  <c:v>1092.093002548366</c:v>
                </c:pt>
                <c:pt idx="46">
                  <c:v>1094.1865080944983</c:v>
                </c:pt>
                <c:pt idx="47">
                  <c:v>1096.2840268203338</c:v>
                </c:pt>
                <c:pt idx="48">
                  <c:v>1098.3855664190025</c:v>
                </c:pt>
                <c:pt idx="49">
                  <c:v>1100.491134598383</c:v>
                </c:pt>
                <c:pt idx="50">
                  <c:v>1102.6007390811285</c:v>
                </c:pt>
                <c:pt idx="51">
                  <c:v>1104.7143876046971</c:v>
                </c:pt>
                <c:pt idx="52">
                  <c:v>1106.8320879213788</c:v>
                </c:pt>
                <c:pt idx="53">
                  <c:v>1108.9538477983249</c:v>
                </c:pt>
                <c:pt idx="54">
                  <c:v>1111.0796750175757</c:v>
                </c:pt>
                <c:pt idx="55">
                  <c:v>1113.2095773760896</c:v>
                </c:pt>
                <c:pt idx="56">
                  <c:v>1115.3435626857713</c:v>
                </c:pt>
                <c:pt idx="57">
                  <c:v>1117.4816387735009</c:v>
                </c:pt>
                <c:pt idx="58">
                  <c:v>1119.6238134811624</c:v>
                </c:pt>
                <c:pt idx="59">
                  <c:v>1121.7700946656726</c:v>
                </c:pt>
                <c:pt idx="60">
                  <c:v>1123.920490199009</c:v>
                </c:pt>
                <c:pt idx="61">
                  <c:v>1126.07500796824</c:v>
                </c:pt>
                <c:pt idx="62">
                  <c:v>1128.2336558755533</c:v>
                </c:pt>
                <c:pt idx="63">
                  <c:v>1130.3964418382845</c:v>
                </c:pt>
                <c:pt idx="64">
                  <c:v>1132.5633737889466</c:v>
                </c:pt>
                <c:pt idx="65">
                  <c:v>1134.7344596752594</c:v>
                </c:pt>
                <c:pt idx="66">
                  <c:v>1136.9097074601771</c:v>
                </c:pt>
                <c:pt idx="67">
                  <c:v>1139.08912512192</c:v>
                </c:pt>
                <c:pt idx="68">
                  <c:v>1141.272720654001</c:v>
                </c:pt>
                <c:pt idx="69">
                  <c:v>1143.4605020652575</c:v>
                </c:pt>
                <c:pt idx="70">
                  <c:v>1145.652477379879</c:v>
                </c:pt>
                <c:pt idx="71">
                  <c:v>1147.8486546374372</c:v>
                </c:pt>
                <c:pt idx="72">
                  <c:v>1150.0490418929151</c:v>
                </c:pt>
                <c:pt idx="73">
                  <c:v>1152.2536472167371</c:v>
                </c:pt>
                <c:pt idx="74">
                  <c:v>1154.4624786947984</c:v>
                </c:pt>
                <c:pt idx="75">
                  <c:v>1156.6755444284947</c:v>
                </c:pt>
                <c:pt idx="76">
                  <c:v>1158.8928525347512</c:v>
                </c:pt>
                <c:pt idx="77">
                  <c:v>1161.114411146054</c:v>
                </c:pt>
                <c:pt idx="78">
                  <c:v>1163.3402284104775</c:v>
                </c:pt>
                <c:pt idx="79">
                  <c:v>1165.570312491717</c:v>
                </c:pt>
                <c:pt idx="80">
                  <c:v>1167.8046715691166</c:v>
                </c:pt>
                <c:pt idx="81">
                  <c:v>1170.0433138377002</c:v>
                </c:pt>
                <c:pt idx="82">
                  <c:v>1172.2862475082013</c:v>
                </c:pt>
                <c:pt idx="83">
                  <c:v>1174.5334808070927</c:v>
                </c:pt>
                <c:pt idx="84">
                  <c:v>1176.7850219766176</c:v>
                </c:pt>
                <c:pt idx="85">
                  <c:v>1179.040879274819</c:v>
                </c:pt>
                <c:pt idx="86">
                  <c:v>1181.3010609755706</c:v>
                </c:pt>
                <c:pt idx="87">
                  <c:v>1183.5655753686062</c:v>
                </c:pt>
                <c:pt idx="88">
                  <c:v>1185.8344307595514</c:v>
                </c:pt>
                <c:pt idx="89">
                  <c:v>1188.1076354699533</c:v>
                </c:pt>
                <c:pt idx="90">
                  <c:v>1190.3851978373107</c:v>
                </c:pt>
                <c:pt idx="91">
                  <c:v>1192.6671262151053</c:v>
                </c:pt>
                <c:pt idx="92">
                  <c:v>1194.9534289728329</c:v>
                </c:pt>
                <c:pt idx="93">
                  <c:v>1197.2441144960317</c:v>
                </c:pt>
                <c:pt idx="94">
                  <c:v>1199.5391911863162</c:v>
                </c:pt>
                <c:pt idx="95">
                  <c:v>1201.8386674614062</c:v>
                </c:pt>
                <c:pt idx="96">
                  <c:v>1204.1425517551575</c:v>
                </c:pt>
                <c:pt idx="97">
                  <c:v>1206.4508525175931</c:v>
                </c:pt>
                <c:pt idx="98">
                  <c:v>1208.7635782149357</c:v>
                </c:pt>
                <c:pt idx="99">
                  <c:v>1211.0807373296363</c:v>
                </c:pt>
                <c:pt idx="100">
                  <c:v>1213.4023383604069</c:v>
                </c:pt>
                <c:pt idx="101">
                  <c:v>1215.7283898222511</c:v>
                </c:pt>
                <c:pt idx="102">
                  <c:v>1218.0589002464956</c:v>
                </c:pt>
                <c:pt idx="103">
                  <c:v>1220.3938781808213</c:v>
                </c:pt>
                <c:pt idx="104">
                  <c:v>1222.7333321892945</c:v>
                </c:pt>
                <c:pt idx="105">
                  <c:v>1225.0772708523991</c:v>
                </c:pt>
                <c:pt idx="106">
                  <c:v>1227.4257027670672</c:v>
                </c:pt>
                <c:pt idx="107">
                  <c:v>1229.7786365467105</c:v>
                </c:pt>
                <c:pt idx="108">
                  <c:v>1232.136080821253</c:v>
                </c:pt>
                <c:pt idx="109">
                  <c:v>1234.4980442371616</c:v>
                </c:pt>
                <c:pt idx="110">
                  <c:v>1236.8645354574783</c:v>
                </c:pt>
                <c:pt idx="111">
                  <c:v>1239.2355631618516</c:v>
                </c:pt>
                <c:pt idx="112">
                  <c:v>1241.6111360465693</c:v>
                </c:pt>
                <c:pt idx="113">
                  <c:v>1243.9912628245888</c:v>
                </c:pt>
                <c:pt idx="114">
                  <c:v>1246.3759522255707</c:v>
                </c:pt>
                <c:pt idx="115">
                  <c:v>1248.7652129959092</c:v>
                </c:pt>
                <c:pt idx="116">
                  <c:v>1251.1590538987659</c:v>
                </c:pt>
                <c:pt idx="117">
                  <c:v>1253.557483714101</c:v>
                </c:pt>
                <c:pt idx="118">
                  <c:v>1255.9605112387051</c:v>
                </c:pt>
                <c:pt idx="119">
                  <c:v>1258.368145286232</c:v>
                </c:pt>
                <c:pt idx="120">
                  <c:v>1260.7803946872314</c:v>
                </c:pt>
                <c:pt idx="121">
                  <c:v>1263.1972682891806</c:v>
                </c:pt>
                <c:pt idx="122">
                  <c:v>1265.6187749565172</c:v>
                </c:pt>
                <c:pt idx="123">
                  <c:v>1268.0449235706719</c:v>
                </c:pt>
                <c:pt idx="124">
                  <c:v>1270.4757230301002</c:v>
                </c:pt>
                <c:pt idx="125">
                  <c:v>1272.9111822503164</c:v>
                </c:pt>
                <c:pt idx="126">
                  <c:v>1275.3513101639251</c:v>
                </c:pt>
                <c:pt idx="127">
                  <c:v>1277.7961157206544</c:v>
                </c:pt>
                <c:pt idx="128">
                  <c:v>1280.2456078873886</c:v>
                </c:pt>
                <c:pt idx="129">
                  <c:v>1282.6997956482016</c:v>
                </c:pt>
                <c:pt idx="130">
                  <c:v>1285.1586880043892</c:v>
                </c:pt>
                <c:pt idx="131">
                  <c:v>1287.6222939745028</c:v>
                </c:pt>
                <c:pt idx="132">
                  <c:v>1290.0906225943813</c:v>
                </c:pt>
                <c:pt idx="133">
                  <c:v>1292.5636829171856</c:v>
                </c:pt>
                <c:pt idx="134">
                  <c:v>1295.041484013431</c:v>
                </c:pt>
                <c:pt idx="135">
                  <c:v>1297.5240349710209</c:v>
                </c:pt>
                <c:pt idx="136">
                  <c:v>1300.0113448952793</c:v>
                </c:pt>
                <c:pt idx="137">
                  <c:v>1302.5034229089856</c:v>
                </c:pt>
                <c:pt idx="138">
                  <c:v>1305.0002781524063</c:v>
                </c:pt>
                <c:pt idx="139">
                  <c:v>1307.501919783331</c:v>
                </c:pt>
                <c:pt idx="140">
                  <c:v>1310.0083569771025</c:v>
                </c:pt>
                <c:pt idx="141">
                  <c:v>1312.5195989266542</c:v>
                </c:pt>
                <c:pt idx="142">
                  <c:v>1315.0356548425411</c:v>
                </c:pt>
                <c:pt idx="143">
                  <c:v>1317.5565339529742</c:v>
                </c:pt>
                <c:pt idx="144">
                  <c:v>1320.0822455038558</c:v>
                </c:pt>
                <c:pt idx="145">
                  <c:v>1322.6127987588116</c:v>
                </c:pt>
                <c:pt idx="146">
                  <c:v>1325.1482029992253</c:v>
                </c:pt>
                <c:pt idx="147">
                  <c:v>1327.6884675242727</c:v>
                </c:pt>
                <c:pt idx="148">
                  <c:v>1330.233601650956</c:v>
                </c:pt>
                <c:pt idx="149">
                  <c:v>1332.7836147141379</c:v>
                </c:pt>
                <c:pt idx="150">
                  <c:v>1335.3385160665755</c:v>
                </c:pt>
                <c:pt idx="151">
                  <c:v>1337.8983150789545</c:v>
                </c:pt>
                <c:pt idx="152">
                  <c:v>1340.4630211399246</c:v>
                </c:pt>
                <c:pt idx="153">
                  <c:v>1343.0326436561327</c:v>
                </c:pt>
                <c:pt idx="154">
                  <c:v>1345.6071920522584</c:v>
                </c:pt>
                <c:pt idx="155">
                  <c:v>1348.1866757710475</c:v>
                </c:pt>
                <c:pt idx="156">
                  <c:v>1350.7711042733474</c:v>
                </c:pt>
                <c:pt idx="157">
                  <c:v>1353.3604870381419</c:v>
                </c:pt>
                <c:pt idx="158">
                  <c:v>1355.9548335625857</c:v>
                </c:pt>
                <c:pt idx="159">
                  <c:v>1358.554153362039</c:v>
                </c:pt>
                <c:pt idx="160">
                  <c:v>1361.1584559701023</c:v>
                </c:pt>
                <c:pt idx="161">
                  <c:v>1363.7677509386524</c:v>
                </c:pt>
                <c:pt idx="162">
                  <c:v>1366.3820478378764</c:v>
                </c:pt>
                <c:pt idx="163">
                  <c:v>1369.001356256307</c:v>
                </c:pt>
                <c:pt idx="164">
                  <c:v>1371.6256858008583</c:v>
                </c:pt>
                <c:pt idx="165">
                  <c:v>1374.2550460968596</c:v>
                </c:pt>
                <c:pt idx="166">
                  <c:v>1376.8894467880925</c:v>
                </c:pt>
                <c:pt idx="167">
                  <c:v>1379.5288975368251</c:v>
                </c:pt>
                <c:pt idx="168">
                  <c:v>1382.1734080238477</c:v>
                </c:pt>
                <c:pt idx="169">
                  <c:v>1384.8229879485084</c:v>
                </c:pt>
                <c:pt idx="170">
                  <c:v>1387.4776470287484</c:v>
                </c:pt>
                <c:pt idx="171">
                  <c:v>1390.1373950011384</c:v>
                </c:pt>
                <c:pt idx="172">
                  <c:v>1392.8022416209133</c:v>
                </c:pt>
                <c:pt idx="173">
                  <c:v>1395.4721966620086</c:v>
                </c:pt>
                <c:pt idx="174">
                  <c:v>1398.1472699170961</c:v>
                </c:pt>
                <c:pt idx="175">
                  <c:v>1400.8274711976198</c:v>
                </c:pt>
                <c:pt idx="176">
                  <c:v>1403.512810333832</c:v>
                </c:pt>
                <c:pt idx="177">
                  <c:v>1406.2032971748295</c:v>
                </c:pt>
                <c:pt idx="178">
                  <c:v>1408.8989415885887</c:v>
                </c:pt>
                <c:pt idx="179">
                  <c:v>1411.5997534620033</c:v>
                </c:pt>
                <c:pt idx="180">
                  <c:v>1414.3057427009196</c:v>
                </c:pt>
                <c:pt idx="181">
                  <c:v>1417.0169192301732</c:v>
                </c:pt>
                <c:pt idx="182">
                  <c:v>1419.7332929936251</c:v>
                </c:pt>
                <c:pt idx="183">
                  <c:v>1422.4548739541981</c:v>
                </c:pt>
                <c:pt idx="184">
                  <c:v>1425.1816720939146</c:v>
                </c:pt>
                <c:pt idx="185">
                  <c:v>1427.9136974139305</c:v>
                </c:pt>
                <c:pt idx="186">
                  <c:v>1430.6509599345759</c:v>
                </c:pt>
                <c:pt idx="187">
                  <c:v>1433.393469695387</c:v>
                </c:pt>
                <c:pt idx="188">
                  <c:v>1436.1412367551475</c:v>
                </c:pt>
                <c:pt idx="189">
                  <c:v>1438.8942711919219</c:v>
                </c:pt>
                <c:pt idx="190">
                  <c:v>1441.6525831030954</c:v>
                </c:pt>
                <c:pt idx="191">
                  <c:v>1444.4161826054083</c:v>
                </c:pt>
                <c:pt idx="192">
                  <c:v>1447.1850798349953</c:v>
                </c:pt>
                <c:pt idx="193">
                  <c:v>1449.9592849474216</c:v>
                </c:pt>
                <c:pt idx="194">
                  <c:v>1452.7388081177198</c:v>
                </c:pt>
                <c:pt idx="195">
                  <c:v>1455.5236595404276</c:v>
                </c:pt>
                <c:pt idx="196">
                  <c:v>1458.3138494296256</c:v>
                </c:pt>
                <c:pt idx="197">
                  <c:v>1461.1093880189751</c:v>
                </c:pt>
                <c:pt idx="198">
                  <c:v>1463.9102855617541</c:v>
                </c:pt>
                <c:pt idx="199">
                  <c:v>1466.7165523308959</c:v>
                </c:pt>
                <c:pt idx="200">
                  <c:v>1469.5281986190266</c:v>
                </c:pt>
                <c:pt idx="201">
                  <c:v>1472.3452347385034</c:v>
                </c:pt>
                <c:pt idx="202">
                  <c:v>1475.167671021452</c:v>
                </c:pt>
                <c:pt idx="203">
                  <c:v>1477.9955178198034</c:v>
                </c:pt>
                <c:pt idx="204">
                  <c:v>1480.8287855053341</c:v>
                </c:pt>
                <c:pt idx="205">
                  <c:v>1483.6674844697022</c:v>
                </c:pt>
                <c:pt idx="206">
                  <c:v>1486.5116251244867</c:v>
                </c:pt>
                <c:pt idx="207">
                  <c:v>1489.361217901225</c:v>
                </c:pt>
                <c:pt idx="208">
                  <c:v>1492.2162732514514</c:v>
                </c:pt>
                <c:pt idx="209">
                  <c:v>1495.0768016467357</c:v>
                </c:pt>
                <c:pt idx="210">
                  <c:v>1497.9428135787209</c:v>
                </c:pt>
                <c:pt idx="211">
                  <c:v>1500.8143195591626</c:v>
                </c:pt>
                <c:pt idx="212">
                  <c:v>1503.6913301199666</c:v>
                </c:pt>
                <c:pt idx="213">
                  <c:v>1506.5738558132286</c:v>
                </c:pt>
                <c:pt idx="214">
                  <c:v>1509.4619072112719</c:v>
                </c:pt>
                <c:pt idx="215">
                  <c:v>1512.3554949066861</c:v>
                </c:pt>
                <c:pt idx="216">
                  <c:v>1515.254629512368</c:v>
                </c:pt>
                <c:pt idx="217">
                  <c:v>1518.1593216615572</c:v>
                </c:pt>
                <c:pt idx="218">
                  <c:v>1521.0695820078781</c:v>
                </c:pt>
                <c:pt idx="219">
                  <c:v>1523.985421225377</c:v>
                </c:pt>
                <c:pt idx="220">
                  <c:v>1526.9068500085623</c:v>
                </c:pt>
                <c:pt idx="221">
                  <c:v>1529.8338790724436</c:v>
                </c:pt>
                <c:pt idx="222">
                  <c:v>1532.76651915257</c:v>
                </c:pt>
                <c:pt idx="223">
                  <c:v>1535.7047810050717</c:v>
                </c:pt>
                <c:pt idx="224">
                  <c:v>1538.6486754066968</c:v>
                </c:pt>
                <c:pt idx="225">
                  <c:v>1541.5982131548524</c:v>
                </c:pt>
                <c:pt idx="226">
                  <c:v>1544.5534050676442</c:v>
                </c:pt>
                <c:pt idx="227">
                  <c:v>1547.5142619839153</c:v>
                </c:pt>
                <c:pt idx="228">
                  <c:v>1550.4807947632871</c:v>
                </c:pt>
                <c:pt idx="229">
                  <c:v>1553.4530142861977</c:v>
                </c:pt>
                <c:pt idx="230">
                  <c:v>1556.4309314539439</c:v>
                </c:pt>
                <c:pt idx="231">
                  <c:v>1559.4145571887186</c:v>
                </c:pt>
                <c:pt idx="232">
                  <c:v>1562.403902433653</c:v>
                </c:pt>
                <c:pt idx="233">
                  <c:v>1565.3989781528555</c:v>
                </c:pt>
                <c:pt idx="234">
                  <c:v>1568.3997953314527</c:v>
                </c:pt>
                <c:pt idx="235">
                  <c:v>1571.4063649756288</c:v>
                </c:pt>
                <c:pt idx="236">
                  <c:v>1574.418698112667</c:v>
                </c:pt>
                <c:pt idx="237">
                  <c:v>1577.4368057909894</c:v>
                </c:pt>
                <c:pt idx="238">
                  <c:v>1580.4606990801969</c:v>
                </c:pt>
                <c:pt idx="239">
                  <c:v>1583.4903890711114</c:v>
                </c:pt>
                <c:pt idx="240">
                  <c:v>1586.5258868758149</c:v>
                </c:pt>
                <c:pt idx="241">
                  <c:v>1589.567203627691</c:v>
                </c:pt>
                <c:pt idx="242">
                  <c:v>1592.6143504814659</c:v>
                </c:pt>
                <c:pt idx="243">
                  <c:v>1595.6673386132484</c:v>
                </c:pt>
                <c:pt idx="244">
                  <c:v>1598.7261792205718</c:v>
                </c:pt>
                <c:pt idx="245">
                  <c:v>1601.7908835224355</c:v>
                </c:pt>
                <c:pt idx="246">
                  <c:v>1604.8614627593442</c:v>
                </c:pt>
                <c:pt idx="247">
                  <c:v>1607.9379281933511</c:v>
                </c:pt>
                <c:pt idx="248">
                  <c:v>1611.0202911080976</c:v>
                </c:pt>
                <c:pt idx="249">
                  <c:v>1614.108562808856</c:v>
                </c:pt>
                <c:pt idx="250">
                  <c:v>1617.2027546225704</c:v>
                </c:pt>
                <c:pt idx="251">
                  <c:v>1620.3028778978983</c:v>
                </c:pt>
                <c:pt idx="252">
                  <c:v>1623.4089440052517</c:v>
                </c:pt>
                <c:pt idx="253">
                  <c:v>1626.5209643368401</c:v>
                </c:pt>
                <c:pt idx="254">
                  <c:v>1629.6389503067107</c:v>
                </c:pt>
                <c:pt idx="255">
                  <c:v>1632.7629133507915</c:v>
                </c:pt>
                <c:pt idx="256">
                  <c:v>1635.8928649269326</c:v>
                </c:pt>
                <c:pt idx="257">
                  <c:v>1639.0288165149486</c:v>
                </c:pt>
                <c:pt idx="258">
                  <c:v>1642.1707796166606</c:v>
                </c:pt>
                <c:pt idx="259">
                  <c:v>1645.3187657559379</c:v>
                </c:pt>
                <c:pt idx="260">
                  <c:v>1648.4727864787408</c:v>
                </c:pt>
                <c:pt idx="261">
                  <c:v>1651.632853353163</c:v>
                </c:pt>
                <c:pt idx="262">
                  <c:v>1654.7989779694738</c:v>
                </c:pt>
                <c:pt idx="263">
                  <c:v>1657.9711719401607</c:v>
                </c:pt>
                <c:pt idx="264">
                  <c:v>1661.1494468999715</c:v>
                </c:pt>
                <c:pt idx="265">
                  <c:v>1664.3338145059583</c:v>
                </c:pt>
                <c:pt idx="266">
                  <c:v>1667.5242864375184</c:v>
                </c:pt>
                <c:pt idx="267">
                  <c:v>1670.7208743964386</c:v>
                </c:pt>
                <c:pt idx="268">
                  <c:v>1673.9235901069378</c:v>
                </c:pt>
                <c:pt idx="269">
                  <c:v>1677.1324453157097</c:v>
                </c:pt>
                <c:pt idx="270">
                  <c:v>1680.3474517919656</c:v>
                </c:pt>
                <c:pt idx="271">
                  <c:v>1683.5686213274789</c:v>
                </c:pt>
                <c:pt idx="272">
                  <c:v>1686.7959657366262</c:v>
                </c:pt>
                <c:pt idx="273">
                  <c:v>1690.0294968564328</c:v>
                </c:pt>
                <c:pt idx="274">
                  <c:v>1693.2692265466148</c:v>
                </c:pt>
                <c:pt idx="275">
                  <c:v>1696.5151666896234</c:v>
                </c:pt>
                <c:pt idx="276">
                  <c:v>1699.7673291906876</c:v>
                </c:pt>
                <c:pt idx="277">
                  <c:v>1703.0257259778582</c:v>
                </c:pt>
                <c:pt idx="278">
                  <c:v>1706.2903690020523</c:v>
                </c:pt>
                <c:pt idx="279">
                  <c:v>1709.5612702370961</c:v>
                </c:pt>
                <c:pt idx="280">
                  <c:v>1712.8384416797689</c:v>
                </c:pt>
                <c:pt idx="281">
                  <c:v>1716.121895349848</c:v>
                </c:pt>
                <c:pt idx="282">
                  <c:v>1719.4116432901519</c:v>
                </c:pt>
                <c:pt idx="283">
                  <c:v>1722.7076975665852</c:v>
                </c:pt>
                <c:pt idx="284">
                  <c:v>1726.0100702681821</c:v>
                </c:pt>
                <c:pt idx="285">
                  <c:v>1729.3187735071504</c:v>
                </c:pt>
                <c:pt idx="286">
                  <c:v>1732.6338194189182</c:v>
                </c:pt>
                <c:pt idx="287">
                  <c:v>1735.955220162175</c:v>
                </c:pt>
                <c:pt idx="288">
                  <c:v>1739.2829879189198</c:v>
                </c:pt>
                <c:pt idx="289">
                  <c:v>1742.6171348945024</c:v>
                </c:pt>
                <c:pt idx="290">
                  <c:v>1745.9576733176714</c:v>
                </c:pt>
                <c:pt idx="291">
                  <c:v>1749.3046154406168</c:v>
                </c:pt>
                <c:pt idx="292">
                  <c:v>1752.6579735390151</c:v>
                </c:pt>
                <c:pt idx="293">
                  <c:v>1756.0177599120759</c:v>
                </c:pt>
                <c:pt idx="294">
                  <c:v>1759.3839868825851</c:v>
                </c:pt>
                <c:pt idx="295">
                  <c:v>1762.7566667969513</c:v>
                </c:pt>
                <c:pt idx="296">
                  <c:v>1766.1358120252517</c:v>
                </c:pt>
                <c:pt idx="297">
                  <c:v>1769.5214349612745</c:v>
                </c:pt>
                <c:pt idx="298">
                  <c:v>1772.9135480225677</c:v>
                </c:pt>
                <c:pt idx="299">
                  <c:v>1776.3121636504832</c:v>
                </c:pt>
                <c:pt idx="300">
                  <c:v>1779.717294310223</c:v>
                </c:pt>
                <c:pt idx="301">
                  <c:v>1783.1289524908836</c:v>
                </c:pt>
                <c:pt idx="302">
                  <c:v>1786.5471507055024</c:v>
                </c:pt>
                <c:pt idx="303">
                  <c:v>1789.9719014911052</c:v>
                </c:pt>
                <c:pt idx="304">
                  <c:v>1793.4032174087499</c:v>
                </c:pt>
                <c:pt idx="305">
                  <c:v>1796.8411110435741</c:v>
                </c:pt>
                <c:pt idx="306">
                  <c:v>1800.2855950048395</c:v>
                </c:pt>
                <c:pt idx="307">
                  <c:v>1803.7366819259807</c:v>
                </c:pt>
                <c:pt idx="308">
                  <c:v>1807.1943844646498</c:v>
                </c:pt>
                <c:pt idx="309">
                  <c:v>1810.6587153027633</c:v>
                </c:pt>
                <c:pt idx="310">
                  <c:v>1814.1296871465474</c:v>
                </c:pt>
                <c:pt idx="311">
                  <c:v>1817.607312726587</c:v>
                </c:pt>
                <c:pt idx="312">
                  <c:v>1821.091604797871</c:v>
                </c:pt>
                <c:pt idx="313">
                  <c:v>1824.5825761398382</c:v>
                </c:pt>
                <c:pt idx="314">
                  <c:v>1828.0802395564262</c:v>
                </c:pt>
                <c:pt idx="315">
                  <c:v>1831.5846078761167</c:v>
                </c:pt>
                <c:pt idx="316">
                  <c:v>1835.0956939519833</c:v>
                </c:pt>
                <c:pt idx="317">
                  <c:v>1838.6135106617394</c:v>
                </c:pt>
                <c:pt idx="318">
                  <c:v>1842.1380709077828</c:v>
                </c:pt>
                <c:pt idx="319">
                  <c:v>1845.669387617246</c:v>
                </c:pt>
                <c:pt idx="320">
                  <c:v>1849.2074737420421</c:v>
                </c:pt>
                <c:pt idx="321">
                  <c:v>1852.7523422589127</c:v>
                </c:pt>
                <c:pt idx="322">
                  <c:v>1856.3040061694751</c:v>
                </c:pt>
                <c:pt idx="323">
                  <c:v>1859.8624785002701</c:v>
                </c:pt>
                <c:pt idx="324">
                  <c:v>1863.4277723028106</c:v>
                </c:pt>
                <c:pt idx="325">
                  <c:v>1866.9999006536286</c:v>
                </c:pt>
                <c:pt idx="326">
                  <c:v>1870.578876654323</c:v>
                </c:pt>
                <c:pt idx="327">
                  <c:v>1874.1647134316081</c:v>
                </c:pt>
                <c:pt idx="328">
                  <c:v>1877.7574241373622</c:v>
                </c:pt>
                <c:pt idx="329">
                  <c:v>1881.3570219486746</c:v>
                </c:pt>
                <c:pt idx="330">
                  <c:v>1884.9635200678952</c:v>
                </c:pt>
                <c:pt idx="331">
                  <c:v>1888.5769317226818</c:v>
                </c:pt>
                <c:pt idx="332">
                  <c:v>1892.1972701660497</c:v>
                </c:pt>
                <c:pt idx="333">
                  <c:v>1895.8245486764195</c:v>
                </c:pt>
                <c:pt idx="334">
                  <c:v>1899.4587805576664</c:v>
                </c:pt>
                <c:pt idx="335">
                  <c:v>1903.0999791391682</c:v>
                </c:pt>
                <c:pt idx="336">
                  <c:v>1906.7481577758551</c:v>
                </c:pt>
                <c:pt idx="337">
                  <c:v>1910.403329848258</c:v>
                </c:pt>
                <c:pt idx="338">
                  <c:v>1914.0655087625578</c:v>
                </c:pt>
                <c:pt idx="339">
                  <c:v>1917.7347079506346</c:v>
                </c:pt>
                <c:pt idx="340">
                  <c:v>1921.4109408701172</c:v>
                </c:pt>
                <c:pt idx="341">
                  <c:v>1925.0942210044323</c:v>
                </c:pt>
                <c:pt idx="342">
                  <c:v>1928.7845618628535</c:v>
                </c:pt>
                <c:pt idx="343">
                  <c:v>1932.4819769805513</c:v>
                </c:pt>
                <c:pt idx="344">
                  <c:v>1936.1864799186428</c:v>
                </c:pt>
                <c:pt idx="345">
                  <c:v>1939.8980842642411</c:v>
                </c:pt>
                <c:pt idx="346">
                  <c:v>1943.6168036305055</c:v>
                </c:pt>
                <c:pt idx="347">
                  <c:v>1947.3426516566919</c:v>
                </c:pt>
                <c:pt idx="348">
                  <c:v>1951.0756420082002</c:v>
                </c:pt>
                <c:pt idx="349">
                  <c:v>1954.8157883766291</c:v>
                </c:pt>
                <c:pt idx="350">
                  <c:v>1958.5631044798217</c:v>
                </c:pt>
                <c:pt idx="351">
                  <c:v>1962.3176040619185</c:v>
                </c:pt>
                <c:pt idx="352">
                  <c:v>1966.0793008934068</c:v>
                </c:pt>
                <c:pt idx="353">
                  <c:v>1969.8482087711716</c:v>
                </c:pt>
                <c:pt idx="354">
                  <c:v>1973.6243415185459</c:v>
                </c:pt>
                <c:pt idx="355">
                  <c:v>1977.407712985362</c:v>
                </c:pt>
                <c:pt idx="356">
                  <c:v>1981.1983370480009</c:v>
                </c:pt>
                <c:pt idx="357">
                  <c:v>1984.9962276094452</c:v>
                </c:pt>
                <c:pt idx="358">
                  <c:v>1988.8013985993291</c:v>
                </c:pt>
                <c:pt idx="359">
                  <c:v>1992.6138639739886</c:v>
                </c:pt>
                <c:pt idx="360">
                  <c:v>1996.4336377165137</c:v>
                </c:pt>
                <c:pt idx="361">
                  <c:v>2000.2607338368002</c:v>
                </c:pt>
                <c:pt idx="362">
                  <c:v>2004.0951663715991</c:v>
                </c:pt>
                <c:pt idx="363">
                  <c:v>2007.9369493845713</c:v>
                </c:pt>
                <c:pt idx="364">
                  <c:v>2011.7860969663352</c:v>
                </c:pt>
                <c:pt idx="365">
                  <c:v>2015.642623234522</c:v>
                </c:pt>
                <c:pt idx="366">
                  <c:v>2019.5065423338251</c:v>
                </c:pt>
                <c:pt idx="367">
                  <c:v>2023.3778684360536</c:v>
                </c:pt>
                <c:pt idx="368">
                  <c:v>2027.2566157401823</c:v>
                </c:pt>
                <c:pt idx="369">
                  <c:v>2031.142798472406</c:v>
                </c:pt>
                <c:pt idx="370">
                  <c:v>2035.0364308861897</c:v>
                </c:pt>
                <c:pt idx="371">
                  <c:v>2038.9375272623224</c:v>
                </c:pt>
                <c:pt idx="372">
                  <c:v>2042.8461019089691</c:v>
                </c:pt>
                <c:pt idx="373">
                  <c:v>2046.762169161723</c:v>
                </c:pt>
                <c:pt idx="374">
                  <c:v>2050.6857433836576</c:v>
                </c:pt>
                <c:pt idx="375">
                  <c:v>2054.6168389653799</c:v>
                </c:pt>
                <c:pt idx="376">
                  <c:v>2058.5554703250846</c:v>
                </c:pt>
                <c:pt idx="377">
                  <c:v>2062.5016519086043</c:v>
                </c:pt>
                <c:pt idx="378">
                  <c:v>2066.4553981894633</c:v>
                </c:pt>
                <c:pt idx="379">
                  <c:v>2070.4167236689323</c:v>
                </c:pt>
                <c:pt idx="380">
                  <c:v>2074.3856428760801</c:v>
                </c:pt>
                <c:pt idx="381">
                  <c:v>2078.3621703678268</c:v>
                </c:pt>
                <c:pt idx="382">
                  <c:v>2082.3463207289992</c:v>
                </c:pt>
                <c:pt idx="383">
                  <c:v>2086.3381085723804</c:v>
                </c:pt>
                <c:pt idx="384">
                  <c:v>2090.3375485387674</c:v>
                </c:pt>
                <c:pt idx="385">
                  <c:v>2094.3446552970222</c:v>
                </c:pt>
                <c:pt idx="386">
                  <c:v>2098.3594435441273</c:v>
                </c:pt>
                <c:pt idx="387">
                  <c:v>2102.3819280052385</c:v>
                </c:pt>
                <c:pt idx="388">
                  <c:v>2106.4121234337385</c:v>
                </c:pt>
                <c:pt idx="389">
                  <c:v>2110.4500446112925</c:v>
                </c:pt>
                <c:pt idx="390">
                  <c:v>2114.4957063479023</c:v>
                </c:pt>
                <c:pt idx="391">
                  <c:v>2118.5491234819583</c:v>
                </c:pt>
                <c:pt idx="392">
                  <c:v>2122.6103108802963</c:v>
                </c:pt>
                <c:pt idx="393">
                  <c:v>2126.6792834382532</c:v>
                </c:pt>
                <c:pt idx="394">
                  <c:v>2130.7560560797169</c:v>
                </c:pt>
                <c:pt idx="395">
                  <c:v>2134.8406437571844</c:v>
                </c:pt>
                <c:pt idx="396">
                  <c:v>2138.9330614518176</c:v>
                </c:pt>
                <c:pt idx="397">
                  <c:v>2143.0333241734966</c:v>
                </c:pt>
                <c:pt idx="398">
                  <c:v>2147.1414469608731</c:v>
                </c:pt>
                <c:pt idx="399">
                  <c:v>2151.2574448814294</c:v>
                </c:pt>
                <c:pt idx="400">
                  <c:v>2155.3813330315306</c:v>
                </c:pt>
                <c:pt idx="401">
                  <c:v>2159.5131265364812</c:v>
                </c:pt>
                <c:pt idx="402">
                  <c:v>2163.652840550581</c:v>
                </c:pt>
                <c:pt idx="403">
                  <c:v>2167.8004902571788</c:v>
                </c:pt>
                <c:pt idx="404">
                  <c:v>2171.9560908687308</c:v>
                </c:pt>
                <c:pt idx="405">
                  <c:v>2176.1196576268544</c:v>
                </c:pt>
                <c:pt idx="406">
                  <c:v>2180.291205802384</c:v>
                </c:pt>
                <c:pt idx="407">
                  <c:v>2184.4707506954287</c:v>
                </c:pt>
                <c:pt idx="408">
                  <c:v>2188.6583076354268</c:v>
                </c:pt>
                <c:pt idx="409">
                  <c:v>2192.8538919812027</c:v>
                </c:pt>
                <c:pt idx="410">
                  <c:v>2197.0575191210237</c:v>
                </c:pt>
                <c:pt idx="411">
                  <c:v>2201.2692044726541</c:v>
                </c:pt>
                <c:pt idx="412">
                  <c:v>2205.4889634834167</c:v>
                </c:pt>
                <c:pt idx="413">
                  <c:v>2209.7168116302423</c:v>
                </c:pt>
                <c:pt idx="414">
                  <c:v>2213.9527644197351</c:v>
                </c:pt>
                <c:pt idx="415">
                  <c:v>2218.1968373882205</c:v>
                </c:pt>
                <c:pt idx="416">
                  <c:v>2222.449046101809</c:v>
                </c:pt>
                <c:pt idx="417">
                  <c:v>2226.7094061564503</c:v>
                </c:pt>
                <c:pt idx="418">
                  <c:v>2230.9779331779914</c:v>
                </c:pt>
                <c:pt idx="419">
                  <c:v>2235.2546428222331</c:v>
                </c:pt>
                <c:pt idx="420">
                  <c:v>2239.5395507749868</c:v>
                </c:pt>
                <c:pt idx="421">
                  <c:v>2243.8326727521348</c:v>
                </c:pt>
                <c:pt idx="422">
                  <c:v>2248.1340244996854</c:v>
                </c:pt>
                <c:pt idx="423">
                  <c:v>2252.4436217938319</c:v>
                </c:pt>
                <c:pt idx="424">
                  <c:v>2256.7614804410096</c:v>
                </c:pt>
                <c:pt idx="425">
                  <c:v>2261.0876162779541</c:v>
                </c:pt>
                <c:pt idx="426">
                  <c:v>2265.4220451717606</c:v>
                </c:pt>
                <c:pt idx="427">
                  <c:v>2269.7647830199389</c:v>
                </c:pt>
                <c:pt idx="428">
                  <c:v>2274.1158457504757</c:v>
                </c:pt>
                <c:pt idx="429">
                  <c:v>2278.4752493218903</c:v>
                </c:pt>
                <c:pt idx="430">
                  <c:v>2282.8430097232931</c:v>
                </c:pt>
                <c:pt idx="431">
                  <c:v>2287.2191429744475</c:v>
                </c:pt>
                <c:pt idx="432">
                  <c:v>2291.6036651258246</c:v>
                </c:pt>
                <c:pt idx="433">
                  <c:v>2295.996592258663</c:v>
                </c:pt>
                <c:pt idx="434">
                  <c:v>2300.3979404850306</c:v>
                </c:pt>
                <c:pt idx="435">
                  <c:v>2304.80772594788</c:v>
                </c:pt>
                <c:pt idx="436">
                  <c:v>2309.2259648211084</c:v>
                </c:pt>
                <c:pt idx="437">
                  <c:v>2313.6526733096207</c:v>
                </c:pt>
                <c:pt idx="438">
                  <c:v>2318.0878676493835</c:v>
                </c:pt>
                <c:pt idx="439">
                  <c:v>2322.5315641074894</c:v>
                </c:pt>
                <c:pt idx="440">
                  <c:v>2326.9837789822122</c:v>
                </c:pt>
                <c:pt idx="441">
                  <c:v>2331.44452860307</c:v>
                </c:pt>
                <c:pt idx="442">
                  <c:v>2335.9138293308843</c:v>
                </c:pt>
                <c:pt idx="443">
                  <c:v>2340.39169755784</c:v>
                </c:pt>
                <c:pt idx="444">
                  <c:v>2344.8781497075433</c:v>
                </c:pt>
                <c:pt idx="445">
                  <c:v>2349.3732022350864</c:v>
                </c:pt>
                <c:pt idx="446">
                  <c:v>2353.8768716271034</c:v>
                </c:pt>
                <c:pt idx="447">
                  <c:v>2358.3891744018351</c:v>
                </c:pt>
                <c:pt idx="448">
                  <c:v>2362.9101271091854</c:v>
                </c:pt>
                <c:pt idx="449">
                  <c:v>2367.4397463307828</c:v>
                </c:pt>
                <c:pt idx="450">
                  <c:v>2371.9780486800441</c:v>
                </c:pt>
                <c:pt idx="451">
                  <c:v>2376.5250508022341</c:v>
                </c:pt>
                <c:pt idx="452">
                  <c:v>2381.0807693745237</c:v>
                </c:pt>
                <c:pt idx="453">
                  <c:v>2385.6452211060541</c:v>
                </c:pt>
                <c:pt idx="454">
                  <c:v>2390.2184227379985</c:v>
                </c:pt>
                <c:pt idx="455">
                  <c:v>2394.8003910436219</c:v>
                </c:pt>
                <c:pt idx="456">
                  <c:v>2399.3911428283427</c:v>
                </c:pt>
                <c:pt idx="457">
                  <c:v>2403.9906949297938</c:v>
                </c:pt>
                <c:pt idx="458">
                  <c:v>2408.5990642178876</c:v>
                </c:pt>
                <c:pt idx="459">
                  <c:v>2413.2162675948734</c:v>
                </c:pt>
                <c:pt idx="460">
                  <c:v>2417.8423219954038</c:v>
                </c:pt>
                <c:pt idx="461">
                  <c:v>2422.4772443865913</c:v>
                </c:pt>
                <c:pt idx="462">
                  <c:v>2427.1210517680765</c:v>
                </c:pt>
                <c:pt idx="463">
                  <c:v>2431.7737611720868</c:v>
                </c:pt>
                <c:pt idx="464">
                  <c:v>2436.4353896635007</c:v>
                </c:pt>
                <c:pt idx="465">
                  <c:v>2441.1059543399078</c:v>
                </c:pt>
                <c:pt idx="466">
                  <c:v>2445.7854723316741</c:v>
                </c:pt>
                <c:pt idx="467">
                  <c:v>2450.4739608020041</c:v>
                </c:pt>
                <c:pt idx="468">
                  <c:v>2455.1714369470033</c:v>
                </c:pt>
                <c:pt idx="469">
                  <c:v>2459.8779179957428</c:v>
                </c:pt>
                <c:pt idx="470">
                  <c:v>2464.593421210318</c:v>
                </c:pt>
                <c:pt idx="471">
                  <c:v>2469.3179638859187</c:v>
                </c:pt>
                <c:pt idx="472">
                  <c:v>2474.051563350888</c:v>
                </c:pt>
                <c:pt idx="473">
                  <c:v>2478.7942369667853</c:v>
                </c:pt>
                <c:pt idx="474">
                  <c:v>2483.5460021284534</c:v>
                </c:pt>
                <c:pt idx="475">
                  <c:v>2488.3068762640796</c:v>
                </c:pt>
                <c:pt idx="476">
                  <c:v>2493.0768768352605</c:v>
                </c:pt>
                <c:pt idx="477">
                  <c:v>2497.8560213370656</c:v>
                </c:pt>
                <c:pt idx="478">
                  <c:v>2502.6443272981023</c:v>
                </c:pt>
                <c:pt idx="479">
                  <c:v>2507.4418122805801</c:v>
                </c:pt>
                <c:pt idx="480">
                  <c:v>2512.2484938803746</c:v>
                </c:pt>
                <c:pt idx="481">
                  <c:v>2517.0643897270916</c:v>
                </c:pt>
                <c:pt idx="482">
                  <c:v>2521.8895174841318</c:v>
                </c:pt>
                <c:pt idx="483">
                  <c:v>2526.7238948487575</c:v>
                </c:pt>
                <c:pt idx="484">
                  <c:v>2531.5675395521548</c:v>
                </c:pt>
                <c:pt idx="485">
                  <c:v>2536.4204693595011</c:v>
                </c:pt>
                <c:pt idx="486">
                  <c:v>2541.2827020700279</c:v>
                </c:pt>
                <c:pt idx="487">
                  <c:v>2546.1542555170868</c:v>
                </c:pt>
                <c:pt idx="488">
                  <c:v>2551.0351475682169</c:v>
                </c:pt>
                <c:pt idx="489">
                  <c:v>2555.925396125208</c:v>
                </c:pt>
                <c:pt idx="490">
                  <c:v>2560.8250191241673</c:v>
                </c:pt>
                <c:pt idx="491">
                  <c:v>2565.7340345355851</c:v>
                </c:pt>
                <c:pt idx="492">
                  <c:v>2570.6524603643984</c:v>
                </c:pt>
                <c:pt idx="493">
                  <c:v>2575.5803146500625</c:v>
                </c:pt>
                <c:pt idx="494">
                  <c:v>2580.5176154666115</c:v>
                </c:pt>
                <c:pt idx="495">
                  <c:v>2585.4643809227264</c:v>
                </c:pt>
                <c:pt idx="496">
                  <c:v>2590.4206291618038</c:v>
                </c:pt>
                <c:pt idx="497">
                  <c:v>2595.3863783620195</c:v>
                </c:pt>
                <c:pt idx="498">
                  <c:v>2600.3616467363968</c:v>
                </c:pt>
                <c:pt idx="499">
                  <c:v>2605.3464525328709</c:v>
                </c:pt>
                <c:pt idx="500">
                  <c:v>2610.3408140343608</c:v>
                </c:pt>
                <c:pt idx="501">
                  <c:v>2615.3447495588298</c:v>
                </c:pt>
                <c:pt idx="502">
                  <c:v>2620.3582774593597</c:v>
                </c:pt>
                <c:pt idx="503">
                  <c:v>2625.3814161242117</c:v>
                </c:pt>
                <c:pt idx="504">
                  <c:v>2630.4141839768977</c:v>
                </c:pt>
                <c:pt idx="505">
                  <c:v>2635.456599476247</c:v>
                </c:pt>
                <c:pt idx="506">
                  <c:v>2640.5086811164733</c:v>
                </c:pt>
                <c:pt idx="507">
                  <c:v>2645.5704474272443</c:v>
                </c:pt>
                <c:pt idx="508">
                  <c:v>2650.6419169737469</c:v>
                </c:pt>
                <c:pt idx="509">
                  <c:v>2655.7231083567576</c:v>
                </c:pt>
                <c:pt idx="510">
                  <c:v>2660.8140402127106</c:v>
                </c:pt>
                <c:pt idx="511">
                  <c:v>2665.9147312137648</c:v>
                </c:pt>
                <c:pt idx="512">
                  <c:v>2671.0252000678715</c:v>
                </c:pt>
                <c:pt idx="513">
                  <c:v>2676.1454655188477</c:v>
                </c:pt>
                <c:pt idx="514">
                  <c:v>2681.2755463464391</c:v>
                </c:pt>
                <c:pt idx="515">
                  <c:v>2686.4154613663936</c:v>
                </c:pt>
                <c:pt idx="516">
                  <c:v>2691.565229430526</c:v>
                </c:pt>
                <c:pt idx="517">
                  <c:v>2696.724869426791</c:v>
                </c:pt>
                <c:pt idx="518">
                  <c:v>2701.8944002793505</c:v>
                </c:pt>
                <c:pt idx="519">
                  <c:v>2707.073840948643</c:v>
                </c:pt>
                <c:pt idx="520">
                  <c:v>2712.2632104314534</c:v>
                </c:pt>
                <c:pt idx="521">
                  <c:v>2717.4625277609839</c:v>
                </c:pt>
                <c:pt idx="522">
                  <c:v>2722.6718120069222</c:v>
                </c:pt>
                <c:pt idx="523">
                  <c:v>2727.8910822755111</c:v>
                </c:pt>
                <c:pt idx="524">
                  <c:v>2733.1203577096203</c:v>
                </c:pt>
                <c:pt idx="525">
                  <c:v>2738.3596574888152</c:v>
                </c:pt>
                <c:pt idx="526">
                  <c:v>2743.6090008294286</c:v>
                </c:pt>
                <c:pt idx="527">
                  <c:v>2748.8684069846299</c:v>
                </c:pt>
                <c:pt idx="528">
                  <c:v>2754.1378952444957</c:v>
                </c:pt>
                <c:pt idx="529">
                  <c:v>2759.4174849360811</c:v>
                </c:pt>
                <c:pt idx="530">
                  <c:v>2764.7071954234921</c:v>
                </c:pt>
                <c:pt idx="531">
                  <c:v>2770.0070461079536</c:v>
                </c:pt>
                <c:pt idx="532">
                  <c:v>2775.3170564278807</c:v>
                </c:pt>
                <c:pt idx="533">
                  <c:v>2780.6372458589544</c:v>
                </c:pt>
                <c:pt idx="534">
                  <c:v>2785.9676339141884</c:v>
                </c:pt>
                <c:pt idx="535">
                  <c:v>2791.3082401440006</c:v>
                </c:pt>
                <c:pt idx="536">
                  <c:v>2796.6590841362886</c:v>
                </c:pt>
                <c:pt idx="537">
                  <c:v>2802.0201855164996</c:v>
                </c:pt>
                <c:pt idx="538">
                  <c:v>2807.3915639477004</c:v>
                </c:pt>
                <c:pt idx="539">
                  <c:v>2812.7732391306517</c:v>
                </c:pt>
                <c:pt idx="540">
                  <c:v>2818.1652308038815</c:v>
                </c:pt>
                <c:pt idx="541">
                  <c:v>2823.5675587437522</c:v>
                </c:pt>
                <c:pt idx="542">
                  <c:v>2828.9802427645418</c:v>
                </c:pt>
                <c:pt idx="543">
                  <c:v>2834.4033027185083</c:v>
                </c:pt>
                <c:pt idx="544">
                  <c:v>2839.8367584959647</c:v>
                </c:pt>
                <c:pt idx="545">
                  <c:v>2845.2806300253565</c:v>
                </c:pt>
                <c:pt idx="546">
                  <c:v>2850.7349372733306</c:v>
                </c:pt>
                <c:pt idx="547">
                  <c:v>2856.1997002448074</c:v>
                </c:pt>
                <c:pt idx="548">
                  <c:v>2861.6749389830566</c:v>
                </c:pt>
                <c:pt idx="549">
                  <c:v>2867.1606735697715</c:v>
                </c:pt>
                <c:pt idx="550">
                  <c:v>2872.65692412514</c:v>
                </c:pt>
                <c:pt idx="551">
                  <c:v>2878.1637108079212</c:v>
                </c:pt>
                <c:pt idx="552">
                  <c:v>2883.6810538155155</c:v>
                </c:pt>
                <c:pt idx="553">
                  <c:v>2889.208973384043</c:v>
                </c:pt>
                <c:pt idx="554">
                  <c:v>2894.7474897884158</c:v>
                </c:pt>
                <c:pt idx="555">
                  <c:v>2900.2966233424108</c:v>
                </c:pt>
                <c:pt idx="556">
                  <c:v>2905.8563943987479</c:v>
                </c:pt>
                <c:pt idx="557">
                  <c:v>2911.4268233491598</c:v>
                </c:pt>
                <c:pt idx="558">
                  <c:v>2917.007930624472</c:v>
                </c:pt>
                <c:pt idx="559">
                  <c:v>2922.5997366946731</c:v>
                </c:pt>
                <c:pt idx="560">
                  <c:v>2928.2022620689932</c:v>
                </c:pt>
                <c:pt idx="561">
                  <c:v>2933.8155272959789</c:v>
                </c:pt>
                <c:pt idx="562">
                  <c:v>2939.4395529635649</c:v>
                </c:pt>
                <c:pt idx="563">
                  <c:v>2945.0743596991547</c:v>
                </c:pt>
                <c:pt idx="564">
                  <c:v>2950.7199681696929</c:v>
                </c:pt>
                <c:pt idx="565">
                  <c:v>2956.3763990817406</c:v>
                </c:pt>
                <c:pt idx="566">
                  <c:v>2962.0436731815566</c:v>
                </c:pt>
                <c:pt idx="567">
                  <c:v>2967.721811255165</c:v>
                </c:pt>
                <c:pt idx="568">
                  <c:v>2973.4108341284395</c:v>
                </c:pt>
                <c:pt idx="569">
                  <c:v>2979.1107626671746</c:v>
                </c:pt>
                <c:pt idx="570">
                  <c:v>2984.8216177771628</c:v>
                </c:pt>
                <c:pt idx="571">
                  <c:v>2990.5434204042749</c:v>
                </c:pt>
                <c:pt idx="572">
                  <c:v>2996.2761915345336</c:v>
                </c:pt>
                <c:pt idx="573">
                  <c:v>3002.0199521941877</c:v>
                </c:pt>
                <c:pt idx="574">
                  <c:v>3007.7747234497983</c:v>
                </c:pt>
                <c:pt idx="575">
                  <c:v>3013.5405264083056</c:v>
                </c:pt>
                <c:pt idx="576">
                  <c:v>3019.3173822171138</c:v>
                </c:pt>
                <c:pt idx="577">
                  <c:v>3025.105312064165</c:v>
                </c:pt>
                <c:pt idx="578">
                  <c:v>3030.9043371780176</c:v>
                </c:pt>
                <c:pt idx="579">
                  <c:v>3036.7144788279252</c:v>
                </c:pt>
                <c:pt idx="580">
                  <c:v>3042.5357583239129</c:v>
                </c:pt>
                <c:pt idx="581">
                  <c:v>3048.3681970168564</c:v>
                </c:pt>
                <c:pt idx="582">
                  <c:v>3054.211816298563</c:v>
                </c:pt>
                <c:pt idx="583">
                  <c:v>3060.0666376018435</c:v>
                </c:pt>
                <c:pt idx="584">
                  <c:v>3065.9326824005971</c:v>
                </c:pt>
                <c:pt idx="585">
                  <c:v>3071.8099722098868</c:v>
                </c:pt>
                <c:pt idx="586">
                  <c:v>3077.6985285860192</c:v>
                </c:pt>
                <c:pt idx="587">
                  <c:v>3083.5983731266247</c:v>
                </c:pt>
                <c:pt idx="588">
                  <c:v>3089.5095274707332</c:v>
                </c:pt>
                <c:pt idx="589">
                  <c:v>3095.4320132988601</c:v>
                </c:pt>
                <c:pt idx="590">
                  <c:v>3101.3658523330773</c:v>
                </c:pt>
                <c:pt idx="591">
                  <c:v>3107.3110663370985</c:v>
                </c:pt>
                <c:pt idx="592">
                  <c:v>3113.2676771163597</c:v>
                </c:pt>
                <c:pt idx="593">
                  <c:v>3119.235706518095</c:v>
                </c:pt>
                <c:pt idx="594">
                  <c:v>3125.2151764314185</c:v>
                </c:pt>
                <c:pt idx="595">
                  <c:v>3131.2061087874076</c:v>
                </c:pt>
                <c:pt idx="596">
                  <c:v>3137.2085255591783</c:v>
                </c:pt>
                <c:pt idx="597">
                  <c:v>3143.2224487619696</c:v>
                </c:pt>
                <c:pt idx="598">
                  <c:v>3149.2479004532224</c:v>
                </c:pt>
                <c:pt idx="599">
                  <c:v>3155.2849027326615</c:v>
                </c:pt>
                <c:pt idx="600">
                  <c:v>3161.3334777423765</c:v>
                </c:pt>
                <c:pt idx="601">
                  <c:v>3167.3936476669014</c:v>
                </c:pt>
                <c:pt idx="602">
                  <c:v>3173.4654347332971</c:v>
                </c:pt>
                <c:pt idx="603">
                  <c:v>3179.5488612112354</c:v>
                </c:pt>
                <c:pt idx="604">
                  <c:v>3185.6439494130746</c:v>
                </c:pt>
                <c:pt idx="605">
                  <c:v>3191.7507216939493</c:v>
                </c:pt>
                <c:pt idx="606">
                  <c:v>3197.8692004518448</c:v>
                </c:pt>
                <c:pt idx="607">
                  <c:v>3203.9994081276827</c:v>
                </c:pt>
                <c:pt idx="608">
                  <c:v>3210.1413672054068</c:v>
                </c:pt>
                <c:pt idx="609">
                  <c:v>3216.2951002120562</c:v>
                </c:pt>
                <c:pt idx="610">
                  <c:v>3222.4606297178584</c:v>
                </c:pt>
                <c:pt idx="611">
                  <c:v>3228.6379783363054</c:v>
                </c:pt>
                <c:pt idx="612">
                  <c:v>3234.8271687242373</c:v>
                </c:pt>
                <c:pt idx="613">
                  <c:v>3241.0282235819295</c:v>
                </c:pt>
                <c:pt idx="614">
                  <c:v>3247.2411656531694</c:v>
                </c:pt>
                <c:pt idx="615">
                  <c:v>3253.4660177253468</c:v>
                </c:pt>
                <c:pt idx="616">
                  <c:v>3259.7028026295334</c:v>
                </c:pt>
                <c:pt idx="617">
                  <c:v>3265.9515432405647</c:v>
                </c:pt>
                <c:pt idx="618">
                  <c:v>3272.2122624771314</c:v>
                </c:pt>
                <c:pt idx="619">
                  <c:v>3278.4849833018529</c:v>
                </c:pt>
                <c:pt idx="620">
                  <c:v>3284.7697287213709</c:v>
                </c:pt>
                <c:pt idx="621">
                  <c:v>3291.0665217864303</c:v>
                </c:pt>
                <c:pt idx="622">
                  <c:v>3297.3753855919608</c:v>
                </c:pt>
                <c:pt idx="623">
                  <c:v>3303.6963432771659</c:v>
                </c:pt>
                <c:pt idx="624">
                  <c:v>3310.0294180256069</c:v>
                </c:pt>
                <c:pt idx="625">
                  <c:v>3316.3746330652848</c:v>
                </c:pt>
                <c:pt idx="626">
                  <c:v>3322.7320116687315</c:v>
                </c:pt>
                <c:pt idx="627">
                  <c:v>3329.1015771530888</c:v>
                </c:pt>
                <c:pt idx="628">
                  <c:v>3335.4833528801964</c:v>
                </c:pt>
                <c:pt idx="629">
                  <c:v>3341.877362256681</c:v>
                </c:pt>
                <c:pt idx="630">
                  <c:v>3348.2836287340338</c:v>
                </c:pt>
                <c:pt idx="631">
                  <c:v>3354.7021758087076</c:v>
                </c:pt>
                <c:pt idx="632">
                  <c:v>3361.1330270221938</c:v>
                </c:pt>
                <c:pt idx="633">
                  <c:v>3367.576205961112</c:v>
                </c:pt>
                <c:pt idx="634">
                  <c:v>3374.0317362572973</c:v>
                </c:pt>
                <c:pt idx="635">
                  <c:v>3380.4996415878863</c:v>
                </c:pt>
                <c:pt idx="636">
                  <c:v>3386.9799456754022</c:v>
                </c:pt>
                <c:pt idx="637">
                  <c:v>3393.4726722878472</c:v>
                </c:pt>
                <c:pt idx="638">
                  <c:v>3399.9778452387818</c:v>
                </c:pt>
                <c:pt idx="639">
                  <c:v>3406.4954883874198</c:v>
                </c:pt>
                <c:pt idx="640">
                  <c:v>3413.0256256387097</c:v>
                </c:pt>
                <c:pt idx="641">
                  <c:v>3419.5682809434252</c:v>
                </c:pt>
                <c:pt idx="642">
                  <c:v>3426.1234782982551</c:v>
                </c:pt>
                <c:pt idx="643">
                  <c:v>3432.6912417458875</c:v>
                </c:pt>
                <c:pt idx="644">
                  <c:v>3439.2715953750981</c:v>
                </c:pt>
                <c:pt idx="645">
                  <c:v>3445.8645633208421</c:v>
                </c:pt>
                <c:pt idx="646">
                  <c:v>3452.4701697643404</c:v>
                </c:pt>
                <c:pt idx="647">
                  <c:v>3459.0884389331673</c:v>
                </c:pt>
                <c:pt idx="648">
                  <c:v>3465.7193951013428</c:v>
                </c:pt>
                <c:pt idx="649">
                  <c:v>3472.3630625894157</c:v>
                </c:pt>
                <c:pt idx="650">
                  <c:v>3479.0194657645602</c:v>
                </c:pt>
                <c:pt idx="651">
                  <c:v>3485.6886290406587</c:v>
                </c:pt>
                <c:pt idx="652">
                  <c:v>3492.3705768783971</c:v>
                </c:pt>
                <c:pt idx="653">
                  <c:v>3499.0653337853491</c:v>
                </c:pt>
                <c:pt idx="654">
                  <c:v>3505.7729243160684</c:v>
                </c:pt>
                <c:pt idx="655">
                  <c:v>3512.4933730721823</c:v>
                </c:pt>
                <c:pt idx="656">
                  <c:v>3519.2267047024748</c:v>
                </c:pt>
                <c:pt idx="657">
                  <c:v>3525.9729439029816</c:v>
                </c:pt>
                <c:pt idx="658">
                  <c:v>3532.7321154170822</c:v>
                </c:pt>
                <c:pt idx="659">
                  <c:v>3539.5042440355855</c:v>
                </c:pt>
                <c:pt idx="660">
                  <c:v>3546.2893545968259</c:v>
                </c:pt>
                <c:pt idx="661">
                  <c:v>3553.0874719867506</c:v>
                </c:pt>
                <c:pt idx="662">
                  <c:v>3559.8986211390111</c:v>
                </c:pt>
                <c:pt idx="663">
                  <c:v>3566.7228270350588</c:v>
                </c:pt>
                <c:pt idx="664">
                  <c:v>3573.5601147042316</c:v>
                </c:pt>
                <c:pt idx="665">
                  <c:v>3580.4105092238497</c:v>
                </c:pt>
                <c:pt idx="666">
                  <c:v>3587.2740357193043</c:v>
                </c:pt>
                <c:pt idx="667">
                  <c:v>3594.1507193641496</c:v>
                </c:pt>
                <c:pt idx="668">
                  <c:v>3601.0405853801999</c:v>
                </c:pt>
                <c:pt idx="669">
                  <c:v>3607.9436590376176</c:v>
                </c:pt>
                <c:pt idx="670">
                  <c:v>3614.8599656550045</c:v>
                </c:pt>
                <c:pt idx="671">
                  <c:v>3621.7895305995025</c:v>
                </c:pt>
                <c:pt idx="672">
                  <c:v>3628.7323792868769</c:v>
                </c:pt>
                <c:pt idx="673">
                  <c:v>3635.688537181617</c:v>
                </c:pt>
                <c:pt idx="674">
                  <c:v>3642.6580297970254</c:v>
                </c:pt>
                <c:pt idx="675">
                  <c:v>3649.6408826953111</c:v>
                </c:pt>
                <c:pt idx="676">
                  <c:v>3656.6371214876899</c:v>
                </c:pt>
                <c:pt idx="677">
                  <c:v>3663.6467718344693</c:v>
                </c:pt>
                <c:pt idx="678">
                  <c:v>3670.6698594451464</c:v>
                </c:pt>
                <c:pt idx="679">
                  <c:v>3677.7064100785055</c:v>
                </c:pt>
                <c:pt idx="680">
                  <c:v>3684.7564495427077</c:v>
                </c:pt>
                <c:pt idx="681">
                  <c:v>3691.820003695389</c:v>
                </c:pt>
                <c:pt idx="682">
                  <c:v>3698.8970984437519</c:v>
                </c:pt>
                <c:pt idx="683">
                  <c:v>3705.9877597446616</c:v>
                </c:pt>
                <c:pt idx="684">
                  <c:v>3713.0920136047453</c:v>
                </c:pt>
                <c:pt idx="685">
                  <c:v>3720.2098860804795</c:v>
                </c:pt>
                <c:pt idx="686">
                  <c:v>3727.3414032782935</c:v>
                </c:pt>
                <c:pt idx="687">
                  <c:v>3734.48659135466</c:v>
                </c:pt>
                <c:pt idx="688">
                  <c:v>3741.645476516193</c:v>
                </c:pt>
                <c:pt idx="689">
                  <c:v>3748.8180850197446</c:v>
                </c:pt>
                <c:pt idx="690">
                  <c:v>3756.0044431725</c:v>
                </c:pt>
                <c:pt idx="691">
                  <c:v>3763.2045773320724</c:v>
                </c:pt>
                <c:pt idx="692">
                  <c:v>3770.4185139066058</c:v>
                </c:pt>
                <c:pt idx="693">
                  <c:v>3777.6462793548631</c:v>
                </c:pt>
                <c:pt idx="694">
                  <c:v>3784.8879001863324</c:v>
                </c:pt>
                <c:pt idx="695">
                  <c:v>3792.1434029613156</c:v>
                </c:pt>
                <c:pt idx="696">
                  <c:v>3799.4128142910304</c:v>
                </c:pt>
                <c:pt idx="697">
                  <c:v>3806.696160837711</c:v>
                </c:pt>
                <c:pt idx="698">
                  <c:v>3813.9934693146984</c:v>
                </c:pt>
                <c:pt idx="699">
                  <c:v>3821.3047664865417</c:v>
                </c:pt>
                <c:pt idx="700">
                  <c:v>3828.6300791691015</c:v>
                </c:pt>
                <c:pt idx="701">
                  <c:v>3835.969434229637</c:v>
                </c:pt>
                <c:pt idx="702">
                  <c:v>3843.3228585869169</c:v>
                </c:pt>
                <c:pt idx="703">
                  <c:v>3850.6903792113089</c:v>
                </c:pt>
                <c:pt idx="704">
                  <c:v>3858.0720231248815</c:v>
                </c:pt>
                <c:pt idx="705">
                  <c:v>3865.4678174015075</c:v>
                </c:pt>
                <c:pt idx="706">
                  <c:v>3872.8777891669552</c:v>
                </c:pt>
                <c:pt idx="707">
                  <c:v>3880.3019655989929</c:v>
                </c:pt>
                <c:pt idx="708">
                  <c:v>3887.740373927491</c:v>
                </c:pt>
                <c:pt idx="709">
                  <c:v>3895.1930414345138</c:v>
                </c:pt>
                <c:pt idx="710">
                  <c:v>3902.6599954544286</c:v>
                </c:pt>
                <c:pt idx="711">
                  <c:v>3910.1412633739997</c:v>
                </c:pt>
                <c:pt idx="712">
                  <c:v>3917.636872632489</c:v>
                </c:pt>
                <c:pt idx="713">
                  <c:v>3925.1468507217642</c:v>
                </c:pt>
                <c:pt idx="714">
                  <c:v>3932.6712251863878</c:v>
                </c:pt>
                <c:pt idx="715">
                  <c:v>3940.2100236237293</c:v>
                </c:pt>
                <c:pt idx="716">
                  <c:v>3947.7632736840578</c:v>
                </c:pt>
                <c:pt idx="717">
                  <c:v>3955.3310030706475</c:v>
                </c:pt>
                <c:pt idx="718">
                  <c:v>3962.9132395398819</c:v>
                </c:pt>
                <c:pt idx="719">
                  <c:v>3970.5100109013492</c:v>
                </c:pt>
                <c:pt idx="720">
                  <c:v>3978.1213450179484</c:v>
                </c:pt>
                <c:pt idx="721">
                  <c:v>3985.7472698059923</c:v>
                </c:pt>
                <c:pt idx="722">
                  <c:v>3993.3878132353052</c:v>
                </c:pt>
                <c:pt idx="723">
                  <c:v>4001.0430033293333</c:v>
                </c:pt>
                <c:pt idx="724">
                  <c:v>4008.7128681652393</c:v>
                </c:pt>
                <c:pt idx="725">
                  <c:v>4016.3974358740074</c:v>
                </c:pt>
                <c:pt idx="726">
                  <c:v>4024.0967346405537</c:v>
                </c:pt>
                <c:pt idx="727">
                  <c:v>4031.8107927038182</c:v>
                </c:pt>
                <c:pt idx="728">
                  <c:v>4039.5396383568764</c:v>
                </c:pt>
                <c:pt idx="729">
                  <c:v>4047.2832999470406</c:v>
                </c:pt>
                <c:pt idx="730">
                  <c:v>4055.0418058759642</c:v>
                </c:pt>
                <c:pt idx="731">
                  <c:v>4062.8151845997459</c:v>
                </c:pt>
                <c:pt idx="732">
                  <c:v>4070.6034646290314</c:v>
                </c:pt>
                <c:pt idx="733">
                  <c:v>4078.4066745291225</c:v>
                </c:pt>
                <c:pt idx="734">
                  <c:v>4086.2248429200808</c:v>
                </c:pt>
                <c:pt idx="735">
                  <c:v>4094.0579984768278</c:v>
                </c:pt>
                <c:pt idx="736">
                  <c:v>4101.9061699292588</c:v>
                </c:pt>
                <c:pt idx="737">
                  <c:v>4109.7693860623376</c:v>
                </c:pt>
                <c:pt idx="738">
                  <c:v>4117.6476757162127</c:v>
                </c:pt>
                <c:pt idx="739">
                  <c:v>4125.5410677863165</c:v>
                </c:pt>
                <c:pt idx="740">
                  <c:v>4133.4495912234725</c:v>
                </c:pt>
                <c:pt idx="741">
                  <c:v>4141.3732750340005</c:v>
                </c:pt>
                <c:pt idx="742">
                  <c:v>4149.3121482798297</c:v>
                </c:pt>
                <c:pt idx="743">
                  <c:v>4157.266240078593</c:v>
                </c:pt>
                <c:pt idx="744">
                  <c:v>4165.2355796037482</c:v>
                </c:pt>
                <c:pt idx="745">
                  <c:v>4173.2201960846705</c:v>
                </c:pt>
                <c:pt idx="746">
                  <c:v>4181.2201188067711</c:v>
                </c:pt>
                <c:pt idx="747">
                  <c:v>4189.2353771116013</c:v>
                </c:pt>
                <c:pt idx="748">
                  <c:v>4197.266000396954</c:v>
                </c:pt>
                <c:pt idx="749">
                  <c:v>4205.3120181169834</c:v>
                </c:pt>
                <c:pt idx="750">
                  <c:v>4213.3734597823022</c:v>
                </c:pt>
                <c:pt idx="751">
                  <c:v>4221.4503549600904</c:v>
                </c:pt>
                <c:pt idx="752">
                  <c:v>4229.5427332742165</c:v>
                </c:pt>
                <c:pt idx="753">
                  <c:v>4237.6506244053317</c:v>
                </c:pt>
                <c:pt idx="754">
                  <c:v>4245.7740580909804</c:v>
                </c:pt>
                <c:pt idx="755">
                  <c:v>4253.9130641257207</c:v>
                </c:pt>
                <c:pt idx="756">
                  <c:v>4262.0676723612196</c:v>
                </c:pt>
                <c:pt idx="757">
                  <c:v>4270.2379127063714</c:v>
                </c:pt>
                <c:pt idx="758">
                  <c:v>4278.4238151274067</c:v>
                </c:pt>
                <c:pt idx="759">
                  <c:v>4286.6254096479943</c:v>
                </c:pt>
                <c:pt idx="760">
                  <c:v>4294.842726349365</c:v>
                </c:pt>
                <c:pt idx="761">
                  <c:v>4303.0757953704069</c:v>
                </c:pt>
                <c:pt idx="762">
                  <c:v>4311.3246469077885</c:v>
                </c:pt>
                <c:pt idx="763">
                  <c:v>4319.5893112160638</c:v>
                </c:pt>
                <c:pt idx="764">
                  <c:v>4327.8698186077809</c:v>
                </c:pt>
                <c:pt idx="765">
                  <c:v>4336.1661994535989</c:v>
                </c:pt>
                <c:pt idx="766">
                  <c:v>4344.4784841823957</c:v>
                </c:pt>
                <c:pt idx="767">
                  <c:v>4352.8067032813769</c:v>
                </c:pt>
                <c:pt idx="768">
                  <c:v>4361.1508872961986</c:v>
                </c:pt>
                <c:pt idx="769">
                  <c:v>4369.5110668310635</c:v>
                </c:pt>
                <c:pt idx="770">
                  <c:v>4377.8872725488482</c:v>
                </c:pt>
                <c:pt idx="771">
                  <c:v>4386.279535171203</c:v>
                </c:pt>
                <c:pt idx="772">
                  <c:v>4394.6878854786773</c:v>
                </c:pt>
                <c:pt idx="773">
                  <c:v>4403.1123543108197</c:v>
                </c:pt>
                <c:pt idx="774">
                  <c:v>4411.5529725663027</c:v>
                </c:pt>
                <c:pt idx="775">
                  <c:v>4420.0097712030238</c:v>
                </c:pt>
                <c:pt idx="776">
                  <c:v>4428.4827812382309</c:v>
                </c:pt>
                <c:pt idx="777">
                  <c:v>4436.9720337486306</c:v>
                </c:pt>
                <c:pt idx="778">
                  <c:v>4445.4775598705</c:v>
                </c:pt>
                <c:pt idx="779">
                  <c:v>4453.999390799806</c:v>
                </c:pt>
                <c:pt idx="780">
                  <c:v>4462.537557792316</c:v>
                </c:pt>
                <c:pt idx="781">
                  <c:v>4471.0920921637126</c:v>
                </c:pt>
                <c:pt idx="782">
                  <c:v>4479.6630252897121</c:v>
                </c:pt>
                <c:pt idx="783">
                  <c:v>4488.2503886061731</c:v>
                </c:pt>
                <c:pt idx="784">
                  <c:v>4496.8542136092192</c:v>
                </c:pt>
                <c:pt idx="785">
                  <c:v>4505.4745318553496</c:v>
                </c:pt>
                <c:pt idx="786">
                  <c:v>4514.1113749615579</c:v>
                </c:pt>
                <c:pt idx="787">
                  <c:v>4522.7647746054427</c:v>
                </c:pt>
                <c:pt idx="788">
                  <c:v>4531.4347625253304</c:v>
                </c:pt>
                <c:pt idx="789">
                  <c:v>4540.1213705203882</c:v>
                </c:pt>
                <c:pt idx="790">
                  <c:v>4548.8246304507402</c:v>
                </c:pt>
                <c:pt idx="791">
                  <c:v>4557.5445742375887</c:v>
                </c:pt>
                <c:pt idx="792">
                  <c:v>4566.2812338633239</c:v>
                </c:pt>
                <c:pt idx="793">
                  <c:v>4575.0346413716452</c:v>
                </c:pt>
                <c:pt idx="794">
                  <c:v>4583.8048288676819</c:v>
                </c:pt>
                <c:pt idx="795">
                  <c:v>4592.591828518106</c:v>
                </c:pt>
                <c:pt idx="796">
                  <c:v>4601.3956725512508</c:v>
                </c:pt>
                <c:pt idx="797">
                  <c:v>4610.2163932572312</c:v>
                </c:pt>
                <c:pt idx="798">
                  <c:v>4619.0540229880626</c:v>
                </c:pt>
                <c:pt idx="799">
                  <c:v>4627.908594157776</c:v>
                </c:pt>
                <c:pt idx="800">
                  <c:v>4636.780139242539</c:v>
                </c:pt>
                <c:pt idx="801">
                  <c:v>4645.6686907807771</c:v>
                </c:pt>
                <c:pt idx="802">
                  <c:v>4654.5742813732895</c:v>
                </c:pt>
                <c:pt idx="803">
                  <c:v>4663.496943683369</c:v>
                </c:pt>
                <c:pt idx="804">
                  <c:v>4672.4367104369239</c:v>
                </c:pt>
                <c:pt idx="805">
                  <c:v>4681.3936144225981</c:v>
                </c:pt>
                <c:pt idx="806">
                  <c:v>4690.3676884918877</c:v>
                </c:pt>
                <c:pt idx="807">
                  <c:v>4699.3589655592668</c:v>
                </c:pt>
                <c:pt idx="808">
                  <c:v>4708.367478602303</c:v>
                </c:pt>
                <c:pt idx="809">
                  <c:v>4717.3932606617809</c:v>
                </c:pt>
                <c:pt idx="810">
                  <c:v>4726.4363448418253</c:v>
                </c:pt>
                <c:pt idx="811">
                  <c:v>4735.4967643100172</c:v>
                </c:pt>
                <c:pt idx="812">
                  <c:v>4744.5745522975258</c:v>
                </c:pt>
                <c:pt idx="813">
                  <c:v>4753.6697420992141</c:v>
                </c:pt>
                <c:pt idx="814">
                  <c:v>4762.7823670737753</c:v>
                </c:pt>
                <c:pt idx="815">
                  <c:v>4771.9124606438509</c:v>
                </c:pt>
                <c:pt idx="816">
                  <c:v>4781.0600562961481</c:v>
                </c:pt>
                <c:pt idx="817">
                  <c:v>4790.22518758157</c:v>
                </c:pt>
                <c:pt idx="818">
                  <c:v>4799.4078881153382</c:v>
                </c:pt>
                <c:pt idx="819">
                  <c:v>4808.6081915771074</c:v>
                </c:pt>
                <c:pt idx="820">
                  <c:v>4817.8261317111019</c:v>
                </c:pt>
                <c:pt idx="821">
                  <c:v>4827.0617423262256</c:v>
                </c:pt>
                <c:pt idx="822">
                  <c:v>4836.3150572961977</c:v>
                </c:pt>
                <c:pt idx="823">
                  <c:v>4845.5861105596723</c:v>
                </c:pt>
                <c:pt idx="824">
                  <c:v>4854.87493612036</c:v>
                </c:pt>
                <c:pt idx="825">
                  <c:v>4864.1815680471545</c:v>
                </c:pt>
                <c:pt idx="826">
                  <c:v>4873.5060404742635</c:v>
                </c:pt>
                <c:pt idx="827">
                  <c:v>4882.8483876013242</c:v>
                </c:pt>
                <c:pt idx="828">
                  <c:v>4892.2086436935379</c:v>
                </c:pt>
                <c:pt idx="829">
                  <c:v>4901.5868430817864</c:v>
                </c:pt>
                <c:pt idx="830">
                  <c:v>4910.9830201627628</c:v>
                </c:pt>
                <c:pt idx="831">
                  <c:v>4920.3972093991033</c:v>
                </c:pt>
                <c:pt idx="832">
                  <c:v>4929.8294453194994</c:v>
                </c:pt>
                <c:pt idx="833">
                  <c:v>4939.2797625188414</c:v>
                </c:pt>
                <c:pt idx="834">
                  <c:v>4948.7481956583297</c:v>
                </c:pt>
                <c:pt idx="835">
                  <c:v>4958.2347794656125</c:v>
                </c:pt>
                <c:pt idx="836">
                  <c:v>4967.7395487349113</c:v>
                </c:pt>
                <c:pt idx="837">
                  <c:v>4977.2625383271434</c:v>
                </c:pt>
                <c:pt idx="838">
                  <c:v>4986.803783170054</c:v>
                </c:pt>
                <c:pt idx="839">
                  <c:v>4996.3633182583471</c:v>
                </c:pt>
                <c:pt idx="840">
                  <c:v>5005.9411786538067</c:v>
                </c:pt>
                <c:pt idx="841">
                  <c:v>5015.537399485429</c:v>
                </c:pt>
                <c:pt idx="842">
                  <c:v>5025.152015949554</c:v>
                </c:pt>
                <c:pt idx="843">
                  <c:v>5034.7850633099879</c:v>
                </c:pt>
                <c:pt idx="844">
                  <c:v>5044.4365768981415</c:v>
                </c:pt>
                <c:pt idx="845">
                  <c:v>5054.1065921131521</c:v>
                </c:pt>
                <c:pt idx="846">
                  <c:v>5063.7951444220143</c:v>
                </c:pt>
                <c:pt idx="847">
                  <c:v>5073.5022693597166</c:v>
                </c:pt>
                <c:pt idx="848">
                  <c:v>5083.2280025293585</c:v>
                </c:pt>
                <c:pt idx="849">
                  <c:v>5092.9723796022981</c:v>
                </c:pt>
                <c:pt idx="850">
                  <c:v>5102.7354363182712</c:v>
                </c:pt>
                <c:pt idx="851">
                  <c:v>5112.517208485523</c:v>
                </c:pt>
                <c:pt idx="852">
                  <c:v>5122.3177319809447</c:v>
                </c:pt>
                <c:pt idx="853">
                  <c:v>5132.1370427502015</c:v>
                </c:pt>
                <c:pt idx="854">
                  <c:v>5141.9751768078677</c:v>
                </c:pt>
                <c:pt idx="855">
                  <c:v>5151.8321702375506</c:v>
                </c:pt>
                <c:pt idx="856">
                  <c:v>5161.7080591920321</c:v>
                </c:pt>
                <c:pt idx="857">
                  <c:v>5171.6028798934012</c:v>
                </c:pt>
                <c:pt idx="858">
                  <c:v>5181.5166686331759</c:v>
                </c:pt>
                <c:pt idx="859">
                  <c:v>5191.4494617724486</c:v>
                </c:pt>
                <c:pt idx="860">
                  <c:v>5201.4012957420136</c:v>
                </c:pt>
                <c:pt idx="861">
                  <c:v>5211.3722070425029</c:v>
                </c:pt>
                <c:pt idx="862">
                  <c:v>5221.3622322445199</c:v>
                </c:pt>
                <c:pt idx="863">
                  <c:v>5231.3714079887677</c:v>
                </c:pt>
                <c:pt idx="864">
                  <c:v>5241.3997709861915</c:v>
                </c:pt>
                <c:pt idx="865">
                  <c:v>5251.4473580181129</c:v>
                </c:pt>
                <c:pt idx="866">
                  <c:v>5261.514205936357</c:v>
                </c:pt>
                <c:pt idx="867">
                  <c:v>5271.6003516633946</c:v>
                </c:pt>
                <c:pt idx="868">
                  <c:v>5281.7058321924778</c:v>
                </c:pt>
                <c:pt idx="869">
                  <c:v>5291.8306845877705</c:v>
                </c:pt>
                <c:pt idx="870">
                  <c:v>5301.9749459844898</c:v>
                </c:pt>
                <c:pt idx="871">
                  <c:v>5312.138653589036</c:v>
                </c:pt>
                <c:pt idx="872">
                  <c:v>5322.321844679137</c:v>
                </c:pt>
                <c:pt idx="873">
                  <c:v>5332.5245566039803</c:v>
                </c:pt>
                <c:pt idx="874">
                  <c:v>5342.746826784346</c:v>
                </c:pt>
                <c:pt idx="875">
                  <c:v>5352.9886927127545</c:v>
                </c:pt>
                <c:pt idx="876">
                  <c:v>5363.2501919535953</c:v>
                </c:pt>
                <c:pt idx="877">
                  <c:v>5373.531362143267</c:v>
                </c:pt>
                <c:pt idx="878">
                  <c:v>5383.8322409903185</c:v>
                </c:pt>
                <c:pt idx="879">
                  <c:v>5394.1528662755818</c:v>
                </c:pt>
                <c:pt idx="880">
                  <c:v>5404.4932758523128</c:v>
                </c:pt>
                <c:pt idx="881">
                  <c:v>5414.8535076463368</c:v>
                </c:pt>
                <c:pt idx="882">
                  <c:v>5425.2335996561733</c:v>
                </c:pt>
                <c:pt idx="883">
                  <c:v>5435.6335899531914</c:v>
                </c:pt>
                <c:pt idx="884">
                  <c:v>5446.0535166817363</c:v>
                </c:pt>
                <c:pt idx="885">
                  <c:v>5456.4934180592754</c:v>
                </c:pt>
                <c:pt idx="886">
                  <c:v>5466.9533323765418</c:v>
                </c:pt>
                <c:pt idx="887">
                  <c:v>5477.4332979976662</c:v>
                </c:pt>
                <c:pt idx="888">
                  <c:v>5487.9333533603221</c:v>
                </c:pt>
                <c:pt idx="889">
                  <c:v>5498.4535369758714</c:v>
                </c:pt>
                <c:pt idx="890">
                  <c:v>5508.993887429494</c:v>
                </c:pt>
                <c:pt idx="891">
                  <c:v>5519.5544433803434</c:v>
                </c:pt>
                <c:pt idx="892">
                  <c:v>5530.1352435616755</c:v>
                </c:pt>
                <c:pt idx="893">
                  <c:v>5540.7363267810006</c:v>
                </c:pt>
                <c:pt idx="894">
                  <c:v>5551.3577319202195</c:v>
                </c:pt>
                <c:pt idx="895">
                  <c:v>5561.9994979357698</c:v>
                </c:pt>
                <c:pt idx="896">
                  <c:v>5572.6616638587666</c:v>
                </c:pt>
                <c:pt idx="897">
                  <c:v>5583.3442687951447</c:v>
                </c:pt>
                <c:pt idx="898">
                  <c:v>5594.0473519258057</c:v>
                </c:pt>
                <c:pt idx="899">
                  <c:v>5604.7709525067603</c:v>
                </c:pt>
                <c:pt idx="900">
                  <c:v>5615.5151098692695</c:v>
                </c:pt>
                <c:pt idx="901">
                  <c:v>5626.2798634199908</c:v>
                </c:pt>
                <c:pt idx="902">
                  <c:v>5637.0652526411268</c:v>
                </c:pt>
                <c:pt idx="903">
                  <c:v>5647.8713170905594</c:v>
                </c:pt>
                <c:pt idx="904">
                  <c:v>5658.6980964020113</c:v>
                </c:pt>
                <c:pt idx="905">
                  <c:v>5669.5456302851717</c:v>
                </c:pt>
                <c:pt idx="906">
                  <c:v>5680.4139585258572</c:v>
                </c:pt>
                <c:pt idx="907">
                  <c:v>5691.3031209861538</c:v>
                </c:pt>
                <c:pt idx="908">
                  <c:v>5702.2131576045576</c:v>
                </c:pt>
                <c:pt idx="909">
                  <c:v>5713.1441083961254</c:v>
                </c:pt>
                <c:pt idx="910">
                  <c:v>5724.0960134526285</c:v>
                </c:pt>
                <c:pt idx="911">
                  <c:v>5735.0689129426846</c:v>
                </c:pt>
                <c:pt idx="912">
                  <c:v>5746.0628471119171</c:v>
                </c:pt>
                <c:pt idx="913">
                  <c:v>5757.0778562830992</c:v>
                </c:pt>
                <c:pt idx="914">
                  <c:v>5768.1139808562984</c:v>
                </c:pt>
                <c:pt idx="915">
                  <c:v>5779.171261309034</c:v>
                </c:pt>
                <c:pt idx="916">
                  <c:v>5790.2497381964113</c:v>
                </c:pt>
                <c:pt idx="917">
                  <c:v>5801.3494521512848</c:v>
                </c:pt>
                <c:pt idx="918">
                  <c:v>5812.4704438843974</c:v>
                </c:pt>
                <c:pt idx="919">
                  <c:v>5823.6127541845335</c:v>
                </c:pt>
                <c:pt idx="920">
                  <c:v>5834.7764239186718</c:v>
                </c:pt>
                <c:pt idx="921">
                  <c:v>5845.9614940321253</c:v>
                </c:pt>
                <c:pt idx="922">
                  <c:v>5857.1680055487022</c:v>
                </c:pt>
                <c:pt idx="923">
                  <c:v>5868.3959995708528</c:v>
                </c:pt>
                <c:pt idx="924">
                  <c:v>5879.6455172798151</c:v>
                </c:pt>
                <c:pt idx="925">
                  <c:v>5890.9165999357738</c:v>
                </c:pt>
                <c:pt idx="926">
                  <c:v>5902.209288878008</c:v>
                </c:pt>
                <c:pt idx="927">
                  <c:v>5913.5236255250384</c:v>
                </c:pt>
                <c:pt idx="928">
                  <c:v>5924.8596513747907</c:v>
                </c:pt>
                <c:pt idx="929">
                  <c:v>5936.2174080047334</c:v>
                </c:pt>
                <c:pt idx="930">
                  <c:v>5947.5969370720441</c:v>
                </c:pt>
                <c:pt idx="931">
                  <c:v>5958.9982803137509</c:v>
                </c:pt>
                <c:pt idx="932">
                  <c:v>5970.4214795468915</c:v>
                </c:pt>
                <c:pt idx="933">
                  <c:v>5981.866576668669</c:v>
                </c:pt>
                <c:pt idx="934">
                  <c:v>5993.3336136565986</c:v>
                </c:pt>
                <c:pt idx="935">
                  <c:v>6004.822632568661</c:v>
                </c:pt>
                <c:pt idx="936">
                  <c:v>6016.3336755434721</c:v>
                </c:pt>
                <c:pt idx="937">
                  <c:v>6027.8667848004134</c:v>
                </c:pt>
                <c:pt idx="938">
                  <c:v>6039.4220026398107</c:v>
                </c:pt>
                <c:pt idx="939">
                  <c:v>6050.9993714430693</c:v>
                </c:pt>
                <c:pt idx="940">
                  <c:v>6062.5989336728408</c:v>
                </c:pt>
                <c:pt idx="941">
                  <c:v>6074.2207318731807</c:v>
                </c:pt>
                <c:pt idx="942">
                  <c:v>6085.864808669694</c:v>
                </c:pt>
                <c:pt idx="943">
                  <c:v>6097.5312067697005</c:v>
                </c:pt>
                <c:pt idx="944">
                  <c:v>6109.2199689623894</c:v>
                </c:pt>
                <c:pt idx="945">
                  <c:v>6120.9311381189718</c:v>
                </c:pt>
                <c:pt idx="946">
                  <c:v>6132.664757192847</c:v>
                </c:pt>
                <c:pt idx="947">
                  <c:v>6144.420869219749</c:v>
                </c:pt>
                <c:pt idx="948">
                  <c:v>6156.1995173179102</c:v>
                </c:pt>
                <c:pt idx="949">
                  <c:v>6168.0007446882246</c:v>
                </c:pt>
                <c:pt idx="950">
                  <c:v>6179.8245946143943</c:v>
                </c:pt>
                <c:pt idx="951">
                  <c:v>6191.6711104631013</c:v>
                </c:pt>
                <c:pt idx="952">
                  <c:v>6203.5403356841534</c:v>
                </c:pt>
                <c:pt idx="953">
                  <c:v>6215.4323138106547</c:v>
                </c:pt>
                <c:pt idx="954">
                  <c:v>6227.3470884591597</c:v>
                </c:pt>
                <c:pt idx="955">
                  <c:v>6239.284703329834</c:v>
                </c:pt>
                <c:pt idx="956">
                  <c:v>6251.2452022066136</c:v>
                </c:pt>
                <c:pt idx="957">
                  <c:v>6263.2286289573713</c:v>
                </c:pt>
                <c:pt idx="958">
                  <c:v>6275.235027534065</c:v>
                </c:pt>
                <c:pt idx="959">
                  <c:v>6287.2644419729195</c:v>
                </c:pt>
                <c:pt idx="960">
                  <c:v>6299.316916394564</c:v>
                </c:pt>
                <c:pt idx="961">
                  <c:v>6311.3924950042101</c:v>
                </c:pt>
                <c:pt idx="962">
                  <c:v>6323.4912220918086</c:v>
                </c:pt>
                <c:pt idx="963">
                  <c:v>6335.6131420322145</c:v>
                </c:pt>
                <c:pt idx="964">
                  <c:v>6347.7582992853449</c:v>
                </c:pt>
                <c:pt idx="965">
                  <c:v>6359.926738396347</c:v>
                </c:pt>
                <c:pt idx="966">
                  <c:v>6372.1185039957581</c:v>
                </c:pt>
                <c:pt idx="967">
                  <c:v>6384.3336407996758</c:v>
                </c:pt>
                <c:pt idx="968">
                  <c:v>6396.572193609908</c:v>
                </c:pt>
                <c:pt idx="969">
                  <c:v>6408.8342073141521</c:v>
                </c:pt>
                <c:pt idx="970">
                  <c:v>6421.1197268861551</c:v>
                </c:pt>
                <c:pt idx="971">
                  <c:v>6433.4287973858718</c:v>
                </c:pt>
                <c:pt idx="972">
                  <c:v>6445.7614639596404</c:v>
                </c:pt>
                <c:pt idx="973">
                  <c:v>6458.1177718403405</c:v>
                </c:pt>
                <c:pt idx="974">
                  <c:v>6470.4977663475593</c:v>
                </c:pt>
                <c:pt idx="975">
                  <c:v>6482.9014928877687</c:v>
                </c:pt>
                <c:pt idx="976">
                  <c:v>6495.328996954474</c:v>
                </c:pt>
                <c:pt idx="977">
                  <c:v>6507.7803241283937</c:v>
                </c:pt>
                <c:pt idx="978">
                  <c:v>6520.2555200776233</c:v>
                </c:pt>
                <c:pt idx="979">
                  <c:v>6532.7546305578026</c:v>
                </c:pt>
                <c:pt idx="980">
                  <c:v>6545.2777014122812</c:v>
                </c:pt>
                <c:pt idx="981">
                  <c:v>6557.8247785722942</c:v>
                </c:pt>
                <c:pt idx="982">
                  <c:v>6570.3959080571158</c:v>
                </c:pt>
                <c:pt idx="983">
                  <c:v>6582.9911359742491</c:v>
                </c:pt>
                <c:pt idx="984">
                  <c:v>6595.6105085195768</c:v>
                </c:pt>
                <c:pt idx="985">
                  <c:v>6608.2540719775352</c:v>
                </c:pt>
                <c:pt idx="986">
                  <c:v>6620.9218727212956</c:v>
                </c:pt>
                <c:pt idx="987">
                  <c:v>6633.613957212915</c:v>
                </c:pt>
                <c:pt idx="988">
                  <c:v>6646.3303720035237</c:v>
                </c:pt>
                <c:pt idx="989">
                  <c:v>6659.0711637334853</c:v>
                </c:pt>
                <c:pt idx="990">
                  <c:v>6671.8363791325719</c:v>
                </c:pt>
                <c:pt idx="991">
                  <c:v>6684.6260650201366</c:v>
                </c:pt>
                <c:pt idx="992">
                  <c:v>6697.4402683052813</c:v>
                </c:pt>
                <c:pt idx="993">
                  <c:v>6710.2790359870351</c:v>
                </c:pt>
                <c:pt idx="994">
                  <c:v>6723.1424151545189</c:v>
                </c:pt>
                <c:pt idx="995">
                  <c:v>6736.03045298712</c:v>
                </c:pt>
                <c:pt idx="996">
                  <c:v>6748.9431967546734</c:v>
                </c:pt>
                <c:pt idx="997">
                  <c:v>6761.880693817624</c:v>
                </c:pt>
                <c:pt idx="998">
                  <c:v>6774.8429916272053</c:v>
                </c:pt>
                <c:pt idx="999">
                  <c:v>6787.8301377256166</c:v>
                </c:pt>
                <c:pt idx="1000">
                  <c:v>6800.8421797461879</c:v>
                </c:pt>
                <c:pt idx="1001">
                  <c:v>6813.8791654135684</c:v>
                </c:pt>
                <c:pt idx="1002">
                  <c:v>6826.9411425438884</c:v>
                </c:pt>
                <c:pt idx="1003">
                  <c:v>6840.0281590449404</c:v>
                </c:pt>
                <c:pt idx="1004">
                  <c:v>6853.1402629163576</c:v>
                </c:pt>
                <c:pt idx="1005">
                  <c:v>6866.2775022497854</c:v>
                </c:pt>
                <c:pt idx="1006">
                  <c:v>6879.439925229055</c:v>
                </c:pt>
                <c:pt idx="1007">
                  <c:v>6892.6275801303709</c:v>
                </c:pt>
                <c:pt idx="1008">
                  <c:v>6905.8405153224794</c:v>
                </c:pt>
                <c:pt idx="1009">
                  <c:v>6919.078779266848</c:v>
                </c:pt>
                <c:pt idx="1010">
                  <c:v>6932.3424205178417</c:v>
                </c:pt>
                <c:pt idx="1011">
                  <c:v>6945.6314877229024</c:v>
                </c:pt>
                <c:pt idx="1012">
                  <c:v>6958.9460296227307</c:v>
                </c:pt>
                <c:pt idx="1013">
                  <c:v>6972.2860950514569</c:v>
                </c:pt>
                <c:pt idx="1014">
                  <c:v>6985.6517329368307</c:v>
                </c:pt>
                <c:pt idx="1015">
                  <c:v>6999.0429923003894</c:v>
                </c:pt>
                <c:pt idx="1016">
                  <c:v>7012.4599222576435</c:v>
                </c:pt>
                <c:pt idx="1017">
                  <c:v>7025.9025720182599</c:v>
                </c:pt>
                <c:pt idx="1018">
                  <c:v>7039.3709908862356</c:v>
                </c:pt>
                <c:pt idx="1019">
                  <c:v>7052.8652282600797</c:v>
                </c:pt>
                <c:pt idx="1020">
                  <c:v>7066.3853336330039</c:v>
                </c:pt>
                <c:pt idx="1021">
                  <c:v>7079.9313565930888</c:v>
                </c:pt>
                <c:pt idx="1022">
                  <c:v>7093.5033468234797</c:v>
                </c:pt>
                <c:pt idx="1023">
                  <c:v>7107.1013541025577</c:v>
                </c:pt>
                <c:pt idx="1024">
                  <c:v>7120.7254283041293</c:v>
                </c:pt>
                <c:pt idx="1025">
                  <c:v>7134.3756193976114</c:v>
                </c:pt>
                <c:pt idx="1026">
                  <c:v>7148.0519774482054</c:v>
                </c:pt>
                <c:pt idx="1027">
                  <c:v>7161.7545526170879</c:v>
                </c:pt>
                <c:pt idx="1028">
                  <c:v>7175.4833951615938</c:v>
                </c:pt>
                <c:pt idx="1029">
                  <c:v>7189.2385554353959</c:v>
                </c:pt>
                <c:pt idx="1030">
                  <c:v>7203.0200838886994</c:v>
                </c:pt>
                <c:pt idx="1031">
                  <c:v>7216.8280310684131</c:v>
                </c:pt>
                <c:pt idx="1032">
                  <c:v>7230.6624476183488</c:v>
                </c:pt>
                <c:pt idx="1033">
                  <c:v>7244.5233842794005</c:v>
                </c:pt>
                <c:pt idx="1034">
                  <c:v>7258.4108918897255</c:v>
                </c:pt>
                <c:pt idx="1035">
                  <c:v>7272.3250213849433</c:v>
                </c:pt>
                <c:pt idx="1036">
                  <c:v>7286.2658237983096</c:v>
                </c:pt>
                <c:pt idx="1037">
                  <c:v>7300.2333502609108</c:v>
                </c:pt>
                <c:pt idx="1038">
                  <c:v>7314.2276520018513</c:v>
                </c:pt>
                <c:pt idx="1039">
                  <c:v>7328.2487803484382</c:v>
                </c:pt>
                <c:pt idx="1040">
                  <c:v>7342.2967867263706</c:v>
                </c:pt>
                <c:pt idx="1041">
                  <c:v>7356.3717226599347</c:v>
                </c:pt>
                <c:pt idx="1042">
                  <c:v>7370.4736397721781</c:v>
                </c:pt>
                <c:pt idx="1043">
                  <c:v>7384.6025897851168</c:v>
                </c:pt>
                <c:pt idx="1044">
                  <c:v>7398.7586245199082</c:v>
                </c:pt>
                <c:pt idx="1045">
                  <c:v>7412.941795897058</c:v>
                </c:pt>
                <c:pt idx="1046">
                  <c:v>7427.1521559365892</c:v>
                </c:pt>
                <c:pt idx="1047">
                  <c:v>7441.3897567582571</c:v>
                </c:pt>
                <c:pt idx="1048">
                  <c:v>7455.6546505817278</c:v>
                </c:pt>
                <c:pt idx="1049">
                  <c:v>7469.9468897267616</c:v>
                </c:pt>
                <c:pt idx="1050">
                  <c:v>7484.2665266134227</c:v>
                </c:pt>
                <c:pt idx="1051">
                  <c:v>7498.6136137622634</c:v>
                </c:pt>
                <c:pt idx="1052">
                  <c:v>7512.9882037945054</c:v>
                </c:pt>
                <c:pt idx="1053">
                  <c:v>7527.3903494322558</c:v>
                </c:pt>
                <c:pt idx="1054">
                  <c:v>7541.8201034986823</c:v>
                </c:pt>
                <c:pt idx="1055">
                  <c:v>7556.2775189182175</c:v>
                </c:pt>
                <c:pt idx="1056">
                  <c:v>7570.7626487167381</c:v>
                </c:pt>
                <c:pt idx="1057">
                  <c:v>7585.2755460217795</c:v>
                </c:pt>
                <c:pt idx="1058">
                  <c:v>7599.816264062717</c:v>
                </c:pt>
                <c:pt idx="1059">
                  <c:v>7614.3848561709674</c:v>
                </c:pt>
                <c:pt idx="1060">
                  <c:v>7628.9813757801803</c:v>
                </c:pt>
                <c:pt idx="1061">
                  <c:v>7643.6058764264317</c:v>
                </c:pt>
                <c:pt idx="1062">
                  <c:v>7658.2584117484303</c:v>
                </c:pt>
                <c:pt idx="1063">
                  <c:v>7672.9390354877105</c:v>
                </c:pt>
                <c:pt idx="1064">
                  <c:v>7687.6478014888144</c:v>
                </c:pt>
                <c:pt idx="1065">
                  <c:v>7702.384763699516</c:v>
                </c:pt>
                <c:pt idx="1066">
                  <c:v>7717.1499761710056</c:v>
                </c:pt>
                <c:pt idx="1067">
                  <c:v>7731.9434930580728</c:v>
                </c:pt>
                <c:pt idx="1068">
                  <c:v>7746.7653686193362</c:v>
                </c:pt>
                <c:pt idx="1069">
                  <c:v>7761.6156572174204</c:v>
                </c:pt>
                <c:pt idx="1070">
                  <c:v>7776.4944133191584</c:v>
                </c:pt>
                <c:pt idx="1071">
                  <c:v>7791.4016914957974</c:v>
                </c:pt>
                <c:pt idx="1072">
                  <c:v>7806.3375464232004</c:v>
                </c:pt>
                <c:pt idx="1073">
                  <c:v>7821.3020328820257</c:v>
                </c:pt>
                <c:pt idx="1074">
                  <c:v>7836.2952057579696</c:v>
                </c:pt>
                <c:pt idx="1075">
                  <c:v>7851.3171200419192</c:v>
                </c:pt>
                <c:pt idx="1076">
                  <c:v>7866.3678308301905</c:v>
                </c:pt>
                <c:pt idx="1077">
                  <c:v>7881.4473933247173</c:v>
                </c:pt>
                <c:pt idx="1078">
                  <c:v>7896.555862833241</c:v>
                </c:pt>
                <c:pt idx="1079">
                  <c:v>7911.6932947695395</c:v>
                </c:pt>
                <c:pt idx="1080">
                  <c:v>7926.8597446536132</c:v>
                </c:pt>
                <c:pt idx="1081">
                  <c:v>7942.0552681118934</c:v>
                </c:pt>
                <c:pt idx="1082">
                  <c:v>7957.2799208774377</c:v>
                </c:pt>
                <c:pt idx="1083">
                  <c:v>7972.533758790154</c:v>
                </c:pt>
                <c:pt idx="1084">
                  <c:v>7987.8168377969869</c:v>
                </c:pt>
                <c:pt idx="1085">
                  <c:v>8003.1292139521265</c:v>
                </c:pt>
                <c:pt idx="1086">
                  <c:v>8018.4709434172228</c:v>
                </c:pt>
                <c:pt idx="1087">
                  <c:v>8033.842082461586</c:v>
                </c:pt>
                <c:pt idx="1088">
                  <c:v>8049.2426874623834</c:v>
                </c:pt>
                <c:pt idx="1089">
                  <c:v>8064.6728149048686</c:v>
                </c:pt>
                <c:pt idx="1090">
                  <c:v>8080.1325213825667</c:v>
                </c:pt>
                <c:pt idx="1091">
                  <c:v>8095.6218635974919</c:v>
                </c:pt>
                <c:pt idx="1092">
                  <c:v>8111.1408983603615</c:v>
                </c:pt>
                <c:pt idx="1093">
                  <c:v>8126.6896825907806</c:v>
                </c:pt>
                <c:pt idx="1094">
                  <c:v>8142.2682733174852</c:v>
                </c:pt>
                <c:pt idx="1095">
                  <c:v>8157.8767276785293</c:v>
                </c:pt>
                <c:pt idx="1096">
                  <c:v>8173.515102921483</c:v>
                </c:pt>
                <c:pt idx="1097">
                  <c:v>8189.1834564036808</c:v>
                </c:pt>
                <c:pt idx="1098">
                  <c:v>8204.8818455923974</c:v>
                </c:pt>
                <c:pt idx="1099">
                  <c:v>8220.6103280650677</c:v>
                </c:pt>
                <c:pt idx="1100">
                  <c:v>8236.3689615095063</c:v>
                </c:pt>
                <c:pt idx="1101">
                  <c:v>8252.1578037241106</c:v>
                </c:pt>
                <c:pt idx="1102">
                  <c:v>8267.9769126180836</c:v>
                </c:pt>
                <c:pt idx="1103">
                  <c:v>8283.8263462116229</c:v>
                </c:pt>
                <c:pt idx="1104">
                  <c:v>8299.7061626361592</c:v>
                </c:pt>
                <c:pt idx="1105">
                  <c:v>8315.61642013456</c:v>
                </c:pt>
                <c:pt idx="1106">
                  <c:v>8331.5571770613387</c:v>
                </c:pt>
                <c:pt idx="1107">
                  <c:v>8347.5284918828784</c:v>
                </c:pt>
                <c:pt idx="1108">
                  <c:v>8363.5304231776245</c:v>
                </c:pt>
                <c:pt idx="1109">
                  <c:v>8379.5630296363342</c:v>
                </c:pt>
                <c:pt idx="1110">
                  <c:v>8395.6263700622658</c:v>
                </c:pt>
                <c:pt idx="1111">
                  <c:v>8411.7205033713908</c:v>
                </c:pt>
                <c:pt idx="1112">
                  <c:v>8427.8454885926421</c:v>
                </c:pt>
                <c:pt idx="1113">
                  <c:v>8444.0013848680937</c:v>
                </c:pt>
                <c:pt idx="1114">
                  <c:v>8460.1882514531899</c:v>
                </c:pt>
                <c:pt idx="1115">
                  <c:v>8476.4061477169798</c:v>
                </c:pt>
                <c:pt idx="1116">
                  <c:v>8492.6551331423143</c:v>
                </c:pt>
                <c:pt idx="1117">
                  <c:v>8508.9352673260619</c:v>
                </c:pt>
                <c:pt idx="1118">
                  <c:v>8525.2466099793528</c:v>
                </c:pt>
                <c:pt idx="1119">
                  <c:v>8541.5892209277736</c:v>
                </c:pt>
                <c:pt idx="1120">
                  <c:v>8557.9631601115871</c:v>
                </c:pt>
                <c:pt idx="1121">
                  <c:v>8574.3684875859708</c:v>
                </c:pt>
                <c:pt idx="1122">
                  <c:v>8590.8052635212207</c:v>
                </c:pt>
                <c:pt idx="1123">
                  <c:v>8607.2735482029821</c:v>
                </c:pt>
                <c:pt idx="1124">
                  <c:v>8623.7734020324569</c:v>
                </c:pt>
                <c:pt idx="1125">
                  <c:v>8640.3048855266406</c:v>
                </c:pt>
                <c:pt idx="1126">
                  <c:v>8656.8680593185418</c:v>
                </c:pt>
                <c:pt idx="1127">
                  <c:v>8673.462984157386</c:v>
                </c:pt>
                <c:pt idx="1128">
                  <c:v>8690.0897209088671</c:v>
                </c:pt>
                <c:pt idx="1129">
                  <c:v>8706.7483305553524</c:v>
                </c:pt>
                <c:pt idx="1130">
                  <c:v>8723.4388741961029</c:v>
                </c:pt>
                <c:pt idx="1131">
                  <c:v>8740.1614130475191</c:v>
                </c:pt>
                <c:pt idx="1132">
                  <c:v>8756.9160084433443</c:v>
                </c:pt>
                <c:pt idx="1133">
                  <c:v>8773.7027218348867</c:v>
                </c:pt>
                <c:pt idx="1134">
                  <c:v>8790.5216147912706</c:v>
                </c:pt>
                <c:pt idx="1135">
                  <c:v>8807.3727489996363</c:v>
                </c:pt>
                <c:pt idx="1136">
                  <c:v>8824.2561862653856</c:v>
                </c:pt>
                <c:pt idx="1137">
                  <c:v>8841.1719885123839</c:v>
                </c:pt>
                <c:pt idx="1138">
                  <c:v>8858.1202177832129</c:v>
                </c:pt>
                <c:pt idx="1139">
                  <c:v>8875.1009362393943</c:v>
                </c:pt>
                <c:pt idx="1140">
                  <c:v>8892.1142061615938</c:v>
                </c:pt>
                <c:pt idx="1141">
                  <c:v>8909.160089949879</c:v>
                </c:pt>
                <c:pt idx="1142">
                  <c:v>8926.2386501239398</c:v>
                </c:pt>
                <c:pt idx="1143">
                  <c:v>8943.349949323303</c:v>
                </c:pt>
                <c:pt idx="1144">
                  <c:v>8960.4940503075777</c:v>
                </c:pt>
                <c:pt idx="1145">
                  <c:v>8977.6710159566883</c:v>
                </c:pt>
                <c:pt idx="1146">
                  <c:v>8994.8809092710835</c:v>
                </c:pt>
                <c:pt idx="1147">
                  <c:v>9012.1237933719949</c:v>
                </c:pt>
                <c:pt idx="1148">
                  <c:v>9029.3997315016513</c:v>
                </c:pt>
                <c:pt idx="1149">
                  <c:v>9046.7087870235118</c:v>
                </c:pt>
                <c:pt idx="1150">
                  <c:v>9064.0510234225003</c:v>
                </c:pt>
                <c:pt idx="1151">
                  <c:v>9081.4265043052474</c:v>
                </c:pt>
                <c:pt idx="1152">
                  <c:v>9098.8352934003105</c:v>
                </c:pt>
                <c:pt idx="1153">
                  <c:v>9116.2774545584052</c:v>
                </c:pt>
                <c:pt idx="1154">
                  <c:v>9133.7530517526593</c:v>
                </c:pt>
                <c:pt idx="1155">
                  <c:v>9151.2621490788297</c:v>
                </c:pt>
                <c:pt idx="1156">
                  <c:v>9168.8048107555387</c:v>
                </c:pt>
                <c:pt idx="1157">
                  <c:v>9186.381101124518</c:v>
                </c:pt>
                <c:pt idx="1158">
                  <c:v>9203.9910846508428</c:v>
                </c:pt>
                <c:pt idx="1159">
                  <c:v>9221.6348259231581</c:v>
                </c:pt>
                <c:pt idx="1160">
                  <c:v>9239.3123896539255</c:v>
                </c:pt>
                <c:pt idx="1161">
                  <c:v>9257.0238406796707</c:v>
                </c:pt>
                <c:pt idx="1162">
                  <c:v>9274.7692439611837</c:v>
                </c:pt>
                <c:pt idx="1163">
                  <c:v>9292.5486645838009</c:v>
                </c:pt>
                <c:pt idx="1164">
                  <c:v>9310.3621677576284</c:v>
                </c:pt>
                <c:pt idx="1165">
                  <c:v>9328.2098188177679</c:v>
                </c:pt>
                <c:pt idx="1166">
                  <c:v>9346.0916832245621</c:v>
                </c:pt>
                <c:pt idx="1167">
                  <c:v>9364.0078265638513</c:v>
                </c:pt>
                <c:pt idx="1168">
                  <c:v>9381.9583145471988</c:v>
                </c:pt>
                <c:pt idx="1169">
                  <c:v>9399.9432130121204</c:v>
                </c:pt>
                <c:pt idx="1170">
                  <c:v>9417.9625879223604</c:v>
                </c:pt>
                <c:pt idx="1171">
                  <c:v>9436.0165053681067</c:v>
                </c:pt>
                <c:pt idx="1172">
                  <c:v>9454.1050315662287</c:v>
                </c:pt>
                <c:pt idx="1173">
                  <c:v>9472.2282328605488</c:v>
                </c:pt>
                <c:pt idx="1174">
                  <c:v>9490.3861757220566</c:v>
                </c:pt>
                <c:pt idx="1175">
                  <c:v>9508.5789267491655</c:v>
                </c:pt>
                <c:pt idx="1176">
                  <c:v>9526.8065526679602</c:v>
                </c:pt>
                <c:pt idx="1177">
                  <c:v>9545.069120332435</c:v>
                </c:pt>
                <c:pt idx="1178">
                  <c:v>9563.3666967247464</c:v>
                </c:pt>
                <c:pt idx="1179">
                  <c:v>9581.6993489554334</c:v>
                </c:pt>
                <c:pt idx="1180">
                  <c:v>9600.0671442637122</c:v>
                </c:pt>
                <c:pt idx="1181">
                  <c:v>9618.4701500176743</c:v>
                </c:pt>
                <c:pt idx="1182">
                  <c:v>9636.9084337145596</c:v>
                </c:pt>
                <c:pt idx="1183">
                  <c:v>9655.3820629809979</c:v>
                </c:pt>
                <c:pt idx="1184">
                  <c:v>9673.8911055732606</c:v>
                </c:pt>
                <c:pt idx="1185">
                  <c:v>9692.4356293774963</c:v>
                </c:pt>
                <c:pt idx="1186">
                  <c:v>9711.0157024099954</c:v>
                </c:pt>
                <c:pt idx="1187">
                  <c:v>9729.6313928174404</c:v>
                </c:pt>
                <c:pt idx="1188">
                  <c:v>9748.2827688771285</c:v>
                </c:pt>
                <c:pt idx="1189">
                  <c:v>9766.9698989972621</c:v>
                </c:pt>
                <c:pt idx="1190">
                  <c:v>9785.6928517171764</c:v>
                </c:pt>
                <c:pt idx="1191">
                  <c:v>9804.4516957075793</c:v>
                </c:pt>
                <c:pt idx="1192">
                  <c:v>9823.2464997708357</c:v>
                </c:pt>
                <c:pt idx="1193">
                  <c:v>9842.0773328411924</c:v>
                </c:pt>
                <c:pt idx="1194">
                  <c:v>9860.9442639850513</c:v>
                </c:pt>
                <c:pt idx="1195">
                  <c:v>9879.8473624011931</c:v>
                </c:pt>
                <c:pt idx="1196">
                  <c:v>9898.7866974210665</c:v>
                </c:pt>
                <c:pt idx="1197">
                  <c:v>9917.7623385090301</c:v>
                </c:pt>
                <c:pt idx="1198">
                  <c:v>9936.7743552625852</c:v>
                </c:pt>
                <c:pt idx="1199">
                  <c:v>9955.8228174126616</c:v>
                </c:pt>
                <c:pt idx="1200">
                  <c:v>9974.9077948238628</c:v>
                </c:pt>
                <c:pt idx="1201">
                  <c:v>9994.0293574947082</c:v>
                </c:pt>
                <c:pt idx="1202">
                  <c:v>10013.187575557915</c:v>
                </c:pt>
                <c:pt idx="1203">
                  <c:v>10032.38251928064</c:v>
                </c:pt>
                <c:pt idx="1204">
                  <c:v>10051.614259064727</c:v>
                </c:pt>
                <c:pt idx="1205">
                  <c:v>10070.882865446994</c:v>
                </c:pt>
                <c:pt idx="1206">
                  <c:v>10090.18840909947</c:v>
                </c:pt>
                <c:pt idx="1207">
                  <c:v>10109.530960829665</c:v>
                </c:pt>
                <c:pt idx="1208">
                  <c:v>10128.910591580803</c:v>
                </c:pt>
                <c:pt idx="1209">
                  <c:v>10148.327372432133</c:v>
                </c:pt>
                <c:pt idx="1210">
                  <c:v>10167.781374599146</c:v>
                </c:pt>
                <c:pt idx="1211">
                  <c:v>10187.272669433847</c:v>
                </c:pt>
                <c:pt idx="1212">
                  <c:v>10206.801328425026</c:v>
                </c:pt>
                <c:pt idx="1213">
                  <c:v>10226.367423198521</c:v>
                </c:pt>
                <c:pt idx="1214">
                  <c:v>10245.971025517458</c:v>
                </c:pt>
                <c:pt idx="1215">
                  <c:v>10265.612207282542</c:v>
                </c:pt>
                <c:pt idx="1216">
                  <c:v>10285.291040532316</c:v>
                </c:pt>
                <c:pt idx="1217">
                  <c:v>10305.007597443397</c:v>
                </c:pt>
                <c:pt idx="1218">
                  <c:v>10324.76195033078</c:v>
                </c:pt>
                <c:pt idx="1219">
                  <c:v>10344.55417164808</c:v>
                </c:pt>
                <c:pt idx="1220">
                  <c:v>10364.384333987808</c:v>
                </c:pt>
                <c:pt idx="1221">
                  <c:v>10384.252510081618</c:v>
                </c:pt>
                <c:pt idx="1222">
                  <c:v>10404.158772800603</c:v>
                </c:pt>
                <c:pt idx="1223">
                  <c:v>10424.103195155545</c:v>
                </c:pt>
                <c:pt idx="1224">
                  <c:v>10444.085850297177</c:v>
                </c:pt>
                <c:pt idx="1225">
                  <c:v>10464.106811516465</c:v>
                </c:pt>
                <c:pt idx="1226">
                  <c:v>10484.166152244879</c:v>
                </c:pt>
                <c:pt idx="1227">
                  <c:v>10504.263946054638</c:v>
                </c:pt>
                <c:pt idx="1228">
                  <c:v>10524.400266659</c:v>
                </c:pt>
                <c:pt idx="1229">
                  <c:v>10544.575187912555</c:v>
                </c:pt>
                <c:pt idx="1230">
                  <c:v>10564.788783811429</c:v>
                </c:pt>
                <c:pt idx="1231">
                  <c:v>10585.041128493627</c:v>
                </c:pt>
                <c:pt idx="1232">
                  <c:v>10605.332296239258</c:v>
                </c:pt>
                <c:pt idx="1233">
                  <c:v>10625.662361470833</c:v>
                </c:pt>
                <c:pt idx="1234">
                  <c:v>10646.031398753519</c:v>
                </c:pt>
                <c:pt idx="1235">
                  <c:v>10666.439482795427</c:v>
                </c:pt>
                <c:pt idx="1236">
                  <c:v>10686.88668844789</c:v>
                </c:pt>
                <c:pt idx="1237">
                  <c:v>10707.373090705705</c:v>
                </c:pt>
                <c:pt idx="1238">
                  <c:v>10727.898764707454</c:v>
                </c:pt>
                <c:pt idx="1239">
                  <c:v>10748.463785735754</c:v>
                </c:pt>
                <c:pt idx="1240">
                  <c:v>10769.068229217517</c:v>
                </c:pt>
                <c:pt idx="1241">
                  <c:v>10789.71217072427</c:v>
                </c:pt>
                <c:pt idx="1242">
                  <c:v>10810.3956859724</c:v>
                </c:pt>
                <c:pt idx="1243">
                  <c:v>10831.118850823432</c:v>
                </c:pt>
                <c:pt idx="1244">
                  <c:v>10851.881741284322</c:v>
                </c:pt>
                <c:pt idx="1245">
                  <c:v>10872.684433507733</c:v>
                </c:pt>
                <c:pt idx="1246">
                  <c:v>10893.527003792295</c:v>
                </c:pt>
                <c:pt idx="1247">
                  <c:v>10914.409528582915</c:v>
                </c:pt>
                <c:pt idx="1248">
                  <c:v>10935.33208447104</c:v>
                </c:pt>
                <c:pt idx="1249">
                  <c:v>10956.294748194936</c:v>
                </c:pt>
                <c:pt idx="1250">
                  <c:v>10977.29759663997</c:v>
                </c:pt>
                <c:pt idx="1251">
                  <c:v>10998.340706838902</c:v>
                </c:pt>
                <c:pt idx="1252">
                  <c:v>11019.424155972167</c:v>
                </c:pt>
                <c:pt idx="1253">
                  <c:v>11040.548021368135</c:v>
                </c:pt>
                <c:pt idx="1254">
                  <c:v>11061.712380503428</c:v>
                </c:pt>
                <c:pt idx="1255">
                  <c:v>11082.917311003184</c:v>
                </c:pt>
                <c:pt idx="1256">
                  <c:v>11104.162890641335</c:v>
                </c:pt>
                <c:pt idx="1257">
                  <c:v>11125.449197340919</c:v>
                </c:pt>
                <c:pt idx="1258">
                  <c:v>11146.776309174344</c:v>
                </c:pt>
                <c:pt idx="1259">
                  <c:v>11168.14430436367</c:v>
                </c:pt>
                <c:pt idx="1260">
                  <c:v>11189.553261280922</c:v>
                </c:pt>
                <c:pt idx="1261">
                  <c:v>11211.003258448347</c:v>
                </c:pt>
                <c:pt idx="1262">
                  <c:v>11232.494374538741</c:v>
                </c:pt>
                <c:pt idx="1263">
                  <c:v>11254.026688375678</c:v>
                </c:pt>
                <c:pt idx="1264">
                  <c:v>11275.60027893386</c:v>
                </c:pt>
                <c:pt idx="1265">
                  <c:v>11297.215225339376</c:v>
                </c:pt>
                <c:pt idx="1266">
                  <c:v>11318.871606869987</c:v>
                </c:pt>
                <c:pt idx="1267">
                  <c:v>11340.569502955435</c:v>
                </c:pt>
                <c:pt idx="1268">
                  <c:v>11362.308993177734</c:v>
                </c:pt>
                <c:pt idx="1269">
                  <c:v>11384.090157271432</c:v>
                </c:pt>
                <c:pt idx="1270">
                  <c:v>11405.913075123945</c:v>
                </c:pt>
                <c:pt idx="1271">
                  <c:v>11427.777826775828</c:v>
                </c:pt>
                <c:pt idx="1272">
                  <c:v>11449.684492421056</c:v>
                </c:pt>
                <c:pt idx="1273">
                  <c:v>11471.633152407352</c:v>
                </c:pt>
                <c:pt idx="1274">
                  <c:v>11493.623887236452</c:v>
                </c:pt>
                <c:pt idx="1275">
                  <c:v>11515.656777564423</c:v>
                </c:pt>
                <c:pt idx="1276">
                  <c:v>11537.731904201926</c:v>
                </c:pt>
                <c:pt idx="1277">
                  <c:v>11559.849348114551</c:v>
                </c:pt>
                <c:pt idx="1278">
                  <c:v>11582.009190423094</c:v>
                </c:pt>
                <c:pt idx="1279">
                  <c:v>11604.211512403845</c:v>
                </c:pt>
                <c:pt idx="1280">
                  <c:v>11626.456395488913</c:v>
                </c:pt>
                <c:pt idx="1281">
                  <c:v>11648.743921266507</c:v>
                </c:pt>
                <c:pt idx="1282">
                  <c:v>11671.074171481221</c:v>
                </c:pt>
                <c:pt idx="1283">
                  <c:v>11693.447228034373</c:v>
                </c:pt>
                <c:pt idx="1284">
                  <c:v>11715.863172984276</c:v>
                </c:pt>
                <c:pt idx="1285">
                  <c:v>11738.322088546536</c:v>
                </c:pt>
                <c:pt idx="1286">
                  <c:v>11760.824057094374</c:v>
                </c:pt>
                <c:pt idx="1287">
                  <c:v>11783.369161158924</c:v>
                </c:pt>
                <c:pt idx="1288">
                  <c:v>11805.957483429504</c:v>
                </c:pt>
                <c:pt idx="1289">
                  <c:v>11828.589106753971</c:v>
                </c:pt>
                <c:pt idx="1290">
                  <c:v>11851.264114138985</c:v>
                </c:pt>
                <c:pt idx="1291">
                  <c:v>11873.982588750341</c:v>
                </c:pt>
                <c:pt idx="1292">
                  <c:v>11896.744613913233</c:v>
                </c:pt>
                <c:pt idx="1293">
                  <c:v>11919.550273112613</c:v>
                </c:pt>
                <c:pt idx="1294">
                  <c:v>11942.39964999346</c:v>
                </c:pt>
                <c:pt idx="1295">
                  <c:v>11965.292828361096</c:v>
                </c:pt>
                <c:pt idx="1296">
                  <c:v>11988.2298921815</c:v>
                </c:pt>
                <c:pt idx="1297">
                  <c:v>12011.210925581616</c:v>
                </c:pt>
                <c:pt idx="1298">
                  <c:v>12034.236012849635</c:v>
                </c:pt>
                <c:pt idx="1299">
                  <c:v>12057.305238435343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2E-CB44-BB91-0055E0FEF7DF}"/>
            </c:ext>
          </c:extLst>
        </c:ser>
        <c:ser>
          <c:idx val="5"/>
          <c:order val="4"/>
          <c:tx>
            <c:strRef>
              <c:f>'Compounding within 1 year'!$K$1</c:f>
              <c:strCache>
                <c:ptCount val="1"/>
                <c:pt idx="0">
                  <c:v>Weekly</c:v>
                </c:pt>
              </c:strCache>
            </c:strRef>
          </c:tx>
          <c:marker>
            <c:symbol val="none"/>
          </c:marker>
          <c:val>
            <c:numRef>
              <c:f>'Compounding within 1 year'!$K$2:$K$1363</c:f>
              <c:numCache>
                <c:formatCode>_("$"* #,##0.00_);_("$"* \(#,##0.00\);_("$"* "-"??_);_(@_)</c:formatCode>
                <c:ptCount val="1362"/>
                <c:pt idx="0">
                  <c:v>1001.9231000221753</c:v>
                </c:pt>
                <c:pt idx="1">
                  <c:v>1003.8498983580462</c:v>
                </c:pt>
                <c:pt idx="2">
                  <c:v>1005.7804021198393</c:v>
                </c:pt>
                <c:pt idx="3">
                  <c:v>1007.7146184334596</c:v>
                </c:pt>
                <c:pt idx="4">
                  <c:v>1009.6525544385153</c:v>
                </c:pt>
                <c:pt idx="5">
                  <c:v>1011.5942172883455</c:v>
                </c:pt>
                <c:pt idx="6">
                  <c:v>1013.5396141500453</c:v>
                </c:pt>
                <c:pt idx="7">
                  <c:v>1015.4887522044928</c:v>
                </c:pt>
                <c:pt idx="8">
                  <c:v>1017.4416386463761</c:v>
                </c:pt>
                <c:pt idx="9">
                  <c:v>1019.3982806842192</c:v>
                </c:pt>
                <c:pt idx="10">
                  <c:v>1021.3586855404084</c:v>
                </c:pt>
                <c:pt idx="11">
                  <c:v>1023.3228604512203</c:v>
                </c:pt>
                <c:pt idx="12">
                  <c:v>1025.2908126668467</c:v>
                </c:pt>
                <c:pt idx="13">
                  <c:v>1027.2625494514225</c:v>
                </c:pt>
                <c:pt idx="14">
                  <c:v>1029.2380780830526</c:v>
                </c:pt>
                <c:pt idx="15">
                  <c:v>1031.2174058538376</c:v>
                </c:pt>
                <c:pt idx="16">
                  <c:v>1033.2005400699029</c:v>
                </c:pt>
                <c:pt idx="17">
                  <c:v>1035.1874880514229</c:v>
                </c:pt>
                <c:pt idx="18">
                  <c:v>1037.1782571326505</c:v>
                </c:pt>
                <c:pt idx="19">
                  <c:v>1039.172854661942</c:v>
                </c:pt>
                <c:pt idx="20">
                  <c:v>1041.1712880017865</c:v>
                </c:pt>
                <c:pt idx="21">
                  <c:v>1043.1735645288311</c:v>
                </c:pt>
                <c:pt idx="22">
                  <c:v>1045.1796916339094</c:v>
                </c:pt>
                <c:pt idx="23">
                  <c:v>1047.1896767220676</c:v>
                </c:pt>
                <c:pt idx="24">
                  <c:v>1049.2035272125938</c:v>
                </c:pt>
                <c:pt idx="25">
                  <c:v>1051.2212505390428</c:v>
                </c:pt>
                <c:pt idx="26">
                  <c:v>1053.2428541492657</c:v>
                </c:pt>
                <c:pt idx="27">
                  <c:v>1055.2683455054364</c:v>
                </c:pt>
                <c:pt idx="28">
                  <c:v>1057.2977320840789</c:v>
                </c:pt>
                <c:pt idx="29">
                  <c:v>1059.3310213760956</c:v>
                </c:pt>
                <c:pt idx="30">
                  <c:v>1061.3682208867951</c:v>
                </c:pt>
                <c:pt idx="31">
                  <c:v>1063.4093381359189</c:v>
                </c:pt>
                <c:pt idx="32">
                  <c:v>1065.4543806576696</c:v>
                </c:pt>
                <c:pt idx="33">
                  <c:v>1067.5033560007391</c:v>
                </c:pt>
                <c:pt idx="34">
                  <c:v>1069.5562717283365</c:v>
                </c:pt>
                <c:pt idx="35">
                  <c:v>1071.6131354182151</c:v>
                </c:pt>
                <c:pt idx="36">
                  <c:v>1073.6739546627011</c:v>
                </c:pt>
                <c:pt idx="37">
                  <c:v>1075.7387370687222</c:v>
                </c:pt>
                <c:pt idx="38">
                  <c:v>1077.8074902578342</c:v>
                </c:pt>
                <c:pt idx="39">
                  <c:v>1079.8802218662497</c:v>
                </c:pt>
                <c:pt idx="40">
                  <c:v>1081.9569395448673</c:v>
                </c:pt>
                <c:pt idx="41">
                  <c:v>1084.0376509592991</c:v>
                </c:pt>
                <c:pt idx="42">
                  <c:v>1086.1223637898977</c:v>
                </c:pt>
                <c:pt idx="43">
                  <c:v>1088.2110857317873</c:v>
                </c:pt>
                <c:pt idx="44">
                  <c:v>1090.3038244948898</c:v>
                </c:pt>
                <c:pt idx="45">
                  <c:v>1092.4005878039538</c:v>
                </c:pt>
                <c:pt idx="46">
                  <c:v>1094.501383398584</c:v>
                </c:pt>
                <c:pt idx="47">
                  <c:v>1096.6062190332689</c:v>
                </c:pt>
                <c:pt idx="48">
                  <c:v>1098.7151024774093</c:v>
                </c:pt>
                <c:pt idx="49">
                  <c:v>1100.8280415153479</c:v>
                </c:pt>
                <c:pt idx="50">
                  <c:v>1102.9450439463974</c:v>
                </c:pt>
                <c:pt idx="51">
                  <c:v>1105.0661175848691</c:v>
                </c:pt>
                <c:pt idx="52">
                  <c:v>1107.1912702601019</c:v>
                </c:pt>
                <c:pt idx="53">
                  <c:v>1109.3205098164913</c:v>
                </c:pt>
                <c:pt idx="54">
                  <c:v>1111.4538441135192</c:v>
                </c:pt>
                <c:pt idx="55">
                  <c:v>1113.591281025781</c:v>
                </c:pt>
                <c:pt idx="56">
                  <c:v>1115.7328284430159</c:v>
                </c:pt>
                <c:pt idx="57">
                  <c:v>1117.8784942701363</c:v>
                </c:pt>
                <c:pt idx="58">
                  <c:v>1120.0282864272567</c:v>
                </c:pt>
                <c:pt idx="59">
                  <c:v>1122.1822128497222</c:v>
                </c:pt>
                <c:pt idx="60">
                  <c:v>1124.3402814881383</c:v>
                </c:pt>
                <c:pt idx="61">
                  <c:v>1126.5025003084006</c:v>
                </c:pt>
                <c:pt idx="62">
                  <c:v>1128.6688772917244</c:v>
                </c:pt>
                <c:pt idx="63">
                  <c:v>1130.8394204346728</c:v>
                </c:pt>
                <c:pt idx="64">
                  <c:v>1133.0141377491875</c:v>
                </c:pt>
                <c:pt idx="65">
                  <c:v>1135.193037262618</c:v>
                </c:pt>
                <c:pt idx="66">
                  <c:v>1137.3761270177511</c:v>
                </c:pt>
                <c:pt idx="67">
                  <c:v>1139.5634150728406</c:v>
                </c:pt>
                <c:pt idx="68">
                  <c:v>1141.7549095016377</c:v>
                </c:pt>
                <c:pt idx="69">
                  <c:v>1143.9506183934191</c:v>
                </c:pt>
                <c:pt idx="70">
                  <c:v>1146.1505498530191</c:v>
                </c:pt>
                <c:pt idx="71">
                  <c:v>1148.3547120008577</c:v>
                </c:pt>
                <c:pt idx="72">
                  <c:v>1150.5631129729718</c:v>
                </c:pt>
                <c:pt idx="73">
                  <c:v>1152.7757609210444</c:v>
                </c:pt>
                <c:pt idx="74">
                  <c:v>1154.9926640124349</c:v>
                </c:pt>
                <c:pt idx="75">
                  <c:v>1157.2138304302096</c:v>
                </c:pt>
                <c:pt idx="76">
                  <c:v>1159.4392683731717</c:v>
                </c:pt>
                <c:pt idx="77">
                  <c:v>1161.6689860558911</c:v>
                </c:pt>
                <c:pt idx="78">
                  <c:v>1163.9029917087355</c:v>
                </c:pt>
                <c:pt idx="79">
                  <c:v>1166.1412935779008</c:v>
                </c:pt>
                <c:pt idx="80">
                  <c:v>1168.3838999254399</c:v>
                </c:pt>
                <c:pt idx="81">
                  <c:v>1170.6308190292959</c:v>
                </c:pt>
                <c:pt idx="82">
                  <c:v>1172.8820591833305</c:v>
                </c:pt>
                <c:pt idx="83">
                  <c:v>1175.137628697355</c:v>
                </c:pt>
                <c:pt idx="84">
                  <c:v>1177.397535897162</c:v>
                </c:pt>
                <c:pt idx="85">
                  <c:v>1179.6617891245551</c:v>
                </c:pt>
                <c:pt idx="86">
                  <c:v>1181.9303967373801</c:v>
                </c:pt>
                <c:pt idx="87">
                  <c:v>1184.2033671095555</c:v>
                </c:pt>
                <c:pt idx="88">
                  <c:v>1186.4807086311041</c:v>
                </c:pt>
                <c:pt idx="89">
                  <c:v>1188.7624297081832</c:v>
                </c:pt>
                <c:pt idx="90">
                  <c:v>1191.0485387631163</c:v>
                </c:pt>
                <c:pt idx="91">
                  <c:v>1193.3390442344237</c:v>
                </c:pt>
                <c:pt idx="92">
                  <c:v>1195.6339545768535</c:v>
                </c:pt>
                <c:pt idx="93">
                  <c:v>1197.933278261414</c:v>
                </c:pt>
                <c:pt idx="94">
                  <c:v>1200.2370237754033</c:v>
                </c:pt>
                <c:pt idx="95">
                  <c:v>1202.5451996224415</c:v>
                </c:pt>
                <c:pt idx="96">
                  <c:v>1204.8578143225022</c:v>
                </c:pt>
                <c:pt idx="97">
                  <c:v>1207.1748764119441</c:v>
                </c:pt>
                <c:pt idx="98">
                  <c:v>1209.4963944435415</c:v>
                </c:pt>
                <c:pt idx="99">
                  <c:v>1211.8223769865169</c:v>
                </c:pt>
                <c:pt idx="100">
                  <c:v>1214.1528326265723</c:v>
                </c:pt>
                <c:pt idx="101">
                  <c:v>1216.4877699659207</c:v>
                </c:pt>
                <c:pt idx="102">
                  <c:v>1218.8271976233182</c:v>
                </c:pt>
                <c:pt idx="103">
                  <c:v>1221.1711242340957</c:v>
                </c:pt>
                <c:pt idx="104">
                  <c:v>1223.5195584501901</c:v>
                </c:pt>
                <c:pt idx="105">
                  <c:v>1225.8725089401778</c:v>
                </c:pt>
                <c:pt idx="106">
                  <c:v>1228.2299843893049</c:v>
                </c:pt>
                <c:pt idx="107">
                  <c:v>1230.5919934995204</c:v>
                </c:pt>
                <c:pt idx="108">
                  <c:v>1232.9585449895083</c:v>
                </c:pt>
                <c:pt idx="109">
                  <c:v>1235.3296475947188</c:v>
                </c:pt>
                <c:pt idx="110">
                  <c:v>1237.7053100674023</c:v>
                </c:pt>
                <c:pt idx="111">
                  <c:v>1240.0855411766395</c:v>
                </c:pt>
                <c:pt idx="112">
                  <c:v>1242.4703497083758</c:v>
                </c:pt>
                <c:pt idx="113">
                  <c:v>1244.8597444654522</c:v>
                </c:pt>
                <c:pt idx="114">
                  <c:v>1247.2537342676389</c:v>
                </c:pt>
                <c:pt idx="115">
                  <c:v>1249.6523279516673</c:v>
                </c:pt>
                <c:pt idx="116">
                  <c:v>1252.0555343712626</c:v>
                </c:pt>
                <c:pt idx="117">
                  <c:v>1254.463362397177</c:v>
                </c:pt>
                <c:pt idx="118">
                  <c:v>1256.8758209172211</c:v>
                </c:pt>
                <c:pt idx="119">
                  <c:v>1259.2929188362989</c:v>
                </c:pt>
                <c:pt idx="120">
                  <c:v>1261.7146650764382</c:v>
                </c:pt>
                <c:pt idx="121">
                  <c:v>1264.1410685768258</c:v>
                </c:pt>
                <c:pt idx="122">
                  <c:v>1266.5721382938386</c:v>
                </c:pt>
                <c:pt idx="123">
                  <c:v>1269.0078832010784</c:v>
                </c:pt>
                <c:pt idx="124">
                  <c:v>1271.448312289403</c:v>
                </c:pt>
                <c:pt idx="125">
                  <c:v>1273.8934345669618</c:v>
                </c:pt>
                <c:pt idx="126">
                  <c:v>1276.3432590592265</c:v>
                </c:pt>
                <c:pt idx="127">
                  <c:v>1278.7977948090268</c:v>
                </c:pt>
                <c:pt idx="128">
                  <c:v>1281.2570508765816</c:v>
                </c:pt>
                <c:pt idx="129">
                  <c:v>1283.721036339535</c:v>
                </c:pt>
                <c:pt idx="130">
                  <c:v>1286.1897602929866</c:v>
                </c:pt>
                <c:pt idx="131">
                  <c:v>1288.6632318495276</c:v>
                </c:pt>
                <c:pt idx="132">
                  <c:v>1291.1414601392742</c:v>
                </c:pt>
                <c:pt idx="133">
                  <c:v>1293.6244543098996</c:v>
                </c:pt>
                <c:pt idx="134">
                  <c:v>1296.1122235266696</c:v>
                </c:pt>
                <c:pt idx="135">
                  <c:v>1298.6047769724755</c:v>
                </c:pt>
                <c:pt idx="136">
                  <c:v>1301.1021238478684</c:v>
                </c:pt>
                <c:pt idx="137">
                  <c:v>1303.6042733710926</c:v>
                </c:pt>
                <c:pt idx="138">
                  <c:v>1306.1112347781204</c:v>
                </c:pt>
                <c:pt idx="139">
                  <c:v>1308.6230173226861</c:v>
                </c:pt>
                <c:pt idx="140">
                  <c:v>1311.1396302763185</c:v>
                </c:pt>
                <c:pt idx="141">
                  <c:v>1313.6610829283779</c:v>
                </c:pt>
                <c:pt idx="142">
                  <c:v>1316.1873845860882</c:v>
                </c:pt>
                <c:pt idx="143">
                  <c:v>1318.7185445745729</c:v>
                </c:pt>
                <c:pt idx="144">
                  <c:v>1321.2545722368873</c:v>
                </c:pt>
                <c:pt idx="145">
                  <c:v>1323.7954769340554</c:v>
                </c:pt>
                <c:pt idx="146">
                  <c:v>1326.3412680451031</c:v>
                </c:pt>
                <c:pt idx="147">
                  <c:v>1328.8919549670925</c:v>
                </c:pt>
                <c:pt idx="148">
                  <c:v>1331.4475471151586</c:v>
                </c:pt>
                <c:pt idx="149">
                  <c:v>1334.0080539225412</c:v>
                </c:pt>
                <c:pt idx="150">
                  <c:v>1336.5734848406216</c:v>
                </c:pt>
                <c:pt idx="151">
                  <c:v>1339.1438493389578</c:v>
                </c:pt>
                <c:pt idx="152">
                  <c:v>1341.7191569053177</c:v>
                </c:pt>
                <c:pt idx="153">
                  <c:v>1344.2994170457155</c:v>
                </c:pt>
                <c:pt idx="154">
                  <c:v>1346.8846392844464</c:v>
                </c:pt>
                <c:pt idx="155">
                  <c:v>1349.4748331641219</c:v>
                </c:pt>
                <c:pt idx="156">
                  <c:v>1352.0700082457051</c:v>
                </c:pt>
                <c:pt idx="157">
                  <c:v>1354.6701741085449</c:v>
                </c:pt>
                <c:pt idx="158">
                  <c:v>1357.2753403504137</c:v>
                </c:pt>
                <c:pt idx="159">
                  <c:v>1359.8855165875395</c:v>
                </c:pt>
                <c:pt idx="160">
                  <c:v>1362.5007124546451</c:v>
                </c:pt>
                <c:pt idx="161">
                  <c:v>1365.1209376049803</c:v>
                </c:pt>
                <c:pt idx="162">
                  <c:v>1367.7462017103608</c:v>
                </c:pt>
                <c:pt idx="163">
                  <c:v>1370.3765144612003</c:v>
                </c:pt>
                <c:pt idx="164">
                  <c:v>1373.0118855665492</c:v>
                </c:pt>
                <c:pt idx="165">
                  <c:v>1375.6523247541293</c:v>
                </c:pt>
                <c:pt idx="166">
                  <c:v>1378.2978417703698</c:v>
                </c:pt>
                <c:pt idx="167">
                  <c:v>1380.9484463804426</c:v>
                </c:pt>
                <c:pt idx="168">
                  <c:v>1383.6041483683</c:v>
                </c:pt>
                <c:pt idx="169">
                  <c:v>1386.2649575367091</c:v>
                </c:pt>
                <c:pt idx="170">
                  <c:v>1388.930883707289</c:v>
                </c:pt>
                <c:pt idx="171">
                  <c:v>1391.6019367205463</c:v>
                </c:pt>
                <c:pt idx="172">
                  <c:v>1394.278126435913</c:v>
                </c:pt>
                <c:pt idx="173">
                  <c:v>1396.9594627317806</c:v>
                </c:pt>
                <c:pt idx="174">
                  <c:v>1399.6459555055383</c:v>
                </c:pt>
                <c:pt idx="175">
                  <c:v>1402.3376146736086</c:v>
                </c:pt>
                <c:pt idx="176">
                  <c:v>1405.0344501714849</c:v>
                </c:pt>
                <c:pt idx="177">
                  <c:v>1407.7364719537668</c:v>
                </c:pt>
                <c:pt idx="178">
                  <c:v>1410.4436899941982</c:v>
                </c:pt>
                <c:pt idx="179">
                  <c:v>1413.1561142857031</c:v>
                </c:pt>
                <c:pt idx="180">
                  <c:v>1415.8737548404233</c:v>
                </c:pt>
                <c:pt idx="181">
                  <c:v>1418.5966216897546</c:v>
                </c:pt>
                <c:pt idx="182">
                  <c:v>1421.3247248843841</c:v>
                </c:pt>
                <c:pt idx="183">
                  <c:v>1424.0580744943277</c:v>
                </c:pt>
                <c:pt idx="184">
                  <c:v>1426.7966806089667</c:v>
                </c:pt>
                <c:pt idx="185">
                  <c:v>1429.5405533370856</c:v>
                </c:pt>
                <c:pt idx="186">
                  <c:v>1432.2897028069087</c:v>
                </c:pt>
                <c:pt idx="187">
                  <c:v>1435.0441391661384</c:v>
                </c:pt>
                <c:pt idx="188">
                  <c:v>1437.8038725819915</c:v>
                </c:pt>
                <c:pt idx="189">
                  <c:v>1440.5689132412376</c:v>
                </c:pt>
                <c:pt idx="190">
                  <c:v>1443.3392713502371</c:v>
                </c:pt>
                <c:pt idx="191">
                  <c:v>1446.1149571349774</c:v>
                </c:pt>
                <c:pt idx="192">
                  <c:v>1448.8959808411119</c:v>
                </c:pt>
                <c:pt idx="193">
                  <c:v>1451.6823527339973</c:v>
                </c:pt>
                <c:pt idx="194">
                  <c:v>1454.4740830987314</c:v>
                </c:pt>
                <c:pt idx="195">
                  <c:v>1457.2711822401923</c:v>
                </c:pt>
                <c:pt idx="196">
                  <c:v>1460.0736604830743</c:v>
                </c:pt>
                <c:pt idx="197">
                  <c:v>1462.8815281719267</c:v>
                </c:pt>
                <c:pt idx="198">
                  <c:v>1465.694795671194</c:v>
                </c:pt>
                <c:pt idx="199">
                  <c:v>1468.5134733652519</c:v>
                </c:pt>
                <c:pt idx="200">
                  <c:v>1471.3375716584453</c:v>
                </c:pt>
                <c:pt idx="201">
                  <c:v>1474.1671009751292</c:v>
                </c:pt>
                <c:pt idx="202">
                  <c:v>1477.0020717597047</c:v>
                </c:pt>
                <c:pt idx="203">
                  <c:v>1479.8424944766591</c:v>
                </c:pt>
                <c:pt idx="204">
                  <c:v>1482.6883796106031</c:v>
                </c:pt>
                <c:pt idx="205">
                  <c:v>1485.5397376663113</c:v>
                </c:pt>
                <c:pt idx="206">
                  <c:v>1488.3965791687599</c:v>
                </c:pt>
                <c:pt idx="207">
                  <c:v>1491.2589146631651</c:v>
                </c:pt>
                <c:pt idx="208">
                  <c:v>1494.1267547150233</c:v>
                </c:pt>
                <c:pt idx="209">
                  <c:v>1497.0001099101485</c:v>
                </c:pt>
                <c:pt idx="210">
                  <c:v>1499.8789908547133</c:v>
                </c:pt>
                <c:pt idx="211">
                  <c:v>1502.7634081752865</c:v>
                </c:pt>
                <c:pt idx="212">
                  <c:v>1505.6533725188729</c:v>
                </c:pt>
                <c:pt idx="213">
                  <c:v>1508.5488945529521</c:v>
                </c:pt>
                <c:pt idx="214">
                  <c:v>1511.4499849655197</c:v>
                </c:pt>
                <c:pt idx="215">
                  <c:v>1514.3566544651239</c:v>
                </c:pt>
                <c:pt idx="216">
                  <c:v>1517.2689137809073</c:v>
                </c:pt>
                <c:pt idx="217">
                  <c:v>1520.1867736626452</c:v>
                </c:pt>
                <c:pt idx="218">
                  <c:v>1523.1102448807867</c:v>
                </c:pt>
                <c:pt idx="219">
                  <c:v>1526.0393382264924</c:v>
                </c:pt>
                <c:pt idx="220">
                  <c:v>1528.9740645116765</c:v>
                </c:pt>
                <c:pt idx="221">
                  <c:v>1531.9144345690443</c:v>
                </c:pt>
                <c:pt idx="222">
                  <c:v>1534.8604592521349</c:v>
                </c:pt>
                <c:pt idx="223">
                  <c:v>1537.8121494353588</c:v>
                </c:pt>
                <c:pt idx="224">
                  <c:v>1540.7695160140395</c:v>
                </c:pt>
                <c:pt idx="225">
                  <c:v>1543.7325699044534</c:v>
                </c:pt>
                <c:pt idx="226">
                  <c:v>1546.7013220438694</c:v>
                </c:pt>
                <c:pt idx="227">
                  <c:v>1549.6757833905908</c:v>
                </c:pt>
                <c:pt idx="228">
                  <c:v>1552.6559649239939</c:v>
                </c:pt>
                <c:pt idx="229">
                  <c:v>1555.6418776445701</c:v>
                </c:pt>
                <c:pt idx="230">
                  <c:v>1558.6335325739653</c:v>
                </c:pt>
                <c:pt idx="231">
                  <c:v>1561.6309407550216</c:v>
                </c:pt>
                <c:pt idx="232">
                  <c:v>1564.6341132518173</c:v>
                </c:pt>
                <c:pt idx="233">
                  <c:v>1567.6430611497083</c:v>
                </c:pt>
                <c:pt idx="234">
                  <c:v>1570.6577955553685</c:v>
                </c:pt>
                <c:pt idx="235">
                  <c:v>1573.678327596831</c:v>
                </c:pt>
                <c:pt idx="236">
                  <c:v>1576.7046684235293</c:v>
                </c:pt>
                <c:pt idx="237">
                  <c:v>1579.7368292063386</c:v>
                </c:pt>
                <c:pt idx="238">
                  <c:v>1582.7748211376168</c:v>
                </c:pt>
                <c:pt idx="239">
                  <c:v>1585.8186554312451</c:v>
                </c:pt>
                <c:pt idx="240">
                  <c:v>1588.8683433226711</c:v>
                </c:pt>
                <c:pt idx="241">
                  <c:v>1591.9238960689486</c:v>
                </c:pt>
                <c:pt idx="242">
                  <c:v>1594.9853249487803</c:v>
                </c:pt>
                <c:pt idx="243">
                  <c:v>1598.0526412625588</c:v>
                </c:pt>
                <c:pt idx="244">
                  <c:v>1601.1258563324084</c:v>
                </c:pt>
                <c:pt idx="245">
                  <c:v>1604.2049815022267</c:v>
                </c:pt>
                <c:pt idx="246">
                  <c:v>1607.2900281377276</c:v>
                </c:pt>
                <c:pt idx="247">
                  <c:v>1610.3810076264815</c:v>
                </c:pt>
                <c:pt idx="248">
                  <c:v>1613.4779313779591</c:v>
                </c:pt>
                <c:pt idx="249">
                  <c:v>1616.5808108235713</c:v>
                </c:pt>
                <c:pt idx="250">
                  <c:v>1619.6896574167145</c:v>
                </c:pt>
                <c:pt idx="251">
                  <c:v>1622.8044826328098</c:v>
                </c:pt>
                <c:pt idx="252">
                  <c:v>1625.9252979693472</c:v>
                </c:pt>
                <c:pt idx="253">
                  <c:v>1629.0521149459275</c:v>
                </c:pt>
                <c:pt idx="254">
                  <c:v>1632.1849451043051</c:v>
                </c:pt>
                <c:pt idx="255">
                  <c:v>1635.3238000084295</c:v>
                </c:pt>
                <c:pt idx="256">
                  <c:v>1638.4686912444897</c:v>
                </c:pt>
                <c:pt idx="257">
                  <c:v>1641.6196304209557</c:v>
                </c:pt>
                <c:pt idx="258">
                  <c:v>1644.7766291686216</c:v>
                </c:pt>
                <c:pt idx="259">
                  <c:v>1647.9396991406497</c:v>
                </c:pt>
                <c:pt idx="260">
                  <c:v>1651.1088520126107</c:v>
                </c:pt>
                <c:pt idx="261">
                  <c:v>1654.2840994825301</c:v>
                </c:pt>
                <c:pt idx="262">
                  <c:v>1657.4654532709296</c:v>
                </c:pt>
                <c:pt idx="263">
                  <c:v>1660.6529251208697</c:v>
                </c:pt>
                <c:pt idx="264">
                  <c:v>1663.8465267979952</c:v>
                </c:pt>
                <c:pt idx="265">
                  <c:v>1667.0462700905771</c:v>
                </c:pt>
                <c:pt idx="266">
                  <c:v>1670.2521668095555</c:v>
                </c:pt>
                <c:pt idx="267">
                  <c:v>1673.4642287885854</c:v>
                </c:pt>
                <c:pt idx="268">
                  <c:v>1676.6824678840785</c:v>
                </c:pt>
                <c:pt idx="269">
                  <c:v>1679.9068959752474</c:v>
                </c:pt>
                <c:pt idx="270">
                  <c:v>1683.1375249641503</c:v>
                </c:pt>
                <c:pt idx="271">
                  <c:v>1686.3743667757328</c:v>
                </c:pt>
                <c:pt idx="272">
                  <c:v>1689.6174333578754</c:v>
                </c:pt>
                <c:pt idx="273">
                  <c:v>1692.8667366814338</c:v>
                </c:pt>
                <c:pt idx="274">
                  <c:v>1696.1222887402857</c:v>
                </c:pt>
                <c:pt idx="275">
                  <c:v>1699.3841015513747</c:v>
                </c:pt>
                <c:pt idx="276">
                  <c:v>1702.6521871547527</c:v>
                </c:pt>
                <c:pt idx="277">
                  <c:v>1705.926557613627</c:v>
                </c:pt>
                <c:pt idx="278">
                  <c:v>1709.2072250144033</c:v>
                </c:pt>
                <c:pt idx="279">
                  <c:v>1712.4942014667308</c:v>
                </c:pt>
                <c:pt idx="280">
                  <c:v>1715.7874991035465</c:v>
                </c:pt>
                <c:pt idx="281">
                  <c:v>1719.0871300811209</c:v>
                </c:pt>
                <c:pt idx="282">
                  <c:v>1722.3931065791014</c:v>
                </c:pt>
                <c:pt idx="283">
                  <c:v>1725.7054408005583</c:v>
                </c:pt>
                <c:pt idx="284">
                  <c:v>1729.0241449720299</c:v>
                </c:pt>
                <c:pt idx="285">
                  <c:v>1732.3492313435675</c:v>
                </c:pt>
                <c:pt idx="286">
                  <c:v>1735.68071218878</c:v>
                </c:pt>
                <c:pt idx="287">
                  <c:v>1739.0185998048796</c:v>
                </c:pt>
                <c:pt idx="288">
                  <c:v>1742.3629065127277</c:v>
                </c:pt>
                <c:pt idx="289">
                  <c:v>1745.7136446568802</c:v>
                </c:pt>
                <c:pt idx="290">
                  <c:v>1749.0708266056317</c:v>
                </c:pt>
                <c:pt idx="291">
                  <c:v>1752.4344647510632</c:v>
                </c:pt>
                <c:pt idx="292">
                  <c:v>1755.8045715090871</c:v>
                </c:pt>
                <c:pt idx="293">
                  <c:v>1759.1811593194916</c:v>
                </c:pt>
                <c:pt idx="294">
                  <c:v>1762.5642406459899</c:v>
                </c:pt>
                <c:pt idx="295">
                  <c:v>1765.9538279762614</c:v>
                </c:pt>
                <c:pt idx="296">
                  <c:v>1769.3499338220033</c:v>
                </c:pt>
                <c:pt idx="297">
                  <c:v>1772.7525707189725</c:v>
                </c:pt>
                <c:pt idx="298">
                  <c:v>1776.1617512270336</c:v>
                </c:pt>
                <c:pt idx="299">
                  <c:v>1779.5774879302053</c:v>
                </c:pt>
                <c:pt idx="300">
                  <c:v>1782.999793436707</c:v>
                </c:pt>
                <c:pt idx="301">
                  <c:v>1786.4286803790037</c:v>
                </c:pt>
                <c:pt idx="302">
                  <c:v>1789.8641614138555</c:v>
                </c:pt>
                <c:pt idx="303">
                  <c:v>1793.3062492223612</c:v>
                </c:pt>
                <c:pt idx="304">
                  <c:v>1796.754956510008</c:v>
                </c:pt>
                <c:pt idx="305">
                  <c:v>1800.2102960067164</c:v>
                </c:pt>
                <c:pt idx="306">
                  <c:v>1803.6722804668873</c:v>
                </c:pt>
                <c:pt idx="307">
                  <c:v>1807.1409226694502</c:v>
                </c:pt>
                <c:pt idx="308">
                  <c:v>1810.6162354179098</c:v>
                </c:pt>
                <c:pt idx="309">
                  <c:v>1814.0982315403933</c:v>
                </c:pt>
                <c:pt idx="310">
                  <c:v>1817.5869238896969</c:v>
                </c:pt>
                <c:pt idx="311">
                  <c:v>1821.0823253433348</c:v>
                </c:pt>
                <c:pt idx="312">
                  <c:v>1824.5844488035857</c:v>
                </c:pt>
                <c:pt idx="313">
                  <c:v>1828.093307197541</c:v>
                </c:pt>
                <c:pt idx="314">
                  <c:v>1831.6089134771512</c:v>
                </c:pt>
                <c:pt idx="315">
                  <c:v>1835.1312806192757</c:v>
                </c:pt>
                <c:pt idx="316">
                  <c:v>1838.6604216257294</c:v>
                </c:pt>
                <c:pt idx="317">
                  <c:v>1842.1963495233308</c:v>
                </c:pt>
                <c:pt idx="318">
                  <c:v>1845.7390773639506</c:v>
                </c:pt>
                <c:pt idx="319">
                  <c:v>1849.2886182245593</c:v>
                </c:pt>
                <c:pt idx="320">
                  <c:v>1852.8449852072756</c:v>
                </c:pt>
                <c:pt idx="321">
                  <c:v>1856.4081914394155</c:v>
                </c:pt>
                <c:pt idx="322">
                  <c:v>1859.9782500735391</c:v>
                </c:pt>
                <c:pt idx="323">
                  <c:v>1863.5551742875011</c:v>
                </c:pt>
                <c:pt idx="324">
                  <c:v>1867.1389772844987</c:v>
                </c:pt>
                <c:pt idx="325">
                  <c:v>1870.7296722931187</c:v>
                </c:pt>
                <c:pt idx="326">
                  <c:v>1874.3272725673903</c:v>
                </c:pt>
                <c:pt idx="327">
                  <c:v>1877.9317913868283</c:v>
                </c:pt>
                <c:pt idx="328">
                  <c:v>1881.5432420564882</c:v>
                </c:pt>
                <c:pt idx="329">
                  <c:v>1885.161637907011</c:v>
                </c:pt>
                <c:pt idx="330">
                  <c:v>1888.7869922946743</c:v>
                </c:pt>
                <c:pt idx="331">
                  <c:v>1892.4193186014406</c:v>
                </c:pt>
                <c:pt idx="332">
                  <c:v>1896.0586302350084</c:v>
                </c:pt>
                <c:pt idx="333">
                  <c:v>1899.704940628859</c:v>
                </c:pt>
                <c:pt idx="334">
                  <c:v>1903.3582632423095</c:v>
                </c:pt>
                <c:pt idx="335">
                  <c:v>1907.0186115605584</c:v>
                </c:pt>
                <c:pt idx="336">
                  <c:v>1910.6859990947391</c:v>
                </c:pt>
                <c:pt idx="337">
                  <c:v>1914.3604393819687</c:v>
                </c:pt>
                <c:pt idx="338">
                  <c:v>1918.0419459853956</c:v>
                </c:pt>
                <c:pt idx="339">
                  <c:v>1921.7305324942536</c:v>
                </c:pt>
                <c:pt idx="340">
                  <c:v>1925.4262125239084</c:v>
                </c:pt>
                <c:pt idx="341">
                  <c:v>1929.1289997159101</c:v>
                </c:pt>
                <c:pt idx="342">
                  <c:v>1932.838907738043</c:v>
                </c:pt>
                <c:pt idx="343">
                  <c:v>1936.5559502843757</c:v>
                </c:pt>
                <c:pt idx="344">
                  <c:v>1940.2801410753111</c:v>
                </c:pt>
                <c:pt idx="345">
                  <c:v>1944.0114938576398</c:v>
                </c:pt>
                <c:pt idx="346">
                  <c:v>1947.7500224045864</c:v>
                </c:pt>
                <c:pt idx="347">
                  <c:v>1951.495740515865</c:v>
                </c:pt>
                <c:pt idx="348">
                  <c:v>1955.2486620177265</c:v>
                </c:pt>
                <c:pt idx="349">
                  <c:v>1959.0088007630109</c:v>
                </c:pt>
                <c:pt idx="350">
                  <c:v>1962.7761706312003</c:v>
                </c:pt>
                <c:pt idx="351">
                  <c:v>1966.5507855284663</c:v>
                </c:pt>
                <c:pt idx="352">
                  <c:v>1970.3326593877252</c:v>
                </c:pt>
                <c:pt idx="353">
                  <c:v>1974.1218061686868</c:v>
                </c:pt>
                <c:pt idx="354">
                  <c:v>1977.9182398579067</c:v>
                </c:pt>
                <c:pt idx="355">
                  <c:v>1981.7219744688384</c:v>
                </c:pt>
                <c:pt idx="356">
                  <c:v>1985.533024041885</c:v>
                </c:pt>
                <c:pt idx="357">
                  <c:v>1989.3514026444498</c:v>
                </c:pt>
                <c:pt idx="358">
                  <c:v>1993.1771243709902</c:v>
                </c:pt>
                <c:pt idx="359">
                  <c:v>1997.0102033430674</c:v>
                </c:pt>
                <c:pt idx="360">
                  <c:v>2000.8506537094011</c:v>
                </c:pt>
                <c:pt idx="361">
                  <c:v>2004.6984896459192</c:v>
                </c:pt>
                <c:pt idx="362">
                  <c:v>2008.5537253558123</c:v>
                </c:pt>
                <c:pt idx="363">
                  <c:v>2012.4163750695848</c:v>
                </c:pt>
                <c:pt idx="364">
                  <c:v>2016.2864530451068</c:v>
                </c:pt>
                <c:pt idx="365">
                  <c:v>2020.1639735676702</c:v>
                </c:pt>
                <c:pt idx="366">
                  <c:v>2024.0489509500362</c:v>
                </c:pt>
                <c:pt idx="367">
                  <c:v>2027.9413995324921</c:v>
                </c:pt>
                <c:pt idx="368">
                  <c:v>2031.841333682903</c:v>
                </c:pt>
                <c:pt idx="369">
                  <c:v>2035.7487677967661</c:v>
                </c:pt>
                <c:pt idx="370">
                  <c:v>2039.6637162972593</c:v>
                </c:pt>
                <c:pt idx="371">
                  <c:v>2043.586193635301</c:v>
                </c:pt>
                <c:pt idx="372">
                  <c:v>2047.5162142895983</c:v>
                </c:pt>
                <c:pt idx="373">
                  <c:v>2051.4537927667029</c:v>
                </c:pt>
                <c:pt idx="374">
                  <c:v>2055.3989436010647</c:v>
                </c:pt>
                <c:pt idx="375">
                  <c:v>2059.3516813550827</c:v>
                </c:pt>
                <c:pt idx="376">
                  <c:v>2063.3120206191638</c:v>
                </c:pt>
                <c:pt idx="377">
                  <c:v>2067.2799760117714</c:v>
                </c:pt>
                <c:pt idx="378">
                  <c:v>2071.2555621794822</c:v>
                </c:pt>
                <c:pt idx="379">
                  <c:v>2075.2387937970407</c:v>
                </c:pt>
                <c:pt idx="380">
                  <c:v>2079.2296855674113</c:v>
                </c:pt>
                <c:pt idx="381">
                  <c:v>2083.2282522218334</c:v>
                </c:pt>
                <c:pt idx="382">
                  <c:v>2087.2345085198776</c:v>
                </c:pt>
                <c:pt idx="383">
                  <c:v>2091.2484692494977</c:v>
                </c:pt>
                <c:pt idx="384">
                  <c:v>2095.2701492270858</c:v>
                </c:pt>
                <c:pt idx="385">
                  <c:v>2099.2995632975276</c:v>
                </c:pt>
                <c:pt idx="386">
                  <c:v>2103.3367263342579</c:v>
                </c:pt>
                <c:pt idx="387">
                  <c:v>2107.3816532393134</c:v>
                </c:pt>
                <c:pt idx="388">
                  <c:v>2111.4343589433902</c:v>
                </c:pt>
                <c:pt idx="389">
                  <c:v>2115.4948584058961</c:v>
                </c:pt>
                <c:pt idx="390">
                  <c:v>2119.5631666150084</c:v>
                </c:pt>
                <c:pt idx="391">
                  <c:v>2123.6392985877278</c:v>
                </c:pt>
                <c:pt idx="392">
                  <c:v>2127.7232693699343</c:v>
                </c:pt>
                <c:pt idx="393">
                  <c:v>2131.815094036443</c:v>
                </c:pt>
                <c:pt idx="394">
                  <c:v>2135.9147876910583</c:v>
                </c:pt>
                <c:pt idx="395">
                  <c:v>2140.0223654666315</c:v>
                </c:pt>
                <c:pt idx="396">
                  <c:v>2144.1378425251164</c:v>
                </c:pt>
                <c:pt idx="397">
                  <c:v>2148.2612340576238</c:v>
                </c:pt>
                <c:pt idx="398">
                  <c:v>2152.3925552844785</c:v>
                </c:pt>
                <c:pt idx="399">
                  <c:v>2156.5318214552758</c:v>
                </c:pt>
                <c:pt idx="400">
                  <c:v>2160.6790478489388</c:v>
                </c:pt>
                <c:pt idx="401">
                  <c:v>2164.8342497737708</c:v>
                </c:pt>
                <c:pt idx="402">
                  <c:v>2168.9974425675168</c:v>
                </c:pt>
                <c:pt idx="403">
                  <c:v>2173.1686415974168</c:v>
                </c:pt>
                <c:pt idx="404">
                  <c:v>2177.3478622602638</c:v>
                </c:pt>
                <c:pt idx="405">
                  <c:v>2181.5351199824599</c:v>
                </c:pt>
                <c:pt idx="406">
                  <c:v>2185.730430220075</c:v>
                </c:pt>
                <c:pt idx="407">
                  <c:v>2189.9338084589003</c:v>
                </c:pt>
                <c:pt idx="408">
                  <c:v>2194.1452702145107</c:v>
                </c:pt>
                <c:pt idx="409">
                  <c:v>2198.364831032316</c:v>
                </c:pt>
                <c:pt idx="410">
                  <c:v>2202.5925064876237</c:v>
                </c:pt>
                <c:pt idx="411">
                  <c:v>2206.8283121856934</c:v>
                </c:pt>
                <c:pt idx="412">
                  <c:v>2211.0722637617951</c:v>
                </c:pt>
                <c:pt idx="413">
                  <c:v>2215.3243768812663</c:v>
                </c:pt>
                <c:pt idx="414">
                  <c:v>2219.5846672395733</c:v>
                </c:pt>
                <c:pt idx="415">
                  <c:v>2223.8531505623614</c:v>
                </c:pt>
                <c:pt idx="416">
                  <c:v>2228.1298426055228</c:v>
                </c:pt>
                <c:pt idx="417">
                  <c:v>2232.4147591552469</c:v>
                </c:pt>
                <c:pt idx="418">
                  <c:v>2236.7079160280832</c:v>
                </c:pt>
                <c:pt idx="419">
                  <c:v>2241.0093290709965</c:v>
                </c:pt>
                <c:pt idx="420">
                  <c:v>2245.3190141614282</c:v>
                </c:pt>
                <c:pt idx="421">
                  <c:v>2249.6369872073533</c:v>
                </c:pt>
                <c:pt idx="422">
                  <c:v>2253.9632641473386</c:v>
                </c:pt>
                <c:pt idx="423">
                  <c:v>2258.2978609506026</c:v>
                </c:pt>
                <c:pt idx="424">
                  <c:v>2262.6407936170749</c:v>
                </c:pt>
                <c:pt idx="425">
                  <c:v>2266.9920781774554</c:v>
                </c:pt>
                <c:pt idx="426">
                  <c:v>2271.3517306932695</c:v>
                </c:pt>
                <c:pt idx="427">
                  <c:v>2275.7197672569341</c:v>
                </c:pt>
                <c:pt idx="428">
                  <c:v>2280.0962039918109</c:v>
                </c:pt>
                <c:pt idx="429">
                  <c:v>2284.4810570522695</c:v>
                </c:pt>
                <c:pt idx="430">
                  <c:v>2288.8743426237461</c:v>
                </c:pt>
                <c:pt idx="431">
                  <c:v>2293.2760769228025</c:v>
                </c:pt>
                <c:pt idx="432">
                  <c:v>2297.686276197187</c:v>
                </c:pt>
                <c:pt idx="433">
                  <c:v>2302.1049567258938</c:v>
                </c:pt>
                <c:pt idx="434">
                  <c:v>2306.5321348192238</c:v>
                </c:pt>
                <c:pt idx="435">
                  <c:v>2310.9678268188427</c:v>
                </c:pt>
                <c:pt idx="436">
                  <c:v>2315.4120490978448</c:v>
                </c:pt>
                <c:pt idx="437">
                  <c:v>2319.8648180608097</c:v>
                </c:pt>
                <c:pt idx="438">
                  <c:v>2324.3261501438669</c:v>
                </c:pt>
                <c:pt idx="439">
                  <c:v>2328.7960618147513</c:v>
                </c:pt>
                <c:pt idx="440">
                  <c:v>2333.274569572869</c:v>
                </c:pt>
                <c:pt idx="441">
                  <c:v>2337.761689949356</c:v>
                </c:pt>
                <c:pt idx="442">
                  <c:v>2342.2574395071383</c:v>
                </c:pt>
                <c:pt idx="443">
                  <c:v>2346.7618348409947</c:v>
                </c:pt>
                <c:pt idx="444">
                  <c:v>2351.2748925776182</c:v>
                </c:pt>
                <c:pt idx="445">
                  <c:v>2355.7966293756745</c:v>
                </c:pt>
                <c:pt idx="446">
                  <c:v>2360.3270619258678</c:v>
                </c:pt>
                <c:pt idx="447">
                  <c:v>2364.8662069509983</c:v>
                </c:pt>
                <c:pt idx="448">
                  <c:v>2369.4140812060277</c:v>
                </c:pt>
                <c:pt idx="449">
                  <c:v>2373.9707014781379</c:v>
                </c:pt>
                <c:pt idx="450">
                  <c:v>2378.536084586794</c:v>
                </c:pt>
                <c:pt idx="451">
                  <c:v>2383.1102473838077</c:v>
                </c:pt>
                <c:pt idx="452">
                  <c:v>2387.6932067533985</c:v>
                </c:pt>
                <c:pt idx="453">
                  <c:v>2392.2849796122537</c:v>
                </c:pt>
                <c:pt idx="454">
                  <c:v>2396.885582909596</c:v>
                </c:pt>
                <c:pt idx="455">
                  <c:v>2401.4950336272418</c:v>
                </c:pt>
                <c:pt idx="456">
                  <c:v>2406.1133487796637</c:v>
                </c:pt>
                <c:pt idx="457">
                  <c:v>2410.7405454140589</c:v>
                </c:pt>
                <c:pt idx="458">
                  <c:v>2415.3766406104037</c:v>
                </c:pt>
                <c:pt idx="459">
                  <c:v>2420.0216514815233</c:v>
                </c:pt>
                <c:pt idx="460">
                  <c:v>2424.675595173152</c:v>
                </c:pt>
                <c:pt idx="461">
                  <c:v>2429.338488863998</c:v>
                </c:pt>
                <c:pt idx="462">
                  <c:v>2434.0103497658042</c:v>
                </c:pt>
                <c:pt idx="463">
                  <c:v>2438.6911951234138</c:v>
                </c:pt>
                <c:pt idx="464">
                  <c:v>2443.3810422148349</c:v>
                </c:pt>
                <c:pt idx="465">
                  <c:v>2448.0799083513007</c:v>
                </c:pt>
                <c:pt idx="466">
                  <c:v>2452.7878108773384</c:v>
                </c:pt>
                <c:pt idx="467">
                  <c:v>2457.504767170828</c:v>
                </c:pt>
                <c:pt idx="468">
                  <c:v>2462.230794643071</c:v>
                </c:pt>
                <c:pt idx="469">
                  <c:v>2466.9659107388493</c:v>
                </c:pt>
                <c:pt idx="470">
                  <c:v>2471.7101329364978</c:v>
                </c:pt>
                <c:pt idx="471">
                  <c:v>2476.4634787479586</c:v>
                </c:pt>
                <c:pt idx="472">
                  <c:v>2481.2259657188552</c:v>
                </c:pt>
                <c:pt idx="473">
                  <c:v>2485.9976114285514</c:v>
                </c:pt>
                <c:pt idx="474">
                  <c:v>2490.7784334902176</c:v>
                </c:pt>
                <c:pt idx="475">
                  <c:v>2495.5684495508967</c:v>
                </c:pt>
                <c:pt idx="476">
                  <c:v>2500.3676772915683</c:v>
                </c:pt>
                <c:pt idx="477">
                  <c:v>2505.1761344272145</c:v>
                </c:pt>
                <c:pt idx="478">
                  <c:v>2509.9938387068851</c:v>
                </c:pt>
                <c:pt idx="479">
                  <c:v>2514.8208079137621</c:v>
                </c:pt>
                <c:pt idx="480">
                  <c:v>2519.6570598652279</c:v>
                </c:pt>
                <c:pt idx="481">
                  <c:v>2524.5026124129299</c:v>
                </c:pt>
                <c:pt idx="482">
                  <c:v>2529.3574834428423</c:v>
                </c:pt>
                <c:pt idx="483">
                  <c:v>2534.2216908753412</c:v>
                </c:pt>
                <c:pt idx="484">
                  <c:v>2539.0952526652609</c:v>
                </c:pt>
                <c:pt idx="485">
                  <c:v>2543.9781868019668</c:v>
                </c:pt>
                <c:pt idx="486">
                  <c:v>2548.8705113094193</c:v>
                </c:pt>
                <c:pt idx="487">
                  <c:v>2553.7722442462405</c:v>
                </c:pt>
                <c:pt idx="488">
                  <c:v>2558.6834037057815</c:v>
                </c:pt>
                <c:pt idx="489">
                  <c:v>2563.6040078161877</c:v>
                </c:pt>
                <c:pt idx="490">
                  <c:v>2568.534074740468</c:v>
                </c:pt>
                <c:pt idx="491">
                  <c:v>2573.4736226765594</c:v>
                </c:pt>
                <c:pt idx="492">
                  <c:v>2578.4226698573971</c:v>
                </c:pt>
                <c:pt idx="493">
                  <c:v>2583.3812345509768</c:v>
                </c:pt>
                <c:pt idx="494">
                  <c:v>2588.3493350604299</c:v>
                </c:pt>
                <c:pt idx="495">
                  <c:v>2593.3269897240821</c:v>
                </c:pt>
                <c:pt idx="496">
                  <c:v>2598.3142169155285</c:v>
                </c:pt>
                <c:pt idx="497">
                  <c:v>2603.3110350436973</c:v>
                </c:pt>
                <c:pt idx="498">
                  <c:v>2608.3174625529196</c:v>
                </c:pt>
                <c:pt idx="499">
                  <c:v>2613.3335179229953</c:v>
                </c:pt>
                <c:pt idx="500">
                  <c:v>2618.3592196692648</c:v>
                </c:pt>
                <c:pt idx="501">
                  <c:v>2623.3945863426738</c:v>
                </c:pt>
                <c:pt idx="502">
                  <c:v>2628.4396365298444</c:v>
                </c:pt>
                <c:pt idx="503">
                  <c:v>2633.4943888531416</c:v>
                </c:pt>
                <c:pt idx="504">
                  <c:v>2638.5588619707437</c:v>
                </c:pt>
                <c:pt idx="505">
                  <c:v>2643.6330745767109</c:v>
                </c:pt>
                <c:pt idx="506">
                  <c:v>2648.7170454010529</c:v>
                </c:pt>
                <c:pt idx="507">
                  <c:v>2653.8107932098001</c:v>
                </c:pt>
                <c:pt idx="508">
                  <c:v>2658.9143368050713</c:v>
                </c:pt>
                <c:pt idx="509">
                  <c:v>2664.0276950251437</c:v>
                </c:pt>
                <c:pt idx="510">
                  <c:v>2669.1508867445223</c:v>
                </c:pt>
                <c:pt idx="511">
                  <c:v>2674.2839308740104</c:v>
                </c:pt>
                <c:pt idx="512">
                  <c:v>2679.4268463607773</c:v>
                </c:pt>
                <c:pt idx="513">
                  <c:v>2684.5796521884313</c:v>
                </c:pt>
                <c:pt idx="514">
                  <c:v>2689.7423673770863</c:v>
                </c:pt>
                <c:pt idx="515">
                  <c:v>2694.915010983435</c:v>
                </c:pt>
                <c:pt idx="516">
                  <c:v>2700.0976021008182</c:v>
                </c:pt>
                <c:pt idx="517">
                  <c:v>2705.2901598592939</c:v>
                </c:pt>
                <c:pt idx="518">
                  <c:v>2710.4927034257107</c:v>
                </c:pt>
                <c:pt idx="519">
                  <c:v>2715.7052520037746</c:v>
                </c:pt>
                <c:pt idx="520">
                  <c:v>2720.9278248341247</c:v>
                </c:pt>
                <c:pt idx="521">
                  <c:v>2726.1604411944008</c:v>
                </c:pt>
                <c:pt idx="522">
                  <c:v>2731.4031203993163</c:v>
                </c:pt>
                <c:pt idx="523">
                  <c:v>2736.6558818007256</c:v>
                </c:pt>
                <c:pt idx="524">
                  <c:v>2741.918744787703</c:v>
                </c:pt>
                <c:pt idx="525">
                  <c:v>2747.1917287866081</c:v>
                </c:pt>
                <c:pt idx="526">
                  <c:v>2752.474853261157</c:v>
                </c:pt>
                <c:pt idx="527">
                  <c:v>2757.7681377125009</c:v>
                </c:pt>
                <c:pt idx="528">
                  <c:v>2763.0716016792903</c:v>
                </c:pt>
                <c:pt idx="529">
                  <c:v>2768.3852647377521</c:v>
                </c:pt>
                <c:pt idx="530">
                  <c:v>2773.7091465017593</c:v>
                </c:pt>
                <c:pt idx="531">
                  <c:v>2779.0432666229049</c:v>
                </c:pt>
                <c:pt idx="532">
                  <c:v>2784.3876447905732</c:v>
                </c:pt>
                <c:pt idx="533">
                  <c:v>2789.7423007320158</c:v>
                </c:pt>
                <c:pt idx="534">
                  <c:v>2795.1072542124166</c:v>
                </c:pt>
                <c:pt idx="535">
                  <c:v>2800.482525034975</c:v>
                </c:pt>
                <c:pt idx="536">
                  <c:v>2805.8681330409713</c:v>
                </c:pt>
                <c:pt idx="537">
                  <c:v>2811.2640981098443</c:v>
                </c:pt>
                <c:pt idx="538">
                  <c:v>2816.6704401592606</c:v>
                </c:pt>
                <c:pt idx="539">
                  <c:v>2822.0871791451909</c:v>
                </c:pt>
                <c:pt idx="540">
                  <c:v>2827.5143350619865</c:v>
                </c:pt>
                <c:pt idx="541">
                  <c:v>2832.9519279424458</c:v>
                </c:pt>
                <c:pt idx="542">
                  <c:v>2838.3999778578927</c:v>
                </c:pt>
                <c:pt idx="543">
                  <c:v>2843.8585049182539</c:v>
                </c:pt>
                <c:pt idx="544">
                  <c:v>2849.3275292721269</c:v>
                </c:pt>
                <c:pt idx="545">
                  <c:v>2854.8070711068544</c:v>
                </c:pt>
                <c:pt idx="546">
                  <c:v>2860.2971506486065</c:v>
                </c:pt>
                <c:pt idx="547">
                  <c:v>2865.797788162447</c:v>
                </c:pt>
                <c:pt idx="548">
                  <c:v>2871.3090039524122</c:v>
                </c:pt>
                <c:pt idx="549">
                  <c:v>2876.8308183615854</c:v>
                </c:pt>
                <c:pt idx="550">
                  <c:v>2882.3632517721717</c:v>
                </c:pt>
                <c:pt idx="551">
                  <c:v>2887.9063246055721</c:v>
                </c:pt>
                <c:pt idx="552">
                  <c:v>2893.460057322462</c:v>
                </c:pt>
                <c:pt idx="553">
                  <c:v>2899.0244704228621</c:v>
                </c:pt>
                <c:pt idx="554">
                  <c:v>2904.5995844462195</c:v>
                </c:pt>
                <c:pt idx="555">
                  <c:v>2910.185419971479</c:v>
                </c:pt>
                <c:pt idx="556">
                  <c:v>2915.7819976171609</c:v>
                </c:pt>
                <c:pt idx="557">
                  <c:v>2921.3893380414365</c:v>
                </c:pt>
                <c:pt idx="558">
                  <c:v>2927.0074619422066</c:v>
                </c:pt>
                <c:pt idx="559">
                  <c:v>2932.636390057176</c:v>
                </c:pt>
                <c:pt idx="560">
                  <c:v>2938.2761431639274</c:v>
                </c:pt>
                <c:pt idx="561">
                  <c:v>2943.9267420800024</c:v>
                </c:pt>
                <c:pt idx="562">
                  <c:v>2949.5882076629796</c:v>
                </c:pt>
                <c:pt idx="563">
                  <c:v>2955.260560810545</c:v>
                </c:pt>
                <c:pt idx="564">
                  <c:v>2960.9438224605733</c:v>
                </c:pt>
                <c:pt idx="565">
                  <c:v>2966.6380135912073</c:v>
                </c:pt>
                <c:pt idx="566">
                  <c:v>2972.3431552209317</c:v>
                </c:pt>
                <c:pt idx="567">
                  <c:v>2978.0592684086496</c:v>
                </c:pt>
                <c:pt idx="568">
                  <c:v>2983.7863742537656</c:v>
                </c:pt>
                <c:pt idx="569">
                  <c:v>2989.5244938962596</c:v>
                </c:pt>
                <c:pt idx="570">
                  <c:v>2995.2736485167666</c:v>
                </c:pt>
                <c:pt idx="571">
                  <c:v>3001.03385933665</c:v>
                </c:pt>
                <c:pt idx="572">
                  <c:v>3006.8051476180894</c:v>
                </c:pt>
                <c:pt idx="573">
                  <c:v>3012.5875346641506</c:v>
                </c:pt>
                <c:pt idx="574">
                  <c:v>3018.3810418188687</c:v>
                </c:pt>
                <c:pt idx="575">
                  <c:v>3024.1856904673245</c:v>
                </c:pt>
                <c:pt idx="576">
                  <c:v>3030.0015020357246</c:v>
                </c:pt>
                <c:pt idx="577">
                  <c:v>3035.8284979914806</c:v>
                </c:pt>
                <c:pt idx="578">
                  <c:v>3041.6666998432893</c:v>
                </c:pt>
                <c:pt idx="579">
                  <c:v>3047.5161291412078</c:v>
                </c:pt>
                <c:pt idx="580">
                  <c:v>3053.376807476739</c:v>
                </c:pt>
                <c:pt idx="581">
                  <c:v>3059.2487564829075</c:v>
                </c:pt>
                <c:pt idx="582">
                  <c:v>3065.1319978343399</c:v>
                </c:pt>
                <c:pt idx="583">
                  <c:v>3071.026553247345</c:v>
                </c:pt>
                <c:pt idx="584">
                  <c:v>3076.9324444799968</c:v>
                </c:pt>
                <c:pt idx="585">
                  <c:v>3082.849693332209</c:v>
                </c:pt>
                <c:pt idx="586">
                  <c:v>3088.7783216458192</c:v>
                </c:pt>
                <c:pt idx="587">
                  <c:v>3094.7183513046712</c:v>
                </c:pt>
                <c:pt idx="588">
                  <c:v>3100.6698042346916</c:v>
                </c:pt>
                <c:pt idx="589">
                  <c:v>3106.6327024039742</c:v>
                </c:pt>
                <c:pt idx="590">
                  <c:v>3112.6070678228575</c:v>
                </c:pt>
                <c:pt idx="591">
                  <c:v>3118.5929225440113</c:v>
                </c:pt>
                <c:pt idx="592">
                  <c:v>3124.5902886625117</c:v>
                </c:pt>
                <c:pt idx="593">
                  <c:v>3130.5991883159272</c:v>
                </c:pt>
                <c:pt idx="594">
                  <c:v>3136.6196436844007</c:v>
                </c:pt>
                <c:pt idx="595">
                  <c:v>3142.6516769907257</c:v>
                </c:pt>
                <c:pt idx="596">
                  <c:v>3148.6953105004359</c:v>
                </c:pt>
                <c:pt idx="597">
                  <c:v>3154.7505665218832</c:v>
                </c:pt>
                <c:pt idx="598">
                  <c:v>3160.8174674063193</c:v>
                </c:pt>
                <c:pt idx="599">
                  <c:v>3166.8960355479799</c:v>
                </c:pt>
                <c:pt idx="600">
                  <c:v>3172.98629338417</c:v>
                </c:pt>
                <c:pt idx="601">
                  <c:v>3179.0882633953393</c:v>
                </c:pt>
                <c:pt idx="602">
                  <c:v>3185.2019681051725</c:v>
                </c:pt>
                <c:pt idx="603">
                  <c:v>3191.3274300806684</c:v>
                </c:pt>
                <c:pt idx="604">
                  <c:v>3197.4646719322259</c:v>
                </c:pt>
                <c:pt idx="605">
                  <c:v>3203.6137163137241</c:v>
                </c:pt>
                <c:pt idx="606">
                  <c:v>3209.7745859226075</c:v>
                </c:pt>
                <c:pt idx="607">
                  <c:v>3215.9473034999737</c:v>
                </c:pt>
                <c:pt idx="608">
                  <c:v>3222.1318918306497</c:v>
                </c:pt>
                <c:pt idx="609">
                  <c:v>3228.3283737432807</c:v>
                </c:pt>
                <c:pt idx="610">
                  <c:v>3234.5367721104158</c:v>
                </c:pt>
                <c:pt idx="611">
                  <c:v>3240.7571098485896</c:v>
                </c:pt>
                <c:pt idx="612">
                  <c:v>3246.9894099184039</c:v>
                </c:pt>
                <c:pt idx="613">
                  <c:v>3253.2336953246213</c:v>
                </c:pt>
                <c:pt idx="614">
                  <c:v>3259.4899891162418</c:v>
                </c:pt>
                <c:pt idx="615">
                  <c:v>3265.7583143865918</c:v>
                </c:pt>
                <c:pt idx="616">
                  <c:v>3272.0386942734081</c:v>
                </c:pt>
                <c:pt idx="617">
                  <c:v>3278.3311519589238</c:v>
                </c:pt>
                <c:pt idx="618">
                  <c:v>3284.6357106699547</c:v>
                </c:pt>
                <c:pt idx="619">
                  <c:v>3290.9523936779819</c:v>
                </c:pt>
                <c:pt idx="620">
                  <c:v>3297.2812242992422</c:v>
                </c:pt>
                <c:pt idx="621">
                  <c:v>3303.6222258948105</c:v>
                </c:pt>
                <c:pt idx="622">
                  <c:v>3309.9754218706876</c:v>
                </c:pt>
                <c:pt idx="623">
                  <c:v>3316.3408356778882</c:v>
                </c:pt>
                <c:pt idx="624">
                  <c:v>3322.7184908125214</c:v>
                </c:pt>
                <c:pt idx="625">
                  <c:v>3329.1084108158848</c:v>
                </c:pt>
                <c:pt idx="626">
                  <c:v>3335.5106192745498</c:v>
                </c:pt>
                <c:pt idx="627">
                  <c:v>3341.9251398204428</c:v>
                </c:pt>
                <c:pt idx="628">
                  <c:v>3348.3519961309394</c:v>
                </c:pt>
                <c:pt idx="629">
                  <c:v>3354.7912119289499</c:v>
                </c:pt>
                <c:pt idx="630">
                  <c:v>3361.2428109830053</c:v>
                </c:pt>
                <c:pt idx="631">
                  <c:v>3367.7068171073429</c:v>
                </c:pt>
                <c:pt idx="632">
                  <c:v>3374.183254162002</c:v>
                </c:pt>
                <c:pt idx="633">
                  <c:v>3380.6721460529052</c:v>
                </c:pt>
                <c:pt idx="634">
                  <c:v>3387.173516731948</c:v>
                </c:pt>
                <c:pt idx="635">
                  <c:v>3393.6873901970862</c:v>
                </c:pt>
                <c:pt idx="636">
                  <c:v>3400.2137904924307</c:v>
                </c:pt>
                <c:pt idx="637">
                  <c:v>3406.7527417083274</c:v>
                </c:pt>
                <c:pt idx="638">
                  <c:v>3413.304267981453</c:v>
                </c:pt>
                <c:pt idx="639">
                  <c:v>3419.8683934948999</c:v>
                </c:pt>
                <c:pt idx="640">
                  <c:v>3426.4451424782669</c:v>
                </c:pt>
                <c:pt idx="641">
                  <c:v>3433.0345392077497</c:v>
                </c:pt>
                <c:pt idx="642">
                  <c:v>3439.6366080062289</c:v>
                </c:pt>
                <c:pt idx="643">
                  <c:v>3446.2513732433613</c:v>
                </c:pt>
                <c:pt idx="644">
                  <c:v>3452.8788593356667</c:v>
                </c:pt>
                <c:pt idx="645">
                  <c:v>3459.5190907466249</c:v>
                </c:pt>
                <c:pt idx="646">
                  <c:v>3466.1720919867557</c:v>
                </c:pt>
                <c:pt idx="647">
                  <c:v>3472.8378876137185</c:v>
                </c:pt>
                <c:pt idx="648">
                  <c:v>3479.5165022324004</c:v>
                </c:pt>
                <c:pt idx="649">
                  <c:v>3486.2079604950036</c:v>
                </c:pt>
                <c:pt idx="650">
                  <c:v>3492.9122871011396</c:v>
                </c:pt>
                <c:pt idx="651">
                  <c:v>3499.6295067979204</c:v>
                </c:pt>
                <c:pt idx="652">
                  <c:v>3506.3596443800488</c:v>
                </c:pt>
                <c:pt idx="653">
                  <c:v>3513.1027246899121</c:v>
                </c:pt>
                <c:pt idx="654">
                  <c:v>3519.858772617667</c:v>
                </c:pt>
                <c:pt idx="655">
                  <c:v>3526.6278131013423</c:v>
                </c:pt>
                <c:pt idx="656">
                  <c:v>3533.4098711269226</c:v>
                </c:pt>
                <c:pt idx="657">
                  <c:v>3540.2049717284403</c:v>
                </c:pt>
                <c:pt idx="658">
                  <c:v>3547.0131399880775</c:v>
                </c:pt>
                <c:pt idx="659">
                  <c:v>3553.8344010362448</c:v>
                </c:pt>
                <c:pt idx="660">
                  <c:v>3560.6687800516852</c:v>
                </c:pt>
                <c:pt idx="661">
                  <c:v>3567.516302261562</c:v>
                </c:pt>
                <c:pt idx="662">
                  <c:v>3574.3769929415521</c:v>
                </c:pt>
                <c:pt idx="663">
                  <c:v>3581.2508774159405</c:v>
                </c:pt>
                <c:pt idx="664">
                  <c:v>3588.1379810577155</c:v>
                </c:pt>
                <c:pt idx="665">
                  <c:v>3595.0383292886559</c:v>
                </c:pt>
                <c:pt idx="666">
                  <c:v>3601.9519475794327</c:v>
                </c:pt>
                <c:pt idx="667">
                  <c:v>3608.8788614496966</c:v>
                </c:pt>
                <c:pt idx="668">
                  <c:v>3615.8190964681799</c:v>
                </c:pt>
                <c:pt idx="669">
                  <c:v>3622.7726782527802</c:v>
                </c:pt>
                <c:pt idx="670">
                  <c:v>3629.7396324706638</c:v>
                </c:pt>
                <c:pt idx="671">
                  <c:v>3636.7199848383598</c:v>
                </c:pt>
                <c:pt idx="672">
                  <c:v>3643.7137611218482</c:v>
                </c:pt>
                <c:pt idx="673">
                  <c:v>3650.7209871366613</c:v>
                </c:pt>
                <c:pt idx="674">
                  <c:v>3657.7416887479803</c:v>
                </c:pt>
                <c:pt idx="675">
                  <c:v>3664.7758918707241</c:v>
                </c:pt>
                <c:pt idx="676">
                  <c:v>3671.8236224696475</c:v>
                </c:pt>
                <c:pt idx="677">
                  <c:v>3678.8849065594436</c:v>
                </c:pt>
                <c:pt idx="678">
                  <c:v>3685.9597702048286</c:v>
                </c:pt>
                <c:pt idx="679">
                  <c:v>3693.0482395206473</c:v>
                </c:pt>
                <c:pt idx="680">
                  <c:v>3700.1503406719644</c:v>
                </c:pt>
                <c:pt idx="681">
                  <c:v>3707.266099874163</c:v>
                </c:pt>
                <c:pt idx="682">
                  <c:v>3714.3955433930419</c:v>
                </c:pt>
                <c:pt idx="683">
                  <c:v>3721.5386975449082</c:v>
                </c:pt>
                <c:pt idx="684">
                  <c:v>3728.6955886966834</c:v>
                </c:pt>
                <c:pt idx="685">
                  <c:v>3735.8662432659917</c:v>
                </c:pt>
                <c:pt idx="686">
                  <c:v>3743.0506877212606</c:v>
                </c:pt>
                <c:pt idx="687">
                  <c:v>3750.248948581821</c:v>
                </c:pt>
                <c:pt idx="688">
                  <c:v>3757.4610524180021</c:v>
                </c:pt>
                <c:pt idx="689">
                  <c:v>3764.6870258512295</c:v>
                </c:pt>
                <c:pt idx="690">
                  <c:v>3771.9268955541284</c:v>
                </c:pt>
                <c:pt idx="691">
                  <c:v>3779.1806882506125</c:v>
                </c:pt>
                <c:pt idx="692">
                  <c:v>3786.4484307159914</c:v>
                </c:pt>
                <c:pt idx="693">
                  <c:v>3793.7301497770673</c:v>
                </c:pt>
                <c:pt idx="694">
                  <c:v>3801.025872312232</c:v>
                </c:pt>
                <c:pt idx="695">
                  <c:v>3808.3356252515637</c:v>
                </c:pt>
                <c:pt idx="696">
                  <c:v>3815.6594355769371</c:v>
                </c:pt>
                <c:pt idx="697">
                  <c:v>3822.9973303221095</c:v>
                </c:pt>
                <c:pt idx="698">
                  <c:v>3830.3493365728282</c:v>
                </c:pt>
                <c:pt idx="699">
                  <c:v>3837.7154814669307</c:v>
                </c:pt>
                <c:pt idx="700">
                  <c:v>3845.0957921944423</c:v>
                </c:pt>
                <c:pt idx="701">
                  <c:v>3852.4902959976789</c:v>
                </c:pt>
                <c:pt idx="702">
                  <c:v>3859.8990201713418</c:v>
                </c:pt>
                <c:pt idx="703">
                  <c:v>3867.3219920626279</c:v>
                </c:pt>
                <c:pt idx="704">
                  <c:v>3874.7592390713235</c:v>
                </c:pt>
                <c:pt idx="705">
                  <c:v>3882.2107886499057</c:v>
                </c:pt>
                <c:pt idx="706">
                  <c:v>3889.6766683036476</c:v>
                </c:pt>
                <c:pt idx="707">
                  <c:v>3897.156905590718</c:v>
                </c:pt>
                <c:pt idx="708">
                  <c:v>3904.6515281222796</c:v>
                </c:pt>
                <c:pt idx="709">
                  <c:v>3912.1605635625992</c:v>
                </c:pt>
                <c:pt idx="710">
                  <c:v>3919.6840396291404</c:v>
                </c:pt>
                <c:pt idx="711">
                  <c:v>3927.2219840926709</c:v>
                </c:pt>
                <c:pt idx="712">
                  <c:v>3934.7744247773685</c:v>
                </c:pt>
                <c:pt idx="713">
                  <c:v>3942.3413895609128</c:v>
                </c:pt>
                <c:pt idx="714">
                  <c:v>3949.9229063746002</c:v>
                </c:pt>
                <c:pt idx="715">
                  <c:v>3957.5190032034398</c:v>
                </c:pt>
                <c:pt idx="716">
                  <c:v>3965.129708086261</c:v>
                </c:pt>
                <c:pt idx="717">
                  <c:v>3972.7550491158099</c:v>
                </c:pt>
                <c:pt idx="718">
                  <c:v>3980.3950544388613</c:v>
                </c:pt>
                <c:pt idx="719">
                  <c:v>3988.0497522563192</c:v>
                </c:pt>
                <c:pt idx="720">
                  <c:v>3995.7191708233213</c:v>
                </c:pt>
                <c:pt idx="721">
                  <c:v>4003.4033384493364</c:v>
                </c:pt>
                <c:pt idx="722">
                  <c:v>4011.1022834982864</c:v>
                </c:pt>
                <c:pt idx="723">
                  <c:v>4018.8160343886289</c:v>
                </c:pt>
                <c:pt idx="724">
                  <c:v>4026.544619593481</c:v>
                </c:pt>
                <c:pt idx="725">
                  <c:v>4034.2880676407117</c:v>
                </c:pt>
                <c:pt idx="726">
                  <c:v>4042.0464071130536</c:v>
                </c:pt>
                <c:pt idx="727">
                  <c:v>4049.8196666482063</c:v>
                </c:pt>
                <c:pt idx="728">
                  <c:v>4057.6078749389444</c:v>
                </c:pt>
                <c:pt idx="729">
                  <c:v>4065.4110607332186</c:v>
                </c:pt>
                <c:pt idx="730">
                  <c:v>4073.2292528342668</c:v>
                </c:pt>
                <c:pt idx="731">
                  <c:v>4081.0624801007175</c:v>
                </c:pt>
                <c:pt idx="732">
                  <c:v>4088.9107714466986</c:v>
                </c:pt>
                <c:pt idx="733">
                  <c:v>4096.7741558419411</c:v>
                </c:pt>
                <c:pt idx="734">
                  <c:v>4104.652662311888</c:v>
                </c:pt>
                <c:pt idx="735">
                  <c:v>4112.5463199378028</c:v>
                </c:pt>
                <c:pt idx="736">
                  <c:v>4120.4551578568726</c:v>
                </c:pt>
                <c:pt idx="737">
                  <c:v>4128.3792052623194</c:v>
                </c:pt>
                <c:pt idx="738">
                  <c:v>4136.3184914035073</c:v>
                </c:pt>
                <c:pt idx="739">
                  <c:v>4144.273045586051</c:v>
                </c:pt>
                <c:pt idx="740">
                  <c:v>4152.2428971719173</c:v>
                </c:pt>
                <c:pt idx="741">
                  <c:v>4160.2280755795464</c:v>
                </c:pt>
                <c:pt idx="742">
                  <c:v>4168.2286102839489</c:v>
                </c:pt>
                <c:pt idx="743">
                  <c:v>4176.244530816818</c:v>
                </c:pt>
                <c:pt idx="744">
                  <c:v>4184.2758667666412</c:v>
                </c:pt>
                <c:pt idx="745">
                  <c:v>4192.3226477788085</c:v>
                </c:pt>
                <c:pt idx="746">
                  <c:v>4200.3849035557187</c:v>
                </c:pt>
                <c:pt idx="747">
                  <c:v>4208.4626638568916</c:v>
                </c:pt>
                <c:pt idx="748">
                  <c:v>4216.5559584990788</c:v>
                </c:pt>
                <c:pt idx="749">
                  <c:v>4224.6648173563726</c:v>
                </c:pt>
                <c:pt idx="750">
                  <c:v>4232.7892703603138</c:v>
                </c:pt>
                <c:pt idx="751">
                  <c:v>4240.9293475000077</c:v>
                </c:pt>
                <c:pt idx="752">
                  <c:v>4249.0850788222297</c:v>
                </c:pt>
                <c:pt idx="753">
                  <c:v>4257.2564944315363</c:v>
                </c:pt>
                <c:pt idx="754">
                  <c:v>4265.4436244903854</c:v>
                </c:pt>
                <c:pt idx="755">
                  <c:v>4273.6464992192305</c:v>
                </c:pt>
                <c:pt idx="756">
                  <c:v>4281.865148896648</c:v>
                </c:pt>
                <c:pt idx="757">
                  <c:v>4290.099603859444</c:v>
                </c:pt>
                <c:pt idx="758">
                  <c:v>4298.3498945027604</c:v>
                </c:pt>
                <c:pt idx="759">
                  <c:v>4306.6160512801962</c:v>
                </c:pt>
                <c:pt idx="760">
                  <c:v>4314.8981047039142</c:v>
                </c:pt>
                <c:pt idx="761">
                  <c:v>4323.1960853447554</c:v>
                </c:pt>
                <c:pt idx="762">
                  <c:v>4331.5100238323512</c:v>
                </c:pt>
                <c:pt idx="763">
                  <c:v>4339.8399508552347</c:v>
                </c:pt>
                <c:pt idx="764">
                  <c:v>4348.1858971609627</c:v>
                </c:pt>
                <c:pt idx="765">
                  <c:v>4356.5478935562169</c:v>
                </c:pt>
                <c:pt idx="766">
                  <c:v>4364.9259709069211</c:v>
                </c:pt>
                <c:pt idx="767">
                  <c:v>4373.3201601383662</c:v>
                </c:pt>
                <c:pt idx="768">
                  <c:v>4381.7304922353087</c:v>
                </c:pt>
                <c:pt idx="769">
                  <c:v>4390.1569982420924</c:v>
                </c:pt>
                <c:pt idx="770">
                  <c:v>4398.5997092627658</c:v>
                </c:pt>
                <c:pt idx="771">
                  <c:v>4407.0586564611904</c:v>
                </c:pt>
                <c:pt idx="772">
                  <c:v>4415.5338710611595</c:v>
                </c:pt>
                <c:pt idx="773">
                  <c:v>4424.0253843465134</c:v>
                </c:pt>
                <c:pt idx="774">
                  <c:v>4432.5332276612544</c:v>
                </c:pt>
                <c:pt idx="775">
                  <c:v>4441.0574324096615</c:v>
                </c:pt>
                <c:pt idx="776">
                  <c:v>4449.5980300564124</c:v>
                </c:pt>
                <c:pt idx="777">
                  <c:v>4458.1550521266845</c:v>
                </c:pt>
                <c:pt idx="778">
                  <c:v>4466.728530206291</c:v>
                </c:pt>
                <c:pt idx="779">
                  <c:v>4475.3184959417813</c:v>
                </c:pt>
                <c:pt idx="780">
                  <c:v>4483.9249810405709</c:v>
                </c:pt>
                <c:pt idx="781">
                  <c:v>4492.5480172710422</c:v>
                </c:pt>
                <c:pt idx="782">
                  <c:v>4501.1876364626796</c:v>
                </c:pt>
                <c:pt idx="783">
                  <c:v>4509.8438705061762</c:v>
                </c:pt>
                <c:pt idx="784">
                  <c:v>4518.5167513535553</c:v>
                </c:pt>
                <c:pt idx="785">
                  <c:v>4527.2063110182826</c:v>
                </c:pt>
                <c:pt idx="786">
                  <c:v>4535.9125815753951</c:v>
                </c:pt>
                <c:pt idx="787">
                  <c:v>4544.6355951616088</c:v>
                </c:pt>
                <c:pt idx="788">
                  <c:v>4553.3753839754427</c:v>
                </c:pt>
                <c:pt idx="789">
                  <c:v>4562.1319802773387</c:v>
                </c:pt>
                <c:pt idx="790">
                  <c:v>4570.9054163897763</c:v>
                </c:pt>
                <c:pt idx="791">
                  <c:v>4579.6957246973971</c:v>
                </c:pt>
                <c:pt idx="792">
                  <c:v>4588.5029376471202</c:v>
                </c:pt>
                <c:pt idx="793">
                  <c:v>4597.327087748261</c:v>
                </c:pt>
                <c:pt idx="794">
                  <c:v>4606.1682075726567</c:v>
                </c:pt>
                <c:pt idx="795">
                  <c:v>4615.0263297547835</c:v>
                </c:pt>
                <c:pt idx="796">
                  <c:v>4623.9014869918756</c:v>
                </c:pt>
                <c:pt idx="797">
                  <c:v>4632.7937120440465</c:v>
                </c:pt>
                <c:pt idx="798">
                  <c:v>4641.7030377344126</c:v>
                </c:pt>
                <c:pt idx="799">
                  <c:v>4650.629496949211</c:v>
                </c:pt>
                <c:pt idx="800">
                  <c:v>4659.5731226379239</c:v>
                </c:pt>
                <c:pt idx="801">
                  <c:v>4668.5339478133956</c:v>
                </c:pt>
                <c:pt idx="802">
                  <c:v>4677.5120055519637</c:v>
                </c:pt>
                <c:pt idx="803">
                  <c:v>4686.5073289935663</c:v>
                </c:pt>
                <c:pt idx="804">
                  <c:v>4695.5199513418775</c:v>
                </c:pt>
                <c:pt idx="805">
                  <c:v>4704.5499058644282</c:v>
                </c:pt>
                <c:pt idx="806">
                  <c:v>4713.5972258927222</c:v>
                </c:pt>
                <c:pt idx="807">
                  <c:v>4722.6619448223619</c:v>
                </c:pt>
                <c:pt idx="808">
                  <c:v>4731.744096113177</c:v>
                </c:pt>
                <c:pt idx="809">
                  <c:v>4740.8437132893405</c:v>
                </c:pt>
                <c:pt idx="810">
                  <c:v>4749.9608299394986</c:v>
                </c:pt>
                <c:pt idx="811">
                  <c:v>4759.0954797168861</c:v>
                </c:pt>
                <c:pt idx="812">
                  <c:v>4768.2476963394647</c:v>
                </c:pt>
                <c:pt idx="813">
                  <c:v>4777.4175135900332</c:v>
                </c:pt>
                <c:pt idx="814">
                  <c:v>4786.6049653163591</c:v>
                </c:pt>
                <c:pt idx="815">
                  <c:v>4795.8100854313034</c:v>
                </c:pt>
                <c:pt idx="816">
                  <c:v>4805.0329079129451</c:v>
                </c:pt>
                <c:pt idx="817">
                  <c:v>4814.2734668047069</c:v>
                </c:pt>
                <c:pt idx="818">
                  <c:v>4823.5317962154777</c:v>
                </c:pt>
                <c:pt idx="819">
                  <c:v>4832.8079303197428</c:v>
                </c:pt>
                <c:pt idx="820">
                  <c:v>4842.1019033577095</c:v>
                </c:pt>
                <c:pt idx="821">
                  <c:v>4851.4137496354324</c:v>
                </c:pt>
                <c:pt idx="822">
                  <c:v>4860.7435035249391</c:v>
                </c:pt>
                <c:pt idx="823">
                  <c:v>4870.0911994643557</c:v>
                </c:pt>
                <c:pt idx="824">
                  <c:v>4879.456871958042</c:v>
                </c:pt>
                <c:pt idx="825">
                  <c:v>4888.8405555767094</c:v>
                </c:pt>
                <c:pt idx="826">
                  <c:v>4898.2422849575514</c:v>
                </c:pt>
                <c:pt idx="827">
                  <c:v>4907.6620948043728</c:v>
                </c:pt>
                <c:pt idx="828">
                  <c:v>4917.1000198877209</c:v>
                </c:pt>
                <c:pt idx="829">
                  <c:v>4926.5560950450063</c:v>
                </c:pt>
                <c:pt idx="830">
                  <c:v>4936.0303551806346</c:v>
                </c:pt>
                <c:pt idx="831">
                  <c:v>4945.5228352661416</c:v>
                </c:pt>
                <c:pt idx="832">
                  <c:v>4955.0335703403116</c:v>
                </c:pt>
                <c:pt idx="833">
                  <c:v>4964.562595509311</c:v>
                </c:pt>
                <c:pt idx="834">
                  <c:v>4974.1099459468269</c:v>
                </c:pt>
                <c:pt idx="835">
                  <c:v>4983.6756568941801</c:v>
                </c:pt>
                <c:pt idx="836">
                  <c:v>4993.2597636604687</c:v>
                </c:pt>
                <c:pt idx="837">
                  <c:v>5002.8623016226911</c:v>
                </c:pt>
                <c:pt idx="838">
                  <c:v>5012.4833062258822</c:v>
                </c:pt>
                <c:pt idx="839">
                  <c:v>5022.122812983238</c:v>
                </c:pt>
                <c:pt idx="840">
                  <c:v>5031.7808574762548</c:v>
                </c:pt>
                <c:pt idx="841">
                  <c:v>5041.4574753548495</c:v>
                </c:pt>
                <c:pt idx="842">
                  <c:v>5051.1527023375002</c:v>
                </c:pt>
                <c:pt idx="843">
                  <c:v>5060.8665742113772</c:v>
                </c:pt>
                <c:pt idx="844">
                  <c:v>5070.5991268324697</c:v>
                </c:pt>
                <c:pt idx="845">
                  <c:v>5080.3503961257238</c:v>
                </c:pt>
                <c:pt idx="846">
                  <c:v>5090.120418085171</c:v>
                </c:pt>
                <c:pt idx="847">
                  <c:v>5099.9092287740677</c:v>
                </c:pt>
                <c:pt idx="848">
                  <c:v>5109.7168643250152</c:v>
                </c:pt>
                <c:pt idx="849">
                  <c:v>5119.543360940107</c:v>
                </c:pt>
                <c:pt idx="850">
                  <c:v>5129.3887548910598</c:v>
                </c:pt>
                <c:pt idx="851">
                  <c:v>5139.253082519338</c:v>
                </c:pt>
                <c:pt idx="852">
                  <c:v>5149.1363802362948</c:v>
                </c:pt>
                <c:pt idx="853">
                  <c:v>5159.0386845233115</c:v>
                </c:pt>
                <c:pt idx="854">
                  <c:v>5168.9600319319225</c:v>
                </c:pt>
                <c:pt idx="855">
                  <c:v>5178.9004590839531</c:v>
                </c:pt>
                <c:pt idx="856">
                  <c:v>5188.8600026716631</c:v>
                </c:pt>
                <c:pt idx="857">
                  <c:v>5198.838699457865</c:v>
                </c:pt>
                <c:pt idx="858">
                  <c:v>5208.8365862760811</c:v>
                </c:pt>
                <c:pt idx="859">
                  <c:v>5218.8537000306551</c:v>
                </c:pt>
                <c:pt idx="860">
                  <c:v>5228.8900776969149</c:v>
                </c:pt>
                <c:pt idx="861">
                  <c:v>5238.9457563212854</c:v>
                </c:pt>
                <c:pt idx="862">
                  <c:v>5249.0207730214433</c:v>
                </c:pt>
                <c:pt idx="863">
                  <c:v>5259.1151649864405</c:v>
                </c:pt>
                <c:pt idx="864">
                  <c:v>5269.2289694768479</c:v>
                </c:pt>
                <c:pt idx="865">
                  <c:v>5279.3622238248954</c:v>
                </c:pt>
                <c:pt idx="866">
                  <c:v>5289.514965434606</c:v>
                </c:pt>
                <c:pt idx="867">
                  <c:v>5299.6872317819298</c:v>
                </c:pt>
                <c:pt idx="868">
                  <c:v>5309.8790604148926</c:v>
                </c:pt>
                <c:pt idx="869">
                  <c:v>5320.0904889537242</c:v>
                </c:pt>
                <c:pt idx="870">
                  <c:v>5330.3215550910072</c:v>
                </c:pt>
                <c:pt idx="871">
                  <c:v>5340.5722965918039</c:v>
                </c:pt>
                <c:pt idx="872">
                  <c:v>5350.8427512938097</c:v>
                </c:pt>
                <c:pt idx="873">
                  <c:v>5361.1329571074812</c:v>
                </c:pt>
                <c:pt idx="874">
                  <c:v>5371.4429520161793</c:v>
                </c:pt>
                <c:pt idx="875">
                  <c:v>5381.7727740763148</c:v>
                </c:pt>
                <c:pt idx="876">
                  <c:v>5392.1224614174835</c:v>
                </c:pt>
                <c:pt idx="877">
                  <c:v>5402.4920522426091</c:v>
                </c:pt>
                <c:pt idx="878">
                  <c:v>5412.8815848280783</c:v>
                </c:pt>
                <c:pt idx="879">
                  <c:v>5423.2910975238938</c:v>
                </c:pt>
                <c:pt idx="880">
                  <c:v>5433.7206287538056</c:v>
                </c:pt>
                <c:pt idx="881">
                  <c:v>5444.1702170154576</c:v>
                </c:pt>
                <c:pt idx="882">
                  <c:v>5454.6399008805265</c:v>
                </c:pt>
                <c:pt idx="883">
                  <c:v>5465.1297189948691</c:v>
                </c:pt>
                <c:pt idx="884">
                  <c:v>5475.639710078658</c:v>
                </c:pt>
                <c:pt idx="885">
                  <c:v>5486.1699129265362</c:v>
                </c:pt>
                <c:pt idx="886">
                  <c:v>5496.7203664077433</c:v>
                </c:pt>
                <c:pt idx="887">
                  <c:v>5507.2911094662732</c:v>
                </c:pt>
                <c:pt idx="888">
                  <c:v>5517.8821811210155</c:v>
                </c:pt>
                <c:pt idx="889">
                  <c:v>5528.4936204658907</c:v>
                </c:pt>
                <c:pt idx="890">
                  <c:v>5539.1254666700042</c:v>
                </c:pt>
                <c:pt idx="891">
                  <c:v>5549.7777589777888</c:v>
                </c:pt>
                <c:pt idx="892">
                  <c:v>5560.4505367091488</c:v>
                </c:pt>
                <c:pt idx="893">
                  <c:v>5571.1438392596001</c:v>
                </c:pt>
                <c:pt idx="894">
                  <c:v>5581.8577061004207</c:v>
                </c:pt>
                <c:pt idx="895">
                  <c:v>5592.5921767788022</c:v>
                </c:pt>
                <c:pt idx="896">
                  <c:v>5603.3472909179854</c:v>
                </c:pt>
                <c:pt idx="897">
                  <c:v>5614.1230882174041</c:v>
                </c:pt>
                <c:pt idx="898">
                  <c:v>5624.9196084528512</c:v>
                </c:pt>
                <c:pt idx="899">
                  <c:v>5635.7368914766012</c:v>
                </c:pt>
                <c:pt idx="900">
                  <c:v>5646.574977217575</c:v>
                </c:pt>
                <c:pt idx="901">
                  <c:v>5657.4339056814779</c:v>
                </c:pt>
                <c:pt idx="902">
                  <c:v>5668.3137169509491</c:v>
                </c:pt>
                <c:pt idx="903">
                  <c:v>5679.214451185715</c:v>
                </c:pt>
                <c:pt idx="904">
                  <c:v>5690.1361486227288</c:v>
                </c:pt>
                <c:pt idx="905">
                  <c:v>5701.0788495763263</c:v>
                </c:pt>
                <c:pt idx="906">
                  <c:v>5712.0425944383696</c:v>
                </c:pt>
                <c:pt idx="907">
                  <c:v>5723.0274236784016</c:v>
                </c:pt>
                <c:pt idx="908">
                  <c:v>5734.033377843788</c:v>
                </c:pt>
                <c:pt idx="909">
                  <c:v>5745.0604975598735</c:v>
                </c:pt>
                <c:pt idx="910">
                  <c:v>5756.1088235301286</c:v>
                </c:pt>
                <c:pt idx="911">
                  <c:v>5767.1783965363056</c:v>
                </c:pt>
                <c:pt idx="912">
                  <c:v>5778.2692574385737</c:v>
                </c:pt>
                <c:pt idx="913">
                  <c:v>5789.3814471756878</c:v>
                </c:pt>
                <c:pt idx="914">
                  <c:v>5800.515006765133</c:v>
                </c:pt>
                <c:pt idx="915">
                  <c:v>5811.6699773032742</c:v>
                </c:pt>
                <c:pt idx="916">
                  <c:v>5822.8463999654996</c:v>
                </c:pt>
                <c:pt idx="917">
                  <c:v>5834.0443160063987</c:v>
                </c:pt>
                <c:pt idx="918">
                  <c:v>5845.2637667598829</c:v>
                </c:pt>
                <c:pt idx="919">
                  <c:v>5856.5047936393594</c:v>
                </c:pt>
                <c:pt idx="920">
                  <c:v>5867.7674381378774</c:v>
                </c:pt>
                <c:pt idx="921">
                  <c:v>5879.0517418282807</c:v>
                </c:pt>
                <c:pt idx="922">
                  <c:v>5890.3577463633619</c:v>
                </c:pt>
                <c:pt idx="923">
                  <c:v>5901.6854934760131</c:v>
                </c:pt>
                <c:pt idx="924">
                  <c:v>5913.0350249793892</c:v>
                </c:pt>
                <c:pt idx="925">
                  <c:v>5924.4063827670516</c:v>
                </c:pt>
                <c:pt idx="926">
                  <c:v>5935.7996088131267</c:v>
                </c:pt>
                <c:pt idx="927">
                  <c:v>5947.2147451724641</c:v>
                </c:pt>
                <c:pt idx="928">
                  <c:v>5958.6518339807872</c:v>
                </c:pt>
                <c:pt idx="929">
                  <c:v>5970.110917454851</c:v>
                </c:pt>
                <c:pt idx="930">
                  <c:v>5981.5920378925985</c:v>
                </c:pt>
                <c:pt idx="931">
                  <c:v>5993.095237673313</c:v>
                </c:pt>
                <c:pt idx="932">
                  <c:v>6004.6205592577817</c:v>
                </c:pt>
                <c:pt idx="933">
                  <c:v>6016.1680451884458</c:v>
                </c:pt>
                <c:pt idx="934">
                  <c:v>6027.7377380895596</c:v>
                </c:pt>
                <c:pt idx="935">
                  <c:v>6039.3296806673452</c:v>
                </c:pt>
                <c:pt idx="936">
                  <c:v>6050.9439157101615</c:v>
                </c:pt>
                <c:pt idx="937">
                  <c:v>6062.5804860886474</c:v>
                </c:pt>
                <c:pt idx="938">
                  <c:v>6074.2394347558838</c:v>
                </c:pt>
                <c:pt idx="939">
                  <c:v>6085.9208047475604</c:v>
                </c:pt>
                <c:pt idx="940">
                  <c:v>6097.6246391821287</c:v>
                </c:pt>
                <c:pt idx="941">
                  <c:v>6109.3509812609582</c:v>
                </c:pt>
                <c:pt idx="942">
                  <c:v>6121.0998742684978</c:v>
                </c:pt>
                <c:pt idx="943">
                  <c:v>6132.8713615724409</c:v>
                </c:pt>
                <c:pt idx="944">
                  <c:v>6144.6654866238814</c:v>
                </c:pt>
                <c:pt idx="945">
                  <c:v>6156.4822929574666</c:v>
                </c:pt>
                <c:pt idx="946">
                  <c:v>6168.3218241915756</c:v>
                </c:pt>
                <c:pt idx="947">
                  <c:v>6180.1841240284639</c:v>
                </c:pt>
                <c:pt idx="948">
                  <c:v>6192.0692362544314</c:v>
                </c:pt>
                <c:pt idx="949">
                  <c:v>6203.9772047399829</c:v>
                </c:pt>
                <c:pt idx="950">
                  <c:v>6215.908073439994</c:v>
                </c:pt>
                <c:pt idx="951">
                  <c:v>6227.8618863938655</c:v>
                </c:pt>
                <c:pt idx="952">
                  <c:v>6239.8386877256962</c:v>
                </c:pt>
                <c:pt idx="953">
                  <c:v>6251.8385216444331</c:v>
                </c:pt>
                <c:pt idx="954">
                  <c:v>6263.8614324440441</c:v>
                </c:pt>
                <c:pt idx="955">
                  <c:v>6275.9074645036799</c:v>
                </c:pt>
                <c:pt idx="956">
                  <c:v>6287.9766622878396</c:v>
                </c:pt>
                <c:pt idx="957">
                  <c:v>6300.0690703465234</c:v>
                </c:pt>
                <c:pt idx="958">
                  <c:v>6312.1847333154119</c:v>
                </c:pt>
                <c:pt idx="959">
                  <c:v>6324.3236959160276</c:v>
                </c:pt>
                <c:pt idx="960">
                  <c:v>6336.4860029558877</c:v>
                </c:pt>
                <c:pt idx="961">
                  <c:v>6348.6716993286855</c:v>
                </c:pt>
                <c:pt idx="962">
                  <c:v>6360.8808300144492</c:v>
                </c:pt>
                <c:pt idx="963">
                  <c:v>6373.1134400797064</c:v>
                </c:pt>
                <c:pt idx="964">
                  <c:v>6385.3695746776484</c:v>
                </c:pt>
                <c:pt idx="965">
                  <c:v>6397.6492790483089</c:v>
                </c:pt>
                <c:pt idx="966">
                  <c:v>6409.9525985187165</c:v>
                </c:pt>
                <c:pt idx="967">
                  <c:v>6422.2795785030721</c:v>
                </c:pt>
                <c:pt idx="968">
                  <c:v>6434.6302645029082</c:v>
                </c:pt>
                <c:pt idx="969">
                  <c:v>6447.0047021072633</c:v>
                </c:pt>
                <c:pt idx="970">
                  <c:v>6459.4029369928512</c:v>
                </c:pt>
                <c:pt idx="971">
                  <c:v>6471.8250149242222</c:v>
                </c:pt>
                <c:pt idx="972">
                  <c:v>6484.270981753938</c:v>
                </c:pt>
                <c:pt idx="973">
                  <c:v>6496.7408834227408</c:v>
                </c:pt>
                <c:pt idx="974">
                  <c:v>6509.234765959719</c:v>
                </c:pt>
                <c:pt idx="975">
                  <c:v>6521.7526754824812</c:v>
                </c:pt>
                <c:pt idx="976">
                  <c:v>6534.2946581973247</c:v>
                </c:pt>
                <c:pt idx="977">
                  <c:v>6546.8607603994024</c:v>
                </c:pt>
                <c:pt idx="978">
                  <c:v>6559.4510284729067</c:v>
                </c:pt>
                <c:pt idx="979">
                  <c:v>6572.0655088912217</c:v>
                </c:pt>
                <c:pt idx="980">
                  <c:v>6584.7042482171073</c:v>
                </c:pt>
                <c:pt idx="981">
                  <c:v>6597.3672931028723</c:v>
                </c:pt>
                <c:pt idx="982">
                  <c:v>6610.0546902905389</c:v>
                </c:pt>
                <c:pt idx="983">
                  <c:v>6622.7664866120158</c:v>
                </c:pt>
                <c:pt idx="984">
                  <c:v>6635.5027289892823</c:v>
                </c:pt>
                <c:pt idx="985">
                  <c:v>6648.2634644345471</c:v>
                </c:pt>
                <c:pt idx="986">
                  <c:v>6661.0487400504298</c:v>
                </c:pt>
                <c:pt idx="987">
                  <c:v>6673.8586030301312</c:v>
                </c:pt>
                <c:pt idx="988">
                  <c:v>6686.6931006576142</c:v>
                </c:pt>
                <c:pt idx="989">
                  <c:v>6699.5522803077693</c:v>
                </c:pt>
                <c:pt idx="990">
                  <c:v>6712.4361894465937</c:v>
                </c:pt>
                <c:pt idx="991">
                  <c:v>6725.3448756313701</c:v>
                </c:pt>
                <c:pt idx="992">
                  <c:v>6738.2783865108331</c:v>
                </c:pt>
                <c:pt idx="993">
                  <c:v>6751.2367698253565</c:v>
                </c:pt>
                <c:pt idx="994">
                  <c:v>6764.2200734071193</c:v>
                </c:pt>
                <c:pt idx="995">
                  <c:v>6777.2283451802878</c:v>
                </c:pt>
                <c:pt idx="996">
                  <c:v>6790.2616331611898</c:v>
                </c:pt>
                <c:pt idx="997">
                  <c:v>6803.3199854585009</c:v>
                </c:pt>
                <c:pt idx="998">
                  <c:v>6816.403450273403</c:v>
                </c:pt>
                <c:pt idx="999">
                  <c:v>6829.5120758997782</c:v>
                </c:pt>
                <c:pt idx="1000">
                  <c:v>6842.6459107243882</c:v>
                </c:pt>
                <c:pt idx="1001">
                  <c:v>6855.805003227043</c:v>
                </c:pt>
                <c:pt idx="1002">
                  <c:v>6868.9894019807789</c:v>
                </c:pt>
                <c:pt idx="1003">
                  <c:v>6882.1991556520488</c:v>
                </c:pt>
                <c:pt idx="1004">
                  <c:v>6895.4343130009001</c:v>
                </c:pt>
                <c:pt idx="1005">
                  <c:v>6908.6949228811418</c:v>
                </c:pt>
                <c:pt idx="1006">
                  <c:v>6921.9810342405353</c:v>
                </c:pt>
                <c:pt idx="1007">
                  <c:v>6935.2926961209814</c:v>
                </c:pt>
                <c:pt idx="1008">
                  <c:v>6948.6299576586862</c:v>
                </c:pt>
                <c:pt idx="1009">
                  <c:v>6961.9928680843468</c:v>
                </c:pt>
                <c:pt idx="1010">
                  <c:v>6975.3814767233453</c:v>
                </c:pt>
                <c:pt idx="1011">
                  <c:v>6988.7958329959138</c:v>
                </c:pt>
                <c:pt idx="1012">
                  <c:v>7002.2359864173268</c:v>
                </c:pt>
                <c:pt idx="1013">
                  <c:v>7015.7019865980837</c:v>
                </c:pt>
                <c:pt idx="1014">
                  <c:v>7029.1938832440874</c:v>
                </c:pt>
                <c:pt idx="1015">
                  <c:v>7042.7117261568264</c:v>
                </c:pt>
                <c:pt idx="1016">
                  <c:v>7056.2555652335759</c:v>
                </c:pt>
                <c:pt idx="1017">
                  <c:v>7069.8254504675524</c:v>
                </c:pt>
                <c:pt idx="1018">
                  <c:v>7083.4214319481225</c:v>
                </c:pt>
                <c:pt idx="1019">
                  <c:v>7097.0435598609802</c:v>
                </c:pt>
                <c:pt idx="1020">
                  <c:v>7110.6918844883276</c:v>
                </c:pt>
                <c:pt idx="1021">
                  <c:v>7124.3664562090698</c:v>
                </c:pt>
                <c:pt idx="1022">
                  <c:v>7138.0673254989897</c:v>
                </c:pt>
                <c:pt idx="1023">
                  <c:v>7151.7945429309484</c:v>
                </c:pt>
                <c:pt idx="1024">
                  <c:v>7165.5481591750531</c:v>
                </c:pt>
                <c:pt idx="1025">
                  <c:v>7179.3282249988597</c:v>
                </c:pt>
                <c:pt idx="1026">
                  <c:v>7193.1347912675592</c:v>
                </c:pt>
                <c:pt idx="1027">
                  <c:v>7206.967908944157</c:v>
                </c:pt>
                <c:pt idx="1028">
                  <c:v>7220.8276290896629</c:v>
                </c:pt>
                <c:pt idx="1029">
                  <c:v>7234.7140028632939</c:v>
                </c:pt>
                <c:pt idx="1030">
                  <c:v>7248.6270815226326</c:v>
                </c:pt>
                <c:pt idx="1031">
                  <c:v>7262.5669164238489</c:v>
                </c:pt>
                <c:pt idx="1032">
                  <c:v>7276.5335590218738</c:v>
                </c:pt>
                <c:pt idx="1033">
                  <c:v>7290.5270608705887</c:v>
                </c:pt>
                <c:pt idx="1034">
                  <c:v>7304.547473623019</c:v>
                </c:pt>
                <c:pt idx="1035">
                  <c:v>7318.5948490315232</c:v>
                </c:pt>
                <c:pt idx="1036">
                  <c:v>7332.6692389479922</c:v>
                </c:pt>
                <c:pt idx="1037">
                  <c:v>7346.7706953240186</c:v>
                </c:pt>
                <c:pt idx="1038">
                  <c:v>7360.8992702111109</c:v>
                </c:pt>
                <c:pt idx="1039">
                  <c:v>7375.0550157608859</c:v>
                </c:pt>
                <c:pt idx="1040">
                  <c:v>7389.2379842252385</c:v>
                </c:pt>
                <c:pt idx="1041">
                  <c:v>7403.4482279565609</c:v>
                </c:pt>
                <c:pt idx="1042">
                  <c:v>7417.6857994079191</c:v>
                </c:pt>
                <c:pt idx="1043">
                  <c:v>7431.9507511332504</c:v>
                </c:pt>
                <c:pt idx="1044">
                  <c:v>7446.2431357875648</c:v>
                </c:pt>
                <c:pt idx="1045">
                  <c:v>7460.5630061271213</c:v>
                </c:pt>
                <c:pt idx="1046">
                  <c:v>7474.9104150096418</c:v>
                </c:pt>
                <c:pt idx="1047">
                  <c:v>7489.2854153945063</c:v>
                </c:pt>
                <c:pt idx="1048">
                  <c:v>7503.688060342929</c:v>
                </c:pt>
                <c:pt idx="1049">
                  <c:v>7518.1184030181721</c:v>
                </c:pt>
                <c:pt idx="1050">
                  <c:v>7532.5764966857341</c:v>
                </c:pt>
                <c:pt idx="1051">
                  <c:v>7547.0623947135518</c:v>
                </c:pt>
                <c:pt idx="1052">
                  <c:v>7561.5761505721812</c:v>
                </c:pt>
                <c:pt idx="1053">
                  <c:v>7576.1178178350274</c:v>
                </c:pt>
                <c:pt idx="1054">
                  <c:v>7590.6874501785096</c:v>
                </c:pt>
                <c:pt idx="1055">
                  <c:v>7605.2851013822747</c:v>
                </c:pt>
                <c:pt idx="1056">
                  <c:v>7619.9108253293934</c:v>
                </c:pt>
                <c:pt idx="1057">
                  <c:v>7634.5646760065583</c:v>
                </c:pt>
                <c:pt idx="1058">
                  <c:v>7649.246707504286</c:v>
                </c:pt>
                <c:pt idx="1059">
                  <c:v>7663.9569740171128</c:v>
                </c:pt>
                <c:pt idx="1060">
                  <c:v>7678.695529843797</c:v>
                </c:pt>
                <c:pt idx="1061">
                  <c:v>7693.4624293875177</c:v>
                </c:pt>
                <c:pt idx="1062">
                  <c:v>7708.2577271560785</c:v>
                </c:pt>
                <c:pt idx="1063">
                  <c:v>7723.0814777621063</c:v>
                </c:pt>
                <c:pt idx="1064">
                  <c:v>7737.9337359232532</c:v>
                </c:pt>
                <c:pt idx="1065">
                  <c:v>7752.8145564623956</c:v>
                </c:pt>
                <c:pt idx="1066">
                  <c:v>7767.723994307853</c:v>
                </c:pt>
                <c:pt idx="1067">
                  <c:v>7782.6621044935591</c:v>
                </c:pt>
                <c:pt idx="1068">
                  <c:v>7797.6289421592937</c:v>
                </c:pt>
                <c:pt idx="1069">
                  <c:v>7812.6245625508764</c:v>
                </c:pt>
                <c:pt idx="1070">
                  <c:v>7827.6490210203656</c:v>
                </c:pt>
                <c:pt idx="1071">
                  <c:v>7842.702373026269</c:v>
                </c:pt>
                <c:pt idx="1072">
                  <c:v>7857.7846741337498</c:v>
                </c:pt>
                <c:pt idx="1073">
                  <c:v>7872.8959800148268</c:v>
                </c:pt>
                <c:pt idx="1074">
                  <c:v>7888.0363464485818</c:v>
                </c:pt>
                <c:pt idx="1075">
                  <c:v>7903.2058293213568</c:v>
                </c:pt>
                <c:pt idx="1076">
                  <c:v>7918.4044846269817</c:v>
                </c:pt>
                <c:pt idx="1077">
                  <c:v>7933.6323684669624</c:v>
                </c:pt>
                <c:pt idx="1078">
                  <c:v>7948.8895370506889</c:v>
                </c:pt>
                <c:pt idx="1079">
                  <c:v>7964.1760466956612</c:v>
                </c:pt>
                <c:pt idx="1080">
                  <c:v>7979.4919538276699</c:v>
                </c:pt>
                <c:pt idx="1081">
                  <c:v>7994.8373149810277</c:v>
                </c:pt>
                <c:pt idx="1082">
                  <c:v>8010.2121867987571</c:v>
                </c:pt>
                <c:pt idx="1083">
                  <c:v>8025.61662603282</c:v>
                </c:pt>
                <c:pt idx="1084">
                  <c:v>8041.0506895443095</c:v>
                </c:pt>
                <c:pt idx="1085">
                  <c:v>8056.5144343036864</c:v>
                </c:pt>
                <c:pt idx="1086">
                  <c:v>8072.0079173909517</c:v>
                </c:pt>
                <c:pt idx="1087">
                  <c:v>8087.5311959958863</c:v>
                </c:pt>
                <c:pt idx="1088">
                  <c:v>8103.0843274182516</c:v>
                </c:pt>
                <c:pt idx="1089">
                  <c:v>8118.6673690680018</c:v>
                </c:pt>
                <c:pt idx="1090">
                  <c:v>8134.2803784654925</c:v>
                </c:pt>
                <c:pt idx="1091">
                  <c:v>8149.9234132416959</c:v>
                </c:pt>
                <c:pt idx="1092">
                  <c:v>8165.596531138428</c:v>
                </c:pt>
                <c:pt idx="1093">
                  <c:v>8181.2997900085356</c:v>
                </c:pt>
                <c:pt idx="1094">
                  <c:v>8197.0332478161254</c:v>
                </c:pt>
                <c:pt idx="1095">
                  <c:v>8212.7969626367722</c:v>
                </c:pt>
                <c:pt idx="1096">
                  <c:v>8228.590992657746</c:v>
                </c:pt>
                <c:pt idx="1097">
                  <c:v>8244.415396178194</c:v>
                </c:pt>
                <c:pt idx="1098">
                  <c:v>8260.2702316094092</c:v>
                </c:pt>
                <c:pt idx="1099">
                  <c:v>8276.1555574749909</c:v>
                </c:pt>
                <c:pt idx="1100">
                  <c:v>8292.0714324110995</c:v>
                </c:pt>
                <c:pt idx="1101">
                  <c:v>8308.0179151666471</c:v>
                </c:pt>
                <c:pt idx="1102">
                  <c:v>8323.9950646035377</c:v>
                </c:pt>
                <c:pt idx="1103">
                  <c:v>8340.0029396968657</c:v>
                </c:pt>
                <c:pt idx="1104">
                  <c:v>8356.0415995351414</c:v>
                </c:pt>
                <c:pt idx="1105">
                  <c:v>8372.1111033205052</c:v>
                </c:pt>
                <c:pt idx="1106">
                  <c:v>8388.2115103689557</c:v>
                </c:pt>
                <c:pt idx="1107">
                  <c:v>8404.3428801105583</c:v>
                </c:pt>
                <c:pt idx="1108">
                  <c:v>8420.5052720896692</c:v>
                </c:pt>
                <c:pt idx="1109">
                  <c:v>8436.6987459651518</c:v>
                </c:pt>
                <c:pt idx="1110">
                  <c:v>8452.9233615106004</c:v>
                </c:pt>
                <c:pt idx="1111">
                  <c:v>8469.1791786145732</c:v>
                </c:pt>
                <c:pt idx="1112">
                  <c:v>8485.4662572807756</c:v>
                </c:pt>
                <c:pt idx="1113">
                  <c:v>8501.7846576283209</c:v>
                </c:pt>
                <c:pt idx="1114">
                  <c:v>8518.1344398919355</c:v>
                </c:pt>
                <c:pt idx="1115">
                  <c:v>8534.5156644221843</c:v>
                </c:pt>
                <c:pt idx="1116">
                  <c:v>8550.9283916856875</c:v>
                </c:pt>
                <c:pt idx="1117">
                  <c:v>8567.3726822653571</c:v>
                </c:pt>
                <c:pt idx="1118">
                  <c:v>8583.8485968606128</c:v>
                </c:pt>
                <c:pt idx="1119">
                  <c:v>8600.3561962875847</c:v>
                </c:pt>
                <c:pt idx="1120">
                  <c:v>8616.8955414793818</c:v>
                </c:pt>
                <c:pt idx="1121">
                  <c:v>8633.4666934862835</c:v>
                </c:pt>
                <c:pt idx="1122">
                  <c:v>8650.0697134759794</c:v>
                </c:pt>
                <c:pt idx="1123">
                  <c:v>8666.7046627337786</c:v>
                </c:pt>
                <c:pt idx="1124">
                  <c:v>8683.3716026628699</c:v>
                </c:pt>
                <c:pt idx="1125">
                  <c:v>8700.0705947845072</c:v>
                </c:pt>
                <c:pt idx="1126">
                  <c:v>8716.8017007382696</c:v>
                </c:pt>
                <c:pt idx="1127">
                  <c:v>8733.5649822822579</c:v>
                </c:pt>
                <c:pt idx="1128">
                  <c:v>8750.3605012933567</c:v>
                </c:pt>
                <c:pt idx="1129">
                  <c:v>8767.1883197674306</c:v>
                </c:pt>
                <c:pt idx="1130">
                  <c:v>8784.0484998195916</c:v>
                </c:pt>
                <c:pt idx="1131">
                  <c:v>8800.9411036843849</c:v>
                </c:pt>
                <c:pt idx="1132">
                  <c:v>8817.866193716045</c:v>
                </c:pt>
                <c:pt idx="1133">
                  <c:v>8834.8238323887235</c:v>
                </c:pt>
                <c:pt idx="1134">
                  <c:v>8851.8140822967071</c:v>
                </c:pt>
                <c:pt idx="1135">
                  <c:v>8868.8370061546593</c:v>
                </c:pt>
                <c:pt idx="1136">
                  <c:v>8885.8926667978667</c:v>
                </c:pt>
                <c:pt idx="1137">
                  <c:v>8902.9811271824346</c:v>
                </c:pt>
                <c:pt idx="1138">
                  <c:v>8920.102450385546</c:v>
                </c:pt>
                <c:pt idx="1139">
                  <c:v>8937.2566996056885</c:v>
                </c:pt>
                <c:pt idx="1140">
                  <c:v>8954.4439381628872</c:v>
                </c:pt>
                <c:pt idx="1141">
                  <c:v>8971.6642294989415</c:v>
                </c:pt>
                <c:pt idx="1142">
                  <c:v>8988.9176371776375</c:v>
                </c:pt>
                <c:pt idx="1143">
                  <c:v>9006.2042248850266</c:v>
                </c:pt>
                <c:pt idx="1144">
                  <c:v>9023.5240564296182</c:v>
                </c:pt>
                <c:pt idx="1145">
                  <c:v>9040.8771957426397</c:v>
                </c:pt>
                <c:pt idx="1146">
                  <c:v>9058.2637068782569</c:v>
                </c:pt>
                <c:pt idx="1147">
                  <c:v>9075.6836540138265</c:v>
                </c:pt>
                <c:pt idx="1148">
                  <c:v>9093.1371014501165</c:v>
                </c:pt>
                <c:pt idx="1149">
                  <c:v>9110.6241136115586</c:v>
                </c:pt>
                <c:pt idx="1150">
                  <c:v>9128.1447550464782</c:v>
                </c:pt>
                <c:pt idx="1151">
                  <c:v>9145.6990904273262</c:v>
                </c:pt>
                <c:pt idx="1152">
                  <c:v>9163.287184550938</c:v>
                </c:pt>
                <c:pt idx="1153">
                  <c:v>9180.9091023387464</c:v>
                </c:pt>
                <c:pt idx="1154">
                  <c:v>9198.5649088370465</c:v>
                </c:pt>
                <c:pt idx="1155">
                  <c:v>9216.2546692172073</c:v>
                </c:pt>
                <c:pt idx="1156">
                  <c:v>9233.9784487759571</c:v>
                </c:pt>
                <c:pt idx="1157">
                  <c:v>9251.7363129355672</c:v>
                </c:pt>
                <c:pt idx="1158">
                  <c:v>9269.5283272441338</c:v>
                </c:pt>
                <c:pt idx="1159">
                  <c:v>9287.3545573758111</c:v>
                </c:pt>
                <c:pt idx="1160">
                  <c:v>9305.2150691310508</c:v>
                </c:pt>
                <c:pt idx="1161">
                  <c:v>9323.1099284368411</c:v>
                </c:pt>
                <c:pt idx="1162">
                  <c:v>9341.0392013469627</c:v>
                </c:pt>
                <c:pt idx="1163">
                  <c:v>9359.0029540422183</c:v>
                </c:pt>
                <c:pt idx="1164">
                  <c:v>9377.0012528306761</c:v>
                </c:pt>
                <c:pt idx="1165">
                  <c:v>9395.0341641479336</c:v>
                </c:pt>
                <c:pt idx="1166">
                  <c:v>9413.101754557345</c:v>
                </c:pt>
                <c:pt idx="1167">
                  <c:v>9431.2040907502687</c:v>
                </c:pt>
                <c:pt idx="1168">
                  <c:v>9449.3412395463311</c:v>
                </c:pt>
                <c:pt idx="1169">
                  <c:v>9467.5132678936479</c:v>
                </c:pt>
                <c:pt idx="1170">
                  <c:v>9485.720242869078</c:v>
                </c:pt>
                <c:pt idx="1171">
                  <c:v>9503.9622316784953</c:v>
                </c:pt>
                <c:pt idx="1172">
                  <c:v>9522.2393016569895</c:v>
                </c:pt>
                <c:pt idx="1173">
                  <c:v>9540.5515202691658</c:v>
                </c:pt>
                <c:pt idx="1174">
                  <c:v>9558.8989551093564</c:v>
                </c:pt>
                <c:pt idx="1175">
                  <c:v>9577.2816739018999</c:v>
                </c:pt>
                <c:pt idx="1176">
                  <c:v>9595.6997445013621</c:v>
                </c:pt>
                <c:pt idx="1177">
                  <c:v>9614.1532348927994</c:v>
                </c:pt>
                <c:pt idx="1178">
                  <c:v>9632.6422131920244</c:v>
                </c:pt>
                <c:pt idx="1179">
                  <c:v>9651.1667476458224</c:v>
                </c:pt>
                <c:pt idx="1180">
                  <c:v>9669.7269066322333</c:v>
                </c:pt>
                <c:pt idx="1181">
                  <c:v>9688.3227586608082</c:v>
                </c:pt>
                <c:pt idx="1182">
                  <c:v>9706.9543723728311</c:v>
                </c:pt>
                <c:pt idx="1183">
                  <c:v>9725.6218165415976</c:v>
                </c:pt>
                <c:pt idx="1184">
                  <c:v>9744.325160072658</c:v>
                </c:pt>
                <c:pt idx="1185">
                  <c:v>9763.0644720040782</c:v>
                </c:pt>
                <c:pt idx="1186">
                  <c:v>9781.8398215066936</c:v>
                </c:pt>
                <c:pt idx="1187">
                  <c:v>9800.6512778843444</c:v>
                </c:pt>
                <c:pt idx="1188">
                  <c:v>9819.498910574177</c:v>
                </c:pt>
                <c:pt idx="1189">
                  <c:v>9838.3827891468536</c:v>
                </c:pt>
                <c:pt idx="1190">
                  <c:v>9857.3029833068322</c:v>
                </c:pt>
                <c:pt idx="1191">
                  <c:v>9876.259562892621</c:v>
                </c:pt>
                <c:pt idx="1192">
                  <c:v>9895.2525978770282</c:v>
                </c:pt>
                <c:pt idx="1193">
                  <c:v>9914.2821583674358</c:v>
                </c:pt>
                <c:pt idx="1194">
                  <c:v>9933.3483146060462</c:v>
                </c:pt>
                <c:pt idx="1195">
                  <c:v>9952.4511369701413</c:v>
                </c:pt>
                <c:pt idx="1196">
                  <c:v>9971.5906959723488</c:v>
                </c:pt>
                <c:pt idx="1197">
                  <c:v>9990.7670622608966</c:v>
                </c:pt>
                <c:pt idx="1198">
                  <c:v>10009.98030661988</c:v>
                </c:pt>
                <c:pt idx="1199">
                  <c:v>10029.230499969513</c:v>
                </c:pt>
                <c:pt idx="1200">
                  <c:v>10048.517713366406</c:v>
                </c:pt>
                <c:pt idx="1201">
                  <c:v>10067.842018003816</c:v>
                </c:pt>
                <c:pt idx="1202">
                  <c:v>10087.203485211898</c:v>
                </c:pt>
                <c:pt idx="1203">
                  <c:v>10106.602186457996</c:v>
                </c:pt>
                <c:pt idx="1204">
                  <c:v>10126.038193346893</c:v>
                </c:pt>
                <c:pt idx="1205">
                  <c:v>10145.511577621066</c:v>
                </c:pt>
                <c:pt idx="1206">
                  <c:v>10165.022411160966</c:v>
                </c:pt>
                <c:pt idx="1207">
                  <c:v>10184.570765985283</c:v>
                </c:pt>
                <c:pt idx="1208">
                  <c:v>10204.156714251199</c:v>
                </c:pt>
                <c:pt idx="1209">
                  <c:v>10223.780328254659</c:v>
                </c:pt>
                <c:pt idx="1210">
                  <c:v>10243.44168043064</c:v>
                </c:pt>
                <c:pt idx="1211">
                  <c:v>10263.140843353429</c:v>
                </c:pt>
                <c:pt idx="1212">
                  <c:v>10282.877889736868</c:v>
                </c:pt>
                <c:pt idx="1213">
                  <c:v>10302.652892434648</c:v>
                </c:pt>
                <c:pt idx="1214">
                  <c:v>10322.465924440554</c:v>
                </c:pt>
                <c:pt idx="1215">
                  <c:v>10342.317058888751</c:v>
                </c:pt>
                <c:pt idx="1216">
                  <c:v>10362.206369054051</c:v>
                </c:pt>
                <c:pt idx="1217">
                  <c:v>10382.133928352163</c:v>
                </c:pt>
                <c:pt idx="1218">
                  <c:v>10402.099810340005</c:v>
                </c:pt>
                <c:pt idx="1219">
                  <c:v>10422.104088715936</c:v>
                </c:pt>
                <c:pt idx="1220">
                  <c:v>10442.146837320061</c:v>
                </c:pt>
                <c:pt idx="1221">
                  <c:v>10462.22813013447</c:v>
                </c:pt>
                <c:pt idx="1222">
                  <c:v>10482.348041283534</c:v>
                </c:pt>
                <c:pt idx="1223">
                  <c:v>10502.506645034184</c:v>
                </c:pt>
                <c:pt idx="1224">
                  <c:v>10522.704015796146</c:v>
                </c:pt>
                <c:pt idx="1225">
                  <c:v>10542.940228122265</c:v>
                </c:pt>
                <c:pt idx="1226">
                  <c:v>10563.215356708761</c:v>
                </c:pt>
                <c:pt idx="1227">
                  <c:v>10583.529476395488</c:v>
                </c:pt>
                <c:pt idx="1228">
                  <c:v>10603.882662166241</c:v>
                </c:pt>
                <c:pt idx="1229">
                  <c:v>10624.274989148997</c:v>
                </c:pt>
                <c:pt idx="1230">
                  <c:v>10644.706532616228</c:v>
                </c:pt>
                <c:pt idx="1231">
                  <c:v>10665.177367985152</c:v>
                </c:pt>
                <c:pt idx="1232">
                  <c:v>10685.687570818029</c:v>
                </c:pt>
                <c:pt idx="1233">
                  <c:v>10706.237216822428</c:v>
                </c:pt>
                <c:pt idx="1234">
                  <c:v>10726.826381851515</c:v>
                </c:pt>
                <c:pt idx="1235">
                  <c:v>10747.455141904326</c:v>
                </c:pt>
                <c:pt idx="1236">
                  <c:v>10768.123573126051</c:v>
                </c:pt>
                <c:pt idx="1237">
                  <c:v>10788.831751808317</c:v>
                </c:pt>
                <c:pt idx="1238">
                  <c:v>10809.579754389466</c:v>
                </c:pt>
                <c:pt idx="1239">
                  <c:v>10830.367657454839</c:v>
                </c:pt>
                <c:pt idx="1240">
                  <c:v>10851.19553773706</c:v>
                </c:pt>
                <c:pt idx="1241">
                  <c:v>10872.063472116311</c:v>
                </c:pt>
                <c:pt idx="1242">
                  <c:v>10892.97153762063</c:v>
                </c:pt>
                <c:pt idx="1243">
                  <c:v>10913.919811426185</c:v>
                </c:pt>
                <c:pt idx="1244">
                  <c:v>10934.908370857554</c:v>
                </c:pt>
                <c:pt idx="1245">
                  <c:v>10955.937293388037</c:v>
                </c:pt>
                <c:pt idx="1246">
                  <c:v>10977.006656639907</c:v>
                </c:pt>
                <c:pt idx="1247">
                  <c:v>10998.116538384713</c:v>
                </c:pt>
                <c:pt idx="1248">
                  <c:v>11019.267016543568</c:v>
                </c:pt>
                <c:pt idx="1249">
                  <c:v>11040.458169187439</c:v>
                </c:pt>
                <c:pt idx="1250">
                  <c:v>11061.69007453743</c:v>
                </c:pt>
                <c:pt idx="1251">
                  <c:v>11082.962810965066</c:v>
                </c:pt>
                <c:pt idx="1252">
                  <c:v>11104.2764569926</c:v>
                </c:pt>
                <c:pt idx="1253">
                  <c:v>11125.631091293291</c:v>
                </c:pt>
                <c:pt idx="1254">
                  <c:v>11147.026792691673</c:v>
                </c:pt>
                <c:pt idx="1255">
                  <c:v>11168.463640163887</c:v>
                </c:pt>
                <c:pt idx="1256">
                  <c:v>11189.941712837952</c:v>
                </c:pt>
                <c:pt idx="1257">
                  <c:v>11211.461089994047</c:v>
                </c:pt>
                <c:pt idx="1258">
                  <c:v>11233.021851064834</c:v>
                </c:pt>
                <c:pt idx="1259">
                  <c:v>11254.624075635713</c:v>
                </c:pt>
                <c:pt idx="1260">
                  <c:v>11276.267843445145</c:v>
                </c:pt>
                <c:pt idx="1261">
                  <c:v>11297.953234384935</c:v>
                </c:pt>
                <c:pt idx="1262">
                  <c:v>11319.680328500517</c:v>
                </c:pt>
                <c:pt idx="1263">
                  <c:v>11341.44920599127</c:v>
                </c:pt>
                <c:pt idx="1264">
                  <c:v>11363.259947210812</c:v>
                </c:pt>
                <c:pt idx="1265">
                  <c:v>11385.112632667278</c:v>
                </c:pt>
                <c:pt idx="1266">
                  <c:v>11407.007343023632</c:v>
                </c:pt>
                <c:pt idx="1267">
                  <c:v>11428.944159097953</c:v>
                </c:pt>
                <c:pt idx="1268">
                  <c:v>11450.923161863762</c:v>
                </c:pt>
                <c:pt idx="1269">
                  <c:v>11472.944432450271</c:v>
                </c:pt>
                <c:pt idx="1270">
                  <c:v>11495.008052142728</c:v>
                </c:pt>
                <c:pt idx="1271">
                  <c:v>11517.114102382711</c:v>
                </c:pt>
                <c:pt idx="1272">
                  <c:v>11539.262664768399</c:v>
                </c:pt>
                <c:pt idx="1273">
                  <c:v>11561.453821054904</c:v>
                </c:pt>
                <c:pt idx="1274">
                  <c:v>11583.687653154553</c:v>
                </c:pt>
                <c:pt idx="1275">
                  <c:v>11605.964243137209</c:v>
                </c:pt>
                <c:pt idx="1276">
                  <c:v>11628.283673230553</c:v>
                </c:pt>
                <c:pt idx="1277">
                  <c:v>11650.646025820406</c:v>
                </c:pt>
                <c:pt idx="1278">
                  <c:v>11673.051383451018</c:v>
                </c:pt>
                <c:pt idx="1279">
                  <c:v>11695.499828825386</c:v>
                </c:pt>
                <c:pt idx="1280">
                  <c:v>11717.991444805553</c:v>
                </c:pt>
                <c:pt idx="1281">
                  <c:v>11740.526314412911</c:v>
                </c:pt>
                <c:pt idx="1282">
                  <c:v>11763.104520828509</c:v>
                </c:pt>
                <c:pt idx="1283">
                  <c:v>11785.726147393365</c:v>
                </c:pt>
                <c:pt idx="1284">
                  <c:v>11808.391277608773</c:v>
                </c:pt>
                <c:pt idx="1285">
                  <c:v>11831.099995136597</c:v>
                </c:pt>
                <c:pt idx="1286">
                  <c:v>11853.852383799604</c:v>
                </c:pt>
                <c:pt idx="1287">
                  <c:v>11876.648527581752</c:v>
                </c:pt>
                <c:pt idx="1288">
                  <c:v>11899.488510628513</c:v>
                </c:pt>
                <c:pt idx="1289">
                  <c:v>11922.372417247174</c:v>
                </c:pt>
                <c:pt idx="1290">
                  <c:v>11945.300331907167</c:v>
                </c:pt>
                <c:pt idx="1291">
                  <c:v>11968.272339240353</c:v>
                </c:pt>
                <c:pt idx="1292">
                  <c:v>11991.288524041349</c:v>
                </c:pt>
                <c:pt idx="1293">
                  <c:v>12014.348971267846</c:v>
                </c:pt>
                <c:pt idx="1294">
                  <c:v>12037.453766040911</c:v>
                </c:pt>
                <c:pt idx="1295">
                  <c:v>12060.602993645316</c:v>
                </c:pt>
                <c:pt idx="1296">
                  <c:v>12083.796739529844</c:v>
                </c:pt>
                <c:pt idx="1297">
                  <c:v>12107.035089307597</c:v>
                </c:pt>
                <c:pt idx="1298">
                  <c:v>12130.318128756327</c:v>
                </c:pt>
                <c:pt idx="1299">
                  <c:v>12153.645943818734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2E-CB44-BB91-0055E0FEF7DF}"/>
            </c:ext>
          </c:extLst>
        </c:ser>
        <c:ser>
          <c:idx val="6"/>
          <c:order val="5"/>
          <c:tx>
            <c:strRef>
              <c:f>'Compounding within 1 year'!$L$1</c:f>
              <c:strCache>
                <c:ptCount val="1"/>
                <c:pt idx="0">
                  <c:v>Daily</c:v>
                </c:pt>
              </c:strCache>
            </c:strRef>
          </c:tx>
          <c:marker>
            <c:symbol val="none"/>
          </c:marker>
          <c:val>
            <c:numRef>
              <c:f>'Compounding within 1 year'!$L$2:$L$1363</c:f>
              <c:numCache>
                <c:formatCode>_("$"* #,##0.00_);_("$"* \(#,##0.00\);_("$"* "-"??_);_(@_)</c:formatCode>
                <c:ptCount val="1362"/>
                <c:pt idx="0">
                  <c:v>1001.9246864455178</c:v>
                </c:pt>
                <c:pt idx="1">
                  <c:v>1003.8530773089493</c:v>
                </c:pt>
                <c:pt idx="2">
                  <c:v>1005.7851797201372</c:v>
                </c:pt>
                <c:pt idx="3">
                  <c:v>1007.7210008226474</c:v>
                </c:pt>
                <c:pt idx="4">
                  <c:v>1009.6605477737943</c:v>
                </c:pt>
                <c:pt idx="5">
                  <c:v>1011.6038277446686</c:v>
                </c:pt>
                <c:pt idx="6">
                  <c:v>1013.5508479201629</c:v>
                </c:pt>
                <c:pt idx="7">
                  <c:v>1015.501615498998</c:v>
                </c:pt>
                <c:pt idx="8">
                  <c:v>1017.4561376937503</c:v>
                </c:pt>
                <c:pt idx="9">
                  <c:v>1019.4144217308785</c:v>
                </c:pt>
                <c:pt idx="10">
                  <c:v>1021.3764748507492</c:v>
                </c:pt>
                <c:pt idx="11">
                  <c:v>1023.3423043076652</c:v>
                </c:pt>
                <c:pt idx="12">
                  <c:v>1025.3119173698913</c:v>
                </c:pt>
                <c:pt idx="13">
                  <c:v>1027.2853213196811</c:v>
                </c:pt>
                <c:pt idx="14">
                  <c:v>1029.2625234533045</c:v>
                </c:pt>
                <c:pt idx="15">
                  <c:v>1031.2435310810745</c:v>
                </c:pt>
                <c:pt idx="16">
                  <c:v>1033.2283515273743</c:v>
                </c:pt>
                <c:pt idx="17">
                  <c:v>1035.2169921306838</c:v>
                </c:pt>
                <c:pt idx="18">
                  <c:v>1037.2094602436075</c:v>
                </c:pt>
                <c:pt idx="19">
                  <c:v>1039.2057632329013</c:v>
                </c:pt>
                <c:pt idx="20">
                  <c:v>1041.2059084794998</c:v>
                </c:pt>
                <c:pt idx="21">
                  <c:v>1043.2099033785435</c:v>
                </c:pt>
                <c:pt idx="22">
                  <c:v>1045.217755339406</c:v>
                </c:pt>
                <c:pt idx="23">
                  <c:v>1047.2294717857224</c:v>
                </c:pt>
                <c:pt idx="24">
                  <c:v>1049.2450601554151</c:v>
                </c:pt>
                <c:pt idx="25">
                  <c:v>1051.2645279007229</c:v>
                </c:pt>
                <c:pt idx="26">
                  <c:v>1053.2878824882271</c:v>
                </c:pt>
                <c:pt idx="27">
                  <c:v>1055.3151313988803</c:v>
                </c:pt>
                <c:pt idx="28">
                  <c:v>1057.3462821280336</c:v>
                </c:pt>
                <c:pt idx="29">
                  <c:v>1059.3813421854643</c:v>
                </c:pt>
                <c:pt idx="30">
                  <c:v>1061.4203190954033</c:v>
                </c:pt>
                <c:pt idx="31">
                  <c:v>1063.4632203965632</c:v>
                </c:pt>
                <c:pt idx="32">
                  <c:v>1065.5100536421673</c:v>
                </c:pt>
                <c:pt idx="33">
                  <c:v>1067.5608263999754</c:v>
                </c:pt>
                <c:pt idx="34">
                  <c:v>1069.6155462523134</c:v>
                </c:pt>
                <c:pt idx="35">
                  <c:v>1071.6742207961004</c:v>
                </c:pt>
                <c:pt idx="36">
                  <c:v>1073.7368576428773</c:v>
                </c:pt>
                <c:pt idx="37">
                  <c:v>1075.8034644188356</c:v>
                </c:pt>
                <c:pt idx="38">
                  <c:v>1077.8740487648438</c:v>
                </c:pt>
                <c:pt idx="39">
                  <c:v>1079.948618336477</c:v>
                </c:pt>
                <c:pt idx="40">
                  <c:v>1082.027180804045</c:v>
                </c:pt>
                <c:pt idx="41">
                  <c:v>1084.1097438526203</c:v>
                </c:pt>
                <c:pt idx="42">
                  <c:v>1086.1963151820673</c:v>
                </c:pt>
                <c:pt idx="43">
                  <c:v>1088.2869025070695</c:v>
                </c:pt>
                <c:pt idx="44">
                  <c:v>1090.3815135571597</c:v>
                </c:pt>
                <c:pt idx="45">
                  <c:v>1092.4801560767464</c:v>
                </c:pt>
                <c:pt idx="46">
                  <c:v>1094.5828378251445</c:v>
                </c:pt>
                <c:pt idx="47">
                  <c:v>1096.6895665766031</c:v>
                </c:pt>
                <c:pt idx="48">
                  <c:v>1098.8003501203339</c:v>
                </c:pt>
                <c:pt idx="49">
                  <c:v>1100.9151962605408</c:v>
                </c:pt>
                <c:pt idx="50">
                  <c:v>1103.034112816448</c:v>
                </c:pt>
                <c:pt idx="51">
                  <c:v>1105.1571076223297</c:v>
                </c:pt>
                <c:pt idx="52">
                  <c:v>1107.2841885275382</c:v>
                </c:pt>
                <c:pt idx="53">
                  <c:v>1109.4153633965334</c:v>
                </c:pt>
                <c:pt idx="54">
                  <c:v>1111.5506401089119</c:v>
                </c:pt>
                <c:pt idx="55">
                  <c:v>1113.6900265594363</c:v>
                </c:pt>
                <c:pt idx="56">
                  <c:v>1115.8335306580636</c:v>
                </c:pt>
                <c:pt idx="57">
                  <c:v>1117.9811603299756</c:v>
                </c:pt>
                <c:pt idx="58">
                  <c:v>1120.132923515607</c:v>
                </c:pt>
                <c:pt idx="59">
                  <c:v>1122.2888281706757</c:v>
                </c:pt>
                <c:pt idx="60">
                  <c:v>1124.448882266212</c:v>
                </c:pt>
                <c:pt idx="61">
                  <c:v>1126.6130937885873</c:v>
                </c:pt>
                <c:pt idx="62">
                  <c:v>1128.7814707395453</c:v>
                </c:pt>
                <c:pt idx="63">
                  <c:v>1130.9540211362294</c:v>
                </c:pt>
                <c:pt idx="64">
                  <c:v>1133.1307530112142</c:v>
                </c:pt>
                <c:pt idx="65">
                  <c:v>1135.3116744125346</c:v>
                </c:pt>
                <c:pt idx="66">
                  <c:v>1137.4967934037143</c:v>
                </c:pt>
                <c:pt idx="67">
                  <c:v>1139.6861180637984</c:v>
                </c:pt>
                <c:pt idx="68">
                  <c:v>1141.8796564873808</c:v>
                </c:pt>
                <c:pt idx="69">
                  <c:v>1144.0774167846346</c:v>
                </c:pt>
                <c:pt idx="70">
                  <c:v>1146.2794070813432</c:v>
                </c:pt>
                <c:pt idx="71">
                  <c:v>1148.4856355189288</c:v>
                </c:pt>
                <c:pt idx="72">
                  <c:v>1150.6961102544842</c:v>
                </c:pt>
                <c:pt idx="73">
                  <c:v>1152.9108394608011</c:v>
                </c:pt>
                <c:pt idx="74">
                  <c:v>1155.1298313264017</c:v>
                </c:pt>
                <c:pt idx="75">
                  <c:v>1157.3530940555693</c:v>
                </c:pt>
                <c:pt idx="76">
                  <c:v>1159.580635868376</c:v>
                </c:pt>
                <c:pt idx="77">
                  <c:v>1161.8124650007169</c:v>
                </c:pt>
                <c:pt idx="78">
                  <c:v>1164.0485897043372</c:v>
                </c:pt>
                <c:pt idx="79">
                  <c:v>1166.2890182468655</c:v>
                </c:pt>
                <c:pt idx="80">
                  <c:v>1168.5337589118417</c:v>
                </c:pt>
                <c:pt idx="81">
                  <c:v>1170.7828199987493</c:v>
                </c:pt>
                <c:pt idx="82">
                  <c:v>1173.036209823046</c:v>
                </c:pt>
                <c:pt idx="83">
                  <c:v>1175.2939367161941</c:v>
                </c:pt>
                <c:pt idx="84">
                  <c:v>1177.5560090256911</c:v>
                </c:pt>
                <c:pt idx="85">
                  <c:v>1179.8224351151009</c:v>
                </c:pt>
                <c:pt idx="86">
                  <c:v>1182.0932233640849</c:v>
                </c:pt>
                <c:pt idx="87">
                  <c:v>1184.3683821684324</c:v>
                </c:pt>
                <c:pt idx="88">
                  <c:v>1186.6479199400917</c:v>
                </c:pt>
                <c:pt idx="89">
                  <c:v>1188.9318451072024</c:v>
                </c:pt>
                <c:pt idx="90">
                  <c:v>1191.2201661141248</c:v>
                </c:pt>
                <c:pt idx="91">
                  <c:v>1193.5128914214722</c:v>
                </c:pt>
                <c:pt idx="92">
                  <c:v>1195.810029506142</c:v>
                </c:pt>
                <c:pt idx="93">
                  <c:v>1198.1115888613467</c:v>
                </c:pt>
                <c:pt idx="94">
                  <c:v>1200.4175779966458</c:v>
                </c:pt>
                <c:pt idx="95">
                  <c:v>1202.7280054379773</c:v>
                </c:pt>
                <c:pt idx="96">
                  <c:v>1205.0428797276886</c:v>
                </c:pt>
                <c:pt idx="97">
                  <c:v>1207.3622094245684</c:v>
                </c:pt>
                <c:pt idx="98">
                  <c:v>1209.6860031038782</c:v>
                </c:pt>
                <c:pt idx="99">
                  <c:v>1212.014269357385</c:v>
                </c:pt>
                <c:pt idx="100">
                  <c:v>1214.3470167933915</c:v>
                </c:pt>
                <c:pt idx="101">
                  <c:v>1216.6842540367688</c:v>
                </c:pt>
                <c:pt idx="102">
                  <c:v>1219.0259897289884</c:v>
                </c:pt>
                <c:pt idx="103">
                  <c:v>1221.3722325281537</c:v>
                </c:pt>
                <c:pt idx="104">
                  <c:v>1223.7229911090326</c:v>
                </c:pt>
                <c:pt idx="105">
                  <c:v>1226.0782741630887</c:v>
                </c:pt>
                <c:pt idx="106">
                  <c:v>1228.4380903985143</c:v>
                </c:pt>
                <c:pt idx="107">
                  <c:v>1230.8024485402623</c:v>
                </c:pt>
                <c:pt idx="108">
                  <c:v>1233.1713573300779</c:v>
                </c:pt>
                <c:pt idx="109">
                  <c:v>1235.5448255265319</c:v>
                </c:pt>
                <c:pt idx="110">
                  <c:v>1237.9228619050527</c:v>
                </c:pt>
                <c:pt idx="111">
                  <c:v>1240.3054752579578</c:v>
                </c:pt>
                <c:pt idx="112">
                  <c:v>1242.6926743944884</c:v>
                </c:pt>
                <c:pt idx="113">
                  <c:v>1245.08446814084</c:v>
                </c:pt>
                <c:pt idx="114">
                  <c:v>1247.4808653401954</c:v>
                </c:pt>
                <c:pt idx="115">
                  <c:v>1249.8818748527585</c:v>
                </c:pt>
                <c:pt idx="116">
                  <c:v>1252.2875055557861</c:v>
                </c:pt>
                <c:pt idx="117">
                  <c:v>1254.6977663436207</c:v>
                </c:pt>
                <c:pt idx="118">
                  <c:v>1257.1126661277237</c:v>
                </c:pt>
                <c:pt idx="119">
                  <c:v>1259.5322138367087</c:v>
                </c:pt>
                <c:pt idx="120">
                  <c:v>1261.9564184163733</c:v>
                </c:pt>
                <c:pt idx="121">
                  <c:v>1264.3852888297336</c:v>
                </c:pt>
                <c:pt idx="122">
                  <c:v>1266.8188340570564</c:v>
                </c:pt>
                <c:pt idx="123">
                  <c:v>1269.2570630958926</c:v>
                </c:pt>
                <c:pt idx="124">
                  <c:v>1271.6999849611111</c:v>
                </c:pt>
                <c:pt idx="125">
                  <c:v>1274.1476086849311</c:v>
                </c:pt>
                <c:pt idx="126">
                  <c:v>1276.5999433169559</c:v>
                </c:pt>
                <c:pt idx="127">
                  <c:v>1279.0569979242068</c:v>
                </c:pt>
                <c:pt idx="128">
                  <c:v>1281.5187815911563</c:v>
                </c:pt>
                <c:pt idx="129">
                  <c:v>1283.9853034197615</c:v>
                </c:pt>
                <c:pt idx="130">
                  <c:v>1286.4565725294976</c:v>
                </c:pt>
                <c:pt idx="131">
                  <c:v>1288.9325980573924</c:v>
                </c:pt>
                <c:pt idx="132">
                  <c:v>1291.4133891580598</c:v>
                </c:pt>
                <c:pt idx="133">
                  <c:v>1293.8989550037325</c:v>
                </c:pt>
                <c:pt idx="134">
                  <c:v>1296.3893047842978</c:v>
                </c:pt>
                <c:pt idx="135">
                  <c:v>1298.8844477073305</c:v>
                </c:pt>
                <c:pt idx="136">
                  <c:v>1301.3843929981267</c:v>
                </c:pt>
                <c:pt idx="137">
                  <c:v>1303.8891498997386</c:v>
                </c:pt>
                <c:pt idx="138">
                  <c:v>1306.3987276730086</c:v>
                </c:pt>
                <c:pt idx="139">
                  <c:v>1308.9131355966026</c:v>
                </c:pt>
                <c:pt idx="140">
                  <c:v>1311.4323829670459</c:v>
                </c:pt>
                <c:pt idx="141">
                  <c:v>1313.9564790987556</c:v>
                </c:pt>
                <c:pt idx="142">
                  <c:v>1316.4854333240771</c:v>
                </c:pt>
                <c:pt idx="143">
                  <c:v>1319.0192549933179</c:v>
                </c:pt>
                <c:pt idx="144">
                  <c:v>1321.5579534747806</c:v>
                </c:pt>
                <c:pt idx="145">
                  <c:v>1324.1015381547998</c:v>
                </c:pt>
                <c:pt idx="146">
                  <c:v>1326.6500184377758</c:v>
                </c:pt>
                <c:pt idx="147">
                  <c:v>1329.2034037462088</c:v>
                </c:pt>
                <c:pt idx="148">
                  <c:v>1331.7617035207354</c:v>
                </c:pt>
                <c:pt idx="149">
                  <c:v>1334.3249272201615</c:v>
                </c:pt>
                <c:pt idx="150">
                  <c:v>1336.8930843214987</c:v>
                </c:pt>
                <c:pt idx="151">
                  <c:v>1339.4661843199988</c:v>
                </c:pt>
                <c:pt idx="152">
                  <c:v>1342.0442367291892</c:v>
                </c:pt>
                <c:pt idx="153">
                  <c:v>1344.6272510809072</c:v>
                </c:pt>
                <c:pt idx="154">
                  <c:v>1347.2152369253365</c:v>
                </c:pt>
                <c:pt idx="155">
                  <c:v>1349.808203831042</c:v>
                </c:pt>
                <c:pt idx="156">
                  <c:v>1352.4061613850042</c:v>
                </c:pt>
                <c:pt idx="157">
                  <c:v>1355.009119192657</c:v>
                </c:pt>
                <c:pt idx="158">
                  <c:v>1357.61708687792</c:v>
                </c:pt>
                <c:pt idx="159">
                  <c:v>1360.2300740832375</c:v>
                </c:pt>
                <c:pt idx="160">
                  <c:v>1362.8480904696112</c:v>
                </c:pt>
                <c:pt idx="161">
                  <c:v>1365.4711457166379</c:v>
                </c:pt>
                <c:pt idx="162">
                  <c:v>1368.0992495225446</c:v>
                </c:pt>
                <c:pt idx="163">
                  <c:v>1370.7324116042239</c:v>
                </c:pt>
                <c:pt idx="164">
                  <c:v>1373.3706416972705</c:v>
                </c:pt>
                <c:pt idx="165">
                  <c:v>1376.0139495560172</c:v>
                </c:pt>
                <c:pt idx="166">
                  <c:v>1378.6623449535714</c:v>
                </c:pt>
                <c:pt idx="167">
                  <c:v>1381.3158376818492</c:v>
                </c:pt>
                <c:pt idx="168">
                  <c:v>1383.9744375516148</c:v>
                </c:pt>
                <c:pt idx="169">
                  <c:v>1386.6381543925136</c:v>
                </c:pt>
                <c:pt idx="170">
                  <c:v>1389.3069980531106</c:v>
                </c:pt>
                <c:pt idx="171">
                  <c:v>1391.9809784009267</c:v>
                </c:pt>
                <c:pt idx="172">
                  <c:v>1394.6601053224736</c:v>
                </c:pt>
                <c:pt idx="173">
                  <c:v>1397.3443887232925</c:v>
                </c:pt>
                <c:pt idx="174">
                  <c:v>1400.0338385279886</c:v>
                </c:pt>
                <c:pt idx="175">
                  <c:v>1402.7284646802696</c:v>
                </c:pt>
                <c:pt idx="176">
                  <c:v>1405.4282771429819</c:v>
                </c:pt>
                <c:pt idx="177">
                  <c:v>1408.1332858981464</c:v>
                </c:pt>
                <c:pt idx="178">
                  <c:v>1410.843500946997</c:v>
                </c:pt>
                <c:pt idx="179">
                  <c:v>1413.5589323100169</c:v>
                </c:pt>
                <c:pt idx="180">
                  <c:v>1416.2795900269746</c:v>
                </c:pt>
                <c:pt idx="181">
                  <c:v>1419.0054841569631</c:v>
                </c:pt>
                <c:pt idx="182">
                  <c:v>1421.7366247784355</c:v>
                </c:pt>
                <c:pt idx="183">
                  <c:v>1424.4730219892431</c:v>
                </c:pt>
                <c:pt idx="184">
                  <c:v>1427.2146859066715</c:v>
                </c:pt>
                <c:pt idx="185">
                  <c:v>1429.96162666748</c:v>
                </c:pt>
                <c:pt idx="186">
                  <c:v>1432.7138544279376</c:v>
                </c:pt>
                <c:pt idx="187">
                  <c:v>1435.4713793638607</c:v>
                </c:pt>
                <c:pt idx="188">
                  <c:v>1438.2342116706513</c:v>
                </c:pt>
                <c:pt idx="189">
                  <c:v>1441.0023615633336</c:v>
                </c:pt>
                <c:pt idx="190">
                  <c:v>1443.7758392765938</c:v>
                </c:pt>
                <c:pt idx="191">
                  <c:v>1446.5546550648155</c:v>
                </c:pt>
                <c:pt idx="192">
                  <c:v>1449.3388192021198</c:v>
                </c:pt>
                <c:pt idx="193">
                  <c:v>1452.128341982401</c:v>
                </c:pt>
                <c:pt idx="194">
                  <c:v>1454.9232337193666</c:v>
                </c:pt>
                <c:pt idx="195">
                  <c:v>1457.7235047465754</c:v>
                </c:pt>
                <c:pt idx="196">
                  <c:v>1460.5291654174739</c:v>
                </c:pt>
                <c:pt idx="197">
                  <c:v>1463.3402261054364</c:v>
                </c:pt>
                <c:pt idx="198">
                  <c:v>1466.1566972038027</c:v>
                </c:pt>
                <c:pt idx="199">
                  <c:v>1468.978589125916</c:v>
                </c:pt>
                <c:pt idx="200">
                  <c:v>1471.8059123051626</c:v>
                </c:pt>
                <c:pt idx="201">
                  <c:v>1474.6386771950094</c:v>
                </c:pt>
                <c:pt idx="202">
                  <c:v>1477.476894269043</c:v>
                </c:pt>
                <c:pt idx="203">
                  <c:v>1480.3205740210085</c:v>
                </c:pt>
                <c:pt idx="204">
                  <c:v>1483.169726964848</c:v>
                </c:pt>
                <c:pt idx="205">
                  <c:v>1486.0243636347398</c:v>
                </c:pt>
                <c:pt idx="206">
                  <c:v>1488.8844945851367</c:v>
                </c:pt>
                <c:pt idx="207">
                  <c:v>1491.7501303908066</c:v>
                </c:pt>
                <c:pt idx="208">
                  <c:v>1494.6212816468692</c:v>
                </c:pt>
                <c:pt idx="209">
                  <c:v>1497.4979589688373</c:v>
                </c:pt>
                <c:pt idx="210">
                  <c:v>1500.3801729926554</c:v>
                </c:pt>
                <c:pt idx="211">
                  <c:v>1503.2679343747382</c:v>
                </c:pt>
                <c:pt idx="212">
                  <c:v>1506.1612537920107</c:v>
                </c:pt>
                <c:pt idx="213">
                  <c:v>1509.0601419419486</c:v>
                </c:pt>
                <c:pt idx="214">
                  <c:v>1511.9646095426153</c:v>
                </c:pt>
                <c:pt idx="215">
                  <c:v>1514.8746673327048</c:v>
                </c:pt>
                <c:pt idx="216">
                  <c:v>1517.7903260715784</c:v>
                </c:pt>
                <c:pt idx="217">
                  <c:v>1520.7115965393066</c:v>
                </c:pt>
                <c:pt idx="218">
                  <c:v>1523.6384895367075</c:v>
                </c:pt>
                <c:pt idx="219">
                  <c:v>1526.5710158853883</c:v>
                </c:pt>
                <c:pt idx="220">
                  <c:v>1529.5091864277831</c:v>
                </c:pt>
                <c:pt idx="221">
                  <c:v>1532.4530120271957</c:v>
                </c:pt>
                <c:pt idx="222">
                  <c:v>1535.4025035678376</c:v>
                </c:pt>
                <c:pt idx="223">
                  <c:v>1538.3576719548689</c:v>
                </c:pt>
                <c:pt idx="224">
                  <c:v>1541.3185281144385</c:v>
                </c:pt>
                <c:pt idx="225">
                  <c:v>1544.2850829937261</c:v>
                </c:pt>
                <c:pt idx="226">
                  <c:v>1547.2573475609797</c:v>
                </c:pt>
                <c:pt idx="227">
                  <c:v>1550.2353328055581</c:v>
                </c:pt>
                <c:pt idx="228">
                  <c:v>1553.2190497379718</c:v>
                </c:pt>
                <c:pt idx="229">
                  <c:v>1556.2085093899227</c:v>
                </c:pt>
                <c:pt idx="230">
                  <c:v>1559.2037228143449</c:v>
                </c:pt>
                <c:pt idx="231">
                  <c:v>1562.2047010854467</c:v>
                </c:pt>
                <c:pt idx="232">
                  <c:v>1565.2114552987503</c:v>
                </c:pt>
                <c:pt idx="233">
                  <c:v>1568.2239965711328</c:v>
                </c:pt>
                <c:pt idx="234">
                  <c:v>1571.2423360408691</c:v>
                </c:pt>
                <c:pt idx="235">
                  <c:v>1574.2664848676709</c:v>
                </c:pt>
                <c:pt idx="236">
                  <c:v>1577.2964542327288</c:v>
                </c:pt>
                <c:pt idx="237">
                  <c:v>1580.3322553387538</c:v>
                </c:pt>
                <c:pt idx="238">
                  <c:v>1583.373899410019</c:v>
                </c:pt>
                <c:pt idx="239">
                  <c:v>1586.4213976924002</c:v>
                </c:pt>
                <c:pt idx="240">
                  <c:v>1589.4747614534183</c:v>
                </c:pt>
                <c:pt idx="241">
                  <c:v>1592.5340019822804</c:v>
                </c:pt>
                <c:pt idx="242">
                  <c:v>1595.5991305899222</c:v>
                </c:pt>
                <c:pt idx="243">
                  <c:v>1598.6701586090485</c:v>
                </c:pt>
                <c:pt idx="244">
                  <c:v>1601.7470973941772</c:v>
                </c:pt>
                <c:pt idx="245">
                  <c:v>1604.8299583216794</c:v>
                </c:pt>
                <c:pt idx="246">
                  <c:v>1607.9187527898223</c:v>
                </c:pt>
                <c:pt idx="247">
                  <c:v>1611.0134922188108</c:v>
                </c:pt>
                <c:pt idx="248">
                  <c:v>1614.1141880508308</c:v>
                </c:pt>
                <c:pt idx="249">
                  <c:v>1617.2208517500901</c:v>
                </c:pt>
                <c:pt idx="250">
                  <c:v>1620.3334948028626</c:v>
                </c:pt>
                <c:pt idx="251">
                  <c:v>1623.452128717528</c:v>
                </c:pt>
                <c:pt idx="252">
                  <c:v>1626.576765024618</c:v>
                </c:pt>
                <c:pt idx="253">
                  <c:v>1629.7074152768548</c:v>
                </c:pt>
                <c:pt idx="254">
                  <c:v>1632.8440910491984</c:v>
                </c:pt>
                <c:pt idx="255">
                  <c:v>1635.9868039388846</c:v>
                </c:pt>
                <c:pt idx="256">
                  <c:v>1639.135565565472</c:v>
                </c:pt>
                <c:pt idx="257">
                  <c:v>1642.2903875708821</c:v>
                </c:pt>
                <c:pt idx="258">
                  <c:v>1645.451281619444</c:v>
                </c:pt>
                <c:pt idx="259">
                  <c:v>1648.6182593979368</c:v>
                </c:pt>
                <c:pt idx="260">
                  <c:v>1651.7913326156336</c:v>
                </c:pt>
                <c:pt idx="261">
                  <c:v>1654.9705130043426</c:v>
                </c:pt>
                <c:pt idx="262">
                  <c:v>1658.1558123184539</c:v>
                </c:pt>
                <c:pt idx="263">
                  <c:v>1661.3472423349797</c:v>
                </c:pt>
                <c:pt idx="264">
                  <c:v>1664.5448148536004</c:v>
                </c:pt>
                <c:pt idx="265">
                  <c:v>1667.7485416967061</c:v>
                </c:pt>
                <c:pt idx="266">
                  <c:v>1670.9584347094419</c:v>
                </c:pt>
                <c:pt idx="267">
                  <c:v>1674.1745057597511</c:v>
                </c:pt>
                <c:pt idx="268">
                  <c:v>1677.3967667384184</c:v>
                </c:pt>
                <c:pt idx="269">
                  <c:v>1680.625229559115</c:v>
                </c:pt>
                <c:pt idx="270">
                  <c:v>1683.859906158443</c:v>
                </c:pt>
                <c:pt idx="271">
                  <c:v>1687.1008084959772</c:v>
                </c:pt>
                <c:pt idx="272">
                  <c:v>1690.3479485543116</c:v>
                </c:pt>
                <c:pt idx="273">
                  <c:v>1693.6013383391028</c:v>
                </c:pt>
                <c:pt idx="274">
                  <c:v>1696.8609898791151</c:v>
                </c:pt>
                <c:pt idx="275">
                  <c:v>1700.1269152262635</c:v>
                </c:pt>
                <c:pt idx="276">
                  <c:v>1703.3991264556596</c:v>
                </c:pt>
                <c:pt idx="277">
                  <c:v>1706.677635665656</c:v>
                </c:pt>
                <c:pt idx="278">
                  <c:v>1709.9624549778898</c:v>
                </c:pt>
                <c:pt idx="279">
                  <c:v>1713.2535965373302</c:v>
                </c:pt>
                <c:pt idx="280">
                  <c:v>1716.5510725123204</c:v>
                </c:pt>
                <c:pt idx="281">
                  <c:v>1719.854895094624</c:v>
                </c:pt>
                <c:pt idx="282">
                  <c:v>1723.1650764994702</c:v>
                </c:pt>
                <c:pt idx="283">
                  <c:v>1726.4816289655985</c:v>
                </c:pt>
                <c:pt idx="284">
                  <c:v>1729.8045647553042</c:v>
                </c:pt>
                <c:pt idx="285">
                  <c:v>1733.1338961544836</c:v>
                </c:pt>
                <c:pt idx="286">
                  <c:v>1736.4696354726796</c:v>
                </c:pt>
                <c:pt idx="287">
                  <c:v>1739.8117950431274</c:v>
                </c:pt>
                <c:pt idx="288">
                  <c:v>1743.160387222799</c:v>
                </c:pt>
                <c:pt idx="289">
                  <c:v>1746.5154243924503</c:v>
                </c:pt>
                <c:pt idx="290">
                  <c:v>1749.8769189566665</c:v>
                </c:pt>
                <c:pt idx="291">
                  <c:v>1753.2448833439068</c:v>
                </c:pt>
                <c:pt idx="292">
                  <c:v>1756.6193300065524</c:v>
                </c:pt>
                <c:pt idx="293">
                  <c:v>1760.0002714209509</c:v>
                </c:pt>
                <c:pt idx="294">
                  <c:v>1763.3877200874624</c:v>
                </c:pt>
                <c:pt idx="295">
                  <c:v>1766.7816885305072</c:v>
                </c:pt>
                <c:pt idx="296">
                  <c:v>1770.1821892986109</c:v>
                </c:pt>
                <c:pt idx="297">
                  <c:v>1773.5892349644514</c:v>
                </c:pt>
                <c:pt idx="298">
                  <c:v>1777.0028381249037</c:v>
                </c:pt>
                <c:pt idx="299">
                  <c:v>1780.4230114010895</c:v>
                </c:pt>
                <c:pt idx="300">
                  <c:v>1783.8497674384209</c:v>
                </c:pt>
                <c:pt idx="301">
                  <c:v>1787.2831189066501</c:v>
                </c:pt>
                <c:pt idx="302">
                  <c:v>1790.7230784999126</c:v>
                </c:pt>
                <c:pt idx="303">
                  <c:v>1794.1696589367775</c:v>
                </c:pt>
                <c:pt idx="304">
                  <c:v>1797.6228729602926</c:v>
                </c:pt>
                <c:pt idx="305">
                  <c:v>1801.0827333380321</c:v>
                </c:pt>
                <c:pt idx="306">
                  <c:v>1804.5492528621439</c:v>
                </c:pt>
                <c:pt idx="307">
                  <c:v>1808.0224443493971</c:v>
                </c:pt>
                <c:pt idx="308">
                  <c:v>1811.5023206412284</c:v>
                </c:pt>
                <c:pt idx="309">
                  <c:v>1814.9888946037909</c:v>
                </c:pt>
                <c:pt idx="310">
                  <c:v>1818.4821791280001</c:v>
                </c:pt>
                <c:pt idx="311">
                  <c:v>1821.9821871295837</c:v>
                </c:pt>
                <c:pt idx="312">
                  <c:v>1825.4889315491268</c:v>
                </c:pt>
                <c:pt idx="313">
                  <c:v>1829.0024253521224</c:v>
                </c:pt>
                <c:pt idx="314">
                  <c:v>1832.5226815290171</c:v>
                </c:pt>
                <c:pt idx="315">
                  <c:v>1836.0497130952599</c:v>
                </c:pt>
                <c:pt idx="316">
                  <c:v>1839.5835330913512</c:v>
                </c:pt>
                <c:pt idx="317">
                  <c:v>1843.1241545828902</c:v>
                </c:pt>
                <c:pt idx="318">
                  <c:v>1846.6715906606223</c:v>
                </c:pt>
                <c:pt idx="319">
                  <c:v>1850.2258544404897</c:v>
                </c:pt>
                <c:pt idx="320">
                  <c:v>1853.7869590636781</c:v>
                </c:pt>
                <c:pt idx="321">
                  <c:v>1857.3549176966658</c:v>
                </c:pt>
                <c:pt idx="322">
                  <c:v>1860.9297435312724</c:v>
                </c:pt>
                <c:pt idx="323">
                  <c:v>1864.5114497847082</c:v>
                </c:pt>
                <c:pt idx="324">
                  <c:v>1868.1000496996216</c:v>
                </c:pt>
                <c:pt idx="325">
                  <c:v>1871.6955565441494</c:v>
                </c:pt>
                <c:pt idx="326">
                  <c:v>1875.2979836119662</c:v>
                </c:pt>
                <c:pt idx="327">
                  <c:v>1878.9073442223312</c:v>
                </c:pt>
                <c:pt idx="328">
                  <c:v>1882.5236517201397</c:v>
                </c:pt>
                <c:pt idx="329">
                  <c:v>1886.1469194759723</c:v>
                </c:pt>
                <c:pt idx="330">
                  <c:v>1889.7771608861431</c:v>
                </c:pt>
                <c:pt idx="331">
                  <c:v>1893.4143893727498</c:v>
                </c:pt>
                <c:pt idx="332">
                  <c:v>1897.058618383724</c:v>
                </c:pt>
                <c:pt idx="333">
                  <c:v>1900.7098613928802</c:v>
                </c:pt>
                <c:pt idx="334">
                  <c:v>1904.368131899965</c:v>
                </c:pt>
                <c:pt idx="335">
                  <c:v>1908.0334434307092</c:v>
                </c:pt>
                <c:pt idx="336">
                  <c:v>1911.705809536875</c:v>
                </c:pt>
                <c:pt idx="337">
                  <c:v>1915.3852437963083</c:v>
                </c:pt>
                <c:pt idx="338">
                  <c:v>1919.0717598129881</c:v>
                </c:pt>
                <c:pt idx="339">
                  <c:v>1922.7653712170763</c:v>
                </c:pt>
                <c:pt idx="340">
                  <c:v>1926.4660916649686</c:v>
                </c:pt>
                <c:pt idx="341">
                  <c:v>1930.1739348393462</c:v>
                </c:pt>
                <c:pt idx="342">
                  <c:v>1933.8889144492234</c:v>
                </c:pt>
                <c:pt idx="343">
                  <c:v>1937.6110442300012</c:v>
                </c:pt>
                <c:pt idx="344">
                  <c:v>1941.340337943516</c:v>
                </c:pt>
                <c:pt idx="345">
                  <c:v>1945.076809378093</c:v>
                </c:pt>
                <c:pt idx="346">
                  <c:v>1948.8204723485942</c:v>
                </c:pt>
                <c:pt idx="347">
                  <c:v>1952.5713406964712</c:v>
                </c:pt>
                <c:pt idx="348">
                  <c:v>1956.3294282898164</c:v>
                </c:pt>
                <c:pt idx="349">
                  <c:v>1960.0947490234137</c:v>
                </c:pt>
                <c:pt idx="350">
                  <c:v>1963.8673168187897</c:v>
                </c:pt>
                <c:pt idx="351">
                  <c:v>1967.6471456242664</c:v>
                </c:pt>
                <c:pt idx="352">
                  <c:v>1971.4342494150112</c:v>
                </c:pt>
                <c:pt idx="353">
                  <c:v>1975.2286421930901</c:v>
                </c:pt>
                <c:pt idx="354">
                  <c:v>1979.0303379875179</c:v>
                </c:pt>
                <c:pt idx="355">
                  <c:v>1982.8393508543109</c:v>
                </c:pt>
                <c:pt idx="356">
                  <c:v>1986.6556948765397</c:v>
                </c:pt>
                <c:pt idx="357">
                  <c:v>1990.4793841643793</c:v>
                </c:pt>
                <c:pt idx="358">
                  <c:v>1994.3104328551633</c:v>
                </c:pt>
                <c:pt idx="359">
                  <c:v>1998.1488551134346</c:v>
                </c:pt>
                <c:pt idx="360">
                  <c:v>2001.9946651309986</c:v>
                </c:pt>
                <c:pt idx="361">
                  <c:v>2005.8478771269752</c:v>
                </c:pt>
                <c:pt idx="362">
                  <c:v>2009.7085053478522</c:v>
                </c:pt>
                <c:pt idx="363">
                  <c:v>2013.5765640675372</c:v>
                </c:pt>
                <c:pt idx="364">
                  <c:v>2017.4520675874103</c:v>
                </c:pt>
                <c:pt idx="365">
                  <c:v>2021.3350302363779</c:v>
                </c:pt>
                <c:pt idx="366">
                  <c:v>2025.2254663709243</c:v>
                </c:pt>
                <c:pt idx="367">
                  <c:v>2029.1233903751663</c:v>
                </c:pt>
                <c:pt idx="368">
                  <c:v>2033.0288166609046</c:v>
                </c:pt>
                <c:pt idx="369">
                  <c:v>2036.9417596676788</c:v>
                </c:pt>
                <c:pt idx="370">
                  <c:v>2040.8622338628204</c:v>
                </c:pt>
                <c:pt idx="371">
                  <c:v>2044.7902537415055</c:v>
                </c:pt>
                <c:pt idx="372">
                  <c:v>2048.7258338268089</c:v>
                </c:pt>
                <c:pt idx="373">
                  <c:v>2052.6689886697577</c:v>
                </c:pt>
                <c:pt idx="374">
                  <c:v>2056.6197328493849</c:v>
                </c:pt>
                <c:pt idx="375">
                  <c:v>2060.5780809727848</c:v>
                </c:pt>
                <c:pt idx="376">
                  <c:v>2064.5440476751646</c:v>
                </c:pt>
                <c:pt idx="377">
                  <c:v>2068.5176476198994</c:v>
                </c:pt>
                <c:pt idx="378">
                  <c:v>2072.4988954985879</c:v>
                </c:pt>
                <c:pt idx="379">
                  <c:v>2076.4878060311048</c:v>
                </c:pt>
                <c:pt idx="380">
                  <c:v>2080.4843939656553</c:v>
                </c:pt>
                <c:pt idx="381">
                  <c:v>2084.4886740788324</c:v>
                </c:pt>
                <c:pt idx="382">
                  <c:v>2088.5006611756676</c:v>
                </c:pt>
                <c:pt idx="383">
                  <c:v>2092.5203700896877</c:v>
                </c:pt>
                <c:pt idx="384">
                  <c:v>2096.5478156829695</c:v>
                </c:pt>
                <c:pt idx="385">
                  <c:v>2100.5830128461948</c:v>
                </c:pt>
                <c:pt idx="386">
                  <c:v>2104.6259764987049</c:v>
                </c:pt>
                <c:pt idx="387">
                  <c:v>2108.6767215885566</c:v>
                </c:pt>
                <c:pt idx="388">
                  <c:v>2112.735263092577</c:v>
                </c:pt>
                <c:pt idx="389">
                  <c:v>2116.8016160164188</c:v>
                </c:pt>
                <c:pt idx="390">
                  <c:v>2120.875795394616</c:v>
                </c:pt>
                <c:pt idx="391">
                  <c:v>2124.9578162906387</c:v>
                </c:pt>
                <c:pt idx="392">
                  <c:v>2129.0476937969511</c:v>
                </c:pt>
                <c:pt idx="393">
                  <c:v>2133.1454430350627</c:v>
                </c:pt>
                <c:pt idx="394">
                  <c:v>2137.2510791555906</c:v>
                </c:pt>
                <c:pt idx="395">
                  <c:v>2141.3646173383095</c:v>
                </c:pt>
                <c:pt idx="396">
                  <c:v>2145.4860727922123</c:v>
                </c:pt>
                <c:pt idx="397">
                  <c:v>2149.6154607555627</c:v>
                </c:pt>
                <c:pt idx="398">
                  <c:v>2153.752796495955</c:v>
                </c:pt>
                <c:pt idx="399">
                  <c:v>2157.8980953103664</c:v>
                </c:pt>
                <c:pt idx="400">
                  <c:v>2162.0513725252194</c:v>
                </c:pt>
                <c:pt idx="401">
                  <c:v>2166.2126434964321</c:v>
                </c:pt>
                <c:pt idx="402">
                  <c:v>2170.3819236094791</c:v>
                </c:pt>
                <c:pt idx="403">
                  <c:v>2174.5592282794473</c:v>
                </c:pt>
                <c:pt idx="404">
                  <c:v>2178.7445729510923</c:v>
                </c:pt>
                <c:pt idx="405">
                  <c:v>2182.9379730988971</c:v>
                </c:pt>
                <c:pt idx="406">
                  <c:v>2187.1394442271267</c:v>
                </c:pt>
                <c:pt idx="407">
                  <c:v>2191.3490018698881</c:v>
                </c:pt>
                <c:pt idx="408">
                  <c:v>2195.5666615911864</c:v>
                </c:pt>
                <c:pt idx="409">
                  <c:v>2199.7924389849818</c:v>
                </c:pt>
                <c:pt idx="410">
                  <c:v>2204.0263496752486</c:v>
                </c:pt>
                <c:pt idx="411">
                  <c:v>2208.2684093160328</c:v>
                </c:pt>
                <c:pt idx="412">
                  <c:v>2212.5186335915087</c:v>
                </c:pt>
                <c:pt idx="413">
                  <c:v>2216.7770382160379</c:v>
                </c:pt>
                <c:pt idx="414">
                  <c:v>2221.0436389342276</c:v>
                </c:pt>
                <c:pt idx="415">
                  <c:v>2225.3184515209878</c:v>
                </c:pt>
                <c:pt idx="416">
                  <c:v>2229.601491781591</c:v>
                </c:pt>
                <c:pt idx="417">
                  <c:v>2233.8927755517298</c:v>
                </c:pt>
                <c:pt idx="418">
                  <c:v>2238.1923186975741</c:v>
                </c:pt>
                <c:pt idx="419">
                  <c:v>2242.5001371158341</c:v>
                </c:pt>
                <c:pt idx="420">
                  <c:v>2246.8162467338125</c:v>
                </c:pt>
                <c:pt idx="421">
                  <c:v>2251.1406635094704</c:v>
                </c:pt>
                <c:pt idx="422">
                  <c:v>2255.4734034314815</c:v>
                </c:pt>
                <c:pt idx="423">
                  <c:v>2259.8144825192921</c:v>
                </c:pt>
                <c:pt idx="424">
                  <c:v>2264.1639168231818</c:v>
                </c:pt>
                <c:pt idx="425">
                  <c:v>2268.521722424322</c:v>
                </c:pt>
                <c:pt idx="426">
                  <c:v>2272.8879154348351</c:v>
                </c:pt>
                <c:pt idx="427">
                  <c:v>2277.2625119978538</c:v>
                </c:pt>
                <c:pt idx="428">
                  <c:v>2281.6455282875818</c:v>
                </c:pt>
                <c:pt idx="429">
                  <c:v>2286.0369805093533</c:v>
                </c:pt>
                <c:pt idx="430">
                  <c:v>2290.4368848996924</c:v>
                </c:pt>
                <c:pt idx="431">
                  <c:v>2294.8452577263729</c:v>
                </c:pt>
                <c:pt idx="432">
                  <c:v>2299.2621152884799</c:v>
                </c:pt>
                <c:pt idx="433">
                  <c:v>2303.6874739164682</c:v>
                </c:pt>
                <c:pt idx="434">
                  <c:v>2308.1213499722248</c:v>
                </c:pt>
                <c:pt idx="435">
                  <c:v>2312.5637598491267</c:v>
                </c:pt>
                <c:pt idx="436">
                  <c:v>2317.0147199721041</c:v>
                </c:pt>
                <c:pt idx="437">
                  <c:v>2321.4742467976994</c:v>
                </c:pt>
                <c:pt idx="438">
                  <c:v>2325.9423568141297</c:v>
                </c:pt>
                <c:pt idx="439">
                  <c:v>2330.4190665413457</c:v>
                </c:pt>
                <c:pt idx="440">
                  <c:v>2334.9043925310948</c:v>
                </c:pt>
                <c:pt idx="441">
                  <c:v>2339.3983513669791</c:v>
                </c:pt>
                <c:pt idx="442">
                  <c:v>2343.9009596645224</c:v>
                </c:pt>
                <c:pt idx="443">
                  <c:v>2348.4122340712247</c:v>
                </c:pt>
                <c:pt idx="444">
                  <c:v>2352.9321912666296</c:v>
                </c:pt>
                <c:pt idx="445">
                  <c:v>2357.4608479623835</c:v>
                </c:pt>
                <c:pt idx="446">
                  <c:v>2361.998220902296</c:v>
                </c:pt>
                <c:pt idx="447">
                  <c:v>2366.5443268624035</c:v>
                </c:pt>
                <c:pt idx="448">
                  <c:v>2371.0991826510331</c:v>
                </c:pt>
                <c:pt idx="449">
                  <c:v>2375.6628051088596</c:v>
                </c:pt>
                <c:pt idx="450">
                  <c:v>2380.2352111089735</c:v>
                </c:pt>
                <c:pt idx="451">
                  <c:v>2384.8164175569395</c:v>
                </c:pt>
                <c:pt idx="452">
                  <c:v>2389.40644139086</c:v>
                </c:pt>
                <c:pt idx="453">
                  <c:v>2394.0052995814376</c:v>
                </c:pt>
                <c:pt idx="454">
                  <c:v>2398.6130091320406</c:v>
                </c:pt>
                <c:pt idx="455">
                  <c:v>2403.2295870787593</c:v>
                </c:pt>
                <c:pt idx="456">
                  <c:v>2407.8550504904774</c:v>
                </c:pt>
                <c:pt idx="457">
                  <c:v>2412.4894164689281</c:v>
                </c:pt>
                <c:pt idx="458">
                  <c:v>2417.1327021487614</c:v>
                </c:pt>
                <c:pt idx="459">
                  <c:v>2421.7849246976048</c:v>
                </c:pt>
                <c:pt idx="460">
                  <c:v>2426.4461013161299</c:v>
                </c:pt>
                <c:pt idx="461">
                  <c:v>2431.1162492381131</c:v>
                </c:pt>
                <c:pt idx="462">
                  <c:v>2435.7953857304997</c:v>
                </c:pt>
                <c:pt idx="463">
                  <c:v>2440.4835280934699</c:v>
                </c:pt>
                <c:pt idx="464">
                  <c:v>2445.1806936605008</c:v>
                </c:pt>
                <c:pt idx="465">
                  <c:v>2449.8868997984309</c:v>
                </c:pt>
                <c:pt idx="466">
                  <c:v>2454.6021639075252</c:v>
                </c:pt>
                <c:pt idx="467">
                  <c:v>2459.3265034215365</c:v>
                </c:pt>
                <c:pt idx="468">
                  <c:v>2464.0599358077748</c:v>
                </c:pt>
                <c:pt idx="469">
                  <c:v>2468.8024785671678</c:v>
                </c:pt>
                <c:pt idx="470">
                  <c:v>2473.5541492343268</c:v>
                </c:pt>
                <c:pt idx="471">
                  <c:v>2478.3149653776127</c:v>
                </c:pt>
                <c:pt idx="472">
                  <c:v>2483.0849445991989</c:v>
                </c:pt>
                <c:pt idx="473">
                  <c:v>2487.8641045351383</c:v>
                </c:pt>
                <c:pt idx="474">
                  <c:v>2492.652462855428</c:v>
                </c:pt>
                <c:pt idx="475">
                  <c:v>2497.4500372640723</c:v>
                </c:pt>
                <c:pt idx="476">
                  <c:v>2502.2568454991524</c:v>
                </c:pt>
                <c:pt idx="477">
                  <c:v>2507.0729053328891</c:v>
                </c:pt>
                <c:pt idx="478">
                  <c:v>2511.8982345717081</c:v>
                </c:pt>
                <c:pt idx="479">
                  <c:v>2516.7328510563088</c:v>
                </c:pt>
                <c:pt idx="480">
                  <c:v>2521.5767726617264</c:v>
                </c:pt>
                <c:pt idx="481">
                  <c:v>2526.4300172974013</c:v>
                </c:pt>
                <c:pt idx="482">
                  <c:v>2531.2926029072428</c:v>
                </c:pt>
                <c:pt idx="483">
                  <c:v>2536.1645474696979</c:v>
                </c:pt>
                <c:pt idx="484">
                  <c:v>2541.0458689978159</c:v>
                </c:pt>
                <c:pt idx="485">
                  <c:v>2545.9365855393153</c:v>
                </c:pt>
                <c:pt idx="486">
                  <c:v>2550.8367151766506</c:v>
                </c:pt>
                <c:pt idx="487">
                  <c:v>2555.7462760270805</c:v>
                </c:pt>
                <c:pt idx="488">
                  <c:v>2560.6652862427322</c:v>
                </c:pt>
                <c:pt idx="489">
                  <c:v>2565.5937640106722</c:v>
                </c:pt>
                <c:pt idx="490">
                  <c:v>2570.5317275529687</c:v>
                </c:pt>
                <c:pt idx="491">
                  <c:v>2575.4791951267639</c:v>
                </c:pt>
                <c:pt idx="492">
                  <c:v>2580.4361850243367</c:v>
                </c:pt>
                <c:pt idx="493">
                  <c:v>2585.4027155731774</c:v>
                </c:pt>
                <c:pt idx="494">
                  <c:v>2590.3788051360461</c:v>
                </c:pt>
                <c:pt idx="495">
                  <c:v>2595.3644721110481</c:v>
                </c:pt>
                <c:pt idx="496">
                  <c:v>2600.3597349316992</c:v>
                </c:pt>
                <c:pt idx="497">
                  <c:v>2605.3646120669923</c:v>
                </c:pt>
                <c:pt idx="498">
                  <c:v>2610.3791220214694</c:v>
                </c:pt>
                <c:pt idx="499">
                  <c:v>2615.4032833352871</c:v>
                </c:pt>
                <c:pt idx="500">
                  <c:v>2620.4371145842856</c:v>
                </c:pt>
                <c:pt idx="501">
                  <c:v>2625.4806343800578</c:v>
                </c:pt>
                <c:pt idx="502">
                  <c:v>2630.5338613700187</c:v>
                </c:pt>
                <c:pt idx="503">
                  <c:v>2635.5968142374736</c:v>
                </c:pt>
                <c:pt idx="504">
                  <c:v>2640.6695117016861</c:v>
                </c:pt>
                <c:pt idx="505">
                  <c:v>2645.7519725179509</c:v>
                </c:pt>
                <c:pt idx="506">
                  <c:v>2650.8442154776581</c:v>
                </c:pt>
                <c:pt idx="507">
                  <c:v>2655.9462594083675</c:v>
                </c:pt>
                <c:pt idx="508">
                  <c:v>2661.0581231738747</c:v>
                </c:pt>
                <c:pt idx="509">
                  <c:v>2666.1798256742827</c:v>
                </c:pt>
                <c:pt idx="510">
                  <c:v>2671.3113858460715</c:v>
                </c:pt>
                <c:pt idx="511">
                  <c:v>2676.4528226621665</c:v>
                </c:pt>
                <c:pt idx="512">
                  <c:v>2681.6041551320127</c:v>
                </c:pt>
                <c:pt idx="513">
                  <c:v>2686.7654023016394</c:v>
                </c:pt>
                <c:pt idx="514">
                  <c:v>2691.9365832537355</c:v>
                </c:pt>
                <c:pt idx="515">
                  <c:v>2697.1177171077179</c:v>
                </c:pt>
                <c:pt idx="516">
                  <c:v>2702.3088230198014</c:v>
                </c:pt>
                <c:pt idx="517">
                  <c:v>2707.5099201830708</c:v>
                </c:pt>
                <c:pt idx="518">
                  <c:v>2712.721027827552</c:v>
                </c:pt>
                <c:pt idx="519">
                  <c:v>2717.9421652202832</c:v>
                </c:pt>
                <c:pt idx="520">
                  <c:v>2723.173351665384</c:v>
                </c:pt>
                <c:pt idx="521">
                  <c:v>2728.41460650413</c:v>
                </c:pt>
                <c:pt idx="522">
                  <c:v>2733.6659491150212</c:v>
                </c:pt>
                <c:pt idx="523">
                  <c:v>2738.9273989138569</c:v>
                </c:pt>
                <c:pt idx="524">
                  <c:v>2744.1989753538037</c:v>
                </c:pt>
                <c:pt idx="525">
                  <c:v>2749.4806979254718</c:v>
                </c:pt>
                <c:pt idx="526">
                  <c:v>2754.7725861569816</c:v>
                </c:pt>
                <c:pt idx="527">
                  <c:v>2760.074659614042</c:v>
                </c:pt>
                <c:pt idx="528">
                  <c:v>2765.3869379000184</c:v>
                </c:pt>
                <c:pt idx="529">
                  <c:v>2770.7094406560063</c:v>
                </c:pt>
                <c:pt idx="530">
                  <c:v>2776.0421875609059</c:v>
                </c:pt>
                <c:pt idx="531">
                  <c:v>2781.3851983314903</c:v>
                </c:pt>
                <c:pt idx="532">
                  <c:v>2786.738492722483</c:v>
                </c:pt>
                <c:pt idx="533">
                  <c:v>2792.1020905266287</c:v>
                </c:pt>
                <c:pt idx="534">
                  <c:v>2797.4760115747672</c:v>
                </c:pt>
                <c:pt idx="535">
                  <c:v>2802.8602757359063</c:v>
                </c:pt>
                <c:pt idx="536">
                  <c:v>2808.254902917296</c:v>
                </c:pt>
                <c:pt idx="537">
                  <c:v>2813.6599130645</c:v>
                </c:pt>
                <c:pt idx="538">
                  <c:v>2819.0753261614723</c:v>
                </c:pt>
                <c:pt idx="539">
                  <c:v>2824.5011622306288</c:v>
                </c:pt>
                <c:pt idx="540">
                  <c:v>2829.9374413329238</c:v>
                </c:pt>
                <c:pt idx="541">
                  <c:v>2835.3841835679204</c:v>
                </c:pt>
                <c:pt idx="542">
                  <c:v>2840.8414090738697</c:v>
                </c:pt>
                <c:pt idx="543">
                  <c:v>2846.3091380277797</c:v>
                </c:pt>
                <c:pt idx="544">
                  <c:v>2851.7873906454956</c:v>
                </c:pt>
                <c:pt idx="545">
                  <c:v>2857.2761871817697</c:v>
                </c:pt>
                <c:pt idx="546">
                  <c:v>2862.7755479303396</c:v>
                </c:pt>
                <c:pt idx="547">
                  <c:v>2868.2854932240007</c:v>
                </c:pt>
                <c:pt idx="548">
                  <c:v>2873.8060434346844</c:v>
                </c:pt>
                <c:pt idx="549">
                  <c:v>2879.3372189735305</c:v>
                </c:pt>
                <c:pt idx="550">
                  <c:v>2884.879040290964</c:v>
                </c:pt>
                <c:pt idx="551">
                  <c:v>2890.4315278767704</c:v>
                </c:pt>
                <c:pt idx="552">
                  <c:v>2895.9947022601723</c:v>
                </c:pt>
                <c:pt idx="553">
                  <c:v>2901.568584009904</c:v>
                </c:pt>
                <c:pt idx="554">
                  <c:v>2907.1531937342884</c:v>
                </c:pt>
                <c:pt idx="555">
                  <c:v>2912.7485520813129</c:v>
                </c:pt>
                <c:pt idx="556">
                  <c:v>2918.3546797387053</c:v>
                </c:pt>
                <c:pt idx="557">
                  <c:v>2923.971597434012</c:v>
                </c:pt>
                <c:pt idx="558">
                  <c:v>2929.5993259346728</c:v>
                </c:pt>
                <c:pt idx="559">
                  <c:v>2935.2378860480972</c:v>
                </c:pt>
                <c:pt idx="560">
                  <c:v>2940.8872986217448</c:v>
                </c:pt>
                <c:pt idx="561">
                  <c:v>2946.547584543197</c:v>
                </c:pt>
                <c:pt idx="562">
                  <c:v>2952.2187647402416</c:v>
                </c:pt>
                <c:pt idx="563">
                  <c:v>2957.9008601809401</c:v>
                </c:pt>
                <c:pt idx="564">
                  <c:v>2963.5938918737156</c:v>
                </c:pt>
                <c:pt idx="565">
                  <c:v>2969.2978808674247</c:v>
                </c:pt>
                <c:pt idx="566">
                  <c:v>2975.0128482514351</c:v>
                </c:pt>
                <c:pt idx="567">
                  <c:v>2980.7388151557066</c:v>
                </c:pt>
                <c:pt idx="568">
                  <c:v>2986.4758027508651</c:v>
                </c:pt>
                <c:pt idx="569">
                  <c:v>2992.2238322482876</c:v>
                </c:pt>
                <c:pt idx="570">
                  <c:v>2997.9829249001709</c:v>
                </c:pt>
                <c:pt idx="571">
                  <c:v>3003.75310199962</c:v>
                </c:pt>
                <c:pt idx="572">
                  <c:v>3009.5343848807215</c:v>
                </c:pt>
                <c:pt idx="573">
                  <c:v>3015.3267949186211</c:v>
                </c:pt>
                <c:pt idx="574">
                  <c:v>3021.1303535296083</c:v>
                </c:pt>
                <c:pt idx="575">
                  <c:v>3026.9450821711889</c:v>
                </c:pt>
                <c:pt idx="576">
                  <c:v>3032.7710023421705</c:v>
                </c:pt>
                <c:pt idx="577">
                  <c:v>3038.6081355827382</c:v>
                </c:pt>
                <c:pt idx="578">
                  <c:v>3044.4565034745342</c:v>
                </c:pt>
                <c:pt idx="579">
                  <c:v>3050.3161276407409</c:v>
                </c:pt>
                <c:pt idx="580">
                  <c:v>3056.1870297461555</c:v>
                </c:pt>
                <c:pt idx="581">
                  <c:v>3062.0692314972757</c:v>
                </c:pt>
                <c:pt idx="582">
                  <c:v>3067.9627546423758</c:v>
                </c:pt>
                <c:pt idx="583">
                  <c:v>3073.8676209715895</c:v>
                </c:pt>
                <c:pt idx="584">
                  <c:v>3079.7838523169899</c:v>
                </c:pt>
                <c:pt idx="585">
                  <c:v>3085.7114705526697</c:v>
                </c:pt>
                <c:pt idx="586">
                  <c:v>3091.650497594821</c:v>
                </c:pt>
                <c:pt idx="587">
                  <c:v>3097.6009554018206</c:v>
                </c:pt>
                <c:pt idx="588">
                  <c:v>3103.5628659743047</c:v>
                </c:pt>
                <c:pt idx="589">
                  <c:v>3109.5362513552582</c:v>
                </c:pt>
                <c:pt idx="590">
                  <c:v>3115.5211336300881</c:v>
                </c:pt>
                <c:pt idx="591">
                  <c:v>3121.5175349267101</c:v>
                </c:pt>
                <c:pt idx="592">
                  <c:v>3127.5254774156301</c:v>
                </c:pt>
                <c:pt idx="593">
                  <c:v>3133.5449833100233</c:v>
                </c:pt>
                <c:pt idx="594">
                  <c:v>3139.5760748658208</c:v>
                </c:pt>
                <c:pt idx="595">
                  <c:v>3145.6187743817873</c:v>
                </c:pt>
                <c:pt idx="596">
                  <c:v>3151.6731041996068</c:v>
                </c:pt>
                <c:pt idx="597">
                  <c:v>3157.7390867039626</c:v>
                </c:pt>
                <c:pt idx="598">
                  <c:v>3163.8167443226243</c:v>
                </c:pt>
                <c:pt idx="599">
                  <c:v>3169.906099526524</c:v>
                </c:pt>
                <c:pt idx="600">
                  <c:v>3176.0071748298478</c:v>
                </c:pt>
                <c:pt idx="601">
                  <c:v>3182.1199927901089</c:v>
                </c:pt>
                <c:pt idx="602">
                  <c:v>3188.2445760082437</c:v>
                </c:pt>
                <c:pt idx="603">
                  <c:v>3194.3809471286827</c:v>
                </c:pt>
                <c:pt idx="604">
                  <c:v>3200.5291288394424</c:v>
                </c:pt>
                <c:pt idx="605">
                  <c:v>3206.6891438722041</c:v>
                </c:pt>
                <c:pt idx="606">
                  <c:v>3212.8610150024047</c:v>
                </c:pt>
                <c:pt idx="607">
                  <c:v>3219.044765049312</c:v>
                </c:pt>
                <c:pt idx="608">
                  <c:v>3225.2404168761186</c:v>
                </c:pt>
                <c:pt idx="609">
                  <c:v>3231.4479933900157</c:v>
                </c:pt>
                <c:pt idx="610">
                  <c:v>3237.6675175422902</c:v>
                </c:pt>
                <c:pt idx="611">
                  <c:v>3243.899012328397</c:v>
                </c:pt>
                <c:pt idx="612">
                  <c:v>3250.1425007880543</c:v>
                </c:pt>
                <c:pt idx="613">
                  <c:v>3256.3980060053218</c:v>
                </c:pt>
                <c:pt idx="614">
                  <c:v>3262.6655511086919</c:v>
                </c:pt>
                <c:pt idx="615">
                  <c:v>3268.9451592711689</c:v>
                </c:pt>
                <c:pt idx="616">
                  <c:v>3275.2368537103598</c:v>
                </c:pt>
                <c:pt idx="617">
                  <c:v>3281.5406576885562</c:v>
                </c:pt>
                <c:pt idx="618">
                  <c:v>3287.8565945128253</c:v>
                </c:pt>
                <c:pt idx="619">
                  <c:v>3294.1846875350907</c:v>
                </c:pt>
                <c:pt idx="620">
                  <c:v>3300.5249601522223</c:v>
                </c:pt>
                <c:pt idx="621">
                  <c:v>3306.87743580612</c:v>
                </c:pt>
                <c:pt idx="622">
                  <c:v>3313.2421379838056</c:v>
                </c:pt>
                <c:pt idx="623">
                  <c:v>3319.6190902175013</c:v>
                </c:pt>
                <c:pt idx="624">
                  <c:v>3326.0083160847257</c:v>
                </c:pt>
                <c:pt idx="625">
                  <c:v>3332.4098392083729</c:v>
                </c:pt>
                <c:pt idx="626">
                  <c:v>3338.8236832568077</c:v>
                </c:pt>
                <c:pt idx="627">
                  <c:v>3345.2498719439459</c:v>
                </c:pt>
                <c:pt idx="628">
                  <c:v>3351.6884290293474</c:v>
                </c:pt>
                <c:pt idx="629">
                  <c:v>3358.1393783182989</c:v>
                </c:pt>
                <c:pt idx="630">
                  <c:v>3364.6027436619083</c:v>
                </c:pt>
                <c:pt idx="631">
                  <c:v>3371.0785489571863</c:v>
                </c:pt>
                <c:pt idx="632">
                  <c:v>3377.5668181471406</c:v>
                </c:pt>
                <c:pt idx="633">
                  <c:v>3384.067575220859</c:v>
                </c:pt>
                <c:pt idx="634">
                  <c:v>3390.5808442136035</c:v>
                </c:pt>
                <c:pt idx="635">
                  <c:v>3397.1066492068935</c:v>
                </c:pt>
                <c:pt idx="636">
                  <c:v>3403.6450143286011</c:v>
                </c:pt>
                <c:pt idx="637">
                  <c:v>3410.1959637530335</c:v>
                </c:pt>
                <c:pt idx="638">
                  <c:v>3416.7595217010285</c:v>
                </c:pt>
                <c:pt idx="639">
                  <c:v>3423.33571244004</c:v>
                </c:pt>
                <c:pt idx="640">
                  <c:v>3429.9245602842311</c:v>
                </c:pt>
                <c:pt idx="641">
                  <c:v>3436.5260895945585</c:v>
                </c:pt>
                <c:pt idx="642">
                  <c:v>3443.1403247788703</c:v>
                </c:pt>
                <c:pt idx="643">
                  <c:v>3449.7672902919876</c:v>
                </c:pt>
                <c:pt idx="644">
                  <c:v>3456.4070106358045</c:v>
                </c:pt>
                <c:pt idx="645">
                  <c:v>3463.0595103593673</c:v>
                </c:pt>
                <c:pt idx="646">
                  <c:v>3469.7248140589782</c:v>
                </c:pt>
                <c:pt idx="647">
                  <c:v>3476.402946378274</c:v>
                </c:pt>
                <c:pt idx="648">
                  <c:v>3483.0939320083271</c:v>
                </c:pt>
                <c:pt idx="649">
                  <c:v>3489.7977956877289</c:v>
                </c:pt>
                <c:pt idx="650">
                  <c:v>3496.514562202688</c:v>
                </c:pt>
                <c:pt idx="651">
                  <c:v>3503.2442563871136</c:v>
                </c:pt>
                <c:pt idx="652">
                  <c:v>3509.9869031227213</c:v>
                </c:pt>
                <c:pt idx="653">
                  <c:v>3516.7425273391059</c:v>
                </c:pt>
                <c:pt idx="654">
                  <c:v>3523.5111540138523</c:v>
                </c:pt>
                <c:pt idx="655">
                  <c:v>3530.2928081726136</c:v>
                </c:pt>
                <c:pt idx="656">
                  <c:v>3537.0875148892133</c:v>
                </c:pt>
                <c:pt idx="657">
                  <c:v>3543.8952992857303</c:v>
                </c:pt>
                <c:pt idx="658">
                  <c:v>3550.7161865326007</c:v>
                </c:pt>
                <c:pt idx="659">
                  <c:v>3557.5502018487005</c:v>
                </c:pt>
                <c:pt idx="660">
                  <c:v>3564.3973705014487</c:v>
                </c:pt>
                <c:pt idx="661">
                  <c:v>3571.2577178068918</c:v>
                </c:pt>
                <c:pt idx="662">
                  <c:v>3578.1312691298062</c:v>
                </c:pt>
                <c:pt idx="663">
                  <c:v>3585.0180498837826</c:v>
                </c:pt>
                <c:pt idx="664">
                  <c:v>3591.9180855313316</c:v>
                </c:pt>
                <c:pt idx="665">
                  <c:v>3598.8314015839642</c:v>
                </c:pt>
                <c:pt idx="666">
                  <c:v>3605.7580236022968</c:v>
                </c:pt>
                <c:pt idx="667">
                  <c:v>3612.697977196141</c:v>
                </c:pt>
                <c:pt idx="668">
                  <c:v>3619.6512880246009</c:v>
                </c:pt>
                <c:pt idx="669">
                  <c:v>3626.6179817961629</c:v>
                </c:pt>
                <c:pt idx="670">
                  <c:v>3633.5980842687977</c:v>
                </c:pt>
                <c:pt idx="671">
                  <c:v>3640.5916212500492</c:v>
                </c:pt>
                <c:pt idx="672">
                  <c:v>3647.5986185971356</c:v>
                </c:pt>
                <c:pt idx="673">
                  <c:v>3654.6191022170387</c:v>
                </c:pt>
                <c:pt idx="674">
                  <c:v>3661.6530980666053</c:v>
                </c:pt>
                <c:pt idx="675">
                  <c:v>3668.7006321526428</c:v>
                </c:pt>
                <c:pt idx="676">
                  <c:v>3675.7617305320096</c:v>
                </c:pt>
                <c:pt idx="677">
                  <c:v>3682.8364193117186</c:v>
                </c:pt>
                <c:pt idx="678">
                  <c:v>3689.9247246490272</c:v>
                </c:pt>
                <c:pt idx="679">
                  <c:v>3697.0266727515409</c:v>
                </c:pt>
                <c:pt idx="680">
                  <c:v>3704.142289877303</c:v>
                </c:pt>
                <c:pt idx="681">
                  <c:v>3711.2716023349003</c:v>
                </c:pt>
                <c:pt idx="682">
                  <c:v>3718.4146364835492</c:v>
                </c:pt>
                <c:pt idx="683">
                  <c:v>3725.5714187332046</c:v>
                </c:pt>
                <c:pt idx="684">
                  <c:v>3732.741975544649</c:v>
                </c:pt>
                <c:pt idx="685">
                  <c:v>3739.9263334295956</c:v>
                </c:pt>
                <c:pt idx="686">
                  <c:v>3747.1245189507827</c:v>
                </c:pt>
                <c:pt idx="687">
                  <c:v>3754.3365587220751</c:v>
                </c:pt>
                <c:pt idx="688">
                  <c:v>3761.5624794085588</c:v>
                </c:pt>
                <c:pt idx="689">
                  <c:v>3768.8023077266453</c:v>
                </c:pt>
                <c:pt idx="690">
                  <c:v>3776.0560704441632</c:v>
                </c:pt>
                <c:pt idx="691">
                  <c:v>3783.3237943804629</c:v>
                </c:pt>
                <c:pt idx="692">
                  <c:v>3790.6055064065117</c:v>
                </c:pt>
                <c:pt idx="693">
                  <c:v>3797.9012334449981</c:v>
                </c:pt>
                <c:pt idx="694">
                  <c:v>3805.2110024704252</c:v>
                </c:pt>
                <c:pt idx="695">
                  <c:v>3812.5348405092159</c:v>
                </c:pt>
                <c:pt idx="696">
                  <c:v>3819.8727746398081</c:v>
                </c:pt>
                <c:pt idx="697">
                  <c:v>3827.2248319927608</c:v>
                </c:pt>
                <c:pt idx="698">
                  <c:v>3834.591039750846</c:v>
                </c:pt>
                <c:pt idx="699">
                  <c:v>3841.9714251491591</c:v>
                </c:pt>
                <c:pt idx="700">
                  <c:v>3849.3660154752092</c:v>
                </c:pt>
                <c:pt idx="701">
                  <c:v>3856.7748380690323</c:v>
                </c:pt>
                <c:pt idx="702">
                  <c:v>3864.1979203232777</c:v>
                </c:pt>
                <c:pt idx="703">
                  <c:v>3871.6352896833228</c:v>
                </c:pt>
                <c:pt idx="704">
                  <c:v>3879.0869736473646</c:v>
                </c:pt>
                <c:pt idx="705">
                  <c:v>3886.552999766529</c:v>
                </c:pt>
                <c:pt idx="706">
                  <c:v>3894.0333956449658</c:v>
                </c:pt>
                <c:pt idx="707">
                  <c:v>3901.5281889399585</c:v>
                </c:pt>
                <c:pt idx="708">
                  <c:v>3909.0374073620164</c:v>
                </c:pt>
                <c:pt idx="709">
                  <c:v>3916.5610786749889</c:v>
                </c:pt>
                <c:pt idx="710">
                  <c:v>3924.0992306961571</c:v>
                </c:pt>
                <c:pt idx="711">
                  <c:v>3931.6518912963456</c:v>
                </c:pt>
                <c:pt idx="712">
                  <c:v>3939.219088400017</c:v>
                </c:pt>
                <c:pt idx="713">
                  <c:v>3946.8008499853863</c:v>
                </c:pt>
                <c:pt idx="714">
                  <c:v>3954.397204084511</c:v>
                </c:pt>
                <c:pt idx="715">
                  <c:v>3962.0081787834069</c:v>
                </c:pt>
                <c:pt idx="716">
                  <c:v>3969.6338022221421</c:v>
                </c:pt>
                <c:pt idx="717">
                  <c:v>3977.274102594949</c:v>
                </c:pt>
                <c:pt idx="718">
                  <c:v>3984.929108150322</c:v>
                </c:pt>
                <c:pt idx="719">
                  <c:v>3992.5988471911292</c:v>
                </c:pt>
                <c:pt idx="720">
                  <c:v>4000.2833480747081</c:v>
                </c:pt>
                <c:pt idx="721">
                  <c:v>4007.9826392129785</c:v>
                </c:pt>
                <c:pt idx="722">
                  <c:v>4015.6967490725428</c:v>
                </c:pt>
                <c:pt idx="723">
                  <c:v>4023.425706174793</c:v>
                </c:pt>
                <c:pt idx="724">
                  <c:v>4031.1695390960153</c:v>
                </c:pt>
                <c:pt idx="725">
                  <c:v>4038.9282764674972</c:v>
                </c:pt>
                <c:pt idx="726">
                  <c:v>4046.7019469756328</c:v>
                </c:pt>
                <c:pt idx="727">
                  <c:v>4054.4905793620283</c:v>
                </c:pt>
                <c:pt idx="728">
                  <c:v>4062.2942024236054</c:v>
                </c:pt>
                <c:pt idx="729">
                  <c:v>4070.1128450127167</c:v>
                </c:pt>
                <c:pt idx="730">
                  <c:v>4077.9465360372401</c:v>
                </c:pt>
                <c:pt idx="731">
                  <c:v>4085.7953044606984</c:v>
                </c:pt>
                <c:pt idx="732">
                  <c:v>4093.659179302354</c:v>
                </c:pt>
                <c:pt idx="733">
                  <c:v>4101.5381896373274</c:v>
                </c:pt>
                <c:pt idx="734">
                  <c:v>4109.4323645966961</c:v>
                </c:pt>
                <c:pt idx="735">
                  <c:v>4117.341733367608</c:v>
                </c:pt>
                <c:pt idx="736">
                  <c:v>4125.2663251933855</c:v>
                </c:pt>
                <c:pt idx="737">
                  <c:v>4133.2061693736368</c:v>
                </c:pt>
                <c:pt idx="738">
                  <c:v>4141.16129526436</c:v>
                </c:pt>
                <c:pt idx="739">
                  <c:v>4149.1317322780596</c:v>
                </c:pt>
                <c:pt idx="740">
                  <c:v>4157.1175098838421</c:v>
                </c:pt>
                <c:pt idx="741">
                  <c:v>4165.1186576075415</c:v>
                </c:pt>
                <c:pt idx="742">
                  <c:v>4173.1352050318119</c:v>
                </c:pt>
                <c:pt idx="743">
                  <c:v>4181.1671817962506</c:v>
                </c:pt>
                <c:pt idx="744">
                  <c:v>4189.2146175974976</c:v>
                </c:pt>
                <c:pt idx="745">
                  <c:v>4197.2775421893539</c:v>
                </c:pt>
                <c:pt idx="746">
                  <c:v>4205.355985382881</c:v>
                </c:pt>
                <c:pt idx="747">
                  <c:v>4213.4499770465254</c:v>
                </c:pt>
                <c:pt idx="748">
                  <c:v>4221.5595471062134</c:v>
                </c:pt>
                <c:pt idx="749">
                  <c:v>4229.6847255454768</c:v>
                </c:pt>
                <c:pt idx="750">
                  <c:v>4237.825542405546</c:v>
                </c:pt>
                <c:pt idx="751">
                  <c:v>4245.9820277854851</c:v>
                </c:pt>
                <c:pt idx="752">
                  <c:v>4254.1542118422749</c:v>
                </c:pt>
                <c:pt idx="753">
                  <c:v>4262.3421247909509</c:v>
                </c:pt>
                <c:pt idx="754">
                  <c:v>4270.5457969046965</c:v>
                </c:pt>
                <c:pt idx="755">
                  <c:v>4278.7652585149626</c:v>
                </c:pt>
                <c:pt idx="756">
                  <c:v>4287.0005400115788</c:v>
                </c:pt>
                <c:pt idx="757">
                  <c:v>4295.2516718428669</c:v>
                </c:pt>
                <c:pt idx="758">
                  <c:v>4303.5186845157505</c:v>
                </c:pt>
                <c:pt idx="759">
                  <c:v>4311.8016085958707</c:v>
                </c:pt>
                <c:pt idx="760">
                  <c:v>4320.1004747076968</c:v>
                </c:pt>
                <c:pt idx="761">
                  <c:v>4328.4153135346414</c:v>
                </c:pt>
                <c:pt idx="762">
                  <c:v>4336.7461558191744</c:v>
                </c:pt>
                <c:pt idx="763">
                  <c:v>4345.09303236293</c:v>
                </c:pt>
                <c:pt idx="764">
                  <c:v>4353.4559740268342</c:v>
                </c:pt>
                <c:pt idx="765">
                  <c:v>4361.835011731202</c:v>
                </c:pt>
                <c:pt idx="766">
                  <c:v>4370.2301764558661</c:v>
                </c:pt>
                <c:pt idx="767">
                  <c:v>4378.6414992402833</c:v>
                </c:pt>
                <c:pt idx="768">
                  <c:v>4387.0690111836548</c:v>
                </c:pt>
                <c:pt idx="769">
                  <c:v>4395.5127434450296</c:v>
                </c:pt>
                <c:pt idx="770">
                  <c:v>4403.9727272434411</c:v>
                </c:pt>
                <c:pt idx="771">
                  <c:v>4412.4489938579964</c:v>
                </c:pt>
                <c:pt idx="772">
                  <c:v>4420.9415746280138</c:v>
                </c:pt>
                <c:pt idx="773">
                  <c:v>4429.4505009531258</c:v>
                </c:pt>
                <c:pt idx="774">
                  <c:v>4437.9758042934045</c:v>
                </c:pt>
                <c:pt idx="775">
                  <c:v>4446.5175161694615</c:v>
                </c:pt>
                <c:pt idx="776">
                  <c:v>4455.0756681625917</c:v>
                </c:pt>
                <c:pt idx="777">
                  <c:v>4463.6502919148606</c:v>
                </c:pt>
                <c:pt idx="778">
                  <c:v>4472.2414191292419</c:v>
                </c:pt>
                <c:pt idx="779">
                  <c:v>4480.8490815697223</c:v>
                </c:pt>
                <c:pt idx="780">
                  <c:v>4489.4733110614316</c:v>
                </c:pt>
                <c:pt idx="781">
                  <c:v>4498.1141394907454</c:v>
                </c:pt>
                <c:pt idx="782">
                  <c:v>4506.771598805416</c:v>
                </c:pt>
                <c:pt idx="783">
                  <c:v>4515.4457210146811</c:v>
                </c:pt>
                <c:pt idx="784">
                  <c:v>4524.1365381893902</c:v>
                </c:pt>
                <c:pt idx="785">
                  <c:v>4532.8440824621148</c:v>
                </c:pt>
                <c:pt idx="786">
                  <c:v>4541.5683860272766</c:v>
                </c:pt>
                <c:pt idx="787">
                  <c:v>4550.3094811412548</c:v>
                </c:pt>
                <c:pt idx="788">
                  <c:v>4559.0674001225188</c:v>
                </c:pt>
                <c:pt idx="789">
                  <c:v>4567.8421753517368</c:v>
                </c:pt>
                <c:pt idx="790">
                  <c:v>4576.6338392719008</c:v>
                </c:pt>
                <c:pt idx="791">
                  <c:v>4585.4424243884459</c:v>
                </c:pt>
                <c:pt idx="792">
                  <c:v>4594.2679632693698</c:v>
                </c:pt>
                <c:pt idx="793">
                  <c:v>4603.1104885453506</c:v>
                </c:pt>
                <c:pt idx="794">
                  <c:v>4611.970032909876</c:v>
                </c:pt>
                <c:pt idx="795">
                  <c:v>4620.8466291193517</c:v>
                </c:pt>
                <c:pt idx="796">
                  <c:v>4629.7403099932344</c:v>
                </c:pt>
                <c:pt idx="797">
                  <c:v>4638.6511084141466</c:v>
                </c:pt>
                <c:pt idx="798">
                  <c:v>4647.5790573279974</c:v>
                </c:pt>
                <c:pt idx="799">
                  <c:v>4656.5241897441083</c:v>
                </c:pt>
                <c:pt idx="800">
                  <c:v>4665.4865387353348</c:v>
                </c:pt>
                <c:pt idx="801">
                  <c:v>4674.4661374381849</c:v>
                </c:pt>
                <c:pt idx="802">
                  <c:v>4683.4630190529451</c:v>
                </c:pt>
                <c:pt idx="803">
                  <c:v>4692.4772168438003</c:v>
                </c:pt>
                <c:pt idx="804">
                  <c:v>4701.5087641389619</c:v>
                </c:pt>
                <c:pt idx="805">
                  <c:v>4710.5576943307824</c:v>
                </c:pt>
                <c:pt idx="806">
                  <c:v>4719.6240408758913</c:v>
                </c:pt>
                <c:pt idx="807">
                  <c:v>4728.7078372953047</c:v>
                </c:pt>
                <c:pt idx="808">
                  <c:v>4737.8091171745618</c:v>
                </c:pt>
                <c:pt idx="809">
                  <c:v>4746.9279141638381</c:v>
                </c:pt>
                <c:pt idx="810">
                  <c:v>4756.0642619780801</c:v>
                </c:pt>
                <c:pt idx="811">
                  <c:v>4765.2181943971209</c:v>
                </c:pt>
                <c:pt idx="812">
                  <c:v>4774.3897452658121</c:v>
                </c:pt>
                <c:pt idx="813">
                  <c:v>4783.5789484941442</c:v>
                </c:pt>
                <c:pt idx="814">
                  <c:v>4792.7858380573762</c:v>
                </c:pt>
                <c:pt idx="815">
                  <c:v>4802.0104479961547</c:v>
                </c:pt>
                <c:pt idx="816">
                  <c:v>4811.2528124166483</c:v>
                </c:pt>
                <c:pt idx="817">
                  <c:v>4820.5129654906659</c:v>
                </c:pt>
                <c:pt idx="818">
                  <c:v>4829.7909414557898</c:v>
                </c:pt>
                <c:pt idx="819">
                  <c:v>4839.0867746154945</c:v>
                </c:pt>
                <c:pt idx="820">
                  <c:v>4848.4004993392819</c:v>
                </c:pt>
                <c:pt idx="821">
                  <c:v>4857.7321500628013</c:v>
                </c:pt>
                <c:pt idx="822">
                  <c:v>4867.0817612879846</c:v>
                </c:pt>
                <c:pt idx="823">
                  <c:v>4876.4493675831618</c:v>
                </c:pt>
                <c:pt idx="824">
                  <c:v>4885.8350035832054</c:v>
                </c:pt>
                <c:pt idx="825">
                  <c:v>4895.2387039896366</c:v>
                </c:pt>
                <c:pt idx="826">
                  <c:v>4904.6605035707807</c:v>
                </c:pt>
                <c:pt idx="827">
                  <c:v>4914.1004371618701</c:v>
                </c:pt>
                <c:pt idx="828">
                  <c:v>4923.5585396651886</c:v>
                </c:pt>
                <c:pt idx="829">
                  <c:v>4933.0348460501955</c:v>
                </c:pt>
                <c:pt idx="830">
                  <c:v>4942.5293913536561</c:v>
                </c:pt>
                <c:pt idx="831">
                  <c:v>4952.0422106797687</c:v>
                </c:pt>
                <c:pt idx="832">
                  <c:v>4961.5733392002958</c:v>
                </c:pt>
                <c:pt idx="833">
                  <c:v>4971.1228121546974</c:v>
                </c:pt>
                <c:pt idx="834">
                  <c:v>4980.6906648502563</c:v>
                </c:pt>
                <c:pt idx="835">
                  <c:v>4990.276932662211</c:v>
                </c:pt>
                <c:pt idx="836">
                  <c:v>4999.8816510338875</c:v>
                </c:pt>
                <c:pt idx="837">
                  <c:v>5009.5048554768246</c:v>
                </c:pt>
                <c:pt idx="838">
                  <c:v>5019.1465815709171</c:v>
                </c:pt>
                <c:pt idx="839">
                  <c:v>5028.8068649645329</c:v>
                </c:pt>
                <c:pt idx="840">
                  <c:v>5038.4857413746586</c:v>
                </c:pt>
                <c:pt idx="841">
                  <c:v>5048.1832465870166</c:v>
                </c:pt>
                <c:pt idx="842">
                  <c:v>5057.8994164562127</c:v>
                </c:pt>
                <c:pt idx="843">
                  <c:v>5067.634286905859</c:v>
                </c:pt>
                <c:pt idx="844">
                  <c:v>5077.3878939287079</c:v>
                </c:pt>
                <c:pt idx="845">
                  <c:v>5087.1602735867891</c:v>
                </c:pt>
                <c:pt idx="846">
                  <c:v>5096.9514620115378</c:v>
                </c:pt>
                <c:pt idx="847">
                  <c:v>5106.7614954039354</c:v>
                </c:pt>
                <c:pt idx="848">
                  <c:v>5116.5904100346297</c:v>
                </c:pt>
                <c:pt idx="849">
                  <c:v>5126.4382422440913</c:v>
                </c:pt>
                <c:pt idx="850">
                  <c:v>5136.3050284427218</c:v>
                </c:pt>
                <c:pt idx="851">
                  <c:v>5146.1908051110113</c:v>
                </c:pt>
                <c:pt idx="852">
                  <c:v>5156.0956087996574</c:v>
                </c:pt>
                <c:pt idx="853">
                  <c:v>5166.0194761297089</c:v>
                </c:pt>
                <c:pt idx="854">
                  <c:v>5175.9624437926959</c:v>
                </c:pt>
                <c:pt idx="855">
                  <c:v>5185.9245485507745</c:v>
                </c:pt>
                <c:pt idx="856">
                  <c:v>5195.9058272368475</c:v>
                </c:pt>
                <c:pt idx="857">
                  <c:v>5205.9063167547192</c:v>
                </c:pt>
                <c:pt idx="858">
                  <c:v>5215.926054079212</c:v>
                </c:pt>
                <c:pt idx="859">
                  <c:v>5225.9650762563224</c:v>
                </c:pt>
                <c:pt idx="860">
                  <c:v>5236.0234204033422</c:v>
                </c:pt>
                <c:pt idx="861">
                  <c:v>5246.1011237090061</c:v>
                </c:pt>
                <c:pt idx="862">
                  <c:v>5256.1982234336238</c:v>
                </c:pt>
                <c:pt idx="863">
                  <c:v>5266.3147569092225</c:v>
                </c:pt>
                <c:pt idx="864">
                  <c:v>5276.450761539676</c:v>
                </c:pt>
                <c:pt idx="865">
                  <c:v>5286.6062748008553</c:v>
                </c:pt>
                <c:pt idx="866">
                  <c:v>5296.7813342407526</c:v>
                </c:pt>
                <c:pt idx="867">
                  <c:v>5306.9759774796394</c:v>
                </c:pt>
                <c:pt idx="868">
                  <c:v>5317.1902422101821</c:v>
                </c:pt>
                <c:pt idx="869">
                  <c:v>5327.4241661976048</c:v>
                </c:pt>
                <c:pt idx="870">
                  <c:v>5337.6777872798084</c:v>
                </c:pt>
                <c:pt idx="871">
                  <c:v>5347.9511433675289</c:v>
                </c:pt>
                <c:pt idx="872">
                  <c:v>5358.24427244446</c:v>
                </c:pt>
                <c:pt idx="873">
                  <c:v>5368.557212567408</c:v>
                </c:pt>
                <c:pt idx="874">
                  <c:v>5378.8900018664217</c:v>
                </c:pt>
                <c:pt idx="875">
                  <c:v>5389.242678544947</c:v>
                </c:pt>
                <c:pt idx="876">
                  <c:v>5399.6152808799479</c:v>
                </c:pt>
                <c:pt idx="877">
                  <c:v>5410.0078472220694</c:v>
                </c:pt>
                <c:pt idx="878">
                  <c:v>5420.4204159957626</c:v>
                </c:pt>
                <c:pt idx="879">
                  <c:v>5430.8530256994381</c:v>
                </c:pt>
                <c:pt idx="880">
                  <c:v>5441.3057149056012</c:v>
                </c:pt>
                <c:pt idx="881">
                  <c:v>5451.778522261</c:v>
                </c:pt>
                <c:pt idx="882">
                  <c:v>5462.2714864867603</c:v>
                </c:pt>
                <c:pt idx="883">
                  <c:v>5472.7846463785409</c:v>
                </c:pt>
                <c:pt idx="884">
                  <c:v>5483.3180408066637</c:v>
                </c:pt>
                <c:pt idx="885">
                  <c:v>5493.8717087162686</c:v>
                </c:pt>
                <c:pt idx="886">
                  <c:v>5504.4456891274458</c:v>
                </c:pt>
                <c:pt idx="887">
                  <c:v>5515.0400211353999</c:v>
                </c:pt>
                <c:pt idx="888">
                  <c:v>5525.654743910567</c:v>
                </c:pt>
                <c:pt idx="889">
                  <c:v>5536.289896698785</c:v>
                </c:pt>
                <c:pt idx="890">
                  <c:v>5546.9455188214179</c:v>
                </c:pt>
                <c:pt idx="891">
                  <c:v>5557.6216496755196</c:v>
                </c:pt>
                <c:pt idx="892">
                  <c:v>5568.3183287339671</c:v>
                </c:pt>
                <c:pt idx="893">
                  <c:v>5579.0355955456107</c:v>
                </c:pt>
                <c:pt idx="894">
                  <c:v>5589.7734897354176</c:v>
                </c:pt>
                <c:pt idx="895">
                  <c:v>5600.5320510046276</c:v>
                </c:pt>
                <c:pt idx="896">
                  <c:v>5611.3113191308839</c:v>
                </c:pt>
                <c:pt idx="897">
                  <c:v>5622.1113339683961</c:v>
                </c:pt>
                <c:pt idx="898">
                  <c:v>5632.9321354480762</c:v>
                </c:pt>
                <c:pt idx="899">
                  <c:v>5643.7737635776957</c:v>
                </c:pt>
                <c:pt idx="900">
                  <c:v>5654.6362584420222</c:v>
                </c:pt>
                <c:pt idx="901">
                  <c:v>5665.519660202981</c:v>
                </c:pt>
                <c:pt idx="902">
                  <c:v>5676.4240090997873</c:v>
                </c:pt>
                <c:pt idx="903">
                  <c:v>5687.3493454491145</c:v>
                </c:pt>
                <c:pt idx="904">
                  <c:v>5698.2957096452255</c:v>
                </c:pt>
                <c:pt idx="905">
                  <c:v>5709.2631421601327</c:v>
                </c:pt>
                <c:pt idx="906">
                  <c:v>5720.2516835437427</c:v>
                </c:pt>
                <c:pt idx="907">
                  <c:v>5731.2613744240107</c:v>
                </c:pt>
                <c:pt idx="908">
                  <c:v>5742.2922555070836</c:v>
                </c:pt>
                <c:pt idx="909">
                  <c:v>5753.3443675774615</c:v>
                </c:pt>
                <c:pt idx="910">
                  <c:v>5764.4177514981338</c:v>
                </c:pt>
                <c:pt idx="911">
                  <c:v>5775.512448210744</c:v>
                </c:pt>
                <c:pt idx="912">
                  <c:v>5786.6284987357349</c:v>
                </c:pt>
                <c:pt idx="913">
                  <c:v>5797.7659441724991</c:v>
                </c:pt>
                <c:pt idx="914">
                  <c:v>5808.9248256995334</c:v>
                </c:pt>
                <c:pt idx="915">
                  <c:v>5820.1051845745897</c:v>
                </c:pt>
                <c:pt idx="916">
                  <c:v>5831.3070621348279</c:v>
                </c:pt>
                <c:pt idx="917">
                  <c:v>5842.5304997969724</c:v>
                </c:pt>
                <c:pt idx="918">
                  <c:v>5853.7755390574557</c:v>
                </c:pt>
                <c:pt idx="919">
                  <c:v>5865.0422214925838</c:v>
                </c:pt>
                <c:pt idx="920">
                  <c:v>5876.3305887586803</c:v>
                </c:pt>
                <c:pt idx="921">
                  <c:v>5887.6406825922468</c:v>
                </c:pt>
                <c:pt idx="922">
                  <c:v>5898.9725448101117</c:v>
                </c:pt>
                <c:pt idx="923">
                  <c:v>5910.32621730959</c:v>
                </c:pt>
                <c:pt idx="924">
                  <c:v>5921.7017420686325</c:v>
                </c:pt>
                <c:pt idx="925">
                  <c:v>5933.0991611459931</c:v>
                </c:pt>
                <c:pt idx="926">
                  <c:v>5944.5185166813626</c:v>
                </c:pt>
                <c:pt idx="927">
                  <c:v>5955.9598508955496</c:v>
                </c:pt>
                <c:pt idx="928">
                  <c:v>5967.4232060906179</c:v>
                </c:pt>
                <c:pt idx="929">
                  <c:v>5978.9086246500474</c:v>
                </c:pt>
                <c:pt idx="930">
                  <c:v>5990.4161490389024</c:v>
                </c:pt>
                <c:pt idx="931">
                  <c:v>6001.945821803969</c:v>
                </c:pt>
                <c:pt idx="932">
                  <c:v>6013.4976855739287</c:v>
                </c:pt>
                <c:pt idx="933">
                  <c:v>6025.0717830595049</c:v>
                </c:pt>
                <c:pt idx="934">
                  <c:v>6036.6681570536321</c:v>
                </c:pt>
                <c:pt idx="935">
                  <c:v>6048.2868504316011</c:v>
                </c:pt>
                <c:pt idx="936">
                  <c:v>6059.9279061512316</c:v>
                </c:pt>
                <c:pt idx="937">
                  <c:v>6071.5913672530151</c:v>
                </c:pt>
                <c:pt idx="938">
                  <c:v>6083.2772768602908</c:v>
                </c:pt>
                <c:pt idx="939">
                  <c:v>6094.9856781793906</c:v>
                </c:pt>
                <c:pt idx="940">
                  <c:v>6106.7166144998091</c:v>
                </c:pt>
                <c:pt idx="941">
                  <c:v>6118.4701291943538</c:v>
                </c:pt>
                <c:pt idx="942">
                  <c:v>6130.2462657193219</c:v>
                </c:pt>
                <c:pt idx="943">
                  <c:v>6142.0450676146374</c:v>
                </c:pt>
                <c:pt idx="944">
                  <c:v>6153.8665785040366</c:v>
                </c:pt>
                <c:pt idx="945">
                  <c:v>6165.7108420952072</c:v>
                </c:pt>
                <c:pt idx="946">
                  <c:v>6177.5779021799717</c:v>
                </c:pt>
                <c:pt idx="947">
                  <c:v>6189.4678026344263</c:v>
                </c:pt>
                <c:pt idx="948">
                  <c:v>6201.3805874191266</c:v>
                </c:pt>
                <c:pt idx="949">
                  <c:v>6213.3163005792285</c:v>
                </c:pt>
                <c:pt idx="950">
                  <c:v>6225.2749862446699</c:v>
                </c:pt>
                <c:pt idx="951">
                  <c:v>6237.2566886303157</c:v>
                </c:pt>
                <c:pt idx="952">
                  <c:v>6249.2614520361385</c:v>
                </c:pt>
                <c:pt idx="953">
                  <c:v>6261.2893208473697</c:v>
                </c:pt>
                <c:pt idx="954">
                  <c:v>6273.3403395346713</c:v>
                </c:pt>
                <c:pt idx="955">
                  <c:v>6285.4145526542934</c:v>
                </c:pt>
                <c:pt idx="956">
                  <c:v>6297.5120048482495</c:v>
                </c:pt>
                <c:pt idx="957">
                  <c:v>6309.6327408444658</c:v>
                </c:pt>
                <c:pt idx="958">
                  <c:v>6321.776805456966</c:v>
                </c:pt>
                <c:pt idx="959">
                  <c:v>6333.9442435860174</c:v>
                </c:pt>
                <c:pt idx="960">
                  <c:v>6346.1351002183137</c:v>
                </c:pt>
                <c:pt idx="961">
                  <c:v>6358.3494204271274</c:v>
                </c:pt>
                <c:pt idx="962">
                  <c:v>6370.5872493724901</c:v>
                </c:pt>
                <c:pt idx="963">
                  <c:v>6382.8486323013458</c:v>
                </c:pt>
                <c:pt idx="964">
                  <c:v>6395.1336145477298</c:v>
                </c:pt>
                <c:pt idx="965">
                  <c:v>6407.4422415329245</c:v>
                </c:pt>
                <c:pt idx="966">
                  <c:v>6419.7745587656418</c:v>
                </c:pt>
                <c:pt idx="967">
                  <c:v>6432.130611842179</c:v>
                </c:pt>
                <c:pt idx="968">
                  <c:v>6444.5104464465931</c:v>
                </c:pt>
                <c:pt idx="969">
                  <c:v>6456.9141083508657</c:v>
                </c:pt>
                <c:pt idx="970">
                  <c:v>6469.3416434150831</c:v>
                </c:pt>
                <c:pt idx="971">
                  <c:v>6481.7930975875879</c:v>
                </c:pt>
                <c:pt idx="972">
                  <c:v>6494.2685169051665</c:v>
                </c:pt>
                <c:pt idx="973">
                  <c:v>6506.7679474932047</c:v>
                </c:pt>
                <c:pt idx="974">
                  <c:v>6519.2914355658759</c:v>
                </c:pt>
                <c:pt idx="975">
                  <c:v>6531.8390274262892</c:v>
                </c:pt>
                <c:pt idx="976">
                  <c:v>6544.4107694666827</c:v>
                </c:pt>
                <c:pt idx="977">
                  <c:v>6557.0067081685756</c:v>
                </c:pt>
                <c:pt idx="978">
                  <c:v>6569.626890102958</c:v>
                </c:pt>
                <c:pt idx="979">
                  <c:v>6582.2713619304486</c:v>
                </c:pt>
                <c:pt idx="980">
                  <c:v>6594.9401704014772</c:v>
                </c:pt>
                <c:pt idx="981">
                  <c:v>6607.6333623564497</c:v>
                </c:pt>
                <c:pt idx="982">
                  <c:v>6620.3509847259293</c:v>
                </c:pt>
                <c:pt idx="983">
                  <c:v>6633.0930845308012</c:v>
                </c:pt>
                <c:pt idx="984">
                  <c:v>6645.8597088824572</c:v>
                </c:pt>
                <c:pt idx="985">
                  <c:v>6658.6509049829538</c:v>
                </c:pt>
                <c:pt idx="986">
                  <c:v>6671.4667201252114</c:v>
                </c:pt>
                <c:pt idx="987">
                  <c:v>6684.3072016931592</c:v>
                </c:pt>
                <c:pt idx="988">
                  <c:v>6697.1723971619367</c:v>
                </c:pt>
                <c:pt idx="989">
                  <c:v>6710.0623540980496</c:v>
                </c:pt>
                <c:pt idx="990">
                  <c:v>6722.9771201595622</c:v>
                </c:pt>
                <c:pt idx="991">
                  <c:v>6735.9167430962598</c:v>
                </c:pt>
                <c:pt idx="992">
                  <c:v>6748.8812707498346</c:v>
                </c:pt>
                <c:pt idx="993">
                  <c:v>6761.8707510540553</c:v>
                </c:pt>
                <c:pt idx="994">
                  <c:v>6774.8852320349542</c:v>
                </c:pt>
                <c:pt idx="995">
                  <c:v>6787.9247618109903</c:v>
                </c:pt>
                <c:pt idx="996">
                  <c:v>6800.9893885932443</c:v>
                </c:pt>
                <c:pt idx="997">
                  <c:v>6814.0791606855782</c:v>
                </c:pt>
                <c:pt idx="998">
                  <c:v>6827.1941264848365</c:v>
                </c:pt>
                <c:pt idx="999">
                  <c:v>6840.334334481</c:v>
                </c:pt>
                <c:pt idx="1000">
                  <c:v>6853.4998332573869</c:v>
                </c:pt>
                <c:pt idx="1001">
                  <c:v>6866.6906714908164</c:v>
                </c:pt>
                <c:pt idx="1002">
                  <c:v>6879.9068979517988</c:v>
                </c:pt>
                <c:pt idx="1003">
                  <c:v>6893.1485615047113</c:v>
                </c:pt>
                <c:pt idx="1004">
                  <c:v>6906.4157111079803</c:v>
                </c:pt>
                <c:pt idx="1005">
                  <c:v>6919.7083958142612</c:v>
                </c:pt>
                <c:pt idx="1006">
                  <c:v>6933.0266647706221</c:v>
                </c:pt>
                <c:pt idx="1007">
                  <c:v>6946.3705672187189</c:v>
                </c:pt>
                <c:pt idx="1008">
                  <c:v>6959.7401524949901</c:v>
                </c:pt>
                <c:pt idx="1009">
                  <c:v>6973.1354700308229</c:v>
                </c:pt>
                <c:pt idx="1010">
                  <c:v>6986.5565693527524</c:v>
                </c:pt>
                <c:pt idx="1011">
                  <c:v>7000.0035000826274</c:v>
                </c:pt>
                <c:pt idx="1012">
                  <c:v>7013.4763119378131</c:v>
                </c:pt>
                <c:pt idx="1013">
                  <c:v>7026.9750547313606</c:v>
                </c:pt>
                <c:pt idx="1014">
                  <c:v>7040.4997783721938</c:v>
                </c:pt>
                <c:pt idx="1015">
                  <c:v>7054.0505328652998</c:v>
                </c:pt>
                <c:pt idx="1016">
                  <c:v>7067.6273683119025</c:v>
                </c:pt>
                <c:pt idx="1017">
                  <c:v>7081.2303349096646</c:v>
                </c:pt>
                <c:pt idx="1018">
                  <c:v>7094.8594829528547</c:v>
                </c:pt>
                <c:pt idx="1019">
                  <c:v>7108.5148628325487</c:v>
                </c:pt>
                <c:pt idx="1020">
                  <c:v>7122.1965250368039</c:v>
                </c:pt>
                <c:pt idx="1021">
                  <c:v>7135.9045201508579</c:v>
                </c:pt>
                <c:pt idx="1022">
                  <c:v>7149.6388988572999</c:v>
                </c:pt>
                <c:pt idx="1023">
                  <c:v>7163.3997119362793</c:v>
                </c:pt>
                <c:pt idx="1024">
                  <c:v>7177.1870102656685</c:v>
                </c:pt>
                <c:pt idx="1025">
                  <c:v>7191.0008448212739</c:v>
                </c:pt>
                <c:pt idx="1026">
                  <c:v>7204.8412666770082</c:v>
                </c:pt>
                <c:pt idx="1027">
                  <c:v>7218.7083270050907</c:v>
                </c:pt>
                <c:pt idx="1028">
                  <c:v>7232.6020770762234</c:v>
                </c:pt>
                <c:pt idx="1029">
                  <c:v>7246.5225682597975</c:v>
                </c:pt>
                <c:pt idx="1030">
                  <c:v>7260.4698520240663</c:v>
                </c:pt>
                <c:pt idx="1031">
                  <c:v>7274.443979936349</c:v>
                </c:pt>
                <c:pt idx="1032">
                  <c:v>7288.4450036632106</c:v>
                </c:pt>
                <c:pt idx="1033">
                  <c:v>7302.4729749706639</c:v>
                </c:pt>
                <c:pt idx="1034">
                  <c:v>7316.5279457243487</c:v>
                </c:pt>
                <c:pt idx="1035">
                  <c:v>7330.6099678897372</c:v>
                </c:pt>
                <c:pt idx="1036">
                  <c:v>7344.7190935323124</c:v>
                </c:pt>
                <c:pt idx="1037">
                  <c:v>7358.8553748177719</c:v>
                </c:pt>
                <c:pt idx="1038">
                  <c:v>7373.0188640122087</c:v>
                </c:pt>
                <c:pt idx="1039">
                  <c:v>7387.2096134823214</c:v>
                </c:pt>
                <c:pt idx="1040">
                  <c:v>7401.4276756955896</c:v>
                </c:pt>
                <c:pt idx="1041">
                  <c:v>7415.6731032204807</c:v>
                </c:pt>
                <c:pt idx="1042">
                  <c:v>7429.9459487266395</c:v>
                </c:pt>
                <c:pt idx="1043">
                  <c:v>7444.2462649850868</c:v>
                </c:pt>
                <c:pt idx="1044">
                  <c:v>7458.5741048683994</c:v>
                </c:pt>
                <c:pt idx="1045">
                  <c:v>7472.9295213509304</c:v>
                </c:pt>
                <c:pt idx="1046">
                  <c:v>7487.3125675089841</c:v>
                </c:pt>
                <c:pt idx="1047">
                  <c:v>7501.7232965210269</c:v>
                </c:pt>
                <c:pt idx="1048">
                  <c:v>7516.161761667865</c:v>
                </c:pt>
                <c:pt idx="1049">
                  <c:v>7530.6280163328665</c:v>
                </c:pt>
                <c:pt idx="1050">
                  <c:v>7545.1221140021389</c:v>
                </c:pt>
                <c:pt idx="1051">
                  <c:v>7559.644108264738</c:v>
                </c:pt>
                <c:pt idx="1052">
                  <c:v>7574.1940528128544</c:v>
                </c:pt>
                <c:pt idx="1053">
                  <c:v>7588.7720014420238</c:v>
                </c:pt>
                <c:pt idx="1054">
                  <c:v>7603.3780080513243</c:v>
                </c:pt>
                <c:pt idx="1055">
                  <c:v>7618.012126643569</c:v>
                </c:pt>
                <c:pt idx="1056">
                  <c:v>7632.674411325509</c:v>
                </c:pt>
                <c:pt idx="1057">
                  <c:v>7647.3649163080418</c:v>
                </c:pt>
                <c:pt idx="1058">
                  <c:v>7662.0836959063872</c:v>
                </c:pt>
                <c:pt idx="1059">
                  <c:v>7676.830804540321</c:v>
                </c:pt>
                <c:pt idx="1060">
                  <c:v>7691.6062967343532</c:v>
                </c:pt>
                <c:pt idx="1061">
                  <c:v>7706.4102271179408</c:v>
                </c:pt>
                <c:pt idx="1062">
                  <c:v>7721.2426504256737</c:v>
                </c:pt>
                <c:pt idx="1063">
                  <c:v>7736.1036214975011</c:v>
                </c:pt>
                <c:pt idx="1064">
                  <c:v>7750.9931952789184</c:v>
                </c:pt>
                <c:pt idx="1065">
                  <c:v>7765.911426821177</c:v>
                </c:pt>
                <c:pt idx="1066">
                  <c:v>7780.858371281467</c:v>
                </c:pt>
                <c:pt idx="1067">
                  <c:v>7795.8340839231687</c:v>
                </c:pt>
                <c:pt idx="1068">
                  <c:v>7810.8386201160019</c:v>
                </c:pt>
                <c:pt idx="1069">
                  <c:v>7825.872035336266</c:v>
                </c:pt>
                <c:pt idx="1070">
                  <c:v>7840.9343851670337</c:v>
                </c:pt>
                <c:pt idx="1071">
                  <c:v>7856.0257252983629</c:v>
                </c:pt>
                <c:pt idx="1072">
                  <c:v>7871.1461115274833</c:v>
                </c:pt>
                <c:pt idx="1073">
                  <c:v>7886.2955997590307</c:v>
                </c:pt>
                <c:pt idx="1074">
                  <c:v>7901.4742460052321</c:v>
                </c:pt>
                <c:pt idx="1075">
                  <c:v>7916.6821063861298</c:v>
                </c:pt>
                <c:pt idx="1076">
                  <c:v>7931.919237129764</c:v>
                </c:pt>
                <c:pt idx="1077">
                  <c:v>7947.1856945724103</c:v>
                </c:pt>
                <c:pt idx="1078">
                  <c:v>7962.4815351587667</c:v>
                </c:pt>
                <c:pt idx="1079">
                  <c:v>7977.8068154421717</c:v>
                </c:pt>
                <c:pt idx="1080">
                  <c:v>7993.1615920848126</c:v>
                </c:pt>
                <c:pt idx="1081">
                  <c:v>8008.5459218579354</c:v>
                </c:pt>
                <c:pt idx="1082">
                  <c:v>8023.9598616420408</c:v>
                </c:pt>
                <c:pt idx="1083">
                  <c:v>8039.4034684271228</c:v>
                </c:pt>
                <c:pt idx="1084">
                  <c:v>8054.8767993128522</c:v>
                </c:pt>
                <c:pt idx="1085">
                  <c:v>8070.3799115088086</c:v>
                </c:pt>
                <c:pt idx="1086">
                  <c:v>8085.9128623346696</c:v>
                </c:pt>
                <c:pt idx="1087">
                  <c:v>8101.4757092204427</c:v>
                </c:pt>
                <c:pt idx="1088">
                  <c:v>8117.0685097066716</c:v>
                </c:pt>
                <c:pt idx="1089">
                  <c:v>8132.6913214446467</c:v>
                </c:pt>
                <c:pt idx="1090">
                  <c:v>8148.3442021966111</c:v>
                </c:pt>
                <c:pt idx="1091">
                  <c:v>8164.027209835991</c:v>
                </c:pt>
                <c:pt idx="1092">
                  <c:v>8179.740402347601</c:v>
                </c:pt>
                <c:pt idx="1093">
                  <c:v>8195.4838378278546</c:v>
                </c:pt>
                <c:pt idx="1094">
                  <c:v>8211.2575744849801</c:v>
                </c:pt>
                <c:pt idx="1095">
                  <c:v>8227.0616706392484</c:v>
                </c:pt>
                <c:pt idx="1096">
                  <c:v>8242.8961847231676</c:v>
                </c:pt>
                <c:pt idx="1097">
                  <c:v>8258.7611752817156</c:v>
                </c:pt>
                <c:pt idx="1098">
                  <c:v>8274.6567009725495</c:v>
                </c:pt>
                <c:pt idx="1099">
                  <c:v>8290.5828205662237</c:v>
                </c:pt>
                <c:pt idx="1100">
                  <c:v>8306.5395929464121</c:v>
                </c:pt>
                <c:pt idx="1101">
                  <c:v>8322.527077110115</c:v>
                </c:pt>
                <c:pt idx="1102">
                  <c:v>8338.5453321678833</c:v>
                </c:pt>
                <c:pt idx="1103">
                  <c:v>8354.5944173440421</c:v>
                </c:pt>
                <c:pt idx="1104">
                  <c:v>8370.6743919769015</c:v>
                </c:pt>
                <c:pt idx="1105">
                  <c:v>8386.7853155189823</c:v>
                </c:pt>
                <c:pt idx="1106">
                  <c:v>8402.9272475372327</c:v>
                </c:pt>
                <c:pt idx="1107">
                  <c:v>8419.1002477132406</c:v>
                </c:pt>
                <c:pt idx="1108">
                  <c:v>8435.3043758434687</c:v>
                </c:pt>
                <c:pt idx="1109">
                  <c:v>8451.5396918394708</c:v>
                </c:pt>
                <c:pt idx="1110">
                  <c:v>8467.8062557281137</c:v>
                </c:pt>
                <c:pt idx="1111">
                  <c:v>8484.1041276517844</c:v>
                </c:pt>
                <c:pt idx="1112">
                  <c:v>8500.433367868638</c:v>
                </c:pt>
                <c:pt idx="1113">
                  <c:v>8516.7940367528008</c:v>
                </c:pt>
                <c:pt idx="1114">
                  <c:v>8533.186194794609</c:v>
                </c:pt>
                <c:pt idx="1115">
                  <c:v>8549.6099026008069</c:v>
                </c:pt>
                <c:pt idx="1116">
                  <c:v>8566.0652208948104</c:v>
                </c:pt>
                <c:pt idx="1117">
                  <c:v>8582.5522105168893</c:v>
                </c:pt>
                <c:pt idx="1118">
                  <c:v>8599.0709324244181</c:v>
                </c:pt>
                <c:pt idx="1119">
                  <c:v>8615.6214476921014</c:v>
                </c:pt>
                <c:pt idx="1120">
                  <c:v>8632.2038175121907</c:v>
                </c:pt>
                <c:pt idx="1121">
                  <c:v>8648.8181031947024</c:v>
                </c:pt>
                <c:pt idx="1122">
                  <c:v>8665.464366167671</c:v>
                </c:pt>
                <c:pt idx="1123">
                  <c:v>8682.1426679773504</c:v>
                </c:pt>
                <c:pt idx="1124">
                  <c:v>8698.8530702884636</c:v>
                </c:pt>
                <c:pt idx="1125">
                  <c:v>8715.5956348843956</c:v>
                </c:pt>
                <c:pt idx="1126">
                  <c:v>8732.370423667473</c:v>
                </c:pt>
                <c:pt idx="1127">
                  <c:v>8749.1774986591463</c:v>
                </c:pt>
                <c:pt idx="1128">
                  <c:v>8766.0169220002444</c:v>
                </c:pt>
                <c:pt idx="1129">
                  <c:v>8782.8887559511986</c:v>
                </c:pt>
                <c:pt idx="1130">
                  <c:v>8799.7930628922695</c:v>
                </c:pt>
                <c:pt idx="1131">
                  <c:v>8816.7299053237803</c:v>
                </c:pt>
                <c:pt idx="1132">
                  <c:v>8833.6993458663474</c:v>
                </c:pt>
                <c:pt idx="1133">
                  <c:v>8850.7014472611172</c:v>
                </c:pt>
                <c:pt idx="1134">
                  <c:v>8867.736272369988</c:v>
                </c:pt>
                <c:pt idx="1135">
                  <c:v>8884.8038841758444</c:v>
                </c:pt>
                <c:pt idx="1136">
                  <c:v>8901.9043457828029</c:v>
                </c:pt>
                <c:pt idx="1137">
                  <c:v>8919.037720416427</c:v>
                </c:pt>
                <c:pt idx="1138">
                  <c:v>8936.2040714239774</c:v>
                </c:pt>
                <c:pt idx="1139">
                  <c:v>8953.4034622746294</c:v>
                </c:pt>
                <c:pt idx="1140">
                  <c:v>8970.6359565597195</c:v>
                </c:pt>
                <c:pt idx="1141">
                  <c:v>8987.9016179929858</c:v>
                </c:pt>
                <c:pt idx="1142">
                  <c:v>9005.200510410783</c:v>
                </c:pt>
                <c:pt idx="1143">
                  <c:v>9022.5326977723416</c:v>
                </c:pt>
                <c:pt idx="1144">
                  <c:v>9039.8982441599874</c:v>
                </c:pt>
                <c:pt idx="1145">
                  <c:v>9057.2972137793822</c:v>
                </c:pt>
                <c:pt idx="1146">
                  <c:v>9074.7296709597686</c:v>
                </c:pt>
                <c:pt idx="1147">
                  <c:v>9092.1956801542037</c:v>
                </c:pt>
                <c:pt idx="1148">
                  <c:v>9109.6953059397965</c:v>
                </c:pt>
                <c:pt idx="1149">
                  <c:v>9127.2286130179364</c:v>
                </c:pt>
                <c:pt idx="1150">
                  <c:v>9144.7956662145516</c:v>
                </c:pt>
                <c:pt idx="1151">
                  <c:v>9162.396530480346</c:v>
                </c:pt>
                <c:pt idx="1152">
                  <c:v>9180.0312708910224</c:v>
                </c:pt>
                <c:pt idx="1153">
                  <c:v>9197.699952647532</c:v>
                </c:pt>
                <c:pt idx="1154">
                  <c:v>9215.4026410763381</c:v>
                </c:pt>
                <c:pt idx="1155">
                  <c:v>9233.1394016296053</c:v>
                </c:pt>
                <c:pt idx="1156">
                  <c:v>9250.9102998854996</c:v>
                </c:pt>
                <c:pt idx="1157">
                  <c:v>9268.7154015483884</c:v>
                </c:pt>
                <c:pt idx="1158">
                  <c:v>9286.5547724491153</c:v>
                </c:pt>
                <c:pt idx="1159">
                  <c:v>9304.4284785452055</c:v>
                </c:pt>
                <c:pt idx="1160">
                  <c:v>9322.3365859211517</c:v>
                </c:pt>
                <c:pt idx="1161">
                  <c:v>9340.2791607886284</c:v>
                </c:pt>
                <c:pt idx="1162">
                  <c:v>9358.2562694867538</c:v>
                </c:pt>
                <c:pt idx="1163">
                  <c:v>9376.2679784823158</c:v>
                </c:pt>
                <c:pt idx="1164">
                  <c:v>9394.3143543700444</c:v>
                </c:pt>
                <c:pt idx="1165">
                  <c:v>9412.3954638728337</c:v>
                </c:pt>
                <c:pt idx="1166">
                  <c:v>9430.5113738420023</c:v>
                </c:pt>
                <c:pt idx="1167">
                  <c:v>9448.6621512575402</c:v>
                </c:pt>
                <c:pt idx="1168">
                  <c:v>9466.8478632283441</c:v>
                </c:pt>
                <c:pt idx="1169">
                  <c:v>9485.0685769924767</c:v>
                </c:pt>
                <c:pt idx="1170">
                  <c:v>9503.324359917422</c:v>
                </c:pt>
                <c:pt idx="1171">
                  <c:v>9521.6152795003181</c:v>
                </c:pt>
                <c:pt idx="1172">
                  <c:v>9539.9414033682078</c:v>
                </c:pt>
                <c:pt idx="1173">
                  <c:v>9558.3027992783027</c:v>
                </c:pt>
                <c:pt idx="1174">
                  <c:v>9576.6995351182286</c:v>
                </c:pt>
                <c:pt idx="1175">
                  <c:v>9595.1316789062712</c:v>
                </c:pt>
                <c:pt idx="1176">
                  <c:v>9613.5992987916215</c:v>
                </c:pt>
                <c:pt idx="1177">
                  <c:v>9632.1024630546399</c:v>
                </c:pt>
                <c:pt idx="1178">
                  <c:v>9650.6412401071193</c:v>
                </c:pt>
                <c:pt idx="1179">
                  <c:v>9669.2156984925132</c:v>
                </c:pt>
                <c:pt idx="1180">
                  <c:v>9687.8259068861898</c:v>
                </c:pt>
                <c:pt idx="1181">
                  <c:v>9706.4719340957072</c:v>
                </c:pt>
                <c:pt idx="1182">
                  <c:v>9725.1538490610601</c:v>
                </c:pt>
                <c:pt idx="1183">
                  <c:v>9743.8717208549242</c:v>
                </c:pt>
                <c:pt idx="1184">
                  <c:v>9762.6256186829214</c:v>
                </c:pt>
                <c:pt idx="1185">
                  <c:v>9781.4156118838655</c:v>
                </c:pt>
                <c:pt idx="1186">
                  <c:v>9800.2417699300349</c:v>
                </c:pt>
                <c:pt idx="1187">
                  <c:v>9819.1041624274148</c:v>
                </c:pt>
                <c:pt idx="1188">
                  <c:v>9838.0028591159698</c:v>
                </c:pt>
                <c:pt idx="1189">
                  <c:v>9856.937929869875</c:v>
                </c:pt>
                <c:pt idx="1190">
                  <c:v>9875.909444697807</c:v>
                </c:pt>
                <c:pt idx="1191">
                  <c:v>9894.9174737431767</c:v>
                </c:pt>
                <c:pt idx="1192">
                  <c:v>9913.9620872844116</c:v>
                </c:pt>
                <c:pt idx="1193">
                  <c:v>9933.0433557351862</c:v>
                </c:pt>
                <c:pt idx="1194">
                  <c:v>9952.1613496447098</c:v>
                </c:pt>
                <c:pt idx="1195">
                  <c:v>9971.3161396979776</c:v>
                </c:pt>
                <c:pt idx="1196">
                  <c:v>9990.5077967160305</c:v>
                </c:pt>
                <c:pt idx="1197">
                  <c:v>10009.73639165621</c:v>
                </c:pt>
                <c:pt idx="1198">
                  <c:v>10029.001995612436</c:v>
                </c:pt>
                <c:pt idx="1199">
                  <c:v>10048.304679815463</c:v>
                </c:pt>
                <c:pt idx="1200">
                  <c:v>10067.644515633139</c:v>
                </c:pt>
                <c:pt idx="1201">
                  <c:v>10087.02157457067</c:v>
                </c:pt>
                <c:pt idx="1202">
                  <c:v>10106.435928270887</c:v>
                </c:pt>
                <c:pt idx="1203">
                  <c:v>10125.887648514525</c:v>
                </c:pt>
                <c:pt idx="1204">
                  <c:v>10145.37680722046</c:v>
                </c:pt>
                <c:pt idx="1205">
                  <c:v>10164.903476445987</c:v>
                </c:pt>
                <c:pt idx="1206">
                  <c:v>10184.467728387101</c:v>
                </c:pt>
                <c:pt idx="1207">
                  <c:v>10204.069635378741</c:v>
                </c:pt>
                <c:pt idx="1208">
                  <c:v>10223.709269895076</c:v>
                </c:pt>
                <c:pt idx="1209">
                  <c:v>10243.386704549759</c:v>
                </c:pt>
                <c:pt idx="1210">
                  <c:v>10263.102012096204</c:v>
                </c:pt>
                <c:pt idx="1211">
                  <c:v>10282.85526542785</c:v>
                </c:pt>
                <c:pt idx="1212">
                  <c:v>10302.646537578445</c:v>
                </c:pt>
                <c:pt idx="1213">
                  <c:v>10322.475901722284</c:v>
                </c:pt>
                <c:pt idx="1214">
                  <c:v>10342.343431174511</c:v>
                </c:pt>
                <c:pt idx="1215">
                  <c:v>10362.249199391383</c:v>
                </c:pt>
                <c:pt idx="1216">
                  <c:v>10382.193279970534</c:v>
                </c:pt>
                <c:pt idx="1217">
                  <c:v>10402.175746651239</c:v>
                </c:pt>
                <c:pt idx="1218">
                  <c:v>10422.196673314713</c:v>
                </c:pt>
                <c:pt idx="1219">
                  <c:v>10442.25613398436</c:v>
                </c:pt>
                <c:pt idx="1220">
                  <c:v>10462.354202826071</c:v>
                </c:pt>
                <c:pt idx="1221">
                  <c:v>10482.490954148454</c:v>
                </c:pt>
                <c:pt idx="1222">
                  <c:v>10502.666462403167</c:v>
                </c:pt>
                <c:pt idx="1223">
                  <c:v>10522.880802185149</c:v>
                </c:pt>
                <c:pt idx="1224">
                  <c:v>10543.134048232918</c:v>
                </c:pt>
                <c:pt idx="1225">
                  <c:v>10563.42627542883</c:v>
                </c:pt>
                <c:pt idx="1226">
                  <c:v>10583.757558799372</c:v>
                </c:pt>
                <c:pt idx="1227">
                  <c:v>10604.127973515435</c:v>
                </c:pt>
                <c:pt idx="1228">
                  <c:v>10624.537594892601</c:v>
                </c:pt>
                <c:pt idx="1229">
                  <c:v>10644.986498391385</c:v>
                </c:pt>
                <c:pt idx="1230">
                  <c:v>10665.474759617558</c:v>
                </c:pt>
                <c:pt idx="1231">
                  <c:v>10686.002454322406</c:v>
                </c:pt>
                <c:pt idx="1232">
                  <c:v>10706.569658403016</c:v>
                </c:pt>
                <c:pt idx="1233">
                  <c:v>10727.176447902535</c:v>
                </c:pt>
                <c:pt idx="1234">
                  <c:v>10747.822899010491</c:v>
                </c:pt>
                <c:pt idx="1235">
                  <c:v>10768.509088063041</c:v>
                </c:pt>
                <c:pt idx="1236">
                  <c:v>10789.235091543276</c:v>
                </c:pt>
                <c:pt idx="1237">
                  <c:v>10810.000986081475</c:v>
                </c:pt>
                <c:pt idx="1238">
                  <c:v>10830.806848455419</c:v>
                </c:pt>
                <c:pt idx="1239">
                  <c:v>10851.652755590661</c:v>
                </c:pt>
                <c:pt idx="1240">
                  <c:v>10872.538784560818</c:v>
                </c:pt>
                <c:pt idx="1241">
                  <c:v>10893.465012587829</c:v>
                </c:pt>
                <c:pt idx="1242">
                  <c:v>10914.431517042278</c:v>
                </c:pt>
                <c:pt idx="1243">
                  <c:v>10935.438375443662</c:v>
                </c:pt>
                <c:pt idx="1244">
                  <c:v>10956.485665460677</c:v>
                </c:pt>
                <c:pt idx="1245">
                  <c:v>10977.573464911498</c:v>
                </c:pt>
                <c:pt idx="1246">
                  <c:v>10998.701851764092</c:v>
                </c:pt>
                <c:pt idx="1247">
                  <c:v>11019.870904136471</c:v>
                </c:pt>
                <c:pt idx="1248">
                  <c:v>11041.080700297023</c:v>
                </c:pt>
                <c:pt idx="1249">
                  <c:v>11062.331318664754</c:v>
                </c:pt>
                <c:pt idx="1250">
                  <c:v>11083.622837809613</c:v>
                </c:pt>
                <c:pt idx="1251">
                  <c:v>11104.955336452771</c:v>
                </c:pt>
                <c:pt idx="1252">
                  <c:v>11126.328893466933</c:v>
                </c:pt>
                <c:pt idx="1253">
                  <c:v>11147.743587876557</c:v>
                </c:pt>
                <c:pt idx="1254">
                  <c:v>11169.19949885825</c:v>
                </c:pt>
                <c:pt idx="1255">
                  <c:v>11190.696705740986</c:v>
                </c:pt>
                <c:pt idx="1256">
                  <c:v>11212.23528800643</c:v>
                </c:pt>
                <c:pt idx="1257">
                  <c:v>11233.815325289213</c:v>
                </c:pt>
                <c:pt idx="1258">
                  <c:v>11255.436897377247</c:v>
                </c:pt>
                <c:pt idx="1259">
                  <c:v>11277.10008421201</c:v>
                </c:pt>
                <c:pt idx="1260">
                  <c:v>11298.804965888845</c:v>
                </c:pt>
                <c:pt idx="1261">
                  <c:v>11320.551622657242</c:v>
                </c:pt>
                <c:pt idx="1262">
                  <c:v>11342.340134921153</c:v>
                </c:pt>
                <c:pt idx="1263">
                  <c:v>11364.170583239287</c:v>
                </c:pt>
                <c:pt idx="1264">
                  <c:v>11386.0430483254</c:v>
                </c:pt>
                <c:pt idx="1265">
                  <c:v>11407.9576110486</c:v>
                </c:pt>
                <c:pt idx="1266">
                  <c:v>11429.914352433625</c:v>
                </c:pt>
                <c:pt idx="1267">
                  <c:v>11451.913353661183</c:v>
                </c:pt>
                <c:pt idx="1268">
                  <c:v>11473.954696068218</c:v>
                </c:pt>
                <c:pt idx="1269">
                  <c:v>11496.038461148231</c:v>
                </c:pt>
                <c:pt idx="1270">
                  <c:v>11518.164730551554</c:v>
                </c:pt>
                <c:pt idx="1271">
                  <c:v>11540.33358608569</c:v>
                </c:pt>
                <c:pt idx="1272">
                  <c:v>11562.54510971558</c:v>
                </c:pt>
                <c:pt idx="1273">
                  <c:v>11584.799383563943</c:v>
                </c:pt>
                <c:pt idx="1274">
                  <c:v>11607.096489911532</c:v>
                </c:pt>
                <c:pt idx="1275">
                  <c:v>11629.43651119748</c:v>
                </c:pt>
                <c:pt idx="1276">
                  <c:v>11651.819530019588</c:v>
                </c:pt>
                <c:pt idx="1277">
                  <c:v>11674.245629134641</c:v>
                </c:pt>
                <c:pt idx="1278">
                  <c:v>11696.714891458681</c:v>
                </c:pt>
                <c:pt idx="1279">
                  <c:v>11719.227400067357</c:v>
                </c:pt>
                <c:pt idx="1280">
                  <c:v>11741.783238196207</c:v>
                </c:pt>
                <c:pt idx="1281">
                  <c:v>11764.382489240976</c:v>
                </c:pt>
                <c:pt idx="1282">
                  <c:v>11787.025236757905</c:v>
                </c:pt>
                <c:pt idx="1283">
                  <c:v>11809.711564464069</c:v>
                </c:pt>
                <c:pt idx="1284">
                  <c:v>11832.441556237667</c:v>
                </c:pt>
                <c:pt idx="1285">
                  <c:v>11855.215296118346</c:v>
                </c:pt>
                <c:pt idx="1286">
                  <c:v>11878.032868307479</c:v>
                </c:pt>
                <c:pt idx="1287">
                  <c:v>11900.894357168525</c:v>
                </c:pt>
                <c:pt idx="1288">
                  <c:v>11923.799847227307</c:v>
                </c:pt>
                <c:pt idx="1289">
                  <c:v>11946.749423172338</c:v>
                </c:pt>
                <c:pt idx="1290">
                  <c:v>11969.743169855112</c:v>
                </c:pt>
                <c:pt idx="1291">
                  <c:v>11992.781172290463</c:v>
                </c:pt>
                <c:pt idx="1292">
                  <c:v>12015.863515656831</c:v>
                </c:pt>
                <c:pt idx="1293">
                  <c:v>12038.990285296612</c:v>
                </c:pt>
                <c:pt idx="1294">
                  <c:v>12062.161566716442</c:v>
                </c:pt>
                <c:pt idx="1295">
                  <c:v>12085.377445587546</c:v>
                </c:pt>
                <c:pt idx="1296">
                  <c:v>12108.638007746036</c:v>
                </c:pt>
                <c:pt idx="1297">
                  <c:v>12131.943339193231</c:v>
                </c:pt>
                <c:pt idx="1298">
                  <c:v>12155.293526095966</c:v>
                </c:pt>
                <c:pt idx="1299">
                  <c:v>12178.688654786931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2E-CB44-BB91-0055E0FEF7DF}"/>
            </c:ext>
          </c:extLst>
        </c:ser>
        <c:ser>
          <c:idx val="7"/>
          <c:order val="6"/>
          <c:tx>
            <c:strRef>
              <c:f>'Compounding within 1 year'!$M$1</c:f>
              <c:strCache>
                <c:ptCount val="1"/>
                <c:pt idx="0">
                  <c:v>Continuous</c:v>
                </c:pt>
              </c:strCache>
            </c:strRef>
          </c:tx>
          <c:marker>
            <c:symbol val="none"/>
          </c:marker>
          <c:val>
            <c:numRef>
              <c:f>'Compounding within 1 year'!$M$2:$M$1363</c:f>
              <c:numCache>
                <c:formatCode>_("$"* #,##0.00_);_("$"* \(#,##0.00\);_("$"* "-"??_);_(@_)</c:formatCode>
                <c:ptCount val="1362"/>
                <c:pt idx="0">
                  <c:v>1001.9249503427463</c:v>
                </c:pt>
                <c:pt idx="1">
                  <c:v>1003.8536061193146</c:v>
                </c:pt>
                <c:pt idx="2">
                  <c:v>1005.7859744624811</c:v>
                </c:pt>
                <c:pt idx="3">
                  <c:v>1007.722062518752</c:v>
                </c:pt>
                <c:pt idx="4">
                  <c:v>1009.6618774483903</c:v>
                </c:pt>
                <c:pt idx="5">
                  <c:v>1011.6054264254426</c:v>
                </c:pt>
                <c:pt idx="6">
                  <c:v>1013.5527166377642</c:v>
                </c:pt>
                <c:pt idx="7">
                  <c:v>1015.5037552870474</c:v>
                </c:pt>
                <c:pt idx="8">
                  <c:v>1017.4585495888473</c:v>
                </c:pt>
                <c:pt idx="9">
                  <c:v>1019.4171067726086</c:v>
                </c:pt>
                <c:pt idx="10">
                  <c:v>1021.379434081692</c:v>
                </c:pt>
                <c:pt idx="11">
                  <c:v>1023.3455387734014</c:v>
                </c:pt>
                <c:pt idx="12">
                  <c:v>1025.3154281190111</c:v>
                </c:pt>
                <c:pt idx="13">
                  <c:v>1027.2891094037918</c:v>
                </c:pt>
                <c:pt idx="14">
                  <c:v>1029.266589927038</c:v>
                </c:pt>
                <c:pt idx="15">
                  <c:v>1031.2478770020957</c:v>
                </c:pt>
                <c:pt idx="16">
                  <c:v>1033.2329779563872</c:v>
                </c:pt>
                <c:pt idx="17">
                  <c:v>1035.2219001314409</c:v>
                </c:pt>
                <c:pt idx="18">
                  <c:v>1037.2146508829173</c:v>
                </c:pt>
                <c:pt idx="19">
                  <c:v>1039.211237580636</c:v>
                </c:pt>
                <c:pt idx="20">
                  <c:v>1041.2116676086025</c:v>
                </c:pt>
                <c:pt idx="21">
                  <c:v>1043.2159483650371</c:v>
                </c:pt>
                <c:pt idx="22">
                  <c:v>1045.2240872624009</c:v>
                </c:pt>
                <c:pt idx="23">
                  <c:v>1047.2360917274232</c:v>
                </c:pt>
                <c:pt idx="24">
                  <c:v>1049.2519692011301</c:v>
                </c:pt>
                <c:pt idx="25">
                  <c:v>1051.2717271388713</c:v>
                </c:pt>
                <c:pt idx="26">
                  <c:v>1053.2953730103466</c:v>
                </c:pt>
                <c:pt idx="27">
                  <c:v>1055.3229142996358</c:v>
                </c:pt>
                <c:pt idx="28">
                  <c:v>1057.354358505225</c:v>
                </c:pt>
                <c:pt idx="29">
                  <c:v>1059.3897131400338</c:v>
                </c:pt>
                <c:pt idx="30">
                  <c:v>1061.4289857314445</c:v>
                </c:pt>
                <c:pt idx="31">
                  <c:v>1063.4721838213293</c:v>
                </c:pt>
                <c:pt idx="32">
                  <c:v>1065.519314966077</c:v>
                </c:pt>
                <c:pt idx="33">
                  <c:v>1067.570386736624</c:v>
                </c:pt>
                <c:pt idx="34">
                  <c:v>1069.6254067184782</c:v>
                </c:pt>
                <c:pt idx="35">
                  <c:v>1071.6843825117512</c:v>
                </c:pt>
                <c:pt idx="36">
                  <c:v>1073.7473217311831</c:v>
                </c:pt>
                <c:pt idx="37">
                  <c:v>1075.8142320061722</c:v>
                </c:pt>
                <c:pt idx="38">
                  <c:v>1077.8851209808038</c:v>
                </c:pt>
                <c:pt idx="39">
                  <c:v>1079.9599963138771</c:v>
                </c:pt>
                <c:pt idx="40">
                  <c:v>1082.0388656789337</c:v>
                </c:pt>
                <c:pt idx="41">
                  <c:v>1084.1217367642871</c:v>
                </c:pt>
                <c:pt idx="42">
                  <c:v>1086.2086172730501</c:v>
                </c:pt>
                <c:pt idx="43">
                  <c:v>1088.2995149231638</c:v>
                </c:pt>
                <c:pt idx="44">
                  <c:v>1090.3944374474258</c:v>
                </c:pt>
                <c:pt idx="45">
                  <c:v>1092.493392593519</c:v>
                </c:pt>
                <c:pt idx="46">
                  <c:v>1094.5963881240398</c:v>
                </c:pt>
                <c:pt idx="47">
                  <c:v>1096.7034318165281</c:v>
                </c:pt>
                <c:pt idx="48">
                  <c:v>1098.8145314634942</c:v>
                </c:pt>
                <c:pt idx="49">
                  <c:v>1100.9296948724493</c:v>
                </c:pt>
                <c:pt idx="50">
                  <c:v>1103.0489298659336</c:v>
                </c:pt>
                <c:pt idx="51">
                  <c:v>1105.1722442815451</c:v>
                </c:pt>
                <c:pt idx="52">
                  <c:v>1107.2996459719684</c:v>
                </c:pt>
                <c:pt idx="53">
                  <c:v>1109.431142805005</c:v>
                </c:pt>
                <c:pt idx="54">
                  <c:v>1111.566742663601</c:v>
                </c:pt>
                <c:pt idx="55">
                  <c:v>1113.7064534458764</c:v>
                </c:pt>
                <c:pt idx="56">
                  <c:v>1115.850283065156</c:v>
                </c:pt>
                <c:pt idx="57">
                  <c:v>1117.9982394499957</c:v>
                </c:pt>
                <c:pt idx="58">
                  <c:v>1120.1503305442147</c:v>
                </c:pt>
                <c:pt idx="59">
                  <c:v>1122.3065643069233</c:v>
                </c:pt>
                <c:pt idx="60">
                  <c:v>1124.466948712552</c:v>
                </c:pt>
                <c:pt idx="61">
                  <c:v>1126.6314917508832</c:v>
                </c:pt>
                <c:pt idx="62">
                  <c:v>1128.800201427078</c:v>
                </c:pt>
                <c:pt idx="63">
                  <c:v>1130.9730857617069</c:v>
                </c:pt>
                <c:pt idx="64">
                  <c:v>1133.1501527907808</c:v>
                </c:pt>
                <c:pt idx="65">
                  <c:v>1135.3314105657782</c:v>
                </c:pt>
                <c:pt idx="66">
                  <c:v>1137.5168671536776</c:v>
                </c:pt>
                <c:pt idx="67">
                  <c:v>1139.7065306369848</c:v>
                </c:pt>
                <c:pt idx="68">
                  <c:v>1141.9004091137645</c:v>
                </c:pt>
                <c:pt idx="69">
                  <c:v>1144.0985106976702</c:v>
                </c:pt>
                <c:pt idx="70">
                  <c:v>1146.3008435179731</c:v>
                </c:pt>
                <c:pt idx="71">
                  <c:v>1148.5074157195934</c:v>
                </c:pt>
                <c:pt idx="72">
                  <c:v>1150.7182354631293</c:v>
                </c:pt>
                <c:pt idx="73">
                  <c:v>1152.9333109248885</c:v>
                </c:pt>
                <c:pt idx="74">
                  <c:v>1155.152650296917</c:v>
                </c:pt>
                <c:pt idx="75">
                  <c:v>1157.3762617870302</c:v>
                </c:pt>
                <c:pt idx="76">
                  <c:v>1159.6041536188436</c:v>
                </c:pt>
                <c:pt idx="77">
                  <c:v>1161.8363340318024</c:v>
                </c:pt>
                <c:pt idx="78">
                  <c:v>1164.0728112812117</c:v>
                </c:pt>
                <c:pt idx="79">
                  <c:v>1166.3135936382691</c:v>
                </c:pt>
                <c:pt idx="80">
                  <c:v>1168.5586893900927</c:v>
                </c:pt>
                <c:pt idx="81">
                  <c:v>1170.8081068397532</c:v>
                </c:pt>
                <c:pt idx="82">
                  <c:v>1173.0618543063047</c:v>
                </c:pt>
                <c:pt idx="83">
                  <c:v>1175.3199401248141</c:v>
                </c:pt>
                <c:pt idx="84">
                  <c:v>1177.5823726463939</c:v>
                </c:pt>
                <c:pt idx="85">
                  <c:v>1179.8491602382314</c:v>
                </c:pt>
                <c:pt idx="86">
                  <c:v>1182.120311283621</c:v>
                </c:pt>
                <c:pt idx="87">
                  <c:v>1184.3958341819937</c:v>
                </c:pt>
                <c:pt idx="88">
                  <c:v>1186.6757373489495</c:v>
                </c:pt>
                <c:pt idx="89">
                  <c:v>1188.9600292162884</c:v>
                </c:pt>
                <c:pt idx="90">
                  <c:v>1191.2487182320397</c:v>
                </c:pt>
                <c:pt idx="91">
                  <c:v>1193.5418128604967</c:v>
                </c:pt>
                <c:pt idx="92">
                  <c:v>1195.8393215822443</c:v>
                </c:pt>
                <c:pt idx="93">
                  <c:v>1198.1412528941935</c:v>
                </c:pt>
                <c:pt idx="94">
                  <c:v>1200.4476153096107</c:v>
                </c:pt>
                <c:pt idx="95">
                  <c:v>1202.7584173581497</c:v>
                </c:pt>
                <c:pt idx="96">
                  <c:v>1205.0736675858843</c:v>
                </c:pt>
                <c:pt idx="97">
                  <c:v>1207.3933745553384</c:v>
                </c:pt>
                <c:pt idx="98">
                  <c:v>1209.7175468455182</c:v>
                </c:pt>
                <c:pt idx="99">
                  <c:v>1212.0461930519446</c:v>
                </c:pt>
                <c:pt idx="100">
                  <c:v>1214.3793217866844</c:v>
                </c:pt>
                <c:pt idx="101">
                  <c:v>1216.7169416783815</c:v>
                </c:pt>
                <c:pt idx="102">
                  <c:v>1219.0590613722904</c:v>
                </c:pt>
                <c:pt idx="103">
                  <c:v>1221.4056895303072</c:v>
                </c:pt>
                <c:pt idx="104">
                  <c:v>1223.7568348310006</c:v>
                </c:pt>
                <c:pt idx="105">
                  <c:v>1226.1125059696467</c:v>
                </c:pt>
                <c:pt idx="106">
                  <c:v>1228.4727116582585</c:v>
                </c:pt>
                <c:pt idx="107">
                  <c:v>1230.8374606256193</c:v>
                </c:pt>
                <c:pt idx="108">
                  <c:v>1233.2067616173156</c:v>
                </c:pt>
                <c:pt idx="109">
                  <c:v>1235.580623395768</c:v>
                </c:pt>
                <c:pt idx="110">
                  <c:v>1237.9590547402643</c:v>
                </c:pt>
                <c:pt idx="111">
                  <c:v>1240.3420644469925</c:v>
                </c:pt>
                <c:pt idx="112">
                  <c:v>1242.7296613290723</c:v>
                </c:pt>
                <c:pt idx="113">
                  <c:v>1245.1218542165886</c:v>
                </c:pt>
                <c:pt idx="114">
                  <c:v>1247.5186519566237</c:v>
                </c:pt>
                <c:pt idx="115">
                  <c:v>1249.9200634132901</c:v>
                </c:pt>
                <c:pt idx="116">
                  <c:v>1252.3260974677628</c:v>
                </c:pt>
                <c:pt idx="117">
                  <c:v>1254.7367630183135</c:v>
                </c:pt>
                <c:pt idx="118">
                  <c:v>1257.1520689803419</c:v>
                </c:pt>
                <c:pt idx="119">
                  <c:v>1259.5720242864099</c:v>
                </c:pt>
                <c:pt idx="120">
                  <c:v>1261.9966378862734</c:v>
                </c:pt>
                <c:pt idx="121">
                  <c:v>1264.4259187469174</c:v>
                </c:pt>
                <c:pt idx="122">
                  <c:v>1266.8598758525864</c:v>
                </c:pt>
                <c:pt idx="123">
                  <c:v>1269.2985182048205</c:v>
                </c:pt>
                <c:pt idx="124">
                  <c:v>1271.7418548224862</c:v>
                </c:pt>
                <c:pt idx="125">
                  <c:v>1274.1898947418115</c:v>
                </c:pt>
                <c:pt idx="126">
                  <c:v>1276.6426470164186</c:v>
                </c:pt>
                <c:pt idx="127">
                  <c:v>1279.1001207173574</c:v>
                </c:pt>
                <c:pt idx="128">
                  <c:v>1281.5623249331388</c:v>
                </c:pt>
                <c:pt idx="129">
                  <c:v>1284.0292687697697</c:v>
                </c:pt>
                <c:pt idx="130">
                  <c:v>1286.5009613507843</c:v>
                </c:pt>
                <c:pt idx="131">
                  <c:v>1288.97741181728</c:v>
                </c:pt>
                <c:pt idx="132">
                  <c:v>1291.4586293279497</c:v>
                </c:pt>
                <c:pt idx="133">
                  <c:v>1293.9446230591172</c:v>
                </c:pt>
                <c:pt idx="134">
                  <c:v>1296.4354022047694</c:v>
                </c:pt>
                <c:pt idx="135">
                  <c:v>1298.9309759765922</c:v>
                </c:pt>
                <c:pt idx="136">
                  <c:v>1301.431353604002</c:v>
                </c:pt>
                <c:pt idx="137">
                  <c:v>1303.9365443341828</c:v>
                </c:pt>
                <c:pt idx="138">
                  <c:v>1306.4465574321182</c:v>
                </c:pt>
                <c:pt idx="139">
                  <c:v>1308.9614021806269</c:v>
                </c:pt>
                <c:pt idx="140">
                  <c:v>1311.481087880396</c:v>
                </c:pt>
                <c:pt idx="141">
                  <c:v>1314.0056238500167</c:v>
                </c:pt>
                <c:pt idx="142">
                  <c:v>1316.5350194260172</c:v>
                </c:pt>
                <c:pt idx="143">
                  <c:v>1319.0692839628989</c:v>
                </c:pt>
                <c:pt idx="144">
                  <c:v>1321.6084268331695</c:v>
                </c:pt>
                <c:pt idx="145">
                  <c:v>1324.1524574273783</c:v>
                </c:pt>
                <c:pt idx="146">
                  <c:v>1326.7013851541515</c:v>
                </c:pt>
                <c:pt idx="147">
                  <c:v>1329.2552194402258</c:v>
                </c:pt>
                <c:pt idx="148">
                  <c:v>1331.8139697304846</c:v>
                </c:pt>
                <c:pt idx="149">
                  <c:v>1334.3776454879915</c:v>
                </c:pt>
                <c:pt idx="150">
                  <c:v>1336.9462561940263</c:v>
                </c:pt>
                <c:pt idx="151">
                  <c:v>1339.5198113481206</c:v>
                </c:pt>
                <c:pt idx="152">
                  <c:v>1342.0983204680906</c:v>
                </c:pt>
                <c:pt idx="153">
                  <c:v>1344.6817930900747</c:v>
                </c:pt>
                <c:pt idx="154">
                  <c:v>1347.2702387685681</c:v>
                </c:pt>
                <c:pt idx="155">
                  <c:v>1349.8636670764574</c:v>
                </c:pt>
                <c:pt idx="156">
                  <c:v>1352.4620876050571</c:v>
                </c:pt>
                <c:pt idx="157">
                  <c:v>1355.0655099641438</c:v>
                </c:pt>
                <c:pt idx="158">
                  <c:v>1357.6739437819929</c:v>
                </c:pt>
                <c:pt idx="159">
                  <c:v>1360.2873987054136</c:v>
                </c:pt>
                <c:pt idx="160">
                  <c:v>1362.9058843997852</c:v>
                </c:pt>
                <c:pt idx="161">
                  <c:v>1365.5294105490914</c:v>
                </c:pt>
                <c:pt idx="162">
                  <c:v>1368.1579868559579</c:v>
                </c:pt>
                <c:pt idx="163">
                  <c:v>1370.7916230416874</c:v>
                </c:pt>
                <c:pt idx="164">
                  <c:v>1373.4303288462952</c:v>
                </c:pt>
                <c:pt idx="165">
                  <c:v>1376.0741140285459</c:v>
                </c:pt>
                <c:pt idx="166">
                  <c:v>1378.7229883659895</c:v>
                </c:pt>
                <c:pt idx="167">
                  <c:v>1381.3769616549969</c:v>
                </c:pt>
                <c:pt idx="168">
                  <c:v>1384.0360437107963</c:v>
                </c:pt>
                <c:pt idx="169">
                  <c:v>1386.7002443675108</c:v>
                </c:pt>
                <c:pt idx="170">
                  <c:v>1389.369573478192</c:v>
                </c:pt>
                <c:pt idx="171">
                  <c:v>1392.0440409148603</c:v>
                </c:pt>
                <c:pt idx="172">
                  <c:v>1394.7236565685373</c:v>
                </c:pt>
                <c:pt idx="173">
                  <c:v>1397.4084303492853</c:v>
                </c:pt>
                <c:pt idx="174">
                  <c:v>1400.0983721862426</c:v>
                </c:pt>
                <c:pt idx="175">
                  <c:v>1402.7934920276609</c:v>
                </c:pt>
                <c:pt idx="176">
                  <c:v>1405.4937998409418</c:v>
                </c:pt>
                <c:pt idx="177">
                  <c:v>1408.1993056126735</c:v>
                </c:pt>
                <c:pt idx="178">
                  <c:v>1410.9100193486677</c:v>
                </c:pt>
                <c:pt idx="179">
                  <c:v>1413.6259510739969</c:v>
                </c:pt>
                <c:pt idx="180">
                  <c:v>1416.3471108330318</c:v>
                </c:pt>
                <c:pt idx="181">
                  <c:v>1419.0735086894774</c:v>
                </c:pt>
                <c:pt idx="182">
                  <c:v>1421.8051547264117</c:v>
                </c:pt>
                <c:pt idx="183">
                  <c:v>1424.5420590463207</c:v>
                </c:pt>
                <c:pt idx="184">
                  <c:v>1427.2842317711384</c:v>
                </c:pt>
                <c:pt idx="185">
                  <c:v>1430.0316830422823</c:v>
                </c:pt>
                <c:pt idx="186">
                  <c:v>1432.7844230206927</c:v>
                </c:pt>
                <c:pt idx="187">
                  <c:v>1435.5424618868681</c:v>
                </c:pt>
                <c:pt idx="188">
                  <c:v>1438.3058098409037</c:v>
                </c:pt>
                <c:pt idx="189">
                  <c:v>1441.0744771025311</c:v>
                </c:pt>
                <c:pt idx="190">
                  <c:v>1443.8484739111523</c:v>
                </c:pt>
                <c:pt idx="191">
                  <c:v>1446.6278105258814</c:v>
                </c:pt>
                <c:pt idx="192">
                  <c:v>1449.4124972255795</c:v>
                </c:pt>
                <c:pt idx="193">
                  <c:v>1452.2025443088946</c:v>
                </c:pt>
                <c:pt idx="194">
                  <c:v>1454.9979620942991</c:v>
                </c:pt>
                <c:pt idx="195">
                  <c:v>1457.7987609201275</c:v>
                </c:pt>
                <c:pt idx="196">
                  <c:v>1460.6049511446161</c:v>
                </c:pt>
                <c:pt idx="197">
                  <c:v>1463.4165431459385</c:v>
                </c:pt>
                <c:pt idx="198">
                  <c:v>1466.2335473222479</c:v>
                </c:pt>
                <c:pt idx="199">
                  <c:v>1469.055974091712</c:v>
                </c:pt>
                <c:pt idx="200">
                  <c:v>1471.8838338925532</c:v>
                </c:pt>
                <c:pt idx="201">
                  <c:v>1474.7171371830873</c:v>
                </c:pt>
                <c:pt idx="202">
                  <c:v>1477.5558944417617</c:v>
                </c:pt>
                <c:pt idx="203">
                  <c:v>1480.4001161671943</c:v>
                </c:pt>
                <c:pt idx="204">
                  <c:v>1483.2498128782117</c:v>
                </c:pt>
                <c:pt idx="205">
                  <c:v>1486.10499511389</c:v>
                </c:pt>
                <c:pt idx="206">
                  <c:v>1488.9656734335917</c:v>
                </c:pt>
                <c:pt idx="207">
                  <c:v>1491.8318584170049</c:v>
                </c:pt>
                <c:pt idx="208">
                  <c:v>1494.7035606641846</c:v>
                </c:pt>
                <c:pt idx="209">
                  <c:v>1497.5807907955891</c:v>
                </c:pt>
                <c:pt idx="210">
                  <c:v>1500.4635594521214</c:v>
                </c:pt>
                <c:pt idx="211">
                  <c:v>1503.351877295167</c:v>
                </c:pt>
                <c:pt idx="212">
                  <c:v>1506.2457550066347</c:v>
                </c:pt>
                <c:pt idx="213">
                  <c:v>1509.1452032889947</c:v>
                </c:pt>
                <c:pt idx="214">
                  <c:v>1512.0502328653197</c:v>
                </c:pt>
                <c:pt idx="215">
                  <c:v>1514.9608544793234</c:v>
                </c:pt>
                <c:pt idx="216">
                  <c:v>1517.8770788954005</c:v>
                </c:pt>
                <c:pt idx="217">
                  <c:v>1520.7989168986669</c:v>
                </c:pt>
                <c:pt idx="218">
                  <c:v>1523.7263792949991</c:v>
                </c:pt>
                <c:pt idx="219">
                  <c:v>1526.6594769110745</c:v>
                </c:pt>
                <c:pt idx="220">
                  <c:v>1529.5982205944115</c:v>
                </c:pt>
                <c:pt idx="221">
                  <c:v>1532.5426212134089</c:v>
                </c:pt>
                <c:pt idx="222">
                  <c:v>1535.4926896573866</c:v>
                </c:pt>
                <c:pt idx="223">
                  <c:v>1538.448436836627</c:v>
                </c:pt>
                <c:pt idx="224">
                  <c:v>1541.409873682413</c:v>
                </c:pt>
                <c:pt idx="225">
                  <c:v>1544.3770111470708</c:v>
                </c:pt>
                <c:pt idx="226">
                  <c:v>1547.3498602040077</c:v>
                </c:pt>
                <c:pt idx="227">
                  <c:v>1550.3284318477556</c:v>
                </c:pt>
                <c:pt idx="228">
                  <c:v>1553.3127370940103</c:v>
                </c:pt>
                <c:pt idx="229">
                  <c:v>1556.3027869796715</c:v>
                </c:pt>
                <c:pt idx="230">
                  <c:v>1559.298592562885</c:v>
                </c:pt>
                <c:pt idx="231">
                  <c:v>1562.3001649230828</c:v>
                </c:pt>
                <c:pt idx="232">
                  <c:v>1565.307515161024</c:v>
                </c:pt>
                <c:pt idx="233">
                  <c:v>1568.3206543988367</c:v>
                </c:pt>
                <c:pt idx="234">
                  <c:v>1571.3395937800576</c:v>
                </c:pt>
                <c:pt idx="235">
                  <c:v>1574.3643444696754</c:v>
                </c:pt>
                <c:pt idx="236">
                  <c:v>1577.3949176541698</c:v>
                </c:pt>
                <c:pt idx="237">
                  <c:v>1580.4313245415544</c:v>
                </c:pt>
                <c:pt idx="238">
                  <c:v>1583.4735763614176</c:v>
                </c:pt>
                <c:pt idx="239">
                  <c:v>1586.5216843649641</c:v>
                </c:pt>
                <c:pt idx="240">
                  <c:v>1589.5756598250571</c:v>
                </c:pt>
                <c:pt idx="241">
                  <c:v>1592.6355140362582</c:v>
                </c:pt>
                <c:pt idx="242">
                  <c:v>1595.7012583148721</c:v>
                </c:pt>
                <c:pt idx="243">
                  <c:v>1598.7729039989861</c:v>
                </c:pt>
                <c:pt idx="244">
                  <c:v>1601.8504624485124</c:v>
                </c:pt>
                <c:pt idx="245">
                  <c:v>1604.933945045231</c:v>
                </c:pt>
                <c:pt idx="246">
                  <c:v>1608.0233631928309</c:v>
                </c:pt>
                <c:pt idx="247">
                  <c:v>1611.1187283169529</c:v>
                </c:pt>
                <c:pt idx="248">
                  <c:v>1614.2200518652314</c:v>
                </c:pt>
                <c:pt idx="249">
                  <c:v>1617.3273453073373</c:v>
                </c:pt>
                <c:pt idx="250">
                  <c:v>1620.4406201350196</c:v>
                </c:pt>
                <c:pt idx="251">
                  <c:v>1623.5598878621486</c:v>
                </c:pt>
                <c:pt idx="252">
                  <c:v>1626.6851600247578</c:v>
                </c:pt>
                <c:pt idx="253">
                  <c:v>1629.8164481810879</c:v>
                </c:pt>
                <c:pt idx="254">
                  <c:v>1632.9537639116277</c:v>
                </c:pt>
                <c:pt idx="255">
                  <c:v>1636.0971188191579</c:v>
                </c:pt>
                <c:pt idx="256">
                  <c:v>1639.2465245287951</c:v>
                </c:pt>
                <c:pt idx="257">
                  <c:v>1642.4019926880324</c:v>
                </c:pt>
                <c:pt idx="258">
                  <c:v>1645.5635349667846</c:v>
                </c:pt>
                <c:pt idx="259">
                  <c:v>1648.7311630574295</c:v>
                </c:pt>
                <c:pt idx="260">
                  <c:v>1651.9048886748533</c:v>
                </c:pt>
                <c:pt idx="261">
                  <c:v>1655.0847235564922</c:v>
                </c:pt>
                <c:pt idx="262">
                  <c:v>1658.2706794623762</c:v>
                </c:pt>
                <c:pt idx="263">
                  <c:v>1661.4627681751738</c:v>
                </c:pt>
                <c:pt idx="264">
                  <c:v>1664.6610015002325</c:v>
                </c:pt>
                <c:pt idx="265">
                  <c:v>1667.8653912656266</c:v>
                </c:pt>
                <c:pt idx="266">
                  <c:v>1671.0759493221983</c:v>
                </c:pt>
                <c:pt idx="267">
                  <c:v>1674.292687543601</c:v>
                </c:pt>
                <c:pt idx="268">
                  <c:v>1677.5156178263458</c:v>
                </c:pt>
                <c:pt idx="269">
                  <c:v>1680.7447520898427</c:v>
                </c:pt>
                <c:pt idx="270">
                  <c:v>1683.9801022764468</c:v>
                </c:pt>
                <c:pt idx="271">
                  <c:v>1687.2216803515018</c:v>
                </c:pt>
                <c:pt idx="272">
                  <c:v>1690.4694983033835</c:v>
                </c:pt>
                <c:pt idx="273">
                  <c:v>1693.7235681435448</c:v>
                </c:pt>
                <c:pt idx="274">
                  <c:v>1696.98390190656</c:v>
                </c:pt>
                <c:pt idx="275">
                  <c:v>1700.25051165017</c:v>
                </c:pt>
                <c:pt idx="276">
                  <c:v>1703.5234094553255</c:v>
                </c:pt>
                <c:pt idx="277">
                  <c:v>1706.8026074262327</c:v>
                </c:pt>
                <c:pt idx="278">
                  <c:v>1710.0881176903981</c:v>
                </c:pt>
                <c:pt idx="279">
                  <c:v>1713.3799523986727</c:v>
                </c:pt>
                <c:pt idx="280">
                  <c:v>1716.6781237252972</c:v>
                </c:pt>
                <c:pt idx="281">
                  <c:v>1719.982643867947</c:v>
                </c:pt>
                <c:pt idx="282">
                  <c:v>1723.2935250477781</c:v>
                </c:pt>
                <c:pt idx="283">
                  <c:v>1726.6107795094713</c:v>
                </c:pt>
                <c:pt idx="284">
                  <c:v>1729.9344195212775</c:v>
                </c:pt>
                <c:pt idx="285">
                  <c:v>1733.2644573750638</c:v>
                </c:pt>
                <c:pt idx="286">
                  <c:v>1736.6009053863577</c:v>
                </c:pt>
                <c:pt idx="287">
                  <c:v>1739.9437758943945</c:v>
                </c:pt>
                <c:pt idx="288">
                  <c:v>1743.2930812621619</c:v>
                </c:pt>
                <c:pt idx="289">
                  <c:v>1746.6488338764445</c:v>
                </c:pt>
                <c:pt idx="290">
                  <c:v>1750.0110461478723</c:v>
                </c:pt>
                <c:pt idx="291">
                  <c:v>1753.3797305109645</c:v>
                </c:pt>
                <c:pt idx="292">
                  <c:v>1756.7548994241758</c:v>
                </c:pt>
                <c:pt idx="293">
                  <c:v>1760.1365653699436</c:v>
                </c:pt>
                <c:pt idx="294">
                  <c:v>1763.5247408547327</c:v>
                </c:pt>
                <c:pt idx="295">
                  <c:v>1766.9194384090827</c:v>
                </c:pt>
                <c:pt idx="296">
                  <c:v>1770.3206705876532</c:v>
                </c:pt>
                <c:pt idx="297">
                  <c:v>1773.7284499692717</c:v>
                </c:pt>
                <c:pt idx="298">
                  <c:v>1777.1427891569788</c:v>
                </c:pt>
                <c:pt idx="299">
                  <c:v>1780.5637007780756</c:v>
                </c:pt>
                <c:pt idx="300">
                  <c:v>1783.99119748417</c:v>
                </c:pt>
                <c:pt idx="301">
                  <c:v>1787.4252919512235</c:v>
                </c:pt>
                <c:pt idx="302">
                  <c:v>1790.8659968795982</c:v>
                </c:pt>
                <c:pt idx="303">
                  <c:v>1794.3133249941043</c:v>
                </c:pt>
                <c:pt idx="304">
                  <c:v>1797.7672890440458</c:v>
                </c:pt>
                <c:pt idx="305">
                  <c:v>1801.2279018032693</c:v>
                </c:pt>
                <c:pt idx="306">
                  <c:v>1804.6951760702098</c:v>
                </c:pt>
                <c:pt idx="307">
                  <c:v>1808.1691246679384</c:v>
                </c:pt>
                <c:pt idx="308">
                  <c:v>1811.6497604442113</c:v>
                </c:pt>
                <c:pt idx="309">
                  <c:v>1815.1370962715146</c:v>
                </c:pt>
                <c:pt idx="310">
                  <c:v>1818.6311450471139</c:v>
                </c:pt>
                <c:pt idx="311">
                  <c:v>1822.1319196931015</c:v>
                </c:pt>
                <c:pt idx="312">
                  <c:v>1825.6394331564434</c:v>
                </c:pt>
                <c:pt idx="313">
                  <c:v>1829.1536984090292</c:v>
                </c:pt>
                <c:pt idx="314">
                  <c:v>1832.6747284477171</c:v>
                </c:pt>
                <c:pt idx="315">
                  <c:v>1836.202536294385</c:v>
                </c:pt>
                <c:pt idx="316">
                  <c:v>1839.7371349959762</c:v>
                </c:pt>
                <c:pt idx="317">
                  <c:v>1843.2785376245499</c:v>
                </c:pt>
                <c:pt idx="318">
                  <c:v>1846.826757277327</c:v>
                </c:pt>
                <c:pt idx="319">
                  <c:v>1850.3818070767411</c:v>
                </c:pt>
                <c:pt idx="320">
                  <c:v>1853.943700170485</c:v>
                </c:pt>
                <c:pt idx="321">
                  <c:v>1857.5124497315605</c:v>
                </c:pt>
                <c:pt idx="322">
                  <c:v>1861.0880689583269</c:v>
                </c:pt>
                <c:pt idx="323">
                  <c:v>1864.6705710745489</c:v>
                </c:pt>
                <c:pt idx="324">
                  <c:v>1868.2599693294478</c:v>
                </c:pt>
                <c:pt idx="325">
                  <c:v>1871.8562769977477</c:v>
                </c:pt>
                <c:pt idx="326">
                  <c:v>1875.4595073797261</c:v>
                </c:pt>
                <c:pt idx="327">
                  <c:v>1879.0696738012637</c:v>
                </c:pt>
                <c:pt idx="328">
                  <c:v>1882.6867896138913</c:v>
                </c:pt>
                <c:pt idx="329">
                  <c:v>1886.3108681948427</c:v>
                </c:pt>
                <c:pt idx="330">
                  <c:v>1889.9419229471005</c:v>
                </c:pt>
                <c:pt idx="331">
                  <c:v>1893.5799672994478</c:v>
                </c:pt>
                <c:pt idx="332">
                  <c:v>1897.2250147065183</c:v>
                </c:pt>
                <c:pt idx="333">
                  <c:v>1900.8770786488442</c:v>
                </c:pt>
                <c:pt idx="334">
                  <c:v>1904.5361726329079</c:v>
                </c:pt>
                <c:pt idx="335">
                  <c:v>1908.2023101911905</c:v>
                </c:pt>
                <c:pt idx="336">
                  <c:v>1911.8755048822222</c:v>
                </c:pt>
                <c:pt idx="337">
                  <c:v>1915.5557702906335</c:v>
                </c:pt>
                <c:pt idx="338">
                  <c:v>1919.2431200272038</c:v>
                </c:pt>
                <c:pt idx="339">
                  <c:v>1922.9375677289138</c:v>
                </c:pt>
                <c:pt idx="340">
                  <c:v>1926.6391270589934</c:v>
                </c:pt>
                <c:pt idx="341">
                  <c:v>1930.3478117069737</c:v>
                </c:pt>
                <c:pt idx="342">
                  <c:v>1934.0636353887389</c:v>
                </c:pt>
                <c:pt idx="343">
                  <c:v>1937.7866118465729</c:v>
                </c:pt>
                <c:pt idx="344">
                  <c:v>1941.5167548492166</c:v>
                </c:pt>
                <c:pt idx="345">
                  <c:v>1945.2540781919113</c:v>
                </c:pt>
                <c:pt idx="346">
                  <c:v>1948.9985956964551</c:v>
                </c:pt>
                <c:pt idx="347">
                  <c:v>1952.7503212112531</c:v>
                </c:pt>
                <c:pt idx="348">
                  <c:v>1956.5092686113662</c:v>
                </c:pt>
                <c:pt idx="349">
                  <c:v>1960.2754517985661</c:v>
                </c:pt>
                <c:pt idx="350">
                  <c:v>1964.048884701383</c:v>
                </c:pt>
                <c:pt idx="351">
                  <c:v>1967.8295812751594</c:v>
                </c:pt>
                <c:pt idx="352">
                  <c:v>1971.6175555021014</c:v>
                </c:pt>
                <c:pt idx="353">
                  <c:v>1975.4128213913293</c:v>
                </c:pt>
                <c:pt idx="354">
                  <c:v>1979.215392978932</c:v>
                </c:pt>
                <c:pt idx="355">
                  <c:v>1983.0252843280157</c:v>
                </c:pt>
                <c:pt idx="356">
                  <c:v>1986.8425095287573</c:v>
                </c:pt>
                <c:pt idx="357">
                  <c:v>1990.6670826984575</c:v>
                </c:pt>
                <c:pt idx="358">
                  <c:v>1994.4990179815916</c:v>
                </c:pt>
                <c:pt idx="359">
                  <c:v>1998.3383295498625</c:v>
                </c:pt>
                <c:pt idx="360">
                  <c:v>2002.1850316022526</c:v>
                </c:pt>
                <c:pt idx="361">
                  <c:v>2006.0391383650767</c:v>
                </c:pt>
                <c:pt idx="362">
                  <c:v>2009.9006640920352</c:v>
                </c:pt>
                <c:pt idx="363">
                  <c:v>2013.7696230642646</c:v>
                </c:pt>
                <c:pt idx="364">
                  <c:v>2017.6460295903942</c:v>
                </c:pt>
                <c:pt idx="365">
                  <c:v>2021.529898006595</c:v>
                </c:pt>
                <c:pt idx="366">
                  <c:v>2025.4212426766344</c:v>
                </c:pt>
                <c:pt idx="367">
                  <c:v>2029.3200779919309</c:v>
                </c:pt>
                <c:pt idx="368">
                  <c:v>2033.2264183716031</c:v>
                </c:pt>
                <c:pt idx="369">
                  <c:v>2037.140278262528</c:v>
                </c:pt>
                <c:pt idx="370">
                  <c:v>2041.0616721393922</c:v>
                </c:pt>
                <c:pt idx="371">
                  <c:v>2044.990614504743</c:v>
                </c:pt>
                <c:pt idx="372">
                  <c:v>2048.9271198890469</c:v>
                </c:pt>
                <c:pt idx="373">
                  <c:v>2052.8712028507393</c:v>
                </c:pt>
                <c:pt idx="374">
                  <c:v>2056.8228779762803</c:v>
                </c:pt>
                <c:pt idx="375">
                  <c:v>2060.7821598802097</c:v>
                </c:pt>
                <c:pt idx="376">
                  <c:v>2064.7490632051963</c:v>
                </c:pt>
                <c:pt idx="377">
                  <c:v>2068.7236026220985</c:v>
                </c:pt>
                <c:pt idx="378">
                  <c:v>2072.7057928300128</c:v>
                </c:pt>
                <c:pt idx="379">
                  <c:v>2076.6956485563333</c:v>
                </c:pt>
                <c:pt idx="380">
                  <c:v>2080.6931845568015</c:v>
                </c:pt>
                <c:pt idx="381">
                  <c:v>2084.6984156155636</c:v>
                </c:pt>
                <c:pt idx="382">
                  <c:v>2088.711356545226</c:v>
                </c:pt>
                <c:pt idx="383">
                  <c:v>2092.7320221869054</c:v>
                </c:pt>
                <c:pt idx="384">
                  <c:v>2096.76042741029</c:v>
                </c:pt>
                <c:pt idx="385">
                  <c:v>2100.7965871136903</c:v>
                </c:pt>
                <c:pt idx="386">
                  <c:v>2104.8405162240952</c:v>
                </c:pt>
                <c:pt idx="387">
                  <c:v>2108.8922296972269</c:v>
                </c:pt>
                <c:pt idx="388">
                  <c:v>2112.9517425175977</c:v>
                </c:pt>
                <c:pt idx="389">
                  <c:v>2117.0190696985628</c:v>
                </c:pt>
                <c:pt idx="390">
                  <c:v>2121.0942262823796</c:v>
                </c:pt>
                <c:pt idx="391">
                  <c:v>2125.1772273402594</c:v>
                </c:pt>
                <c:pt idx="392">
                  <c:v>2129.2680879724248</c:v>
                </c:pt>
                <c:pt idx="393">
                  <c:v>2133.3668233081657</c:v>
                </c:pt>
                <c:pt idx="394">
                  <c:v>2137.4734485058962</c:v>
                </c:pt>
                <c:pt idx="395">
                  <c:v>2141.5879787532085</c:v>
                </c:pt>
                <c:pt idx="396">
                  <c:v>2145.710429266931</c:v>
                </c:pt>
                <c:pt idx="397">
                  <c:v>2149.8408152931825</c:v>
                </c:pt>
                <c:pt idx="398">
                  <c:v>2153.9791521074312</c:v>
                </c:pt>
                <c:pt idx="399">
                  <c:v>2158.1254550145482</c:v>
                </c:pt>
                <c:pt idx="400">
                  <c:v>2162.2797393488681</c:v>
                </c:pt>
                <c:pt idx="401">
                  <c:v>2166.4420204742414</c:v>
                </c:pt>
                <c:pt idx="402">
                  <c:v>2170.6123137840932</c:v>
                </c:pt>
                <c:pt idx="403">
                  <c:v>2174.7906347014809</c:v>
                </c:pt>
                <c:pt idx="404">
                  <c:v>2178.9769986791512</c:v>
                </c:pt>
                <c:pt idx="405">
                  <c:v>2183.1714211995945</c:v>
                </c:pt>
                <c:pt idx="406">
                  <c:v>2187.3739177751067</c:v>
                </c:pt>
                <c:pt idx="407">
                  <c:v>2191.5845039478418</c:v>
                </c:pt>
                <c:pt idx="408">
                  <c:v>2195.8031952898741</c:v>
                </c:pt>
                <c:pt idx="409">
                  <c:v>2200.0300074032502</c:v>
                </c:pt>
                <c:pt idx="410">
                  <c:v>2204.2649559200536</c:v>
                </c:pt>
                <c:pt idx="411">
                  <c:v>2208.5080565024555</c:v>
                </c:pt>
                <c:pt idx="412">
                  <c:v>2212.7593248427779</c:v>
                </c:pt>
                <c:pt idx="413">
                  <c:v>2217.018776663549</c:v>
                </c:pt>
                <c:pt idx="414">
                  <c:v>2221.2864277175618</c:v>
                </c:pt>
                <c:pt idx="415">
                  <c:v>2225.5622937879343</c:v>
                </c:pt>
                <c:pt idx="416">
                  <c:v>2229.8463906881652</c:v>
                </c:pt>
                <c:pt idx="417">
                  <c:v>2234.1387342621915</c:v>
                </c:pt>
                <c:pt idx="418">
                  <c:v>2238.4393403844529</c:v>
                </c:pt>
                <c:pt idx="419">
                  <c:v>2242.748224959942</c:v>
                </c:pt>
                <c:pt idx="420">
                  <c:v>2247.0654039242722</c:v>
                </c:pt>
                <c:pt idx="421">
                  <c:v>2251.3908932437298</c:v>
                </c:pt>
                <c:pt idx="422">
                  <c:v>2255.7247089153352</c:v>
                </c:pt>
                <c:pt idx="423">
                  <c:v>2260.066866966903</c:v>
                </c:pt>
                <c:pt idx="424">
                  <c:v>2264.4173834571002</c:v>
                </c:pt>
                <c:pt idx="425">
                  <c:v>2268.7762744755069</c:v>
                </c:pt>
                <c:pt idx="426">
                  <c:v>2273.1435561426729</c:v>
                </c:pt>
                <c:pt idx="427">
                  <c:v>2277.519244610181</c:v>
                </c:pt>
                <c:pt idx="428">
                  <c:v>2281.9033560607049</c:v>
                </c:pt>
                <c:pt idx="429">
                  <c:v>2286.2959067080674</c:v>
                </c:pt>
                <c:pt idx="430">
                  <c:v>2290.6969127973043</c:v>
                </c:pt>
                <c:pt idx="431">
                  <c:v>2295.1063906047216</c:v>
                </c:pt>
                <c:pt idx="432">
                  <c:v>2299.5243564379557</c:v>
                </c:pt>
                <c:pt idx="433">
                  <c:v>2303.9508266360344</c:v>
                </c:pt>
                <c:pt idx="434">
                  <c:v>2308.3858175694372</c:v>
                </c:pt>
                <c:pt idx="435">
                  <c:v>2312.8293456401584</c:v>
                </c:pt>
                <c:pt idx="436">
                  <c:v>2317.2814272817623</c:v>
                </c:pt>
                <c:pt idx="437">
                  <c:v>2321.742078959448</c:v>
                </c:pt>
                <c:pt idx="438">
                  <c:v>2326.2113171701089</c:v>
                </c:pt>
                <c:pt idx="439">
                  <c:v>2330.6891584423956</c:v>
                </c:pt>
                <c:pt idx="440">
                  <c:v>2335.1756193367746</c:v>
                </c:pt>
                <c:pt idx="441">
                  <c:v>2339.6707164455897</c:v>
                </c:pt>
                <c:pt idx="442">
                  <c:v>2344.1744663931254</c:v>
                </c:pt>
                <c:pt idx="443">
                  <c:v>2348.6868858356656</c:v>
                </c:pt>
                <c:pt idx="444">
                  <c:v>2353.2079914615583</c:v>
                </c:pt>
                <c:pt idx="445">
                  <c:v>2357.7377999912756</c:v>
                </c:pt>
                <c:pt idx="446">
                  <c:v>2362.2763281774751</c:v>
                </c:pt>
                <c:pt idx="447">
                  <c:v>2366.8235928050617</c:v>
                </c:pt>
                <c:pt idx="448">
                  <c:v>2371.3796106912514</c:v>
                </c:pt>
                <c:pt idx="449">
                  <c:v>2375.9443986856331</c:v>
                </c:pt>
                <c:pt idx="450">
                  <c:v>2380.5179736702289</c:v>
                </c:pt>
                <c:pt idx="451">
                  <c:v>2385.1003525595593</c:v>
                </c:pt>
                <c:pt idx="452">
                  <c:v>2389.6915523007028</c:v>
                </c:pt>
                <c:pt idx="453">
                  <c:v>2394.2915898733622</c:v>
                </c:pt>
                <c:pt idx="454">
                  <c:v>2398.9004822899228</c:v>
                </c:pt>
                <c:pt idx="455">
                  <c:v>2403.5182465955213</c:v>
                </c:pt>
                <c:pt idx="456">
                  <c:v>2408.1448998681021</c:v>
                </c:pt>
                <c:pt idx="457">
                  <c:v>2412.7804592184862</c:v>
                </c:pt>
                <c:pt idx="458">
                  <c:v>2417.4249417904307</c:v>
                </c:pt>
                <c:pt idx="459">
                  <c:v>2422.0783647606931</c:v>
                </c:pt>
                <c:pt idx="460">
                  <c:v>2426.7407453390979</c:v>
                </c:pt>
                <c:pt idx="461">
                  <c:v>2431.4121007685949</c:v>
                </c:pt>
                <c:pt idx="462">
                  <c:v>2436.0924483253266</c:v>
                </c:pt>
                <c:pt idx="463">
                  <c:v>2440.781805318692</c:v>
                </c:pt>
                <c:pt idx="464">
                  <c:v>2445.4801890914086</c:v>
                </c:pt>
                <c:pt idx="465">
                  <c:v>2450.1876170195796</c:v>
                </c:pt>
                <c:pt idx="466">
                  <c:v>2454.904106512754</c:v>
                </c:pt>
                <c:pt idx="467">
                  <c:v>2459.629675013995</c:v>
                </c:pt>
                <c:pt idx="468">
                  <c:v>2464.3643399999423</c:v>
                </c:pt>
                <c:pt idx="469">
                  <c:v>2469.1081189808765</c:v>
                </c:pt>
                <c:pt idx="470">
                  <c:v>2473.8610295007866</c:v>
                </c:pt>
                <c:pt idx="471">
                  <c:v>2478.6230891374307</c:v>
                </c:pt>
                <c:pt idx="472">
                  <c:v>2483.3943155024049</c:v>
                </c:pt>
                <c:pt idx="473">
                  <c:v>2488.1747262412055</c:v>
                </c:pt>
                <c:pt idx="474">
                  <c:v>2492.9643390332953</c:v>
                </c:pt>
                <c:pt idx="475">
                  <c:v>2497.7631715921721</c:v>
                </c:pt>
                <c:pt idx="476">
                  <c:v>2502.5712416654274</c:v>
                </c:pt>
                <c:pt idx="477">
                  <c:v>2507.3885670348186</c:v>
                </c:pt>
                <c:pt idx="478">
                  <c:v>2512.2151655163302</c:v>
                </c:pt>
                <c:pt idx="479">
                  <c:v>2517.0510549602432</c:v>
                </c:pt>
                <c:pt idx="480">
                  <c:v>2521.8962532511987</c:v>
                </c:pt>
                <c:pt idx="481">
                  <c:v>2526.7507783082651</c:v>
                </c:pt>
                <c:pt idx="482">
                  <c:v>2531.6146480850039</c:v>
                </c:pt>
                <c:pt idx="483">
                  <c:v>2536.4878805695366</c:v>
                </c:pt>
                <c:pt idx="484">
                  <c:v>2541.3704937846105</c:v>
                </c:pt>
                <c:pt idx="485">
                  <c:v>2546.2625057876667</c:v>
                </c:pt>
                <c:pt idx="486">
                  <c:v>2551.1639346709044</c:v>
                </c:pt>
                <c:pt idx="487">
                  <c:v>2556.0747985613511</c:v>
                </c:pt>
                <c:pt idx="488">
                  <c:v>2560.9951156209272</c:v>
                </c:pt>
                <c:pt idx="489">
                  <c:v>2565.9249040465129</c:v>
                </c:pt>
                <c:pt idx="490">
                  <c:v>2570.8641820700186</c:v>
                </c:pt>
                <c:pt idx="491">
                  <c:v>2575.8129679584486</c:v>
                </c:pt>
                <c:pt idx="492">
                  <c:v>2580.7712800139702</c:v>
                </c:pt>
                <c:pt idx="493">
                  <c:v>2585.7391365739832</c:v>
                </c:pt>
                <c:pt idx="494">
                  <c:v>2590.7165560111835</c:v>
                </c:pt>
                <c:pt idx="495">
                  <c:v>2595.7035567336357</c:v>
                </c:pt>
                <c:pt idx="496">
                  <c:v>2600.7001571848377</c:v>
                </c:pt>
                <c:pt idx="497">
                  <c:v>2605.7063758437907</c:v>
                </c:pt>
                <c:pt idx="498">
                  <c:v>2610.7222312250674</c:v>
                </c:pt>
                <c:pt idx="499">
                  <c:v>2615.7477418788794</c:v>
                </c:pt>
                <c:pt idx="500">
                  <c:v>2620.7829263911467</c:v>
                </c:pt>
                <c:pt idx="501">
                  <c:v>2625.8278033835672</c:v>
                </c:pt>
                <c:pt idx="502">
                  <c:v>2630.8823915136836</c:v>
                </c:pt>
                <c:pt idx="503">
                  <c:v>2635.9467094749525</c:v>
                </c:pt>
                <c:pt idx="504">
                  <c:v>2641.0207759968171</c:v>
                </c:pt>
                <c:pt idx="505">
                  <c:v>2646.1046098447723</c:v>
                </c:pt>
                <c:pt idx="506">
                  <c:v>2651.1982298204357</c:v>
                </c:pt>
                <c:pt idx="507">
                  <c:v>2656.3016547616171</c:v>
                </c:pt>
                <c:pt idx="508">
                  <c:v>2661.4149035423875</c:v>
                </c:pt>
                <c:pt idx="509">
                  <c:v>2666.5379950731513</c:v>
                </c:pt>
                <c:pt idx="510">
                  <c:v>2671.6709483007135</c:v>
                </c:pt>
                <c:pt idx="511">
                  <c:v>2676.8137822083504</c:v>
                </c:pt>
                <c:pt idx="512">
                  <c:v>2681.9665158158805</c:v>
                </c:pt>
                <c:pt idx="513">
                  <c:v>2687.1291681797338</c:v>
                </c:pt>
                <c:pt idx="514">
                  <c:v>2692.301758393025</c:v>
                </c:pt>
                <c:pt idx="515">
                  <c:v>2697.4843055856195</c:v>
                </c:pt>
                <c:pt idx="516">
                  <c:v>2702.6768289242095</c:v>
                </c:pt>
                <c:pt idx="517">
                  <c:v>2707.8793476123801</c:v>
                </c:pt>
                <c:pt idx="518">
                  <c:v>2713.0918808906818</c:v>
                </c:pt>
                <c:pt idx="519">
                  <c:v>2718.3144480367041</c:v>
                </c:pt>
                <c:pt idx="520">
                  <c:v>2723.5470683651447</c:v>
                </c:pt>
                <c:pt idx="521">
                  <c:v>2728.7897612278794</c:v>
                </c:pt>
                <c:pt idx="522">
                  <c:v>2734.0425460140382</c:v>
                </c:pt>
                <c:pt idx="523">
                  <c:v>2739.3054421500706</c:v>
                </c:pt>
                <c:pt idx="524">
                  <c:v>2744.5784690998235</c:v>
                </c:pt>
                <c:pt idx="525">
                  <c:v>2749.8616463646113</c:v>
                </c:pt>
                <c:pt idx="526">
                  <c:v>2755.1549934832856</c:v>
                </c:pt>
                <c:pt idx="527">
                  <c:v>2760.4585300323106</c:v>
                </c:pt>
                <c:pt idx="528">
                  <c:v>2765.7722756258336</c:v>
                </c:pt>
                <c:pt idx="529">
                  <c:v>2771.0962499157577</c:v>
                </c:pt>
                <c:pt idx="530">
                  <c:v>2776.4304725918155</c:v>
                </c:pt>
                <c:pt idx="531">
                  <c:v>2781.774963381642</c:v>
                </c:pt>
                <c:pt idx="532">
                  <c:v>2787.1297420508472</c:v>
                </c:pt>
                <c:pt idx="533">
                  <c:v>2792.4948284030861</c:v>
                </c:pt>
                <c:pt idx="534">
                  <c:v>2797.8702422801375</c:v>
                </c:pt>
                <c:pt idx="535">
                  <c:v>2803.256003561974</c:v>
                </c:pt>
                <c:pt idx="536">
                  <c:v>2808.6521321668361</c:v>
                </c:pt>
                <c:pt idx="537">
                  <c:v>2814.0586480513061</c:v>
                </c:pt>
                <c:pt idx="538">
                  <c:v>2819.4755712103806</c:v>
                </c:pt>
                <c:pt idx="539">
                  <c:v>2824.9029216775466</c:v>
                </c:pt>
                <c:pt idx="540">
                  <c:v>2830.3407195248546</c:v>
                </c:pt>
                <c:pt idx="541">
                  <c:v>2835.7889848629925</c:v>
                </c:pt>
                <c:pt idx="542">
                  <c:v>2841.247737841361</c:v>
                </c:pt>
                <c:pt idx="543">
                  <c:v>2846.7169986481458</c:v>
                </c:pt>
                <c:pt idx="544">
                  <c:v>2852.1967875103951</c:v>
                </c:pt>
                <c:pt idx="545">
                  <c:v>2857.6871246940927</c:v>
                </c:pt>
                <c:pt idx="546">
                  <c:v>2863.1880305042346</c:v>
                </c:pt>
                <c:pt idx="547">
                  <c:v>2868.6995252849006</c:v>
                </c:pt>
                <c:pt idx="548">
                  <c:v>2874.221629419334</c:v>
                </c:pt>
                <c:pt idx="549">
                  <c:v>2879.7543633300133</c:v>
                </c:pt>
                <c:pt idx="550">
                  <c:v>2885.2977474787303</c:v>
                </c:pt>
                <c:pt idx="551">
                  <c:v>2890.8518023666652</c:v>
                </c:pt>
                <c:pt idx="552">
                  <c:v>2896.4165485344597</c:v>
                </c:pt>
                <c:pt idx="553">
                  <c:v>2901.9920065622964</c:v>
                </c:pt>
                <c:pt idx="554">
                  <c:v>2907.5781970699754</c:v>
                </c:pt>
                <c:pt idx="555">
                  <c:v>2913.1751407169868</c:v>
                </c:pt>
                <c:pt idx="556">
                  <c:v>2918.7828582025904</c:v>
                </c:pt>
                <c:pt idx="557">
                  <c:v>2924.401370265889</c:v>
                </c:pt>
                <c:pt idx="558">
                  <c:v>2930.0306976859101</c:v>
                </c:pt>
                <c:pt idx="559">
                  <c:v>2935.6708612816774</c:v>
                </c:pt>
                <c:pt idx="560">
                  <c:v>2941.3218819122922</c:v>
                </c:pt>
                <c:pt idx="561">
                  <c:v>2946.9837804770063</c:v>
                </c:pt>
                <c:pt idx="562">
                  <c:v>2952.6565779153034</c:v>
                </c:pt>
                <c:pt idx="563">
                  <c:v>2958.3402952069732</c:v>
                </c:pt>
                <c:pt idx="564">
                  <c:v>2964.0349533721919</c:v>
                </c:pt>
                <c:pt idx="565">
                  <c:v>2969.7405734715976</c:v>
                </c:pt>
                <c:pt idx="566">
                  <c:v>2975.4571766063696</c:v>
                </c:pt>
                <c:pt idx="567">
                  <c:v>2981.1847839183047</c:v>
                </c:pt>
                <c:pt idx="568">
                  <c:v>2986.9234165898984</c:v>
                </c:pt>
                <c:pt idx="569">
                  <c:v>2992.6730958444195</c:v>
                </c:pt>
                <c:pt idx="570">
                  <c:v>2998.4338429459926</c:v>
                </c:pt>
                <c:pt idx="571">
                  <c:v>3004.2056791996743</c:v>
                </c:pt>
                <c:pt idx="572">
                  <c:v>3009.9886259515297</c:v>
                </c:pt>
                <c:pt idx="573">
                  <c:v>3015.7827045887175</c:v>
                </c:pt>
                <c:pt idx="574">
                  <c:v>3021.5879365395635</c:v>
                </c:pt>
                <c:pt idx="575">
                  <c:v>3027.404343273643</c:v>
                </c:pt>
                <c:pt idx="576">
                  <c:v>3033.2319463018598</c:v>
                </c:pt>
                <c:pt idx="577">
                  <c:v>3039.0707671765226</c:v>
                </c:pt>
                <c:pt idx="578">
                  <c:v>3044.920827491429</c:v>
                </c:pt>
                <c:pt idx="579">
                  <c:v>3050.7821488819436</c:v>
                </c:pt>
                <c:pt idx="580">
                  <c:v>3056.6547530250778</c:v>
                </c:pt>
                <c:pt idx="581">
                  <c:v>3062.5386616395713</c:v>
                </c:pt>
                <c:pt idx="582">
                  <c:v>3068.433896485968</c:v>
                </c:pt>
                <c:pt idx="583">
                  <c:v>3074.3404793667028</c:v>
                </c:pt>
                <c:pt idx="584">
                  <c:v>3080.2584321261779</c:v>
                </c:pt>
                <c:pt idx="585">
                  <c:v>3086.187776650846</c:v>
                </c:pt>
                <c:pt idx="586">
                  <c:v>3092.12853486929</c:v>
                </c:pt>
                <c:pt idx="587">
                  <c:v>3098.0807287523021</c:v>
                </c:pt>
                <c:pt idx="588">
                  <c:v>3104.0443803129697</c:v>
                </c:pt>
                <c:pt idx="589">
                  <c:v>3110.0195116067525</c:v>
                </c:pt>
                <c:pt idx="590">
                  <c:v>3116.006144731567</c:v>
                </c:pt>
                <c:pt idx="591">
                  <c:v>3122.0043018278679</c:v>
                </c:pt>
                <c:pt idx="592">
                  <c:v>3128.0140050787272</c:v>
                </c:pt>
                <c:pt idx="593">
                  <c:v>3134.0352767099184</c:v>
                </c:pt>
                <c:pt idx="594">
                  <c:v>3140.0681389899996</c:v>
                </c:pt>
                <c:pt idx="595">
                  <c:v>3146.1126142303951</c:v>
                </c:pt>
                <c:pt idx="596">
                  <c:v>3152.1687247854766</c:v>
                </c:pt>
                <c:pt idx="597">
                  <c:v>3158.2364930526464</c:v>
                </c:pt>
                <c:pt idx="598">
                  <c:v>3164.3159414724219</c:v>
                </c:pt>
                <c:pt idx="599">
                  <c:v>3170.4070925285164</c:v>
                </c:pt>
                <c:pt idx="600">
                  <c:v>3176.5099687479242</c:v>
                </c:pt>
                <c:pt idx="601">
                  <c:v>3182.6245927010032</c:v>
                </c:pt>
                <c:pt idx="602">
                  <c:v>3188.7509870015551</c:v>
                </c:pt>
                <c:pt idx="603">
                  <c:v>3194.8891743069162</c:v>
                </c:pt>
                <c:pt idx="604">
                  <c:v>3201.0391773180345</c:v>
                </c:pt>
                <c:pt idx="605">
                  <c:v>3207.2010187795568</c:v>
                </c:pt>
                <c:pt idx="606">
                  <c:v>3213.3747214799137</c:v>
                </c:pt>
                <c:pt idx="607">
                  <c:v>3219.5603082513985</c:v>
                </c:pt>
                <c:pt idx="608">
                  <c:v>3225.7578019702592</c:v>
                </c:pt>
                <c:pt idx="609">
                  <c:v>3231.967225556778</c:v>
                </c:pt>
                <c:pt idx="610">
                  <c:v>3238.1886019753579</c:v>
                </c:pt>
                <c:pt idx="611">
                  <c:v>3244.4219542346082</c:v>
                </c:pt>
                <c:pt idx="612">
                  <c:v>3250.6673053874256</c:v>
                </c:pt>
                <c:pt idx="613">
                  <c:v>3256.9246785310847</c:v>
                </c:pt>
                <c:pt idx="614">
                  <c:v>3263.1940968073222</c:v>
                </c:pt>
                <c:pt idx="615">
                  <c:v>3269.4755834024186</c:v>
                </c:pt>
                <c:pt idx="616">
                  <c:v>3275.76916154729</c:v>
                </c:pt>
                <c:pt idx="617">
                  <c:v>3282.0748545175684</c:v>
                </c:pt>
                <c:pt idx="618">
                  <c:v>3288.3926856336907</c:v>
                </c:pt>
                <c:pt idx="619">
                  <c:v>3294.7226782609855</c:v>
                </c:pt>
                <c:pt idx="620">
                  <c:v>3301.0648558097573</c:v>
                </c:pt>
                <c:pt idx="621">
                  <c:v>3307.419241735377</c:v>
                </c:pt>
                <c:pt idx="622">
                  <c:v>3313.7858595383609</c:v>
                </c:pt>
                <c:pt idx="623">
                  <c:v>3320.1647327644664</c:v>
                </c:pt>
                <c:pt idx="624">
                  <c:v>3326.5558850047755</c:v>
                </c:pt>
                <c:pt idx="625">
                  <c:v>3332.95933989578</c:v>
                </c:pt>
                <c:pt idx="626">
                  <c:v>3339.3751211194722</c:v>
                </c:pt>
                <c:pt idx="627">
                  <c:v>3345.8032524034293</c:v>
                </c:pt>
                <c:pt idx="628">
                  <c:v>3352.2437575209046</c:v>
                </c:pt>
                <c:pt idx="629">
                  <c:v>3358.6966602909138</c:v>
                </c:pt>
                <c:pt idx="630">
                  <c:v>3365.1619845783212</c:v>
                </c:pt>
                <c:pt idx="631">
                  <c:v>3371.6397542939326</c:v>
                </c:pt>
                <c:pt idx="632">
                  <c:v>3378.1299933945775</c:v>
                </c:pt>
                <c:pt idx="633">
                  <c:v>3384.6327258832034</c:v>
                </c:pt>
                <c:pt idx="634">
                  <c:v>3391.1479758089627</c:v>
                </c:pt>
                <c:pt idx="635">
                  <c:v>3397.6757672672993</c:v>
                </c:pt>
                <c:pt idx="636">
                  <c:v>3404.2161244000417</c:v>
                </c:pt>
                <c:pt idx="637">
                  <c:v>3410.769071395488</c:v>
                </c:pt>
                <c:pt idx="638">
                  <c:v>3417.3346324884988</c:v>
                </c:pt>
                <c:pt idx="639">
                  <c:v>3423.9128319605857</c:v>
                </c:pt>
                <c:pt idx="640">
                  <c:v>3430.5036941400026</c:v>
                </c:pt>
                <c:pt idx="641">
                  <c:v>3437.1072434018297</c:v>
                </c:pt>
                <c:pt idx="642">
                  <c:v>3443.7235041680706</c:v>
                </c:pt>
                <c:pt idx="643">
                  <c:v>3450.352500907743</c:v>
                </c:pt>
                <c:pt idx="644">
                  <c:v>3456.9942581369605</c:v>
                </c:pt>
                <c:pt idx="645">
                  <c:v>3463.6488004190337</c:v>
                </c:pt>
                <c:pt idx="646">
                  <c:v>3470.3161523645531</c:v>
                </c:pt>
                <c:pt idx="647">
                  <c:v>3476.9963386314839</c:v>
                </c:pt>
                <c:pt idx="648">
                  <c:v>3483.6893839252612</c:v>
                </c:pt>
                <c:pt idx="649">
                  <c:v>3490.3953129988695</c:v>
                </c:pt>
                <c:pt idx="650">
                  <c:v>3497.114150652947</c:v>
                </c:pt>
                <c:pt idx="651">
                  <c:v>3503.8459217358691</c:v>
                </c:pt>
                <c:pt idx="652">
                  <c:v>3510.5906511438438</c:v>
                </c:pt>
                <c:pt idx="653">
                  <c:v>3517.3483638210055</c:v>
                </c:pt>
                <c:pt idx="654">
                  <c:v>3524.1190847595003</c:v>
                </c:pt>
                <c:pt idx="655">
                  <c:v>3530.9028389995879</c:v>
                </c:pt>
                <c:pt idx="656">
                  <c:v>3537.6996516297236</c:v>
                </c:pt>
                <c:pt idx="657">
                  <c:v>3544.5095477866607</c:v>
                </c:pt>
                <c:pt idx="658">
                  <c:v>3551.3325526555404</c:v>
                </c:pt>
                <c:pt idx="659">
                  <c:v>3558.1686914699808</c:v>
                </c:pt>
                <c:pt idx="660">
                  <c:v>3565.0179895121755</c:v>
                </c:pt>
                <c:pt idx="661">
                  <c:v>3571.8804721129836</c:v>
                </c:pt>
                <c:pt idx="662">
                  <c:v>3578.7561646520253</c:v>
                </c:pt>
                <c:pt idx="663">
                  <c:v>3585.6450925577778</c:v>
                </c:pt>
                <c:pt idx="664">
                  <c:v>3592.5472813076631</c:v>
                </c:pt>
                <c:pt idx="665">
                  <c:v>3599.4627564281495</c:v>
                </c:pt>
                <c:pt idx="666">
                  <c:v>3606.3915434948381</c:v>
                </c:pt>
                <c:pt idx="667">
                  <c:v>3613.3336681325641</c:v>
                </c:pt>
                <c:pt idx="668">
                  <c:v>3620.2891560154935</c:v>
                </c:pt>
                <c:pt idx="669">
                  <c:v>3627.2580328672061</c:v>
                </c:pt>
                <c:pt idx="670">
                  <c:v>3634.2403244608035</c:v>
                </c:pt>
                <c:pt idx="671">
                  <c:v>3641.2360566189964</c:v>
                </c:pt>
                <c:pt idx="672">
                  <c:v>3648.245255214204</c:v>
                </c:pt>
                <c:pt idx="673">
                  <c:v>3655.2679461686521</c:v>
                </c:pt>
                <c:pt idx="674">
                  <c:v>3662.3041554544584</c:v>
                </c:pt>
                <c:pt idx="675">
                  <c:v>3669.3539090937425</c:v>
                </c:pt>
                <c:pt idx="676">
                  <c:v>3676.4172331587097</c:v>
                </c:pt>
                <c:pt idx="677">
                  <c:v>3683.4941537717559</c:v>
                </c:pt>
                <c:pt idx="678">
                  <c:v>3690.5846971055635</c:v>
                </c:pt>
                <c:pt idx="679">
                  <c:v>3697.6888893831906</c:v>
                </c:pt>
                <c:pt idx="680">
                  <c:v>3704.8067568781785</c:v>
                </c:pt>
                <c:pt idx="681">
                  <c:v>3711.9383259146398</c:v>
                </c:pt>
                <c:pt idx="682">
                  <c:v>3719.0836228673611</c:v>
                </c:pt>
                <c:pt idx="683">
                  <c:v>3726.2426741619024</c:v>
                </c:pt>
                <c:pt idx="684">
                  <c:v>3733.4155062746859</c:v>
                </c:pt>
                <c:pt idx="685">
                  <c:v>3740.6021457331044</c:v>
                </c:pt>
                <c:pt idx="686">
                  <c:v>3747.8026191156105</c:v>
                </c:pt>
                <c:pt idx="687">
                  <c:v>3755.0169530518215</c:v>
                </c:pt>
                <c:pt idx="688">
                  <c:v>3762.2451742226172</c:v>
                </c:pt>
                <c:pt idx="689">
                  <c:v>3769.4873093602323</c:v>
                </c:pt>
                <c:pt idx="690">
                  <c:v>3776.7433852483637</c:v>
                </c:pt>
                <c:pt idx="691">
                  <c:v>3784.0134287222618</c:v>
                </c:pt>
                <c:pt idx="692">
                  <c:v>3791.297466668836</c:v>
                </c:pt>
                <c:pt idx="693">
                  <c:v>3798.5955260267542</c:v>
                </c:pt>
                <c:pt idx="694">
                  <c:v>3805.907633786534</c:v>
                </c:pt>
                <c:pt idx="695">
                  <c:v>3813.2338169906525</c:v>
                </c:pt>
                <c:pt idx="696">
                  <c:v>3820.5741027336398</c:v>
                </c:pt>
                <c:pt idx="697">
                  <c:v>3827.928518162184</c:v>
                </c:pt>
                <c:pt idx="698">
                  <c:v>3835.2970904752287</c:v>
                </c:pt>
                <c:pt idx="699">
                  <c:v>3842.6798469240725</c:v>
                </c:pt>
                <c:pt idx="700">
                  <c:v>3850.0768148124739</c:v>
                </c:pt>
                <c:pt idx="701">
                  <c:v>3857.4880214967466</c:v>
                </c:pt>
                <c:pt idx="702">
                  <c:v>3864.9134943858653</c:v>
                </c:pt>
                <c:pt idx="703">
                  <c:v>3872.3532609415688</c:v>
                </c:pt>
                <c:pt idx="704">
                  <c:v>3879.8073486784529</c:v>
                </c:pt>
                <c:pt idx="705">
                  <c:v>3887.2757851640818</c:v>
                </c:pt>
                <c:pt idx="706">
                  <c:v>3894.758598019082</c:v>
                </c:pt>
                <c:pt idx="707">
                  <c:v>3902.2558149172519</c:v>
                </c:pt>
                <c:pt idx="708">
                  <c:v>3909.7674635856611</c:v>
                </c:pt>
                <c:pt idx="709">
                  <c:v>3917.2935718047484</c:v>
                </c:pt>
                <c:pt idx="710">
                  <c:v>3924.8341674084327</c:v>
                </c:pt>
                <c:pt idx="711">
                  <c:v>3932.3892782842072</c:v>
                </c:pt>
                <c:pt idx="712">
                  <c:v>3939.9589323732512</c:v>
                </c:pt>
                <c:pt idx="713">
                  <c:v>3947.54315767053</c:v>
                </c:pt>
                <c:pt idx="714">
                  <c:v>3955.1419822248931</c:v>
                </c:pt>
                <c:pt idx="715">
                  <c:v>3962.7554341391883</c:v>
                </c:pt>
                <c:pt idx="716">
                  <c:v>3970.3835415703538</c:v>
                </c:pt>
                <c:pt idx="717">
                  <c:v>3978.0263327295324</c:v>
                </c:pt>
                <c:pt idx="718">
                  <c:v>3985.6838358821751</c:v>
                </c:pt>
                <c:pt idx="719">
                  <c:v>3993.3560793481342</c:v>
                </c:pt>
                <c:pt idx="720">
                  <c:v>4001.0430915017841</c:v>
                </c:pt>
                <c:pt idx="721">
                  <c:v>4008.7449007721129</c:v>
                </c:pt>
                <c:pt idx="722">
                  <c:v>4016.4615356428353</c:v>
                </c:pt>
                <c:pt idx="723">
                  <c:v>4024.1930246524989</c:v>
                </c:pt>
                <c:pt idx="724">
                  <c:v>4031.9393963945809</c:v>
                </c:pt>
                <c:pt idx="725">
                  <c:v>4039.7006795176039</c:v>
                </c:pt>
                <c:pt idx="726">
                  <c:v>4047.4769027252328</c:v>
                </c:pt>
                <c:pt idx="727">
                  <c:v>4055.2680947763902</c:v>
                </c:pt>
                <c:pt idx="728">
                  <c:v>4063.0742844853589</c:v>
                </c:pt>
                <c:pt idx="729">
                  <c:v>4070.8955007218829</c:v>
                </c:pt>
                <c:pt idx="730">
                  <c:v>4078.7317724112818</c:v>
                </c:pt>
                <c:pt idx="731">
                  <c:v>4086.5831285345548</c:v>
                </c:pt>
                <c:pt idx="732">
                  <c:v>4094.4495981284872</c:v>
                </c:pt>
                <c:pt idx="733">
                  <c:v>4102.3312102857635</c:v>
                </c:pt>
                <c:pt idx="734">
                  <c:v>4110.2279941550614</c:v>
                </c:pt>
                <c:pt idx="735">
                  <c:v>4118.1399789411762</c:v>
                </c:pt>
                <c:pt idx="736">
                  <c:v>4126.0671939051163</c:v>
                </c:pt>
                <c:pt idx="737">
                  <c:v>4134.0096683642169</c:v>
                </c:pt>
                <c:pt idx="738">
                  <c:v>4141.967431692251</c:v>
                </c:pt>
                <c:pt idx="739">
                  <c:v>4149.9405133195305</c:v>
                </c:pt>
                <c:pt idx="740">
                  <c:v>4157.9289427330223</c:v>
                </c:pt>
                <c:pt idx="741">
                  <c:v>4165.9327494764511</c:v>
                </c:pt>
                <c:pt idx="742">
                  <c:v>4173.9519631504136</c:v>
                </c:pt>
                <c:pt idx="743">
                  <c:v>4181.9866134124859</c:v>
                </c:pt>
                <c:pt idx="744">
                  <c:v>4190.0367299773343</c:v>
                </c:pt>
                <c:pt idx="745">
                  <c:v>4198.102342616824</c:v>
                </c:pt>
                <c:pt idx="746">
                  <c:v>4206.1834811601293</c:v>
                </c:pt>
                <c:pt idx="747">
                  <c:v>4214.2801754938409</c:v>
                </c:pt>
                <c:pt idx="748">
                  <c:v>4222.392455562087</c:v>
                </c:pt>
                <c:pt idx="749">
                  <c:v>4230.5203513666302</c:v>
                </c:pt>
                <c:pt idx="750">
                  <c:v>4238.6638929669889</c:v>
                </c:pt>
                <c:pt idx="751">
                  <c:v>4246.8231104805418</c:v>
                </c:pt>
                <c:pt idx="752">
                  <c:v>4254.9980340826442</c:v>
                </c:pt>
                <c:pt idx="753">
                  <c:v>4263.1886940067361</c:v>
                </c:pt>
                <c:pt idx="754">
                  <c:v>4271.3951205444564</c:v>
                </c:pt>
                <c:pt idx="755">
                  <c:v>4279.6173440457533</c:v>
                </c:pt>
                <c:pt idx="756">
                  <c:v>4287.8553949189973</c:v>
                </c:pt>
                <c:pt idx="757">
                  <c:v>4296.1093036310922</c:v>
                </c:pt>
                <c:pt idx="758">
                  <c:v>4304.3791007075924</c:v>
                </c:pt>
                <c:pt idx="759">
                  <c:v>4312.6648167328094</c:v>
                </c:pt>
                <c:pt idx="760">
                  <c:v>4320.9664823499288</c:v>
                </c:pt>
                <c:pt idx="761">
                  <c:v>4329.2841282611234</c:v>
                </c:pt>
                <c:pt idx="762">
                  <c:v>4337.617785227666</c:v>
                </c:pt>
                <c:pt idx="763">
                  <c:v>4345.9674840700418</c:v>
                </c:pt>
                <c:pt idx="764">
                  <c:v>4354.3332556680671</c:v>
                </c:pt>
                <c:pt idx="765">
                  <c:v>4362.7151309609972</c:v>
                </c:pt>
                <c:pt idx="766">
                  <c:v>4371.1131409476448</c:v>
                </c:pt>
                <c:pt idx="767">
                  <c:v>4379.5273166864954</c:v>
                </c:pt>
                <c:pt idx="768">
                  <c:v>4387.9576892958157</c:v>
                </c:pt>
                <c:pt idx="769">
                  <c:v>4396.4042899537826</c:v>
                </c:pt>
                <c:pt idx="770">
                  <c:v>4404.8671498985814</c:v>
                </c:pt>
                <c:pt idx="771">
                  <c:v>4413.3463004285295</c:v>
                </c:pt>
                <c:pt idx="772">
                  <c:v>4421.8417729021985</c:v>
                </c:pt>
                <c:pt idx="773">
                  <c:v>4430.3535987385158</c:v>
                </c:pt>
                <c:pt idx="774">
                  <c:v>4438.8818094168937</c:v>
                </c:pt>
                <c:pt idx="775">
                  <c:v>4447.4264364773417</c:v>
                </c:pt>
                <c:pt idx="776">
                  <c:v>4455.9875115205778</c:v>
                </c:pt>
                <c:pt idx="777">
                  <c:v>4464.5650662081534</c:v>
                </c:pt>
                <c:pt idx="778">
                  <c:v>4473.1591322625627</c:v>
                </c:pt>
                <c:pt idx="779">
                  <c:v>4481.7697414673694</c:v>
                </c:pt>
                <c:pt idx="780">
                  <c:v>4490.3969256673172</c:v>
                </c:pt>
                <c:pt idx="781">
                  <c:v>4499.0407167684471</c:v>
                </c:pt>
                <c:pt idx="782">
                  <c:v>4507.7011467382208</c:v>
                </c:pt>
                <c:pt idx="783">
                  <c:v>4516.3782476056322</c:v>
                </c:pt>
                <c:pt idx="784">
                  <c:v>4525.0720514613313</c:v>
                </c:pt>
                <c:pt idx="785">
                  <c:v>4533.7825904577448</c:v>
                </c:pt>
                <c:pt idx="786">
                  <c:v>4542.5098968091825</c:v>
                </c:pt>
                <c:pt idx="787">
                  <c:v>4551.2540027919749</c:v>
                </c:pt>
                <c:pt idx="788">
                  <c:v>4560.0149407445742</c:v>
                </c:pt>
                <c:pt idx="789">
                  <c:v>4568.7927430676873</c:v>
                </c:pt>
                <c:pt idx="790">
                  <c:v>4577.5874422243924</c:v>
                </c:pt>
                <c:pt idx="791">
                  <c:v>4586.3990707402536</c:v>
                </c:pt>
                <c:pt idx="792">
                  <c:v>4595.2276612034475</c:v>
                </c:pt>
                <c:pt idx="793">
                  <c:v>4604.0732462648775</c:v>
                </c:pt>
                <c:pt idx="794">
                  <c:v>4612.9358586383032</c:v>
                </c:pt>
                <c:pt idx="795">
                  <c:v>4621.8155311004557</c:v>
                </c:pt>
                <c:pt idx="796">
                  <c:v>4630.7122964911578</c:v>
                </c:pt>
                <c:pt idx="797">
                  <c:v>4639.6261877134484</c:v>
                </c:pt>
                <c:pt idx="798">
                  <c:v>4648.5572377337012</c:v>
                </c:pt>
                <c:pt idx="799">
                  <c:v>4657.5054795817514</c:v>
                </c:pt>
                <c:pt idx="800">
                  <c:v>4666.4709463510153</c:v>
                </c:pt>
                <c:pt idx="801">
                  <c:v>4675.4536711986093</c:v>
                </c:pt>
                <c:pt idx="802">
                  <c:v>4684.453687345479</c:v>
                </c:pt>
                <c:pt idx="803">
                  <c:v>4693.471028076513</c:v>
                </c:pt>
                <c:pt idx="804">
                  <c:v>4702.5057267406773</c:v>
                </c:pt>
                <c:pt idx="805">
                  <c:v>4711.5578167511339</c:v>
                </c:pt>
                <c:pt idx="806">
                  <c:v>4720.6273315853578</c:v>
                </c:pt>
                <c:pt idx="807">
                  <c:v>4729.7143047852715</c:v>
                </c:pt>
                <c:pt idx="808">
                  <c:v>4738.8187699573591</c:v>
                </c:pt>
                <c:pt idx="809">
                  <c:v>4747.9407607727999</c:v>
                </c:pt>
                <c:pt idx="810">
                  <c:v>4757.080310967589</c:v>
                </c:pt>
                <c:pt idx="811">
                  <c:v>4766.2374543426567</c:v>
                </c:pt>
                <c:pt idx="812">
                  <c:v>4775.4122247640053</c:v>
                </c:pt>
                <c:pt idx="813">
                  <c:v>4784.6046561628191</c:v>
                </c:pt>
                <c:pt idx="814">
                  <c:v>4793.8147825356036</c:v>
                </c:pt>
                <c:pt idx="815">
                  <c:v>4803.0426379443088</c:v>
                </c:pt>
                <c:pt idx="816">
                  <c:v>4812.2882565164446</c:v>
                </c:pt>
                <c:pt idx="817">
                  <c:v>4821.5516724452209</c:v>
                </c:pt>
                <c:pt idx="818">
                  <c:v>4830.8329199896625</c:v>
                </c:pt>
                <c:pt idx="819">
                  <c:v>4840.1320334747452</c:v>
                </c:pt>
                <c:pt idx="820">
                  <c:v>4849.4490472915204</c:v>
                </c:pt>
                <c:pt idx="821">
                  <c:v>4858.7839958972345</c:v>
                </c:pt>
                <c:pt idx="822">
                  <c:v>4868.1369138154687</c:v>
                </c:pt>
                <c:pt idx="823">
                  <c:v>4877.5078356362528</c:v>
                </c:pt>
                <c:pt idx="824">
                  <c:v>4886.8967960162072</c:v>
                </c:pt>
                <c:pt idx="825">
                  <c:v>4896.3038296786654</c:v>
                </c:pt>
                <c:pt idx="826">
                  <c:v>4905.7289714137942</c:v>
                </c:pt>
                <c:pt idx="827">
                  <c:v>4915.1722560787384</c:v>
                </c:pt>
                <c:pt idx="828">
                  <c:v>4924.6337185977345</c:v>
                </c:pt>
                <c:pt idx="829">
                  <c:v>4934.1133939622478</c:v>
                </c:pt>
                <c:pt idx="830">
                  <c:v>4943.6113172311052</c:v>
                </c:pt>
                <c:pt idx="831">
                  <c:v>4953.127523530613</c:v>
                </c:pt>
                <c:pt idx="832">
                  <c:v>4962.6620480546999</c:v>
                </c:pt>
                <c:pt idx="833">
                  <c:v>4972.2149260650367</c:v>
                </c:pt>
                <c:pt idx="834">
                  <c:v>4981.7861928911716</c:v>
                </c:pt>
                <c:pt idx="835">
                  <c:v>4991.3758839306674</c:v>
                </c:pt>
                <c:pt idx="836">
                  <c:v>5000.9840346492147</c:v>
                </c:pt>
                <c:pt idx="837">
                  <c:v>5010.6106805807831</c:v>
                </c:pt>
                <c:pt idx="838">
                  <c:v>5020.2558573277347</c:v>
                </c:pt>
                <c:pt idx="839">
                  <c:v>5029.9196005609701</c:v>
                </c:pt>
                <c:pt idx="840">
                  <c:v>5039.6019460200569</c:v>
                </c:pt>
                <c:pt idx="841">
                  <c:v>5049.3029295133538</c:v>
                </c:pt>
                <c:pt idx="842">
                  <c:v>5059.0225869181504</c:v>
                </c:pt>
                <c:pt idx="843">
                  <c:v>5068.7609541807997</c:v>
                </c:pt>
                <c:pt idx="844">
                  <c:v>5078.518067316847</c:v>
                </c:pt>
                <c:pt idx="845">
                  <c:v>5088.2939624111723</c:v>
                </c:pt>
                <c:pt idx="846">
                  <c:v>5098.0886756181098</c:v>
                </c:pt>
                <c:pt idx="847">
                  <c:v>5107.9022431615922</c:v>
                </c:pt>
                <c:pt idx="848">
                  <c:v>5117.734701335281</c:v>
                </c:pt>
                <c:pt idx="849">
                  <c:v>5127.5860865026989</c:v>
                </c:pt>
                <c:pt idx="850">
                  <c:v>5137.4564350973742</c:v>
                </c:pt>
                <c:pt idx="851">
                  <c:v>5147.3457836229591</c:v>
                </c:pt>
                <c:pt idx="852">
                  <c:v>5157.2541686533787</c:v>
                </c:pt>
                <c:pt idx="853">
                  <c:v>5167.1816268329576</c:v>
                </c:pt>
                <c:pt idx="854">
                  <c:v>5177.12819487656</c:v>
                </c:pt>
                <c:pt idx="855">
                  <c:v>5187.0939095697295</c:v>
                </c:pt>
                <c:pt idx="856">
                  <c:v>5197.078807768813</c:v>
                </c:pt>
                <c:pt idx="857">
                  <c:v>5207.0829264011072</c:v>
                </c:pt>
                <c:pt idx="858">
                  <c:v>5217.106302464992</c:v>
                </c:pt>
                <c:pt idx="859">
                  <c:v>5227.1489730300646</c:v>
                </c:pt>
                <c:pt idx="860">
                  <c:v>5237.2109752372844</c:v>
                </c:pt>
                <c:pt idx="861">
                  <c:v>5247.2923462991021</c:v>
                </c:pt>
                <c:pt idx="862">
                  <c:v>5257.3931234996016</c:v>
                </c:pt>
                <c:pt idx="863">
                  <c:v>5267.5133441946336</c:v>
                </c:pt>
                <c:pt idx="864">
                  <c:v>5277.6530458119605</c:v>
                </c:pt>
                <c:pt idx="865">
                  <c:v>5287.812265851393</c:v>
                </c:pt>
                <c:pt idx="866">
                  <c:v>5297.9910418849213</c:v>
                </c:pt>
                <c:pt idx="867">
                  <c:v>5308.1894115568648</c:v>
                </c:pt>
                <c:pt idx="868">
                  <c:v>5318.4074125840034</c:v>
                </c:pt>
                <c:pt idx="869">
                  <c:v>5328.6450827557192</c:v>
                </c:pt>
                <c:pt idx="870">
                  <c:v>5338.9024599341437</c:v>
                </c:pt>
                <c:pt idx="871">
                  <c:v>5349.1795820542829</c:v>
                </c:pt>
                <c:pt idx="872">
                  <c:v>5359.4764871241714</c:v>
                </c:pt>
                <c:pt idx="873">
                  <c:v>5369.7932132250007</c:v>
                </c:pt>
                <c:pt idx="874">
                  <c:v>5380.1297985112733</c:v>
                </c:pt>
                <c:pt idx="875">
                  <c:v>5390.4862812109386</c:v>
                </c:pt>
                <c:pt idx="876">
                  <c:v>5400.8626996255234</c:v>
                </c:pt>
                <c:pt idx="877">
                  <c:v>5411.2590921302944</c:v>
                </c:pt>
                <c:pt idx="878">
                  <c:v>5421.6754971743794</c:v>
                </c:pt>
                <c:pt idx="879">
                  <c:v>5432.1119532809225</c:v>
                </c:pt>
                <c:pt idx="880">
                  <c:v>5442.5684990472282</c:v>
                </c:pt>
                <c:pt idx="881">
                  <c:v>5453.0451731448893</c:v>
                </c:pt>
                <c:pt idx="882">
                  <c:v>5463.5420143199453</c:v>
                </c:pt>
                <c:pt idx="883">
                  <c:v>5474.059061393019</c:v>
                </c:pt>
                <c:pt idx="884">
                  <c:v>5484.5963532594596</c:v>
                </c:pt>
                <c:pt idx="885">
                  <c:v>5495.1539288894928</c:v>
                </c:pt>
                <c:pt idx="886">
                  <c:v>5505.7318273283518</c:v>
                </c:pt>
                <c:pt idx="887">
                  <c:v>5516.3300876964377</c:v>
                </c:pt>
                <c:pt idx="888">
                  <c:v>5526.9487491894497</c:v>
                </c:pt>
                <c:pt idx="889">
                  <c:v>5537.5878510785415</c:v>
                </c:pt>
                <c:pt idx="890">
                  <c:v>5548.2474327104637</c:v>
                </c:pt>
                <c:pt idx="891">
                  <c:v>5558.9275335077009</c:v>
                </c:pt>
                <c:pt idx="892">
                  <c:v>5569.6281929686293</c:v>
                </c:pt>
                <c:pt idx="893">
                  <c:v>5580.3494506676525</c:v>
                </c:pt>
                <c:pt idx="894">
                  <c:v>5591.0913462553581</c:v>
                </c:pt>
                <c:pt idx="895">
                  <c:v>5601.8539194586583</c:v>
                </c:pt>
                <c:pt idx="896">
                  <c:v>5612.6372100809349</c:v>
                </c:pt>
                <c:pt idx="897">
                  <c:v>5623.4412580021917</c:v>
                </c:pt>
                <c:pt idx="898">
                  <c:v>5634.2661031791968</c:v>
                </c:pt>
                <c:pt idx="899">
                  <c:v>5645.111785645634</c:v>
                </c:pt>
                <c:pt idx="900">
                  <c:v>5655.9783455122533</c:v>
                </c:pt>
                <c:pt idx="901">
                  <c:v>5666.8658229670136</c:v>
                </c:pt>
                <c:pt idx="902">
                  <c:v>5677.7742582752317</c:v>
                </c:pt>
                <c:pt idx="903">
                  <c:v>5688.7036917797341</c:v>
                </c:pt>
                <c:pt idx="904">
                  <c:v>5699.6541639010065</c:v>
                </c:pt>
                <c:pt idx="905">
                  <c:v>5710.6257151373438</c:v>
                </c:pt>
                <c:pt idx="906">
                  <c:v>5721.6183860649926</c:v>
                </c:pt>
                <c:pt idx="907">
                  <c:v>5732.6322173383123</c:v>
                </c:pt>
                <c:pt idx="908">
                  <c:v>5743.6672496899164</c:v>
                </c:pt>
                <c:pt idx="909">
                  <c:v>5754.7235239308256</c:v>
                </c:pt>
                <c:pt idx="910">
                  <c:v>5765.8010809506277</c:v>
                </c:pt>
                <c:pt idx="911">
                  <c:v>5776.8999617176096</c:v>
                </c:pt>
                <c:pt idx="912">
                  <c:v>5788.0202072789298</c:v>
                </c:pt>
                <c:pt idx="913">
                  <c:v>5799.1618587607536</c:v>
                </c:pt>
                <c:pt idx="914">
                  <c:v>5810.3249573684143</c:v>
                </c:pt>
                <c:pt idx="915">
                  <c:v>5821.5095443865694</c:v>
                </c:pt>
                <c:pt idx="916">
                  <c:v>5832.7156611793362</c:v>
                </c:pt>
                <c:pt idx="917">
                  <c:v>5843.9433491904665</c:v>
                </c:pt>
                <c:pt idx="918">
                  <c:v>5855.1926499434803</c:v>
                </c:pt>
                <c:pt idx="919">
                  <c:v>5866.4636050418321</c:v>
                </c:pt>
                <c:pt idx="920">
                  <c:v>5877.7562561690675</c:v>
                </c:pt>
                <c:pt idx="921">
                  <c:v>5889.0706450889584</c:v>
                </c:pt>
                <c:pt idx="922">
                  <c:v>5900.4068136456808</c:v>
                </c:pt>
                <c:pt idx="923">
                  <c:v>5911.7648037639501</c:v>
                </c:pt>
                <c:pt idx="924">
                  <c:v>5923.1446574491893</c:v>
                </c:pt>
                <c:pt idx="925">
                  <c:v>5934.5464167876826</c:v>
                </c:pt>
                <c:pt idx="926">
                  <c:v>5945.9701239467213</c:v>
                </c:pt>
                <c:pt idx="927">
                  <c:v>5957.4158211747726</c:v>
                </c:pt>
                <c:pt idx="928">
                  <c:v>5968.8835508016255</c:v>
                </c:pt>
                <c:pt idx="929">
                  <c:v>5980.373355238552</c:v>
                </c:pt>
                <c:pt idx="930">
                  <c:v>5991.8852769784698</c:v>
                </c:pt>
                <c:pt idx="931">
                  <c:v>6003.4193585960857</c:v>
                </c:pt>
                <c:pt idx="932">
                  <c:v>6014.9756427480661</c:v>
                </c:pt>
                <c:pt idx="933">
                  <c:v>6026.5541721731843</c:v>
                </c:pt>
                <c:pt idx="934">
                  <c:v>6038.1549896924862</c:v>
                </c:pt>
                <c:pt idx="935">
                  <c:v>6049.7781382094508</c:v>
                </c:pt>
                <c:pt idx="936">
                  <c:v>6061.4236607101357</c:v>
                </c:pt>
                <c:pt idx="937">
                  <c:v>6073.0916002633512</c:v>
                </c:pt>
                <c:pt idx="938">
                  <c:v>6084.7820000208067</c:v>
                </c:pt>
                <c:pt idx="939">
                  <c:v>6096.4949032172817</c:v>
                </c:pt>
                <c:pt idx="940">
                  <c:v>6108.2303531707821</c:v>
                </c:pt>
                <c:pt idx="941">
                  <c:v>6119.9883932826915</c:v>
                </c:pt>
                <c:pt idx="942">
                  <c:v>6131.7690670379443</c:v>
                </c:pt>
                <c:pt idx="943">
                  <c:v>6143.5724180051793</c:v>
                </c:pt>
                <c:pt idx="944">
                  <c:v>6155.3984898369044</c:v>
                </c:pt>
                <c:pt idx="945">
                  <c:v>6167.2473262696567</c:v>
                </c:pt>
                <c:pt idx="946">
                  <c:v>6179.1189711241595</c:v>
                </c:pt>
                <c:pt idx="947">
                  <c:v>6191.0134683054966</c:v>
                </c:pt>
                <c:pt idx="948">
                  <c:v>6202.9308618032574</c:v>
                </c:pt>
                <c:pt idx="949">
                  <c:v>6214.8711956917159</c:v>
                </c:pt>
                <c:pt idx="950">
                  <c:v>6226.8345141299878</c:v>
                </c:pt>
                <c:pt idx="951">
                  <c:v>6238.8208613621855</c:v>
                </c:pt>
                <c:pt idx="952">
                  <c:v>6250.8302817175982</c:v>
                </c:pt>
                <c:pt idx="953">
                  <c:v>6262.8628196108402</c:v>
                </c:pt>
                <c:pt idx="954">
                  <c:v>6274.9185195420205</c:v>
                </c:pt>
                <c:pt idx="955">
                  <c:v>6286.9974260969193</c:v>
                </c:pt>
                <c:pt idx="956">
                  <c:v>6299.0995839471288</c:v>
                </c:pt>
                <c:pt idx="957">
                  <c:v>6311.2250378502413</c:v>
                </c:pt>
                <c:pt idx="958">
                  <c:v>6323.3738326499997</c:v>
                </c:pt>
                <c:pt idx="959">
                  <c:v>6335.546013276472</c:v>
                </c:pt>
                <c:pt idx="960">
                  <c:v>6347.7416247462133</c:v>
                </c:pt>
                <c:pt idx="961">
                  <c:v>6359.9607121624331</c:v>
                </c:pt>
                <c:pt idx="962">
                  <c:v>6372.2033207151635</c:v>
                </c:pt>
                <c:pt idx="963">
                  <c:v>6384.4694956814228</c:v>
                </c:pt>
                <c:pt idx="964">
                  <c:v>6396.7592824253879</c:v>
                </c:pt>
                <c:pt idx="965">
                  <c:v>6409.0727263985573</c:v>
                </c:pt>
                <c:pt idx="966">
                  <c:v>6421.4098731399245</c:v>
                </c:pt>
                <c:pt idx="967">
                  <c:v>6433.7707682761402</c:v>
                </c:pt>
                <c:pt idx="968">
                  <c:v>6446.1554575216833</c:v>
                </c:pt>
                <c:pt idx="969">
                  <c:v>6458.5639866790361</c:v>
                </c:pt>
                <c:pt idx="970">
                  <c:v>6470.9964016388421</c:v>
                </c:pt>
                <c:pt idx="971">
                  <c:v>6483.4527483800866</c:v>
                </c:pt>
                <c:pt idx="972">
                  <c:v>6495.9330729702606</c:v>
                </c:pt>
                <c:pt idx="973">
                  <c:v>6508.4374215655316</c:v>
                </c:pt>
                <c:pt idx="974">
                  <c:v>6520.9658404109159</c:v>
                </c:pt>
                <c:pt idx="975">
                  <c:v>6533.5183758404519</c:v>
                </c:pt>
                <c:pt idx="976">
                  <c:v>6546.0950742773648</c:v>
                </c:pt>
                <c:pt idx="977">
                  <c:v>6558.6959822342451</c:v>
                </c:pt>
                <c:pt idx="978">
                  <c:v>6571.3211463132156</c:v>
                </c:pt>
                <c:pt idx="979">
                  <c:v>6583.9706132061074</c:v>
                </c:pt>
                <c:pt idx="980">
                  <c:v>6596.6444296946283</c:v>
                </c:pt>
                <c:pt idx="981">
                  <c:v>6609.3426426505448</c:v>
                </c:pt>
                <c:pt idx="982">
                  <c:v>6622.0652990358431</c:v>
                </c:pt>
                <c:pt idx="983">
                  <c:v>6634.8124459029104</c:v>
                </c:pt>
                <c:pt idx="984">
                  <c:v>6647.5841303947082</c:v>
                </c:pt>
                <c:pt idx="985">
                  <c:v>6660.3803997449459</c:v>
                </c:pt>
                <c:pt idx="986">
                  <c:v>6673.2013012782554</c:v>
                </c:pt>
                <c:pt idx="987">
                  <c:v>6686.0468824103664</c:v>
                </c:pt>
                <c:pt idx="988">
                  <c:v>6698.9171906482798</c:v>
                </c:pt>
                <c:pt idx="989">
                  <c:v>6711.8122735904462</c:v>
                </c:pt>
                <c:pt idx="990">
                  <c:v>6724.7321789269427</c:v>
                </c:pt>
                <c:pt idx="991">
                  <c:v>6737.6769544396448</c:v>
                </c:pt>
                <c:pt idx="992">
                  <c:v>6750.6466480024083</c:v>
                </c:pt>
                <c:pt idx="993">
                  <c:v>6763.6413075812397</c:v>
                </c:pt>
                <c:pt idx="994">
                  <c:v>6776.6609812344805</c:v>
                </c:pt>
                <c:pt idx="995">
                  <c:v>6789.7057171129827</c:v>
                </c:pt>
                <c:pt idx="996">
                  <c:v>6802.7755634602854</c:v>
                </c:pt>
                <c:pt idx="997">
                  <c:v>6815.8705686127951</c:v>
                </c:pt>
                <c:pt idx="998">
                  <c:v>6828.9907809999595</c:v>
                </c:pt>
                <c:pt idx="999">
                  <c:v>6842.136249144457</c:v>
                </c:pt>
                <c:pt idx="1000">
                  <c:v>6855.3070216623646</c:v>
                </c:pt>
                <c:pt idx="1001">
                  <c:v>6868.5031472633436</c:v>
                </c:pt>
                <c:pt idx="1002">
                  <c:v>6881.7246747508234</c:v>
                </c:pt>
                <c:pt idx="1003">
                  <c:v>6894.9716530221694</c:v>
                </c:pt>
                <c:pt idx="1004">
                  <c:v>6908.2441310688801</c:v>
                </c:pt>
                <c:pt idx="1005">
                  <c:v>6921.5421579767572</c:v>
                </c:pt>
                <c:pt idx="1006">
                  <c:v>6934.8657829260865</c:v>
                </c:pt>
                <c:pt idx="1007">
                  <c:v>6948.2150551918303</c:v>
                </c:pt>
                <c:pt idx="1008">
                  <c:v>6961.5900241437957</c:v>
                </c:pt>
                <c:pt idx="1009">
                  <c:v>6974.9907392468303</c:v>
                </c:pt>
                <c:pt idx="1010">
                  <c:v>6988.4172500609966</c:v>
                </c:pt>
                <c:pt idx="1011">
                  <c:v>7001.8696062417539</c:v>
                </c:pt>
                <c:pt idx="1012">
                  <c:v>7015.347857540155</c:v>
                </c:pt>
                <c:pt idx="1013">
                  <c:v>7028.8520538030107</c:v>
                </c:pt>
                <c:pt idx="1014">
                  <c:v>7042.3822449730906</c:v>
                </c:pt>
                <c:pt idx="1015">
                  <c:v>7055.9384810893025</c:v>
                </c:pt>
                <c:pt idx="1016">
                  <c:v>7069.5208122868708</c:v>
                </c:pt>
                <c:pt idx="1017">
                  <c:v>7083.129288797536</c:v>
                </c:pt>
                <c:pt idx="1018">
                  <c:v>7096.7639609497228</c:v>
                </c:pt>
                <c:pt idx="1019">
                  <c:v>7110.4248791687414</c:v>
                </c:pt>
                <c:pt idx="1020">
                  <c:v>7124.1120939769708</c:v>
                </c:pt>
                <c:pt idx="1021">
                  <c:v>7137.8256559940319</c:v>
                </c:pt>
                <c:pt idx="1022">
                  <c:v>7151.5656159370028</c:v>
                </c:pt>
                <c:pt idx="1023">
                  <c:v>7165.3320246205722</c:v>
                </c:pt>
                <c:pt idx="1024">
                  <c:v>7179.1249329572565</c:v>
                </c:pt>
                <c:pt idx="1025">
                  <c:v>7192.9443919575724</c:v>
                </c:pt>
                <c:pt idx="1026">
                  <c:v>7206.7904527302226</c:v>
                </c:pt>
                <c:pt idx="1027">
                  <c:v>7220.663166482308</c:v>
                </c:pt>
                <c:pt idx="1028">
                  <c:v>7234.5625845194827</c:v>
                </c:pt>
                <c:pt idx="1029">
                  <c:v>7248.4887582461724</c:v>
                </c:pt>
                <c:pt idx="1030">
                  <c:v>7262.4417391657526</c:v>
                </c:pt>
                <c:pt idx="1031">
                  <c:v>7276.4215788807323</c:v>
                </c:pt>
                <c:pt idx="1032">
                  <c:v>7290.4283290929661</c:v>
                </c:pt>
                <c:pt idx="1033">
                  <c:v>7304.4620416038206</c:v>
                </c:pt>
                <c:pt idx="1034">
                  <c:v>7318.522768314383</c:v>
                </c:pt>
                <c:pt idx="1035">
                  <c:v>7332.610561225647</c:v>
                </c:pt>
                <c:pt idx="1036">
                  <c:v>7346.7254724387012</c:v>
                </c:pt>
                <c:pt idx="1037">
                  <c:v>7360.8675541549364</c:v>
                </c:pt>
                <c:pt idx="1038">
                  <c:v>7375.036858676217</c:v>
                </c:pt>
                <c:pt idx="1039">
                  <c:v>7389.2334384050919</c:v>
                </c:pt>
                <c:pt idx="1040">
                  <c:v>7403.4573458449813</c:v>
                </c:pt>
                <c:pt idx="1041">
                  <c:v>7417.7086336003722</c:v>
                </c:pt>
                <c:pt idx="1042">
                  <c:v>7431.9873543770173</c:v>
                </c:pt>
                <c:pt idx="1043">
                  <c:v>7446.293560982107</c:v>
                </c:pt>
                <c:pt idx="1044">
                  <c:v>7460.6273063245089</c:v>
                </c:pt>
                <c:pt idx="1045">
                  <c:v>7474.988643414923</c:v>
                </c:pt>
                <c:pt idx="1046">
                  <c:v>7489.377625366089</c:v>
                </c:pt>
                <c:pt idx="1047">
                  <c:v>7503.794305392993</c:v>
                </c:pt>
                <c:pt idx="1048">
                  <c:v>7518.2387368130558</c:v>
                </c:pt>
                <c:pt idx="1049">
                  <c:v>7532.7109730463326</c:v>
                </c:pt>
                <c:pt idx="1050">
                  <c:v>7547.2110676157063</c:v>
                </c:pt>
                <c:pt idx="1051">
                  <c:v>7561.7390741470917</c:v>
                </c:pt>
                <c:pt idx="1052">
                  <c:v>7576.2950463696316</c:v>
                </c:pt>
                <c:pt idx="1053">
                  <c:v>7590.8790381158842</c:v>
                </c:pt>
                <c:pt idx="1054">
                  <c:v>7605.4911033220505</c:v>
                </c:pt>
                <c:pt idx="1055">
                  <c:v>7620.1312960281466</c:v>
                </c:pt>
                <c:pt idx="1056">
                  <c:v>7634.7996703782073</c:v>
                </c:pt>
                <c:pt idx="1057">
                  <c:v>7649.4962806205003</c:v>
                </c:pt>
                <c:pt idx="1058">
                  <c:v>7664.2211811077168</c:v>
                </c:pt>
                <c:pt idx="1059">
                  <c:v>7678.9744262971726</c:v>
                </c:pt>
                <c:pt idx="1060">
                  <c:v>7693.7560707510138</c:v>
                </c:pt>
                <c:pt idx="1061">
                  <c:v>7708.5661691364112</c:v>
                </c:pt>
                <c:pt idx="1062">
                  <c:v>7723.404776225776</c:v>
                </c:pt>
                <c:pt idx="1063">
                  <c:v>7738.2719468969362</c:v>
                </c:pt>
                <c:pt idx="1064">
                  <c:v>7753.1677361333786</c:v>
                </c:pt>
                <c:pt idx="1065">
                  <c:v>7768.0921990244215</c:v>
                </c:pt>
                <c:pt idx="1066">
                  <c:v>7783.0453907654173</c:v>
                </c:pt>
                <c:pt idx="1067">
                  <c:v>7798.0273666579806</c:v>
                </c:pt>
                <c:pt idx="1068">
                  <c:v>7813.0381821101728</c:v>
                </c:pt>
                <c:pt idx="1069">
                  <c:v>7828.0778926367148</c:v>
                </c:pt>
                <c:pt idx="1070">
                  <c:v>7843.1465538591901</c:v>
                </c:pt>
                <c:pt idx="1071">
                  <c:v>7858.2442215062511</c:v>
                </c:pt>
                <c:pt idx="1072">
                  <c:v>7873.3709514138263</c:v>
                </c:pt>
                <c:pt idx="1073">
                  <c:v>7888.5267995253153</c:v>
                </c:pt>
                <c:pt idx="1074">
                  <c:v>7903.711821891824</c:v>
                </c:pt>
                <c:pt idx="1075">
                  <c:v>7918.9260746723457</c:v>
                </c:pt>
                <c:pt idx="1076">
                  <c:v>7934.169614133968</c:v>
                </c:pt>
                <c:pt idx="1077">
                  <c:v>7949.4424966521019</c:v>
                </c:pt>
                <c:pt idx="1078">
                  <c:v>7964.7447787106739</c:v>
                </c:pt>
                <c:pt idx="1079">
                  <c:v>7980.0765169023389</c:v>
                </c:pt>
                <c:pt idx="1080">
                  <c:v>7995.4377679286908</c:v>
                </c:pt>
                <c:pt idx="1081">
                  <c:v>8010.8285886004714</c:v>
                </c:pt>
                <c:pt idx="1082">
                  <c:v>8026.2490358377827</c:v>
                </c:pt>
                <c:pt idx="1083">
                  <c:v>8041.6991666702825</c:v>
                </c:pt>
                <c:pt idx="1084">
                  <c:v>8057.1790382374256</c:v>
                </c:pt>
                <c:pt idx="1085">
                  <c:v>8072.6887077886522</c:v>
                </c:pt>
                <c:pt idx="1086">
                  <c:v>8088.2282326835939</c:v>
                </c:pt>
                <c:pt idx="1087">
                  <c:v>8103.7976703923068</c:v>
                </c:pt>
                <c:pt idx="1088">
                  <c:v>8119.3970784954763</c:v>
                </c:pt>
                <c:pt idx="1089">
                  <c:v>8135.0265146846186</c:v>
                </c:pt>
                <c:pt idx="1090">
                  <c:v>8150.6860367623094</c:v>
                </c:pt>
                <c:pt idx="1091">
                  <c:v>8166.3757026423928</c:v>
                </c:pt>
                <c:pt idx="1092">
                  <c:v>8182.0955703501922</c:v>
                </c:pt>
                <c:pt idx="1093">
                  <c:v>8197.8456980227202</c:v>
                </c:pt>
                <c:pt idx="1094">
                  <c:v>8213.6261439089067</c:v>
                </c:pt>
                <c:pt idx="1095">
                  <c:v>8229.4369663698162</c:v>
                </c:pt>
                <c:pt idx="1096">
                  <c:v>8245.2782238788386</c:v>
                </c:pt>
                <c:pt idx="1097">
                  <c:v>8261.1499750219318</c:v>
                </c:pt>
                <c:pt idx="1098">
                  <c:v>8277.0522784978275</c:v>
                </c:pt>
                <c:pt idx="1099">
                  <c:v>8292.9851931182493</c:v>
                </c:pt>
                <c:pt idx="1100">
                  <c:v>8308.9487778081329</c:v>
                </c:pt>
                <c:pt idx="1101">
                  <c:v>8324.9430916058354</c:v>
                </c:pt>
                <c:pt idx="1102">
                  <c:v>8340.9681936633679</c:v>
                </c:pt>
                <c:pt idx="1103">
                  <c:v>8357.0241432465955</c:v>
                </c:pt>
                <c:pt idx="1104">
                  <c:v>8373.1109997354743</c:v>
                </c:pt>
                <c:pt idx="1105">
                  <c:v>8389.2288226242708</c:v>
                </c:pt>
                <c:pt idx="1106">
                  <c:v>8405.3776715217573</c:v>
                </c:pt>
                <c:pt idx="1107">
                  <c:v>8421.5576061514657</c:v>
                </c:pt>
                <c:pt idx="1108">
                  <c:v>8437.7686863518829</c:v>
                </c:pt>
                <c:pt idx="1109">
                  <c:v>8454.0109720766905</c:v>
                </c:pt>
                <c:pt idx="1110">
                  <c:v>8470.2845233949683</c:v>
                </c:pt>
                <c:pt idx="1111">
                  <c:v>8486.5894004914353</c:v>
                </c:pt>
                <c:pt idx="1112">
                  <c:v>8502.9256636666632</c:v>
                </c:pt>
                <c:pt idx="1113">
                  <c:v>8519.2933733372829</c:v>
                </c:pt>
                <c:pt idx="1114">
                  <c:v>8535.6925900362403</c:v>
                </c:pt>
                <c:pt idx="1115">
                  <c:v>8552.1233744130113</c:v>
                </c:pt>
                <c:pt idx="1116">
                  <c:v>8568.5857872337947</c:v>
                </c:pt>
                <c:pt idx="1117">
                  <c:v>8585.079889381781</c:v>
                </c:pt>
                <c:pt idx="1118">
                  <c:v>8601.6057418573491</c:v>
                </c:pt>
                <c:pt idx="1119">
                  <c:v>8618.1634057783067</c:v>
                </c:pt>
                <c:pt idx="1120">
                  <c:v>8634.7529423801025</c:v>
                </c:pt>
                <c:pt idx="1121">
                  <c:v>8651.3744130160667</c:v>
                </c:pt>
                <c:pt idx="1122">
                  <c:v>8668.0278791576311</c:v>
                </c:pt>
                <c:pt idx="1123">
                  <c:v>8684.7134023945491</c:v>
                </c:pt>
                <c:pt idx="1124">
                  <c:v>8701.4310444351377</c:v>
                </c:pt>
                <c:pt idx="1125">
                  <c:v>8718.18086710651</c:v>
                </c:pt>
                <c:pt idx="1126">
                  <c:v>8734.9629323547688</c:v>
                </c:pt>
                <c:pt idx="1127">
                  <c:v>8751.777302245282</c:v>
                </c:pt>
                <c:pt idx="1128">
                  <c:v>8768.6240389628765</c:v>
                </c:pt>
                <c:pt idx="1129">
                  <c:v>8785.503204812092</c:v>
                </c:pt>
                <c:pt idx="1130">
                  <c:v>8802.4148622173907</c:v>
                </c:pt>
                <c:pt idx="1131">
                  <c:v>8819.3590737234117</c:v>
                </c:pt>
                <c:pt idx="1132">
                  <c:v>8836.3359019951822</c:v>
                </c:pt>
                <c:pt idx="1133">
                  <c:v>8853.3454098183483</c:v>
                </c:pt>
                <c:pt idx="1134">
                  <c:v>8870.3876600994245</c:v>
                </c:pt>
                <c:pt idx="1135">
                  <c:v>8887.4627158660296</c:v>
                </c:pt>
                <c:pt idx="1136">
                  <c:v>8904.5706402670803</c:v>
                </c:pt>
                <c:pt idx="1137">
                  <c:v>8921.7114965730689</c:v>
                </c:pt>
                <c:pt idx="1138">
                  <c:v>8938.8853481762817</c:v>
                </c:pt>
                <c:pt idx="1139">
                  <c:v>8956.092258591023</c:v>
                </c:pt>
                <c:pt idx="1140">
                  <c:v>8973.3322914538621</c:v>
                </c:pt>
                <c:pt idx="1141">
                  <c:v>8990.6055105238738</c:v>
                </c:pt>
                <c:pt idx="1142">
                  <c:v>9007.9119796828563</c:v>
                </c:pt>
                <c:pt idx="1143">
                  <c:v>9025.2517629355752</c:v>
                </c:pt>
                <c:pt idx="1144">
                  <c:v>9042.6249244100054</c:v>
                </c:pt>
                <c:pt idx="1145">
                  <c:v>9060.0315283575765</c:v>
                </c:pt>
                <c:pt idx="1146">
                  <c:v>9077.4716391533802</c:v>
                </c:pt>
                <c:pt idx="1147">
                  <c:v>9094.9453212964381</c:v>
                </c:pt>
                <c:pt idx="1148">
                  <c:v>9112.4526394099248</c:v>
                </c:pt>
                <c:pt idx="1149">
                  <c:v>9129.9936582414157</c:v>
                </c:pt>
                <c:pt idx="1150">
                  <c:v>9147.5684426631196</c:v>
                </c:pt>
                <c:pt idx="1151">
                  <c:v>9165.1770576721174</c:v>
                </c:pt>
                <c:pt idx="1152">
                  <c:v>9182.8195683906179</c:v>
                </c:pt>
                <c:pt idx="1153">
                  <c:v>9200.4960400661676</c:v>
                </c:pt>
                <c:pt idx="1154">
                  <c:v>9218.206538071925</c:v>
                </c:pt>
                <c:pt idx="1155">
                  <c:v>9235.9511279068956</c:v>
                </c:pt>
                <c:pt idx="1156">
                  <c:v>9253.729875196148</c:v>
                </c:pt>
                <c:pt idx="1157">
                  <c:v>9271.5428456910868</c:v>
                </c:pt>
                <c:pt idx="1158">
                  <c:v>9289.3901052696874</c:v>
                </c:pt>
                <c:pt idx="1159">
                  <c:v>9307.2717199367289</c:v>
                </c:pt>
                <c:pt idx="1160">
                  <c:v>9325.187755824054</c:v>
                </c:pt>
                <c:pt idx="1161">
                  <c:v>9343.1382791907999</c:v>
                </c:pt>
                <c:pt idx="1162">
                  <c:v>9361.1233564236572</c:v>
                </c:pt>
                <c:pt idx="1163">
                  <c:v>9379.1430540370966</c:v>
                </c:pt>
                <c:pt idx="1164">
                  <c:v>9397.1974386736256</c:v>
                </c:pt>
                <c:pt idx="1165">
                  <c:v>9415.2865771040597</c:v>
                </c:pt>
                <c:pt idx="1166">
                  <c:v>9433.4105362277078</c:v>
                </c:pt>
                <c:pt idx="1167">
                  <c:v>9451.569383072685</c:v>
                </c:pt>
                <c:pt idx="1168">
                  <c:v>9469.763184796122</c:v>
                </c:pt>
                <c:pt idx="1169">
                  <c:v>9487.9920086844213</c:v>
                </c:pt>
                <c:pt idx="1170">
                  <c:v>9506.2559221535103</c:v>
                </c:pt>
                <c:pt idx="1171">
                  <c:v>9524.5549927490938</c:v>
                </c:pt>
                <c:pt idx="1172">
                  <c:v>9542.8892881468946</c:v>
                </c:pt>
                <c:pt idx="1173">
                  <c:v>9561.2588761529041</c:v>
                </c:pt>
                <c:pt idx="1174">
                  <c:v>9579.6638247036353</c:v>
                </c:pt>
                <c:pt idx="1175">
                  <c:v>9598.1042018663957</c:v>
                </c:pt>
                <c:pt idx="1176">
                  <c:v>9616.5800758394926</c:v>
                </c:pt>
                <c:pt idx="1177">
                  <c:v>9635.0915149525263</c:v>
                </c:pt>
                <c:pt idx="1178">
                  <c:v>9653.6385876666263</c:v>
                </c:pt>
                <c:pt idx="1179">
                  <c:v>9672.2213625747027</c:v>
                </c:pt>
                <c:pt idx="1180">
                  <c:v>9690.8399084017074</c:v>
                </c:pt>
                <c:pt idx="1181">
                  <c:v>9709.4942940048841</c:v>
                </c:pt>
                <c:pt idx="1182">
                  <c:v>9728.1845883740261</c:v>
                </c:pt>
                <c:pt idx="1183">
                  <c:v>9746.910860631715</c:v>
                </c:pt>
                <c:pt idx="1184">
                  <c:v>9765.6731800336001</c:v>
                </c:pt>
                <c:pt idx="1185">
                  <c:v>9784.4716159686577</c:v>
                </c:pt>
                <c:pt idx="1186">
                  <c:v>9803.3062379594085</c:v>
                </c:pt>
                <c:pt idx="1187">
                  <c:v>9822.1771156622144</c:v>
                </c:pt>
                <c:pt idx="1188">
                  <c:v>9841.0843188675208</c:v>
                </c:pt>
                <c:pt idx="1189">
                  <c:v>9860.0279175001215</c:v>
                </c:pt>
                <c:pt idx="1190">
                  <c:v>9879.0079816193993</c:v>
                </c:pt>
                <c:pt idx="1191">
                  <c:v>9898.0245814196114</c:v>
                </c:pt>
                <c:pt idx="1192">
                  <c:v>9917.0777872301296</c:v>
                </c:pt>
                <c:pt idx="1193">
                  <c:v>9936.1676695156984</c:v>
                </c:pt>
                <c:pt idx="1194">
                  <c:v>9955.2942988767118</c:v>
                </c:pt>
                <c:pt idx="1195">
                  <c:v>9974.4577460494784</c:v>
                </c:pt>
                <c:pt idx="1196">
                  <c:v>9993.6580819064438</c:v>
                </c:pt>
                <c:pt idx="1197">
                  <c:v>10012.895377456498</c:v>
                </c:pt>
                <c:pt idx="1198">
                  <c:v>10032.169703845217</c:v>
                </c:pt>
                <c:pt idx="1199">
                  <c:v>10051.481132355122</c:v>
                </c:pt>
                <c:pt idx="1200">
                  <c:v>10070.829734405954</c:v>
                </c:pt>
                <c:pt idx="1201">
                  <c:v>10090.215581554938</c:v>
                </c:pt>
                <c:pt idx="1202">
                  <c:v>10109.638745497041</c:v>
                </c:pt>
                <c:pt idx="1203">
                  <c:v>10129.099298065226</c:v>
                </c:pt>
                <c:pt idx="1204">
                  <c:v>10148.597311230744</c:v>
                </c:pt>
                <c:pt idx="1205">
                  <c:v>10168.132857103394</c:v>
                </c:pt>
                <c:pt idx="1206">
                  <c:v>10187.706007931763</c:v>
                </c:pt>
                <c:pt idx="1207">
                  <c:v>10207.31683610353</c:v>
                </c:pt>
                <c:pt idx="1208">
                  <c:v>10226.965414145709</c:v>
                </c:pt>
                <c:pt idx="1209">
                  <c:v>10246.651814724921</c:v>
                </c:pt>
                <c:pt idx="1210">
                  <c:v>10266.376110647678</c:v>
                </c:pt>
                <c:pt idx="1211">
                  <c:v>10286.138374860629</c:v>
                </c:pt>
                <c:pt idx="1212">
                  <c:v>10305.938680450858</c:v>
                </c:pt>
                <c:pt idx="1213">
                  <c:v>10325.777100646112</c:v>
                </c:pt>
                <c:pt idx="1214">
                  <c:v>10345.653708815118</c:v>
                </c:pt>
                <c:pt idx="1215">
                  <c:v>10365.568578467841</c:v>
                </c:pt>
                <c:pt idx="1216">
                  <c:v>10385.521783255721</c:v>
                </c:pt>
                <c:pt idx="1217">
                  <c:v>10405.513396971997</c:v>
                </c:pt>
                <c:pt idx="1218">
                  <c:v>10425.54349355195</c:v>
                </c:pt>
                <c:pt idx="1219">
                  <c:v>10445.612147073178</c:v>
                </c:pt>
                <c:pt idx="1220">
                  <c:v>10465.719431755881</c:v>
                </c:pt>
                <c:pt idx="1221">
                  <c:v>10485.865421963124</c:v>
                </c:pt>
                <c:pt idx="1222">
                  <c:v>10506.050192201128</c:v>
                </c:pt>
                <c:pt idx="1223">
                  <c:v>10526.273817119514</c:v>
                </c:pt>
                <c:pt idx="1224">
                  <c:v>10546.536371511615</c:v>
                </c:pt>
                <c:pt idx="1225">
                  <c:v>10566.837930314745</c:v>
                </c:pt>
                <c:pt idx="1226">
                  <c:v>10587.178568610449</c:v>
                </c:pt>
                <c:pt idx="1227">
                  <c:v>10607.558361624811</c:v>
                </c:pt>
                <c:pt idx="1228">
                  <c:v>10627.977384728722</c:v>
                </c:pt>
                <c:pt idx="1229">
                  <c:v>10648.435713438153</c:v>
                </c:pt>
                <c:pt idx="1230">
                  <c:v>10668.933423414448</c:v>
                </c:pt>
                <c:pt idx="1231">
                  <c:v>10689.470590464585</c:v>
                </c:pt>
                <c:pt idx="1232">
                  <c:v>10710.047290541483</c:v>
                </c:pt>
                <c:pt idx="1233">
                  <c:v>10730.663599744237</c:v>
                </c:pt>
                <c:pt idx="1234">
                  <c:v>10751.319594318455</c:v>
                </c:pt>
                <c:pt idx="1235">
                  <c:v>10772.015350656517</c:v>
                </c:pt>
                <c:pt idx="1236">
                  <c:v>10792.75094529783</c:v>
                </c:pt>
                <c:pt idx="1237">
                  <c:v>10813.526454929157</c:v>
                </c:pt>
                <c:pt idx="1238">
                  <c:v>10834.341956384869</c:v>
                </c:pt>
                <c:pt idx="1239">
                  <c:v>10855.19752664724</c:v>
                </c:pt>
                <c:pt idx="1240">
                  <c:v>10876.093242846737</c:v>
                </c:pt>
                <c:pt idx="1241">
                  <c:v>10897.029182262297</c:v>
                </c:pt>
                <c:pt idx="1242">
                  <c:v>10918.005422321612</c:v>
                </c:pt>
                <c:pt idx="1243">
                  <c:v>10939.022040601416</c:v>
                </c:pt>
                <c:pt idx="1244">
                  <c:v>10960.079114827775</c:v>
                </c:pt>
                <c:pt idx="1245">
                  <c:v>10981.176722876393</c:v>
                </c:pt>
                <c:pt idx="1246">
                  <c:v>11002.314942772849</c:v>
                </c:pt>
                <c:pt idx="1247">
                  <c:v>11023.493852692942</c:v>
                </c:pt>
                <c:pt idx="1248">
                  <c:v>11044.713530962945</c:v>
                </c:pt>
                <c:pt idx="1249">
                  <c:v>11065.974056059906</c:v>
                </c:pt>
                <c:pt idx="1250">
                  <c:v>11087.275506611941</c:v>
                </c:pt>
                <c:pt idx="1251">
                  <c:v>11108.617961398513</c:v>
                </c:pt>
                <c:pt idx="1252">
                  <c:v>11130.001499350748</c:v>
                </c:pt>
                <c:pt idx="1253">
                  <c:v>11151.426199551692</c:v>
                </c:pt>
                <c:pt idx="1254">
                  <c:v>11172.892141236622</c:v>
                </c:pt>
                <c:pt idx="1255">
                  <c:v>11194.399403793368</c:v>
                </c:pt>
                <c:pt idx="1256">
                  <c:v>11215.948066762538</c:v>
                </c:pt>
                <c:pt idx="1257">
                  <c:v>11237.538209837876</c:v>
                </c:pt>
                <c:pt idx="1258">
                  <c:v>11259.169912866528</c:v>
                </c:pt>
                <c:pt idx="1259">
                  <c:v>11280.843255849337</c:v>
                </c:pt>
                <c:pt idx="1260">
                  <c:v>11302.55831894115</c:v>
                </c:pt>
                <c:pt idx="1261">
                  <c:v>11324.315182451106</c:v>
                </c:pt>
                <c:pt idx="1262">
                  <c:v>11346.113926842936</c:v>
                </c:pt>
                <c:pt idx="1263">
                  <c:v>11367.954632735251</c:v>
                </c:pt>
                <c:pt idx="1264">
                  <c:v>11389.837380901852</c:v>
                </c:pt>
                <c:pt idx="1265">
                  <c:v>11411.762252272048</c:v>
                </c:pt>
                <c:pt idx="1266">
                  <c:v>11433.729327930898</c:v>
                </c:pt>
                <c:pt idx="1267">
                  <c:v>11455.738689119566</c:v>
                </c:pt>
                <c:pt idx="1268">
                  <c:v>11477.790417235597</c:v>
                </c:pt>
                <c:pt idx="1269">
                  <c:v>11499.884593833223</c:v>
                </c:pt>
                <c:pt idx="1270">
                  <c:v>11522.021300623665</c:v>
                </c:pt>
                <c:pt idx="1271">
                  <c:v>11544.20061947543</c:v>
                </c:pt>
                <c:pt idx="1272">
                  <c:v>11566.422632414628</c:v>
                </c:pt>
                <c:pt idx="1273">
                  <c:v>11588.68742162524</c:v>
                </c:pt>
                <c:pt idx="1274">
                  <c:v>11610.995069449471</c:v>
                </c:pt>
                <c:pt idx="1275">
                  <c:v>11633.345658388038</c:v>
                </c:pt>
                <c:pt idx="1276">
                  <c:v>11655.739271100438</c:v>
                </c:pt>
                <c:pt idx="1277">
                  <c:v>11678.175990405301</c:v>
                </c:pt>
                <c:pt idx="1278">
                  <c:v>11700.655899280684</c:v>
                </c:pt>
                <c:pt idx="1279">
                  <c:v>11723.17908086436</c:v>
                </c:pt>
                <c:pt idx="1280">
                  <c:v>11745.745618454146</c:v>
                </c:pt>
                <c:pt idx="1281">
                  <c:v>11768.355595508205</c:v>
                </c:pt>
                <c:pt idx="1282">
                  <c:v>11791.009095645337</c:v>
                </c:pt>
                <c:pt idx="1283">
                  <c:v>11813.706202645322</c:v>
                </c:pt>
                <c:pt idx="1284">
                  <c:v>11836.447000449209</c:v>
                </c:pt>
                <c:pt idx="1285">
                  <c:v>11859.231573159615</c:v>
                </c:pt>
                <c:pt idx="1286">
                  <c:v>11882.060005041081</c:v>
                </c:pt>
                <c:pt idx="1287">
                  <c:v>11904.932380520317</c:v>
                </c:pt>
                <c:pt idx="1288">
                  <c:v>11927.84878418657</c:v>
                </c:pt>
                <c:pt idx="1289">
                  <c:v>11950.809300791914</c:v>
                </c:pt>
                <c:pt idx="1290">
                  <c:v>11973.814015251568</c:v>
                </c:pt>
                <c:pt idx="1291">
                  <c:v>11996.863012644211</c:v>
                </c:pt>
                <c:pt idx="1292">
                  <c:v>12019.956378212282</c:v>
                </c:pt>
                <c:pt idx="1293">
                  <c:v>12043.094197362316</c:v>
                </c:pt>
                <c:pt idx="1294">
                  <c:v>12066.276555665252</c:v>
                </c:pt>
                <c:pt idx="1295">
                  <c:v>12089.503538856747</c:v>
                </c:pt>
                <c:pt idx="1296">
                  <c:v>12112.775232837505</c:v>
                </c:pt>
                <c:pt idx="1297">
                  <c:v>12136.091723673564</c:v>
                </c:pt>
                <c:pt idx="1298">
                  <c:v>12159.453097596648</c:v>
                </c:pt>
                <c:pt idx="1299">
                  <c:v>12182.859441004475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2E-CB44-BB91-0055E0FEF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77120"/>
        <c:axId val="405878656"/>
      </c:lineChart>
      <c:catAx>
        <c:axId val="405877120"/>
        <c:scaling>
          <c:orientation val="minMax"/>
        </c:scaling>
        <c:delete val="0"/>
        <c:axPos val="b"/>
        <c:majorTickMark val="out"/>
        <c:minorTickMark val="none"/>
        <c:tickLblPos val="nextTo"/>
        <c:crossAx val="405878656"/>
        <c:crosses val="autoZero"/>
        <c:auto val="1"/>
        <c:lblAlgn val="ctr"/>
        <c:lblOffset val="100"/>
        <c:noMultiLvlLbl val="0"/>
      </c:catAx>
      <c:valAx>
        <c:axId val="405878656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405877120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130" workbookViewId="0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635519</xdr:colOff>
      <xdr:row>4</xdr:row>
      <xdr:rowOff>73464</xdr:rowOff>
    </xdr:from>
    <xdr:to>
      <xdr:col>7</xdr:col>
      <xdr:colOff>403501</xdr:colOff>
      <xdr:row>24</xdr:row>
      <xdr:rowOff>127081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5519" y="1064064"/>
          <a:ext cx="4629542" cy="4016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Rick's Company</a:t>
          </a:r>
          <a:endParaRPr lang="en-US" sz="1600" b="1"/>
        </a:p>
        <a:p>
          <a:pPr algn="ctr"/>
          <a:endParaRPr lang="en-US" sz="1100" b="0"/>
        </a:p>
        <a:p>
          <a:pPr algn="ctr"/>
          <a:r>
            <a:rPr lang="en-US" sz="1100" b="0" i="1"/>
            <a:t>will pay</a:t>
          </a:r>
        </a:p>
        <a:p>
          <a:pPr algn="ctr"/>
          <a:endParaRPr lang="en-US" sz="1100" b="1" i="1"/>
        </a:p>
        <a:p>
          <a:pPr algn="ctr"/>
          <a:r>
            <a:rPr lang="en-US" sz="1800" b="1"/>
            <a:t>$1,000.00</a:t>
          </a:r>
          <a:endParaRPr lang="en-US" sz="1800" baseline="0"/>
        </a:p>
        <a:p>
          <a:pPr algn="ctr"/>
          <a:endParaRPr lang="en-US" sz="1100" baseline="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 baseline="0"/>
            <a:t>to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i="1" baseline="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the Bearer of this document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on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 baseline="0"/>
            <a:t>January 24, 2031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and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/>
            <a:t>6%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baseline="0"/>
            <a:t>of Face Value</a:t>
          </a:r>
          <a:endParaRPr lang="en-US" sz="1800" b="0" baseline="0"/>
        </a:p>
        <a:p>
          <a:pPr algn="l"/>
          <a:endParaRPr lang="en-US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each January 23 until (and including) </a:t>
          </a:r>
        </a:p>
        <a:p>
          <a:pPr algn="ctr"/>
          <a:endParaRPr lang="en-US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January 23, 2031</a:t>
          </a:r>
          <a:endParaRPr lang="en-US">
            <a:effectLst/>
          </a:endParaRPr>
        </a:p>
        <a:p>
          <a:pPr algn="ctr"/>
          <a:endParaRPr lang="en-US" sz="1100" i="1" baseline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492" cy="62835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opLeftCell="A13" zoomScale="175" zoomScaleNormal="175" zoomScalePageLayoutView="160" workbookViewId="0">
      <selection activeCell="L9" sqref="L9"/>
    </sheetView>
  </sheetViews>
  <sheetFormatPr defaultColWidth="8.75" defaultRowHeight="15.6"/>
  <cols>
    <col min="2" max="2" width="10.25" bestFit="1" customWidth="1"/>
  </cols>
  <sheetData>
    <row r="1" spans="1:4">
      <c r="A1" s="28" t="s">
        <v>0</v>
      </c>
      <c r="B1" s="30">
        <v>1000</v>
      </c>
    </row>
    <row r="2" spans="1:4">
      <c r="A2" s="28" t="s">
        <v>1</v>
      </c>
      <c r="B2" s="27">
        <v>0.06</v>
      </c>
      <c r="C2" s="28" t="s">
        <v>2</v>
      </c>
      <c r="D2" s="28"/>
    </row>
    <row r="3" spans="1:4">
      <c r="A3" s="28" t="s">
        <v>3</v>
      </c>
      <c r="B3" s="28">
        <v>5</v>
      </c>
      <c r="C3" s="28" t="s">
        <v>4</v>
      </c>
    </row>
    <row r="4" spans="1:4">
      <c r="B4" s="15"/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05EC-36CC-47C4-94DE-F7171A670833}">
  <dimension ref="A1:G19"/>
  <sheetViews>
    <sheetView tabSelected="1" topLeftCell="A7" zoomScale="145" zoomScaleNormal="145" zoomScalePageLayoutView="200" workbookViewId="0">
      <selection activeCell="B14" sqref="B14"/>
    </sheetView>
  </sheetViews>
  <sheetFormatPr defaultColWidth="11" defaultRowHeight="15.6"/>
  <cols>
    <col min="1" max="1" width="11.75" customWidth="1"/>
    <col min="2" max="2" width="11.25" customWidth="1"/>
  </cols>
  <sheetData>
    <row r="1" spans="1:7">
      <c r="A1" s="6" t="s">
        <v>0</v>
      </c>
      <c r="B1" s="18">
        <v>1000</v>
      </c>
    </row>
    <row r="2" spans="1:7">
      <c r="A2" s="6" t="s">
        <v>1</v>
      </c>
      <c r="B2" s="19">
        <v>0.06</v>
      </c>
    </row>
    <row r="3" spans="1:7">
      <c r="A3" s="6" t="s">
        <v>3</v>
      </c>
      <c r="B3" s="20">
        <v>5</v>
      </c>
    </row>
    <row r="5" spans="1:7">
      <c r="C5" s="32" t="s">
        <v>5</v>
      </c>
      <c r="D5" s="32"/>
      <c r="E5" s="32"/>
      <c r="F5" s="32"/>
      <c r="G5" s="32"/>
    </row>
    <row r="6" spans="1:7" ht="16.149999999999999" thickBot="1">
      <c r="C6" s="7">
        <v>1</v>
      </c>
      <c r="D6" s="7">
        <v>2</v>
      </c>
      <c r="E6" s="7">
        <v>3</v>
      </c>
      <c r="F6" s="7">
        <v>4</v>
      </c>
      <c r="G6" s="7">
        <v>5</v>
      </c>
    </row>
    <row r="7" spans="1:7">
      <c r="B7" t="s">
        <v>6</v>
      </c>
      <c r="C7" s="1">
        <f>$B$1*$B$2</f>
        <v>60</v>
      </c>
      <c r="D7" s="1">
        <f t="shared" ref="D7:G7" si="0">$B$1*$B$2</f>
        <v>60</v>
      </c>
      <c r="E7" s="1">
        <f t="shared" si="0"/>
        <v>60</v>
      </c>
      <c r="F7" s="1">
        <f t="shared" si="0"/>
        <v>60</v>
      </c>
      <c r="G7" s="1">
        <f t="shared" si="0"/>
        <v>60</v>
      </c>
    </row>
    <row r="8" spans="1:7">
      <c r="B8" t="s">
        <v>0</v>
      </c>
      <c r="G8" s="1">
        <f>B1</f>
        <v>1000</v>
      </c>
    </row>
    <row r="9" spans="1:7" ht="16.149999999999999" thickBot="1">
      <c r="B9" t="s">
        <v>7</v>
      </c>
      <c r="C9" s="8">
        <f>SUM(C7:C8)</f>
        <v>60</v>
      </c>
      <c r="D9" s="8">
        <f>SUM(D7:D8)</f>
        <v>60</v>
      </c>
      <c r="E9" s="8">
        <f>SUM(E7:E8)</f>
        <v>60</v>
      </c>
      <c r="F9" s="8">
        <f>SUM(F7:F8)</f>
        <v>60</v>
      </c>
      <c r="G9" s="8">
        <f>SUM(G7:G8)</f>
        <v>1060</v>
      </c>
    </row>
    <row r="10" spans="1:7" ht="16.149999999999999" thickTop="1">
      <c r="C10" s="1"/>
      <c r="D10" s="1"/>
      <c r="E10" s="1"/>
      <c r="F10" s="1"/>
      <c r="G10" s="1"/>
    </row>
    <row r="11" spans="1:7">
      <c r="A11" s="6" t="s">
        <v>8</v>
      </c>
      <c r="B11" s="18">
        <v>1100</v>
      </c>
      <c r="C11" s="1"/>
      <c r="D11" s="1"/>
      <c r="E11" s="1"/>
      <c r="F11" s="1"/>
      <c r="G11" s="1"/>
    </row>
    <row r="12" spans="1:7">
      <c r="C12" s="1"/>
      <c r="D12" s="1"/>
      <c r="E12" s="1"/>
      <c r="F12" s="1"/>
      <c r="G12" s="1"/>
    </row>
    <row r="13" spans="1:7">
      <c r="A13" s="6" t="s">
        <v>9</v>
      </c>
      <c r="B13" s="31">
        <v>3.7999999999999999E-2</v>
      </c>
      <c r="C13" s="1" t="s">
        <v>10</v>
      </c>
      <c r="D13" s="1"/>
      <c r="E13" s="1"/>
      <c r="F13" s="1"/>
      <c r="G13" s="1"/>
    </row>
    <row r="15" spans="1:7">
      <c r="A15" s="6" t="s">
        <v>11</v>
      </c>
      <c r="D15" s="4">
        <f>SUM(C19:G19)</f>
        <v>1098.49281172886</v>
      </c>
    </row>
    <row r="16" spans="1:7">
      <c r="A16" s="6"/>
      <c r="D16" s="4"/>
    </row>
    <row r="17" spans="2:7">
      <c r="C17" s="33" t="s">
        <v>12</v>
      </c>
      <c r="D17" s="33"/>
      <c r="E17" s="33"/>
      <c r="F17" s="33"/>
      <c r="G17" s="33"/>
    </row>
    <row r="18" spans="2:7" ht="16.149999999999999" thickBot="1">
      <c r="C18" s="7">
        <v>1</v>
      </c>
      <c r="D18" s="7">
        <v>2</v>
      </c>
      <c r="E18" s="7">
        <v>3</v>
      </c>
      <c r="F18" s="7">
        <v>4</v>
      </c>
      <c r="G18" s="7">
        <v>5</v>
      </c>
    </row>
    <row r="19" spans="2:7">
      <c r="B19" s="1"/>
      <c r="C19" s="5">
        <f>C9/(1+$B$13)^C6</f>
        <v>57.803468208092482</v>
      </c>
      <c r="D19" s="5">
        <f t="shared" ref="D19:G19" si="1">D9/(1+$B$13)^D6</f>
        <v>55.687348948065974</v>
      </c>
      <c r="E19" s="5">
        <f t="shared" si="1"/>
        <v>53.648698408541399</v>
      </c>
      <c r="F19" s="5">
        <f t="shared" si="1"/>
        <v>51.684680547727744</v>
      </c>
      <c r="G19" s="5">
        <f>G9/(1+$B$13)^G6</f>
        <v>879.66861561643236</v>
      </c>
    </row>
  </sheetData>
  <mergeCells count="2">
    <mergeCell ref="C5:G5"/>
    <mergeCell ref="C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7318-B7FA-4645-AEB2-68E22AB6F052}">
  <dimension ref="A1:G22"/>
  <sheetViews>
    <sheetView zoomScale="200" zoomScaleNormal="200" zoomScalePageLayoutView="200" workbookViewId="0">
      <selection activeCell="D14" sqref="D14"/>
    </sheetView>
  </sheetViews>
  <sheetFormatPr defaultColWidth="11" defaultRowHeight="15.6"/>
  <cols>
    <col min="1" max="1" width="11.75" customWidth="1"/>
    <col min="2" max="2" width="14.75" bestFit="1" customWidth="1"/>
  </cols>
  <sheetData>
    <row r="1" spans="1:7">
      <c r="A1" s="6" t="s">
        <v>13</v>
      </c>
      <c r="B1" s="9">
        <v>1000</v>
      </c>
    </row>
    <row r="2" spans="1:7">
      <c r="A2" s="6" t="s">
        <v>14</v>
      </c>
      <c r="B2" s="10">
        <v>0.06</v>
      </c>
    </row>
    <row r="3" spans="1:7">
      <c r="A3" s="6" t="s">
        <v>3</v>
      </c>
      <c r="B3" s="11">
        <v>5</v>
      </c>
    </row>
    <row r="6" spans="1:7">
      <c r="C6" s="32" t="s">
        <v>5</v>
      </c>
      <c r="D6" s="32"/>
      <c r="E6" s="32"/>
      <c r="F6" s="32"/>
      <c r="G6" s="32"/>
    </row>
    <row r="7" spans="1:7" ht="16.149999999999999" thickBot="1">
      <c r="C7" s="7">
        <v>1</v>
      </c>
      <c r="D7" s="7">
        <v>2</v>
      </c>
      <c r="E7" s="7">
        <v>3</v>
      </c>
      <c r="F7" s="7">
        <v>4</v>
      </c>
      <c r="G7" s="7">
        <v>5</v>
      </c>
    </row>
    <row r="8" spans="1:7">
      <c r="B8" t="s">
        <v>6</v>
      </c>
      <c r="C8" s="1">
        <f>Coupon_Rate*Face_Value</f>
        <v>60</v>
      </c>
      <c r="D8" s="1">
        <f>Coupon_Rate*Face_Value</f>
        <v>60</v>
      </c>
      <c r="E8" s="1">
        <f>Coupon_Rate*Face_Value</f>
        <v>60</v>
      </c>
      <c r="F8" s="1">
        <f>Coupon_Rate*Face_Value</f>
        <v>60</v>
      </c>
      <c r="G8" s="1">
        <f>Coupon_Rate*Face_Value</f>
        <v>60</v>
      </c>
    </row>
    <row r="9" spans="1:7">
      <c r="B9" t="s">
        <v>0</v>
      </c>
      <c r="G9" s="1">
        <f>Face_Value</f>
        <v>1000</v>
      </c>
    </row>
    <row r="10" spans="1:7" ht="16.149999999999999" thickBot="1">
      <c r="B10" t="s">
        <v>15</v>
      </c>
      <c r="C10" s="13">
        <f>SUM(C8:C9)</f>
        <v>60</v>
      </c>
      <c r="D10" s="13">
        <f>SUM(D8:D9)</f>
        <v>60</v>
      </c>
      <c r="E10" s="13">
        <f>SUM(E8:E9)</f>
        <v>60</v>
      </c>
      <c r="F10" s="13">
        <f>SUM(F8:F9)</f>
        <v>60</v>
      </c>
      <c r="G10" s="13">
        <f>SUM(G8:G9)</f>
        <v>1060</v>
      </c>
    </row>
    <row r="11" spans="1:7" ht="16.149999999999999" thickTop="1">
      <c r="C11" s="1"/>
      <c r="D11" s="1"/>
      <c r="E11" s="1"/>
      <c r="F11" s="1"/>
      <c r="G11" s="1"/>
    </row>
    <row r="12" spans="1:7">
      <c r="A12" s="6" t="s">
        <v>8</v>
      </c>
      <c r="B12" s="9">
        <v>1100</v>
      </c>
      <c r="C12" s="1"/>
      <c r="D12" s="1"/>
      <c r="E12" s="1"/>
      <c r="F12" s="1"/>
      <c r="G12" s="1"/>
    </row>
    <row r="13" spans="1:7">
      <c r="C13" s="1"/>
      <c r="D13" s="1"/>
      <c r="E13" s="1"/>
      <c r="F13" s="1"/>
      <c r="G13" s="1"/>
    </row>
    <row r="14" spans="1:7">
      <c r="C14" s="1"/>
      <c r="D14" s="1"/>
      <c r="E14" s="1"/>
      <c r="F14" s="1"/>
      <c r="G14" s="1"/>
    </row>
    <row r="15" spans="1:7">
      <c r="C15" s="1"/>
      <c r="D15" s="1"/>
      <c r="E15" s="1"/>
      <c r="F15" s="1"/>
      <c r="G15" s="1"/>
    </row>
    <row r="16" spans="1:7">
      <c r="C16" s="1"/>
      <c r="D16" s="1"/>
      <c r="E16" s="1"/>
      <c r="F16" s="1"/>
      <c r="G16" s="1"/>
    </row>
    <row r="17" spans="1:7">
      <c r="A17" t="s">
        <v>16</v>
      </c>
      <c r="B17" s="12">
        <v>3.768328651685391E-2</v>
      </c>
      <c r="C17" s="1"/>
      <c r="D17" s="1"/>
      <c r="E17" s="1"/>
      <c r="F17" s="1"/>
      <c r="G17" s="1"/>
    </row>
    <row r="19" spans="1:7">
      <c r="A19" t="s">
        <v>11</v>
      </c>
    </row>
    <row r="20" spans="1:7">
      <c r="C20" s="33" t="s">
        <v>12</v>
      </c>
      <c r="D20" s="33"/>
      <c r="E20" s="33"/>
      <c r="F20" s="33"/>
      <c r="G20" s="33"/>
    </row>
    <row r="21" spans="1:7" ht="16.149999999999999" thickBot="1">
      <c r="C21" s="7">
        <v>1</v>
      </c>
      <c r="D21" s="7">
        <v>2</v>
      </c>
      <c r="E21" s="7">
        <v>3</v>
      </c>
      <c r="F21" s="7">
        <v>4</v>
      </c>
      <c r="G21" s="7">
        <v>5</v>
      </c>
    </row>
    <row r="22" spans="1:7">
      <c r="B22" s="1">
        <f>ROUND(SUM(C22:G22),2)</f>
        <v>1100</v>
      </c>
      <c r="C22" s="5">
        <f>Total_Cash_Flows/(1+Yield_Rate)^End_of_Period</f>
        <v>57.821110525350534</v>
      </c>
      <c r="D22" s="5">
        <f>Total_Cash_Flows/(1+Yield_Rate)^End_of_Period</f>
        <v>55.721347039746703</v>
      </c>
      <c r="E22" s="5">
        <f>Total_Cash_Flows/(1+Yield_Rate)^End_of_Period</f>
        <v>53.697836096776804</v>
      </c>
      <c r="F22" s="5">
        <f>Total_Cash_Flows/(1+Yield_Rate)^End_of_Period</f>
        <v>51.747808598731481</v>
      </c>
      <c r="G22" s="5">
        <f>Total_Cash_Flows/(1+Yield_Rate)^End_of_Period</f>
        <v>881.01186279384842</v>
      </c>
    </row>
  </sheetData>
  <mergeCells count="2">
    <mergeCell ref="C6:G6"/>
    <mergeCell ref="C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3"/>
  <sheetViews>
    <sheetView zoomScale="145" zoomScaleNormal="145" zoomScalePageLayoutView="200" workbookViewId="0"/>
  </sheetViews>
  <sheetFormatPr defaultColWidth="11" defaultRowHeight="15.6"/>
  <cols>
    <col min="1" max="1" width="12.25" bestFit="1" customWidth="1"/>
  </cols>
  <sheetData>
    <row r="1" spans="1:77">
      <c r="A1" s="6" t="s">
        <v>17</v>
      </c>
      <c r="B1" s="28">
        <v>100</v>
      </c>
    </row>
    <row r="2" spans="1:77">
      <c r="A2" s="6" t="s">
        <v>18</v>
      </c>
      <c r="B2" s="27">
        <v>0</v>
      </c>
    </row>
    <row r="3" spans="1:77">
      <c r="A3" s="6" t="s">
        <v>19</v>
      </c>
      <c r="B3" s="27">
        <v>0</v>
      </c>
    </row>
    <row r="4" spans="1:77">
      <c r="A4" s="6"/>
    </row>
    <row r="5" spans="1:77">
      <c r="A5" s="20" t="s">
        <v>20</v>
      </c>
    </row>
    <row r="6" spans="1:77" s="17" customFormat="1" ht="16.149999999999999" thickBot="1">
      <c r="B6" s="17">
        <v>0</v>
      </c>
      <c r="C6" s="17">
        <v>1</v>
      </c>
      <c r="D6" s="17">
        <v>2</v>
      </c>
      <c r="E6" s="17">
        <v>3</v>
      </c>
      <c r="F6" s="17">
        <v>4</v>
      </c>
      <c r="G6" s="17">
        <v>5</v>
      </c>
      <c r="H6" s="17">
        <v>6</v>
      </c>
      <c r="I6" s="17">
        <v>7</v>
      </c>
      <c r="J6" s="17">
        <v>8</v>
      </c>
      <c r="K6" s="17">
        <v>9</v>
      </c>
      <c r="L6" s="17">
        <v>10</v>
      </c>
      <c r="M6" s="17">
        <v>11</v>
      </c>
      <c r="N6" s="17">
        <v>12</v>
      </c>
      <c r="O6" s="17">
        <v>13</v>
      </c>
      <c r="P6" s="17">
        <v>14</v>
      </c>
      <c r="Q6" s="17">
        <v>15</v>
      </c>
      <c r="R6" s="17">
        <v>16</v>
      </c>
      <c r="S6" s="17">
        <v>17</v>
      </c>
      <c r="T6" s="17">
        <v>18</v>
      </c>
      <c r="U6" s="17">
        <v>19</v>
      </c>
      <c r="V6" s="17">
        <v>20</v>
      </c>
      <c r="W6" s="17">
        <v>21</v>
      </c>
      <c r="X6" s="17">
        <v>22</v>
      </c>
      <c r="Y6" s="17">
        <v>23</v>
      </c>
      <c r="Z6" s="17">
        <v>24</v>
      </c>
      <c r="AA6" s="17">
        <v>25</v>
      </c>
    </row>
    <row r="7" spans="1:77">
      <c r="A7" s="6" t="s">
        <v>21</v>
      </c>
      <c r="C7" s="5">
        <f>B1</f>
        <v>100</v>
      </c>
      <c r="D7" s="5">
        <f t="shared" ref="D7:M7" si="0">C7+C7*$B$2</f>
        <v>100</v>
      </c>
      <c r="E7" s="5">
        <f t="shared" si="0"/>
        <v>100</v>
      </c>
      <c r="F7" s="5">
        <f t="shared" si="0"/>
        <v>100</v>
      </c>
      <c r="G7" s="5">
        <f t="shared" si="0"/>
        <v>100</v>
      </c>
      <c r="H7" s="5">
        <f t="shared" si="0"/>
        <v>100</v>
      </c>
      <c r="I7" s="5">
        <f t="shared" si="0"/>
        <v>100</v>
      </c>
      <c r="J7" s="5">
        <f t="shared" si="0"/>
        <v>100</v>
      </c>
      <c r="K7" s="5">
        <f t="shared" si="0"/>
        <v>100</v>
      </c>
      <c r="L7" s="5">
        <f t="shared" si="0"/>
        <v>100</v>
      </c>
      <c r="M7" s="5">
        <f t="shared" si="0"/>
        <v>100</v>
      </c>
      <c r="N7" s="5">
        <f t="shared" ref="N7" si="1">M7+M7*$B$2</f>
        <v>100</v>
      </c>
      <c r="O7" s="5">
        <f t="shared" ref="O7" si="2">N7+N7*$B$2</f>
        <v>100</v>
      </c>
      <c r="P7" s="5">
        <f t="shared" ref="P7" si="3">O7+O7*$B$2</f>
        <v>100</v>
      </c>
      <c r="Q7" s="5">
        <f t="shared" ref="Q7" si="4">P7+P7*$B$2</f>
        <v>100</v>
      </c>
      <c r="R7" s="5">
        <f t="shared" ref="R7" si="5">Q7+Q7*$B$2</f>
        <v>100</v>
      </c>
      <c r="S7" s="5">
        <f t="shared" ref="S7" si="6">R7+R7*$B$2</f>
        <v>100</v>
      </c>
      <c r="T7" s="5">
        <f t="shared" ref="T7" si="7">S7+S7*$B$2</f>
        <v>100</v>
      </c>
      <c r="U7" s="5">
        <f t="shared" ref="U7" si="8">T7+T7*$B$2</f>
        <v>100</v>
      </c>
      <c r="V7" s="5">
        <f t="shared" ref="V7" si="9">U7+U7*$B$2</f>
        <v>100</v>
      </c>
      <c r="W7" s="5">
        <f t="shared" ref="W7" si="10">V7+V7*$B$2</f>
        <v>100</v>
      </c>
      <c r="X7" s="5">
        <f t="shared" ref="X7" si="11">W7+W7*$B$2</f>
        <v>100</v>
      </c>
      <c r="Y7" s="5">
        <f t="shared" ref="Y7" si="12">X7+X7*$B$2</f>
        <v>100</v>
      </c>
      <c r="Z7" s="5">
        <f t="shared" ref="Z7" si="13">Y7+Y7*$B$2</f>
        <v>100</v>
      </c>
      <c r="AA7" s="5">
        <f t="shared" ref="AA7" si="14">Z7+Z7*$B$2</f>
        <v>100</v>
      </c>
    </row>
    <row r="8" spans="1:77">
      <c r="A8" s="6" t="s">
        <v>22</v>
      </c>
      <c r="B8" s="29">
        <f>SUM(C8:AA8)</f>
        <v>2500</v>
      </c>
      <c r="C8" s="5">
        <f t="shared" ref="C8:M8" si="15">C7/(1+$B$3)^C6</f>
        <v>100</v>
      </c>
      <c r="D8" s="5">
        <f t="shared" si="15"/>
        <v>100</v>
      </c>
      <c r="E8" s="5">
        <f t="shared" si="15"/>
        <v>100</v>
      </c>
      <c r="F8" s="5">
        <f t="shared" si="15"/>
        <v>100</v>
      </c>
      <c r="G8" s="5">
        <f t="shared" si="15"/>
        <v>100</v>
      </c>
      <c r="H8" s="5">
        <f t="shared" si="15"/>
        <v>100</v>
      </c>
      <c r="I8" s="5">
        <f t="shared" si="15"/>
        <v>100</v>
      </c>
      <c r="J8" s="5">
        <f t="shared" si="15"/>
        <v>100</v>
      </c>
      <c r="K8" s="5">
        <f t="shared" si="15"/>
        <v>100</v>
      </c>
      <c r="L8" s="5">
        <f t="shared" si="15"/>
        <v>100</v>
      </c>
      <c r="M8" s="5">
        <f t="shared" si="15"/>
        <v>100</v>
      </c>
      <c r="N8" s="5">
        <f t="shared" ref="N8:AA8" si="16">N7/(1+$B$3)^N6</f>
        <v>100</v>
      </c>
      <c r="O8" s="5">
        <f t="shared" si="16"/>
        <v>100</v>
      </c>
      <c r="P8" s="5">
        <f t="shared" si="16"/>
        <v>100</v>
      </c>
      <c r="Q8" s="5">
        <f t="shared" si="16"/>
        <v>100</v>
      </c>
      <c r="R8" s="5">
        <f t="shared" si="16"/>
        <v>100</v>
      </c>
      <c r="S8" s="5">
        <f t="shared" si="16"/>
        <v>100</v>
      </c>
      <c r="T8" s="5">
        <f t="shared" si="16"/>
        <v>100</v>
      </c>
      <c r="U8" s="5">
        <f t="shared" si="16"/>
        <v>100</v>
      </c>
      <c r="V8" s="5">
        <f t="shared" si="16"/>
        <v>100</v>
      </c>
      <c r="W8" s="5">
        <f t="shared" si="16"/>
        <v>100</v>
      </c>
      <c r="X8" s="5">
        <f t="shared" si="16"/>
        <v>100</v>
      </c>
      <c r="Y8" s="5">
        <f t="shared" si="16"/>
        <v>100</v>
      </c>
      <c r="Z8" s="5">
        <f t="shared" si="16"/>
        <v>100</v>
      </c>
      <c r="AA8" s="5">
        <f t="shared" si="16"/>
        <v>100</v>
      </c>
    </row>
    <row r="10" spans="1:77">
      <c r="A10" s="20" t="s">
        <v>23</v>
      </c>
    </row>
    <row r="11" spans="1:77" s="17" customFormat="1" ht="16.149999999999999" thickBot="1">
      <c r="B11" s="17">
        <v>0</v>
      </c>
      <c r="C11" s="17">
        <v>1</v>
      </c>
      <c r="D11" s="17">
        <v>2</v>
      </c>
      <c r="E11" s="17">
        <v>3</v>
      </c>
      <c r="F11" s="17">
        <v>4</v>
      </c>
      <c r="G11" s="17">
        <v>5</v>
      </c>
      <c r="H11" s="17">
        <v>6</v>
      </c>
      <c r="I11" s="17">
        <v>7</v>
      </c>
      <c r="J11" s="17">
        <v>8</v>
      </c>
      <c r="K11" s="17">
        <v>9</v>
      </c>
      <c r="L11" s="17">
        <v>10</v>
      </c>
      <c r="M11" s="17">
        <v>11</v>
      </c>
      <c r="N11" s="17">
        <v>12</v>
      </c>
      <c r="O11" s="17">
        <v>13</v>
      </c>
      <c r="P11" s="17">
        <v>14</v>
      </c>
      <c r="Q11" s="17">
        <v>15</v>
      </c>
      <c r="R11" s="17">
        <v>16</v>
      </c>
      <c r="S11" s="17">
        <v>17</v>
      </c>
      <c r="T11" s="17">
        <v>18</v>
      </c>
      <c r="U11" s="17">
        <v>19</v>
      </c>
      <c r="V11" s="17">
        <v>20</v>
      </c>
      <c r="W11" s="17">
        <v>21</v>
      </c>
      <c r="X11" s="17">
        <v>22</v>
      </c>
      <c r="Y11" s="17">
        <v>23</v>
      </c>
      <c r="Z11" s="17">
        <v>24</v>
      </c>
      <c r="AA11" s="17">
        <v>25</v>
      </c>
      <c r="AB11" s="17">
        <v>26</v>
      </c>
      <c r="AC11" s="17">
        <v>27</v>
      </c>
      <c r="AD11" s="17">
        <v>28</v>
      </c>
      <c r="AE11" s="17">
        <v>29</v>
      </c>
      <c r="AF11" s="17">
        <v>30</v>
      </c>
      <c r="AG11" s="17">
        <v>31</v>
      </c>
      <c r="AH11" s="17">
        <v>32</v>
      </c>
      <c r="AI11" s="17">
        <v>33</v>
      </c>
      <c r="AJ11" s="17">
        <v>34</v>
      </c>
      <c r="AK11" s="17">
        <v>35</v>
      </c>
      <c r="AL11" s="17">
        <v>36</v>
      </c>
      <c r="AM11" s="17">
        <v>37</v>
      </c>
      <c r="AN11" s="17">
        <v>38</v>
      </c>
      <c r="AO11" s="17">
        <v>39</v>
      </c>
      <c r="AP11" s="17">
        <v>40</v>
      </c>
      <c r="AQ11" s="17">
        <v>41</v>
      </c>
      <c r="AR11" s="17">
        <v>42</v>
      </c>
      <c r="AS11" s="17">
        <v>43</v>
      </c>
      <c r="AT11" s="17">
        <v>44</v>
      </c>
      <c r="AU11" s="17">
        <v>45</v>
      </c>
      <c r="AV11" s="17">
        <v>46</v>
      </c>
      <c r="AW11" s="17">
        <v>47</v>
      </c>
      <c r="AX11" s="17">
        <v>48</v>
      </c>
      <c r="AY11" s="17">
        <v>49</v>
      </c>
      <c r="AZ11" s="17">
        <v>50</v>
      </c>
      <c r="BA11" s="17">
        <v>51</v>
      </c>
      <c r="BB11" s="17">
        <v>52</v>
      </c>
      <c r="BC11" s="17">
        <v>53</v>
      </c>
      <c r="BD11" s="17">
        <v>54</v>
      </c>
      <c r="BE11" s="17">
        <v>55</v>
      </c>
      <c r="BF11" s="17">
        <v>56</v>
      </c>
      <c r="BG11" s="17">
        <v>57</v>
      </c>
      <c r="BH11" s="17">
        <v>58</v>
      </c>
      <c r="BI11" s="17">
        <v>59</v>
      </c>
      <c r="BJ11" s="17">
        <v>60</v>
      </c>
      <c r="BK11" s="17">
        <v>61</v>
      </c>
      <c r="BL11" s="17">
        <v>62</v>
      </c>
      <c r="BM11" s="17">
        <v>63</v>
      </c>
      <c r="BN11" s="17">
        <v>64</v>
      </c>
      <c r="BO11" s="17">
        <v>65</v>
      </c>
      <c r="BP11" s="17">
        <v>66</v>
      </c>
      <c r="BQ11" s="17">
        <v>67</v>
      </c>
      <c r="BR11" s="17">
        <v>68</v>
      </c>
      <c r="BS11" s="17">
        <v>69</v>
      </c>
      <c r="BT11" s="17">
        <v>70</v>
      </c>
      <c r="BU11" s="17">
        <v>71</v>
      </c>
      <c r="BV11" s="17">
        <v>72</v>
      </c>
      <c r="BW11" s="17">
        <v>73</v>
      </c>
      <c r="BX11" s="17">
        <v>74</v>
      </c>
      <c r="BY11" s="17">
        <v>75</v>
      </c>
    </row>
    <row r="12" spans="1:77">
      <c r="B12" s="5"/>
      <c r="C12" s="5">
        <f>B1</f>
        <v>100</v>
      </c>
      <c r="D12" s="5">
        <f>C12*(1+$B$2)</f>
        <v>100</v>
      </c>
      <c r="E12" s="5">
        <f>D12*(1+$B$2)</f>
        <v>100</v>
      </c>
      <c r="F12" s="5">
        <f t="shared" ref="F12:O12" si="17">E12*(1+$B$2)</f>
        <v>100</v>
      </c>
      <c r="G12" s="5">
        <f t="shared" si="17"/>
        <v>100</v>
      </c>
      <c r="H12" s="5">
        <f t="shared" si="17"/>
        <v>100</v>
      </c>
      <c r="I12" s="5">
        <f t="shared" si="17"/>
        <v>100</v>
      </c>
      <c r="J12" s="5">
        <f t="shared" si="17"/>
        <v>100</v>
      </c>
      <c r="K12" s="5">
        <f t="shared" si="17"/>
        <v>100</v>
      </c>
      <c r="L12" s="5">
        <f t="shared" si="17"/>
        <v>100</v>
      </c>
      <c r="M12" s="5">
        <f t="shared" si="17"/>
        <v>100</v>
      </c>
      <c r="N12" s="5">
        <f t="shared" si="17"/>
        <v>100</v>
      </c>
      <c r="O12" s="5">
        <f t="shared" si="17"/>
        <v>100</v>
      </c>
      <c r="P12" s="5">
        <f t="shared" ref="P12:BU12" si="18">O12*(1+$B$2)</f>
        <v>100</v>
      </c>
      <c r="Q12" s="5">
        <f t="shared" si="18"/>
        <v>100</v>
      </c>
      <c r="R12" s="5">
        <f t="shared" si="18"/>
        <v>100</v>
      </c>
      <c r="S12" s="5">
        <f t="shared" si="18"/>
        <v>100</v>
      </c>
      <c r="T12" s="5">
        <f t="shared" si="18"/>
        <v>100</v>
      </c>
      <c r="U12" s="5">
        <f t="shared" si="18"/>
        <v>100</v>
      </c>
      <c r="V12" s="5">
        <f t="shared" si="18"/>
        <v>100</v>
      </c>
      <c r="W12" s="5">
        <f t="shared" si="18"/>
        <v>100</v>
      </c>
      <c r="X12" s="5">
        <f t="shared" si="18"/>
        <v>100</v>
      </c>
      <c r="Y12" s="5">
        <f t="shared" si="18"/>
        <v>100</v>
      </c>
      <c r="Z12" s="5">
        <f t="shared" si="18"/>
        <v>100</v>
      </c>
      <c r="AA12" s="5">
        <f t="shared" si="18"/>
        <v>100</v>
      </c>
      <c r="AB12" s="5">
        <f t="shared" si="18"/>
        <v>100</v>
      </c>
      <c r="AC12" s="5">
        <f t="shared" si="18"/>
        <v>100</v>
      </c>
      <c r="AD12" s="5">
        <f t="shared" si="18"/>
        <v>100</v>
      </c>
      <c r="AE12" s="5">
        <f t="shared" si="18"/>
        <v>100</v>
      </c>
      <c r="AF12" s="5">
        <f t="shared" si="18"/>
        <v>100</v>
      </c>
      <c r="AG12" s="5">
        <f t="shared" si="18"/>
        <v>100</v>
      </c>
      <c r="AH12" s="5">
        <f t="shared" si="18"/>
        <v>100</v>
      </c>
      <c r="AI12" s="5">
        <f t="shared" si="18"/>
        <v>100</v>
      </c>
      <c r="AJ12" s="5">
        <f t="shared" si="18"/>
        <v>100</v>
      </c>
      <c r="AK12" s="5">
        <f t="shared" si="18"/>
        <v>100</v>
      </c>
      <c r="AL12" s="5">
        <f t="shared" si="18"/>
        <v>100</v>
      </c>
      <c r="AM12" s="5">
        <f t="shared" si="18"/>
        <v>100</v>
      </c>
      <c r="AN12" s="5">
        <f t="shared" si="18"/>
        <v>100</v>
      </c>
      <c r="AO12" s="5">
        <f t="shared" si="18"/>
        <v>100</v>
      </c>
      <c r="AP12" s="5">
        <f t="shared" si="18"/>
        <v>100</v>
      </c>
      <c r="AQ12" s="5">
        <f t="shared" si="18"/>
        <v>100</v>
      </c>
      <c r="AR12" s="5">
        <f t="shared" si="18"/>
        <v>100</v>
      </c>
      <c r="AS12" s="5">
        <f t="shared" si="18"/>
        <v>100</v>
      </c>
      <c r="AT12" s="5">
        <f t="shared" si="18"/>
        <v>100</v>
      </c>
      <c r="AU12" s="5">
        <f t="shared" si="18"/>
        <v>100</v>
      </c>
      <c r="AV12" s="5">
        <f t="shared" si="18"/>
        <v>100</v>
      </c>
      <c r="AW12" s="5">
        <f t="shared" si="18"/>
        <v>100</v>
      </c>
      <c r="AX12" s="5">
        <f t="shared" si="18"/>
        <v>100</v>
      </c>
      <c r="AY12" s="5">
        <f t="shared" si="18"/>
        <v>100</v>
      </c>
      <c r="AZ12" s="5">
        <f t="shared" si="18"/>
        <v>100</v>
      </c>
      <c r="BA12" s="5">
        <f t="shared" si="18"/>
        <v>100</v>
      </c>
      <c r="BB12" s="5">
        <f t="shared" si="18"/>
        <v>100</v>
      </c>
      <c r="BC12" s="5">
        <f t="shared" si="18"/>
        <v>100</v>
      </c>
      <c r="BD12" s="5">
        <f t="shared" si="18"/>
        <v>100</v>
      </c>
      <c r="BE12" s="5">
        <f t="shared" si="18"/>
        <v>100</v>
      </c>
      <c r="BF12" s="5">
        <f t="shared" si="18"/>
        <v>100</v>
      </c>
      <c r="BG12" s="5">
        <f t="shared" si="18"/>
        <v>100</v>
      </c>
      <c r="BH12" s="5">
        <f t="shared" si="18"/>
        <v>100</v>
      </c>
      <c r="BI12" s="5">
        <f t="shared" si="18"/>
        <v>100</v>
      </c>
      <c r="BJ12" s="5">
        <f t="shared" si="18"/>
        <v>100</v>
      </c>
      <c r="BK12" s="5">
        <f t="shared" si="18"/>
        <v>100</v>
      </c>
      <c r="BL12" s="5">
        <f t="shared" si="18"/>
        <v>100</v>
      </c>
      <c r="BM12" s="5">
        <f t="shared" si="18"/>
        <v>100</v>
      </c>
      <c r="BN12" s="5">
        <f t="shared" si="18"/>
        <v>100</v>
      </c>
      <c r="BO12" s="5">
        <f t="shared" si="18"/>
        <v>100</v>
      </c>
      <c r="BP12" s="5">
        <f t="shared" si="18"/>
        <v>100</v>
      </c>
      <c r="BQ12" s="5">
        <f t="shared" si="18"/>
        <v>100</v>
      </c>
      <c r="BR12" s="5">
        <f t="shared" si="18"/>
        <v>100</v>
      </c>
      <c r="BS12" s="5">
        <f t="shared" si="18"/>
        <v>100</v>
      </c>
      <c r="BT12" s="5">
        <f t="shared" si="18"/>
        <v>100</v>
      </c>
      <c r="BU12" s="5">
        <f t="shared" si="18"/>
        <v>100</v>
      </c>
      <c r="BV12" s="5">
        <f t="shared" ref="BV12" si="19">BU12*(1+$B$2)</f>
        <v>100</v>
      </c>
      <c r="BW12" s="5">
        <f t="shared" ref="BW12" si="20">BV12*(1+$B$2)</f>
        <v>100</v>
      </c>
      <c r="BX12" s="5">
        <f t="shared" ref="BX12:BY12" si="21">BW12*(1+$B$2)</f>
        <v>100</v>
      </c>
      <c r="BY12" s="5">
        <f t="shared" si="21"/>
        <v>100</v>
      </c>
    </row>
    <row r="13" spans="1:77">
      <c r="A13" s="6" t="s">
        <v>22</v>
      </c>
      <c r="B13" s="29">
        <f>SUM(C13:BY13)</f>
        <v>7500</v>
      </c>
      <c r="C13" s="5">
        <f>C12/(1+$B$3)^C11</f>
        <v>100</v>
      </c>
      <c r="D13" s="5">
        <f>D12/(1+$B$3)^D11</f>
        <v>100</v>
      </c>
      <c r="E13" s="5">
        <f t="shared" ref="E13:BP13" si="22">E12/(1+$B$3)^E11</f>
        <v>100</v>
      </c>
      <c r="F13" s="5">
        <f t="shared" si="22"/>
        <v>100</v>
      </c>
      <c r="G13" s="5">
        <f t="shared" si="22"/>
        <v>100</v>
      </c>
      <c r="H13" s="5">
        <f t="shared" si="22"/>
        <v>100</v>
      </c>
      <c r="I13" s="5">
        <f t="shared" si="22"/>
        <v>100</v>
      </c>
      <c r="J13" s="5">
        <f t="shared" si="22"/>
        <v>100</v>
      </c>
      <c r="K13" s="5">
        <f t="shared" si="22"/>
        <v>100</v>
      </c>
      <c r="L13" s="5">
        <f t="shared" si="22"/>
        <v>100</v>
      </c>
      <c r="M13" s="5">
        <f t="shared" si="22"/>
        <v>100</v>
      </c>
      <c r="N13" s="5">
        <f t="shared" si="22"/>
        <v>100</v>
      </c>
      <c r="O13" s="5">
        <f t="shared" si="22"/>
        <v>100</v>
      </c>
      <c r="P13" s="5">
        <f t="shared" si="22"/>
        <v>100</v>
      </c>
      <c r="Q13" s="5">
        <f t="shared" si="22"/>
        <v>100</v>
      </c>
      <c r="R13" s="5">
        <f t="shared" si="22"/>
        <v>100</v>
      </c>
      <c r="S13" s="5">
        <f t="shared" si="22"/>
        <v>100</v>
      </c>
      <c r="T13" s="5">
        <f t="shared" si="22"/>
        <v>100</v>
      </c>
      <c r="U13" s="5">
        <f t="shared" si="22"/>
        <v>100</v>
      </c>
      <c r="V13" s="5">
        <f t="shared" si="22"/>
        <v>100</v>
      </c>
      <c r="W13" s="5">
        <f t="shared" si="22"/>
        <v>100</v>
      </c>
      <c r="X13" s="5">
        <f t="shared" si="22"/>
        <v>100</v>
      </c>
      <c r="Y13" s="5">
        <f t="shared" si="22"/>
        <v>100</v>
      </c>
      <c r="Z13" s="5">
        <f t="shared" si="22"/>
        <v>100</v>
      </c>
      <c r="AA13" s="5">
        <f t="shared" si="22"/>
        <v>100</v>
      </c>
      <c r="AB13" s="5">
        <f t="shared" si="22"/>
        <v>100</v>
      </c>
      <c r="AC13" s="5">
        <f t="shared" si="22"/>
        <v>100</v>
      </c>
      <c r="AD13" s="5">
        <f t="shared" si="22"/>
        <v>100</v>
      </c>
      <c r="AE13" s="5">
        <f t="shared" si="22"/>
        <v>100</v>
      </c>
      <c r="AF13" s="5">
        <f t="shared" si="22"/>
        <v>100</v>
      </c>
      <c r="AG13" s="5">
        <f t="shared" si="22"/>
        <v>100</v>
      </c>
      <c r="AH13" s="5">
        <f t="shared" si="22"/>
        <v>100</v>
      </c>
      <c r="AI13" s="5">
        <f t="shared" si="22"/>
        <v>100</v>
      </c>
      <c r="AJ13" s="5">
        <f t="shared" si="22"/>
        <v>100</v>
      </c>
      <c r="AK13" s="5">
        <f t="shared" si="22"/>
        <v>100</v>
      </c>
      <c r="AL13" s="5">
        <f t="shared" si="22"/>
        <v>100</v>
      </c>
      <c r="AM13" s="5">
        <f t="shared" si="22"/>
        <v>100</v>
      </c>
      <c r="AN13" s="5">
        <f t="shared" si="22"/>
        <v>100</v>
      </c>
      <c r="AO13" s="5">
        <f t="shared" si="22"/>
        <v>100</v>
      </c>
      <c r="AP13" s="5">
        <f t="shared" si="22"/>
        <v>100</v>
      </c>
      <c r="AQ13" s="5">
        <f t="shared" si="22"/>
        <v>100</v>
      </c>
      <c r="AR13" s="5">
        <f t="shared" si="22"/>
        <v>100</v>
      </c>
      <c r="AS13" s="5">
        <f t="shared" si="22"/>
        <v>100</v>
      </c>
      <c r="AT13" s="5">
        <f t="shared" si="22"/>
        <v>100</v>
      </c>
      <c r="AU13" s="5">
        <f t="shared" si="22"/>
        <v>100</v>
      </c>
      <c r="AV13" s="5">
        <f t="shared" si="22"/>
        <v>100</v>
      </c>
      <c r="AW13" s="5">
        <f t="shared" si="22"/>
        <v>100</v>
      </c>
      <c r="AX13" s="5">
        <f t="shared" si="22"/>
        <v>100</v>
      </c>
      <c r="AY13" s="5">
        <f t="shared" si="22"/>
        <v>100</v>
      </c>
      <c r="AZ13" s="5">
        <f t="shared" si="22"/>
        <v>100</v>
      </c>
      <c r="BA13" s="5">
        <f t="shared" si="22"/>
        <v>100</v>
      </c>
      <c r="BB13" s="5">
        <f t="shared" si="22"/>
        <v>100</v>
      </c>
      <c r="BC13" s="5">
        <f t="shared" si="22"/>
        <v>100</v>
      </c>
      <c r="BD13" s="5">
        <f t="shared" si="22"/>
        <v>100</v>
      </c>
      <c r="BE13" s="5">
        <f t="shared" si="22"/>
        <v>100</v>
      </c>
      <c r="BF13" s="5">
        <f t="shared" si="22"/>
        <v>100</v>
      </c>
      <c r="BG13" s="5">
        <f t="shared" si="22"/>
        <v>100</v>
      </c>
      <c r="BH13" s="5">
        <f t="shared" si="22"/>
        <v>100</v>
      </c>
      <c r="BI13" s="5">
        <f t="shared" si="22"/>
        <v>100</v>
      </c>
      <c r="BJ13" s="5">
        <f t="shared" si="22"/>
        <v>100</v>
      </c>
      <c r="BK13" s="5">
        <f t="shared" si="22"/>
        <v>100</v>
      </c>
      <c r="BL13" s="5">
        <f t="shared" si="22"/>
        <v>100</v>
      </c>
      <c r="BM13" s="5">
        <f t="shared" si="22"/>
        <v>100</v>
      </c>
      <c r="BN13" s="5">
        <f t="shared" si="22"/>
        <v>100</v>
      </c>
      <c r="BO13" s="5">
        <f t="shared" si="22"/>
        <v>100</v>
      </c>
      <c r="BP13" s="5">
        <f t="shared" si="22"/>
        <v>100</v>
      </c>
      <c r="BQ13" s="5">
        <f t="shared" ref="BQ13:BU13" si="23">BQ12/(1+$B$3)^BQ11</f>
        <v>100</v>
      </c>
      <c r="BR13" s="5">
        <f t="shared" si="23"/>
        <v>100</v>
      </c>
      <c r="BS13" s="5">
        <f t="shared" si="23"/>
        <v>100</v>
      </c>
      <c r="BT13" s="5">
        <f t="shared" si="23"/>
        <v>100</v>
      </c>
      <c r="BU13" s="5">
        <f t="shared" si="23"/>
        <v>100</v>
      </c>
      <c r="BV13" s="5">
        <f t="shared" ref="BV13:BY13" si="24">BV12/(1+$B$3)^BV11</f>
        <v>100</v>
      </c>
      <c r="BW13" s="5">
        <f t="shared" si="24"/>
        <v>100</v>
      </c>
      <c r="BX13" s="5">
        <f t="shared" si="24"/>
        <v>100</v>
      </c>
      <c r="BY13" s="5">
        <f t="shared" si="24"/>
        <v>100</v>
      </c>
    </row>
  </sheetData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zoomScale="164" zoomScaleNormal="150" zoomScalePageLayoutView="150" workbookViewId="0">
      <selection activeCell="C18" sqref="C18"/>
    </sheetView>
  </sheetViews>
  <sheetFormatPr defaultColWidth="11" defaultRowHeight="15.6"/>
  <cols>
    <col min="1" max="1" width="11.75" bestFit="1" customWidth="1"/>
    <col min="2" max="2" width="12" bestFit="1" customWidth="1"/>
    <col min="4" max="4" width="12.25" bestFit="1" customWidth="1"/>
    <col min="5" max="5" width="16.25" bestFit="1" customWidth="1"/>
    <col min="7" max="7" width="11.25" bestFit="1" customWidth="1"/>
  </cols>
  <sheetData>
    <row r="1" spans="1:7">
      <c r="A1" s="6" t="s">
        <v>17</v>
      </c>
      <c r="B1" s="26">
        <v>1</v>
      </c>
    </row>
    <row r="2" spans="1:7">
      <c r="A2" s="6" t="s">
        <v>24</v>
      </c>
      <c r="B2" s="27">
        <v>0.08</v>
      </c>
    </row>
    <row r="3" spans="1:7">
      <c r="A3" s="6" t="s">
        <v>25</v>
      </c>
      <c r="B3" s="28">
        <v>3</v>
      </c>
      <c r="C3" s="32" t="s">
        <v>26</v>
      </c>
      <c r="D3" s="32"/>
    </row>
    <row r="4" spans="1:7">
      <c r="C4" s="21" t="s">
        <v>27</v>
      </c>
      <c r="D4" s="21" t="s">
        <v>28</v>
      </c>
      <c r="E4" s="21" t="s">
        <v>17</v>
      </c>
    </row>
    <row r="5" spans="1:7">
      <c r="A5">
        <v>1</v>
      </c>
      <c r="B5" s="28" t="s">
        <v>29</v>
      </c>
      <c r="C5" s="22">
        <f>((1+$B$2/A5)^A5)</f>
        <v>1.08</v>
      </c>
      <c r="D5" s="23">
        <f>(1+$B$2/A5)^(A5*$B$3)</f>
        <v>1.2597120000000002</v>
      </c>
      <c r="E5" s="22">
        <f>$B$1*D5</f>
        <v>1.2597120000000002</v>
      </c>
    </row>
    <row r="6" spans="1:7">
      <c r="A6">
        <v>2</v>
      </c>
      <c r="B6" s="28" t="s">
        <v>30</v>
      </c>
      <c r="C6" s="16">
        <f>((1+$B$2/A6)^A6)</f>
        <v>1.0816000000000001</v>
      </c>
      <c r="D6" s="23">
        <f t="shared" ref="D6:D9" si="0">(1+$B$2/A6)^(A6*$B$3)</f>
        <v>1.2653190184960004</v>
      </c>
      <c r="E6" s="22">
        <f t="shared" ref="E6:E10" si="1">$B$1*D6</f>
        <v>1.2653190184960004</v>
      </c>
    </row>
    <row r="7" spans="1:7">
      <c r="A7">
        <v>12</v>
      </c>
      <c r="B7" s="28" t="s">
        <v>31</v>
      </c>
      <c r="C7" s="16">
        <f>((1+$B$2/A7)^A7)</f>
        <v>1.08299950680751</v>
      </c>
      <c r="D7" s="23">
        <f t="shared" si="0"/>
        <v>1.2702370516206511</v>
      </c>
      <c r="E7" s="22">
        <f t="shared" si="1"/>
        <v>1.2702370516206511</v>
      </c>
    </row>
    <row r="8" spans="1:7">
      <c r="A8">
        <v>52</v>
      </c>
      <c r="B8" s="28" t="s">
        <v>32</v>
      </c>
      <c r="C8" s="16">
        <f>((1+$B$2/A8)^A8)</f>
        <v>1.0832204741967113</v>
      </c>
      <c r="D8" s="23">
        <f t="shared" si="0"/>
        <v>1.2710147202212601</v>
      </c>
      <c r="E8" s="22">
        <f t="shared" si="1"/>
        <v>1.2710147202212601</v>
      </c>
    </row>
    <row r="9" spans="1:7">
      <c r="A9">
        <v>365</v>
      </c>
      <c r="B9" s="28" t="s">
        <v>33</v>
      </c>
      <c r="C9" s="16">
        <f>((1+$B$2/A9)^A9)</f>
        <v>1.083277571792814</v>
      </c>
      <c r="D9" s="23">
        <f t="shared" si="0"/>
        <v>1.2712157200516716</v>
      </c>
      <c r="E9" s="22">
        <f t="shared" si="1"/>
        <v>1.2712157200516716</v>
      </c>
    </row>
    <row r="10" spans="1:7">
      <c r="B10" s="28" t="s">
        <v>34</v>
      </c>
      <c r="C10" s="16">
        <f>EXP(B2)</f>
        <v>1.0832870676749586</v>
      </c>
      <c r="D10" s="16">
        <f>EXP(B2*B3)</f>
        <v>1.2712491503214047</v>
      </c>
      <c r="E10" s="22">
        <f t="shared" si="1"/>
        <v>1.2712491503214047</v>
      </c>
    </row>
    <row r="13" spans="1:7">
      <c r="B13" t="s">
        <v>35</v>
      </c>
      <c r="G13" s="14" t="s">
        <v>36</v>
      </c>
    </row>
    <row r="14" spans="1:7">
      <c r="D14" t="s">
        <v>29</v>
      </c>
      <c r="E14" s="24">
        <f>D5*1000000000</f>
        <v>1259712000.0000002</v>
      </c>
      <c r="G14" s="24">
        <f>E14-E14</f>
        <v>0</v>
      </c>
    </row>
    <row r="15" spans="1:7">
      <c r="D15" t="s">
        <v>30</v>
      </c>
      <c r="E15" s="24">
        <f t="shared" ref="E15:E18" si="2">D6*1000000000</f>
        <v>1265319018.4960003</v>
      </c>
      <c r="G15" s="24">
        <f>E15-$E$14</f>
        <v>5607018.4960000515</v>
      </c>
    </row>
    <row r="16" spans="1:7">
      <c r="D16" t="s">
        <v>31</v>
      </c>
      <c r="E16" s="24">
        <f t="shared" si="2"/>
        <v>1270237051.6206512</v>
      </c>
      <c r="G16" s="24">
        <f>E16-$E$14</f>
        <v>10525051.620651007</v>
      </c>
    </row>
    <row r="17" spans="3:7">
      <c r="D17" t="s">
        <v>32</v>
      </c>
      <c r="E17" s="24">
        <f t="shared" si="2"/>
        <v>1271014720.2212601</v>
      </c>
      <c r="G17" s="24">
        <f>E17-$E$14</f>
        <v>11302720.221259832</v>
      </c>
    </row>
    <row r="18" spans="3:7">
      <c r="D18" t="s">
        <v>33</v>
      </c>
      <c r="E18" s="24">
        <f t="shared" si="2"/>
        <v>1271215720.0516715</v>
      </c>
      <c r="G18" s="24">
        <f>E18-$E$14</f>
        <v>11503720.051671267</v>
      </c>
    </row>
    <row r="19" spans="3:7">
      <c r="D19" t="s">
        <v>34</v>
      </c>
      <c r="E19" s="24">
        <f>D10*1000000000</f>
        <v>1271249150.3214047</v>
      </c>
      <c r="G19" s="25">
        <f>E19-E14</f>
        <v>11537150.321404457</v>
      </c>
    </row>
    <row r="23" spans="3:7">
      <c r="C23" s="14" t="s">
        <v>37</v>
      </c>
    </row>
    <row r="24" spans="3:7">
      <c r="C24">
        <f>1.0816^3</f>
        <v>1.2653190184959997</v>
      </c>
    </row>
    <row r="25" spans="3:7">
      <c r="C25">
        <f>1.08299951^3</f>
        <v>1.2702370628539503</v>
      </c>
    </row>
    <row r="26" spans="3:7">
      <c r="C26">
        <f>C8^3</f>
        <v>1.2710147202212598</v>
      </c>
    </row>
  </sheetData>
  <mergeCells count="1">
    <mergeCell ref="C3:D3"/>
  </mergeCells>
  <pageMargins left="0.75" right="0.75" top="1" bottom="1" header="0.5" footer="0.5"/>
  <pageSetup orientation="portrait" horizontalDpi="4294967292" verticalDpi="429496729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zoomScale="200" zoomScaleNormal="200" zoomScalePageLayoutView="200" workbookViewId="0">
      <selection activeCell="E20" sqref="E20"/>
    </sheetView>
  </sheetViews>
  <sheetFormatPr defaultColWidth="11" defaultRowHeight="15.6"/>
  <sheetData>
    <row r="1" spans="1:7">
      <c r="A1" t="s">
        <v>38</v>
      </c>
      <c r="B1" s="2">
        <v>0.06</v>
      </c>
      <c r="D1" t="s">
        <v>39</v>
      </c>
      <c r="E1" s="3">
        <v>3.7499999999999999E-2</v>
      </c>
    </row>
    <row r="2" spans="1:7">
      <c r="A2" t="s">
        <v>40</v>
      </c>
      <c r="B2" s="1">
        <v>1000</v>
      </c>
    </row>
    <row r="3" spans="1:7">
      <c r="A3" t="s">
        <v>41</v>
      </c>
      <c r="B3">
        <v>5</v>
      </c>
    </row>
    <row r="4" spans="1:7">
      <c r="C4">
        <v>1</v>
      </c>
      <c r="D4">
        <v>2</v>
      </c>
      <c r="E4">
        <v>3</v>
      </c>
      <c r="F4">
        <v>4</v>
      </c>
      <c r="G4">
        <v>5</v>
      </c>
    </row>
    <row r="5" spans="1:7">
      <c r="B5" t="s">
        <v>1</v>
      </c>
      <c r="C5" s="1">
        <f>B2*B1</f>
        <v>60</v>
      </c>
      <c r="D5" s="1">
        <f>C5</f>
        <v>60</v>
      </c>
      <c r="E5" s="1">
        <f t="shared" ref="E5:G5" si="0">D5</f>
        <v>60</v>
      </c>
      <c r="F5" s="1">
        <f t="shared" si="0"/>
        <v>60</v>
      </c>
      <c r="G5" s="1">
        <f t="shared" si="0"/>
        <v>60</v>
      </c>
    </row>
    <row r="6" spans="1:7">
      <c r="B6" t="s">
        <v>0</v>
      </c>
      <c r="G6" s="1">
        <v>1000</v>
      </c>
    </row>
    <row r="7" spans="1:7">
      <c r="C7" s="1">
        <f>SUM(C5:C6)</f>
        <v>60</v>
      </c>
      <c r="D7" s="1">
        <f t="shared" ref="D7:G7" si="1">SUM(D5:D6)</f>
        <v>60</v>
      </c>
      <c r="E7" s="1">
        <f t="shared" si="1"/>
        <v>60</v>
      </c>
      <c r="F7" s="1">
        <f t="shared" si="1"/>
        <v>60</v>
      </c>
      <c r="G7" s="1">
        <f t="shared" si="1"/>
        <v>1060</v>
      </c>
    </row>
    <row r="8" spans="1:7">
      <c r="A8" t="s">
        <v>22</v>
      </c>
      <c r="B8">
        <f>SUM(C8:G8)</f>
        <v>1100.873390709007</v>
      </c>
      <c r="C8">
        <f>C7/(1+$E$1)^C4</f>
        <v>57.831325301204814</v>
      </c>
      <c r="D8">
        <f t="shared" ref="D8:G8" si="2">D7/(1+$E$1)^D4</f>
        <v>55.741036434896202</v>
      </c>
      <c r="E8">
        <f t="shared" si="2"/>
        <v>53.726300178213201</v>
      </c>
      <c r="F8">
        <f t="shared" si="2"/>
        <v>51.784385713940424</v>
      </c>
      <c r="G8">
        <f t="shared" si="2"/>
        <v>881.79034308075245</v>
      </c>
    </row>
    <row r="10" spans="1:7">
      <c r="B10" s="1">
        <v>1100</v>
      </c>
    </row>
    <row r="12" spans="1:7">
      <c r="B12" s="1">
        <f>B8-B10</f>
        <v>0.87339070900702609</v>
      </c>
    </row>
    <row r="15" spans="1:7">
      <c r="C15" t="s">
        <v>0</v>
      </c>
      <c r="D15" s="1">
        <v>1000</v>
      </c>
    </row>
    <row r="17" spans="2:7">
      <c r="B17">
        <v>0</v>
      </c>
      <c r="D17" s="4">
        <f>D15/(1+C18)^2</f>
        <v>907.02947845804988</v>
      </c>
    </row>
    <row r="18" spans="2:7">
      <c r="B18">
        <v>1</v>
      </c>
      <c r="C18" s="2">
        <v>0.05</v>
      </c>
      <c r="D18" s="4">
        <f>D15/(1+C19)</f>
        <v>952.38095238095229</v>
      </c>
      <c r="E18" s="2">
        <v>0.05</v>
      </c>
      <c r="F18">
        <f>1000/(1+E19)</f>
        <v>990.09900990099004</v>
      </c>
      <c r="G18" s="2">
        <v>0.05</v>
      </c>
    </row>
    <row r="19" spans="2:7">
      <c r="B19">
        <v>2</v>
      </c>
      <c r="C19" s="2">
        <v>0.05</v>
      </c>
      <c r="D19" s="4">
        <v>1000</v>
      </c>
      <c r="E19" s="2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F9"/>
  <sheetViews>
    <sheetView workbookViewId="0">
      <selection activeCell="F10" sqref="F10"/>
    </sheetView>
  </sheetViews>
  <sheetFormatPr defaultColWidth="11" defaultRowHeight="15.6"/>
  <sheetData>
    <row r="3" spans="3:6">
      <c r="C3">
        <v>0.5</v>
      </c>
      <c r="D3">
        <v>1000</v>
      </c>
      <c r="E3" s="2">
        <v>0.1</v>
      </c>
      <c r="F3">
        <f>(D3/(1+E3)^2)*C3</f>
        <v>413.22314049586771</v>
      </c>
    </row>
    <row r="4" spans="3:6">
      <c r="C4">
        <v>0.5</v>
      </c>
      <c r="D4">
        <v>950</v>
      </c>
      <c r="E4" s="2">
        <v>0.1</v>
      </c>
      <c r="F4">
        <f>(D4/(1+E4)^2)*C4</f>
        <v>392.56198347107431</v>
      </c>
    </row>
    <row r="5" spans="3:6">
      <c r="F5">
        <f>SUM(F3:F4)</f>
        <v>805.78512396694202</v>
      </c>
    </row>
    <row r="9" spans="3:6">
      <c r="F9">
        <f>D4/(1+E4)^2</f>
        <v>785.12396694214863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63"/>
  <sheetViews>
    <sheetView topLeftCell="B1" workbookViewId="0">
      <selection activeCell="P15" sqref="P15"/>
    </sheetView>
  </sheetViews>
  <sheetFormatPr defaultColWidth="8.75" defaultRowHeight="15.6"/>
  <cols>
    <col min="1" max="1" width="10.75" bestFit="1" customWidth="1"/>
    <col min="2" max="2" width="17.75" bestFit="1" customWidth="1"/>
    <col min="3" max="3" width="13.25" customWidth="1"/>
    <col min="7" max="7" width="11.25" bestFit="1" customWidth="1"/>
    <col min="8" max="8" width="12" bestFit="1" customWidth="1"/>
    <col min="9" max="13" width="11.25" bestFit="1" customWidth="1"/>
  </cols>
  <sheetData>
    <row r="1" spans="1:13">
      <c r="B1" t="s">
        <v>42</v>
      </c>
      <c r="C1" s="2">
        <v>0.1</v>
      </c>
      <c r="F1" t="s">
        <v>43</v>
      </c>
      <c r="G1" t="s">
        <v>29</v>
      </c>
      <c r="H1" t="s">
        <v>44</v>
      </c>
      <c r="I1" t="s">
        <v>45</v>
      </c>
      <c r="J1" t="s">
        <v>31</v>
      </c>
      <c r="K1" t="s">
        <v>32</v>
      </c>
      <c r="L1" t="s">
        <v>33</v>
      </c>
      <c r="M1" t="s">
        <v>46</v>
      </c>
    </row>
    <row r="2" spans="1:13">
      <c r="B2" t="s">
        <v>17</v>
      </c>
      <c r="C2" s="5">
        <v>1000</v>
      </c>
      <c r="F2">
        <v>1</v>
      </c>
      <c r="G2" s="5">
        <f>$C$2*(1+$C$1)^(F2*0.019231)</f>
        <v>1001.8345908742408</v>
      </c>
      <c r="H2" s="5">
        <f>$C$2*(1+$C$1/$D$6)^(F2*$D$6*0.019231)</f>
        <v>1001.8783291485967</v>
      </c>
      <c r="I2" s="5">
        <f>$C$2*(1+$C$1/$D$7)^(F2*$D$7*0.019231)</f>
        <v>1001.9012596373842</v>
      </c>
      <c r="J2" s="5">
        <f>$C$2*(1+$C$1/$D$8)^(F2*$D$8*0.019231)</f>
        <v>1001.9169663584029</v>
      </c>
      <c r="K2" s="5">
        <f>$C$2*(1+$C$1/$D$9)^(F2*$D$9*0.019231)</f>
        <v>1001.9231000221753</v>
      </c>
      <c r="L2" s="5">
        <f>$C$2*(1+$C$1/$D$10)^(F2*$D$10*0.019231)</f>
        <v>1001.9246864455178</v>
      </c>
      <c r="M2" s="5">
        <f>$C$2*EXP($C$1*F2*0.019231)</f>
        <v>1001.9249503427463</v>
      </c>
    </row>
    <row r="3" spans="1:13">
      <c r="F3">
        <v>2</v>
      </c>
      <c r="G3" s="5">
        <f>$C$2*(1+$C$1)^(F3*0.019231/$D$5)</f>
        <v>1003.6725474721575</v>
      </c>
      <c r="H3" s="5">
        <f t="shared" ref="H3:H53" si="0">$C$2*(1+$C$1/$D$6)^(F3*$D$6*0.019231)</f>
        <v>1003.7601864175838</v>
      </c>
      <c r="I3" s="5">
        <f t="shared" ref="I3:I53" si="1">$C$2*(1+$C$1/$D$7)^(F3*$D$7*0.019231)</f>
        <v>1003.8061340629771</v>
      </c>
      <c r="J3" s="5">
        <f t="shared" ref="J3:J53" si="2">$C$2*(1+$C$1/$D$8)^(F3*$D$8*0.019231)</f>
        <v>1003.8376074768247</v>
      </c>
      <c r="K3" s="5">
        <f t="shared" ref="K3:K53" si="3">$C$2*(1+$C$1/$D$9)^(F3*$D$9*0.019231)</f>
        <v>1003.8498983580462</v>
      </c>
      <c r="L3" s="5">
        <f t="shared" ref="L3:L53" si="4">$C$2*(1+$C$1/$D$10)^(F3*$D$10*0.019231)</f>
        <v>1003.8530773089493</v>
      </c>
      <c r="M3" s="5">
        <f t="shared" ref="M3:M53" si="5">$C$2*EXP($C$1*F3*0.019231)</f>
        <v>1003.8536061193146</v>
      </c>
    </row>
    <row r="4" spans="1:13">
      <c r="B4" t="s">
        <v>47</v>
      </c>
      <c r="F4">
        <v>3</v>
      </c>
      <c r="G4" s="5">
        <f t="shared" ref="G4:G67" si="6">$C$2*(1+$C$1)^(F4*0.019231/$D$5)</f>
        <v>1005.5138759684759</v>
      </c>
      <c r="H4" s="5">
        <f t="shared" si="0"/>
        <v>1005.6455784339329</v>
      </c>
      <c r="I4" s="5">
        <f t="shared" si="1"/>
        <v>1005.7146301494297</v>
      </c>
      <c r="J4" s="5">
        <f t="shared" si="2"/>
        <v>1005.7619303996574</v>
      </c>
      <c r="K4" s="5">
        <f t="shared" si="3"/>
        <v>1005.7804021198393</v>
      </c>
      <c r="L4" s="5">
        <f t="shared" si="4"/>
        <v>1005.7851797201372</v>
      </c>
      <c r="M4" s="5">
        <f t="shared" si="5"/>
        <v>1005.7859744624811</v>
      </c>
    </row>
    <row r="5" spans="1:13">
      <c r="A5">
        <v>1</v>
      </c>
      <c r="B5" t="s">
        <v>29</v>
      </c>
      <c r="C5" t="s">
        <v>27</v>
      </c>
      <c r="D5">
        <v>1</v>
      </c>
      <c r="F5">
        <v>4</v>
      </c>
      <c r="G5" s="5">
        <f t="shared" si="6"/>
        <v>1007.3585825492502</v>
      </c>
      <c r="H5" s="5">
        <f t="shared" si="0"/>
        <v>1007.5345118370626</v>
      </c>
      <c r="I5" s="5">
        <f t="shared" si="1"/>
        <v>1007.6267547824596</v>
      </c>
      <c r="J5" s="5">
        <f t="shared" si="2"/>
        <v>1007.6899421847958</v>
      </c>
      <c r="K5" s="5">
        <f t="shared" si="3"/>
        <v>1007.7146184334596</v>
      </c>
      <c r="L5" s="5">
        <f t="shared" si="4"/>
        <v>1007.7210008226474</v>
      </c>
      <c r="M5" s="5">
        <f t="shared" si="5"/>
        <v>1007.722062518752</v>
      </c>
    </row>
    <row r="6" spans="1:13">
      <c r="A6">
        <v>2</v>
      </c>
      <c r="B6" t="s">
        <v>48</v>
      </c>
      <c r="C6" t="s">
        <v>49</v>
      </c>
      <c r="D6">
        <v>2</v>
      </c>
      <c r="F6">
        <v>5</v>
      </c>
      <c r="G6" s="5">
        <f t="shared" si="6"/>
        <v>1009.2066734118832</v>
      </c>
      <c r="H6" s="5">
        <f t="shared" si="0"/>
        <v>1009.4269932788635</v>
      </c>
      <c r="I6" s="5">
        <f t="shared" si="1"/>
        <v>1009.5425148608758</v>
      </c>
      <c r="J6" s="5">
        <f t="shared" si="2"/>
        <v>1009.621649903665</v>
      </c>
      <c r="K6" s="5">
        <f t="shared" si="3"/>
        <v>1009.6525544385153</v>
      </c>
      <c r="L6" s="5">
        <f t="shared" si="4"/>
        <v>1009.6605477737943</v>
      </c>
      <c r="M6" s="5">
        <f t="shared" si="5"/>
        <v>1009.6618774483903</v>
      </c>
    </row>
    <row r="7" spans="1:13">
      <c r="A7">
        <v>3</v>
      </c>
      <c r="B7" t="s">
        <v>45</v>
      </c>
      <c r="C7" t="s">
        <v>50</v>
      </c>
      <c r="D7">
        <v>4</v>
      </c>
      <c r="F7">
        <v>6</v>
      </c>
      <c r="G7" s="5">
        <f t="shared" si="6"/>
        <v>1011.0581547651474</v>
      </c>
      <c r="H7" s="5">
        <f t="shared" si="0"/>
        <v>1011.3230294237194</v>
      </c>
      <c r="I7" s="5">
        <f t="shared" si="1"/>
        <v>1011.4619172966042</v>
      </c>
      <c r="J7" s="5">
        <f t="shared" si="2"/>
        <v>1011.5570606412454</v>
      </c>
      <c r="K7" s="5">
        <f t="shared" si="3"/>
        <v>1011.5942172883455</v>
      </c>
      <c r="L7" s="5">
        <f t="shared" si="4"/>
        <v>1011.6038277446686</v>
      </c>
      <c r="M7" s="5">
        <f t="shared" si="5"/>
        <v>1011.6054264254426</v>
      </c>
    </row>
    <row r="8" spans="1:13">
      <c r="A8">
        <v>4</v>
      </c>
      <c r="B8" t="s">
        <v>31</v>
      </c>
      <c r="C8" t="s">
        <v>51</v>
      </c>
      <c r="D8">
        <v>12</v>
      </c>
      <c r="F8">
        <v>7</v>
      </c>
      <c r="G8" s="5">
        <f t="shared" si="6"/>
        <v>1012.9130328292064</v>
      </c>
      <c r="H8" s="5">
        <f t="shared" si="0"/>
        <v>1013.2226269485332</v>
      </c>
      <c r="I8" s="5">
        <f t="shared" si="1"/>
        <v>1013.3849690147114</v>
      </c>
      <c r="J8" s="5">
        <f t="shared" si="2"/>
        <v>1013.4961814960994</v>
      </c>
      <c r="K8" s="5">
        <f t="shared" si="3"/>
        <v>1013.5396141500453</v>
      </c>
      <c r="L8" s="5">
        <f t="shared" si="4"/>
        <v>1013.5508479201629</v>
      </c>
      <c r="M8" s="5">
        <f t="shared" si="5"/>
        <v>1013.5527166377642</v>
      </c>
    </row>
    <row r="9" spans="1:13">
      <c r="A9">
        <v>5</v>
      </c>
      <c r="B9" t="s">
        <v>32</v>
      </c>
      <c r="C9" t="s">
        <v>52</v>
      </c>
      <c r="D9">
        <v>52</v>
      </c>
      <c r="F9">
        <v>8</v>
      </c>
      <c r="G9" s="5">
        <f t="shared" si="6"/>
        <v>1014.7713138356343</v>
      </c>
      <c r="H9" s="5">
        <f t="shared" si="0"/>
        <v>1015.1257925427484</v>
      </c>
      <c r="I9" s="5">
        <f t="shared" si="1"/>
        <v>1015.3116769534309</v>
      </c>
      <c r="J9" s="5">
        <f t="shared" si="2"/>
        <v>1015.439019580397</v>
      </c>
      <c r="K9" s="5">
        <f t="shared" si="3"/>
        <v>1015.4887522044928</v>
      </c>
      <c r="L9" s="5">
        <f t="shared" si="4"/>
        <v>1015.501615498998</v>
      </c>
      <c r="M9" s="5">
        <f t="shared" si="5"/>
        <v>1015.5037552870474</v>
      </c>
    </row>
    <row r="10" spans="1:13">
      <c r="A10">
        <v>6</v>
      </c>
      <c r="B10" t="s">
        <v>33</v>
      </c>
      <c r="C10" t="s">
        <v>53</v>
      </c>
      <c r="D10">
        <v>365</v>
      </c>
      <c r="F10">
        <v>9</v>
      </c>
      <c r="G10" s="5">
        <f t="shared" si="6"/>
        <v>1016.6330040274385</v>
      </c>
      <c r="H10" s="5">
        <f t="shared" si="0"/>
        <v>1017.0325329083738</v>
      </c>
      <c r="I10" s="5">
        <f t="shared" si="1"/>
        <v>1017.2420480641873</v>
      </c>
      <c r="J10" s="5">
        <f t="shared" si="2"/>
        <v>1017.3855820199423</v>
      </c>
      <c r="K10" s="5">
        <f t="shared" si="3"/>
        <v>1017.4416386463761</v>
      </c>
      <c r="L10" s="5">
        <f t="shared" si="4"/>
        <v>1017.4561376937503</v>
      </c>
      <c r="M10" s="5">
        <f t="shared" si="5"/>
        <v>1017.4585495888473</v>
      </c>
    </row>
    <row r="11" spans="1:13">
      <c r="A11">
        <v>7</v>
      </c>
      <c r="B11" t="s">
        <v>46</v>
      </c>
      <c r="F11">
        <v>10</v>
      </c>
      <c r="G11" s="5">
        <f t="shared" si="6"/>
        <v>1018.4981096590793</v>
      </c>
      <c r="H11" s="5">
        <f t="shared" si="0"/>
        <v>1018.9428547600068</v>
      </c>
      <c r="I11" s="5">
        <f t="shared" si="1"/>
        <v>1019.1760893116217</v>
      </c>
      <c r="J11" s="5">
        <f t="shared" si="2"/>
        <v>1019.3358759541986</v>
      </c>
      <c r="K11" s="5">
        <f t="shared" si="3"/>
        <v>1019.3982806842192</v>
      </c>
      <c r="L11" s="5">
        <f t="shared" si="4"/>
        <v>1019.4144217308785</v>
      </c>
      <c r="M11" s="5">
        <f t="shared" si="5"/>
        <v>1019.4171067726086</v>
      </c>
    </row>
    <row r="12" spans="1:13">
      <c r="F12">
        <v>11</v>
      </c>
      <c r="G12" s="5">
        <f t="shared" si="6"/>
        <v>1020.3666369964913</v>
      </c>
      <c r="H12" s="5">
        <f t="shared" si="0"/>
        <v>1020.8567648248568</v>
      </c>
      <c r="I12" s="5">
        <f t="shared" si="1"/>
        <v>1021.1138076736171</v>
      </c>
      <c r="J12" s="5">
        <f t="shared" si="2"/>
        <v>1021.2899085363158</v>
      </c>
      <c r="K12" s="5">
        <f t="shared" si="3"/>
        <v>1021.3586855404084</v>
      </c>
      <c r="L12" s="5">
        <f t="shared" si="4"/>
        <v>1021.3764748507492</v>
      </c>
      <c r="M12" s="5">
        <f t="shared" si="5"/>
        <v>1021.379434081692</v>
      </c>
    </row>
    <row r="13" spans="1:13">
      <c r="F13">
        <v>12</v>
      </c>
      <c r="G13" s="5">
        <f t="shared" si="6"/>
        <v>1022.2385923171049</v>
      </c>
      <c r="H13" s="5">
        <f t="shared" si="0"/>
        <v>1022.7742698427695</v>
      </c>
      <c r="I13" s="5">
        <f t="shared" si="1"/>
        <v>1023.0552101413224</v>
      </c>
      <c r="J13" s="5">
        <f t="shared" si="2"/>
        <v>1023.2476869331562</v>
      </c>
      <c r="K13" s="5">
        <f t="shared" si="3"/>
        <v>1023.3228604512203</v>
      </c>
      <c r="L13" s="5">
        <f t="shared" si="4"/>
        <v>1023.3423043076652</v>
      </c>
      <c r="M13" s="5">
        <f t="shared" si="5"/>
        <v>1023.3455387734014</v>
      </c>
    </row>
    <row r="14" spans="1:13">
      <c r="F14">
        <v>13</v>
      </c>
      <c r="G14" s="5">
        <f t="shared" si="6"/>
        <v>1024.1139819098667</v>
      </c>
      <c r="H14" s="5">
        <f t="shared" si="0"/>
        <v>1024.6953765662499</v>
      </c>
      <c r="I14" s="5">
        <f t="shared" si="1"/>
        <v>1025.0003037191798</v>
      </c>
      <c r="J14" s="5">
        <f t="shared" si="2"/>
        <v>1025.2092183253205</v>
      </c>
      <c r="K14" s="5">
        <f t="shared" si="3"/>
        <v>1025.2908126668467</v>
      </c>
      <c r="L14" s="5">
        <f t="shared" si="4"/>
        <v>1025.3119173698913</v>
      </c>
      <c r="M14" s="5">
        <f t="shared" si="5"/>
        <v>1025.3154281190111</v>
      </c>
    </row>
    <row r="15" spans="1:13">
      <c r="F15">
        <v>14</v>
      </c>
      <c r="G15" s="5">
        <f t="shared" si="6"/>
        <v>1025.9928120752609</v>
      </c>
      <c r="H15" s="5">
        <f t="shared" si="0"/>
        <v>1026.6200917604865</v>
      </c>
      <c r="I15" s="5">
        <f t="shared" si="1"/>
        <v>1026.9490954249477</v>
      </c>
      <c r="J15" s="5">
        <f t="shared" si="2"/>
        <v>1027.1745099071745</v>
      </c>
      <c r="K15" s="5">
        <f t="shared" si="3"/>
        <v>1027.2625494514225</v>
      </c>
      <c r="L15" s="5">
        <f t="shared" si="4"/>
        <v>1027.2853213196811</v>
      </c>
      <c r="M15" s="5">
        <f t="shared" si="5"/>
        <v>1027.2891094037918</v>
      </c>
    </row>
    <row r="16" spans="1:13">
      <c r="F16">
        <v>15</v>
      </c>
      <c r="G16" s="5">
        <f t="shared" si="6"/>
        <v>1027.8750891253308</v>
      </c>
      <c r="H16" s="5">
        <f t="shared" si="0"/>
        <v>1028.5484222033751</v>
      </c>
      <c r="I16" s="5">
        <f t="shared" si="1"/>
        <v>1028.9015922897272</v>
      </c>
      <c r="J16" s="5">
        <f t="shared" si="2"/>
        <v>1029.1435688868755</v>
      </c>
      <c r="K16" s="5">
        <f t="shared" si="3"/>
        <v>1029.2380780830526</v>
      </c>
      <c r="L16" s="5">
        <f t="shared" si="4"/>
        <v>1029.2625234533045</v>
      </c>
      <c r="M16" s="5">
        <f t="shared" si="5"/>
        <v>1029.266589927038</v>
      </c>
    </row>
    <row r="17" spans="6:13">
      <c r="F17">
        <v>16</v>
      </c>
      <c r="G17" s="5">
        <f t="shared" si="6"/>
        <v>1029.7608193836995</v>
      </c>
      <c r="H17" s="5">
        <f t="shared" si="0"/>
        <v>1030.4803746855432</v>
      </c>
      <c r="I17" s="5">
        <f t="shared" si="1"/>
        <v>1030.8578013579879</v>
      </c>
      <c r="J17" s="5">
        <f t="shared" si="2"/>
        <v>1031.1164024863981</v>
      </c>
      <c r="K17" s="5">
        <f t="shared" si="3"/>
        <v>1031.2174058538376</v>
      </c>
      <c r="L17" s="5">
        <f t="shared" si="4"/>
        <v>1031.2435310810745</v>
      </c>
      <c r="M17" s="5">
        <f t="shared" si="5"/>
        <v>1031.2478770020957</v>
      </c>
    </row>
    <row r="18" spans="6:13">
      <c r="F18">
        <v>17</v>
      </c>
      <c r="G18" s="5">
        <f t="shared" si="6"/>
        <v>1031.6500091855917</v>
      </c>
      <c r="H18" s="5">
        <f t="shared" si="0"/>
        <v>1032.4159560103719</v>
      </c>
      <c r="I18" s="5">
        <f t="shared" si="1"/>
        <v>1032.8177296875924</v>
      </c>
      <c r="J18" s="5">
        <f t="shared" si="2"/>
        <v>1033.0930179415618</v>
      </c>
      <c r="K18" s="5">
        <f t="shared" si="3"/>
        <v>1033.2005400699029</v>
      </c>
      <c r="L18" s="5">
        <f t="shared" si="4"/>
        <v>1033.2283515273743</v>
      </c>
      <c r="M18" s="5">
        <f t="shared" si="5"/>
        <v>1033.2329779563872</v>
      </c>
    </row>
    <row r="19" spans="6:13">
      <c r="F19">
        <v>18</v>
      </c>
      <c r="G19" s="5">
        <f t="shared" si="6"/>
        <v>1033.5426648778539</v>
      </c>
      <c r="H19" s="5">
        <f t="shared" si="0"/>
        <v>1034.3551729940223</v>
      </c>
      <c r="I19" s="5">
        <f t="shared" si="1"/>
        <v>1034.7813843498225</v>
      </c>
      <c r="J19" s="5">
        <f t="shared" si="2"/>
        <v>1035.0734225020565</v>
      </c>
      <c r="K19" s="5">
        <f t="shared" si="3"/>
        <v>1035.1874880514229</v>
      </c>
      <c r="L19" s="5">
        <f t="shared" si="4"/>
        <v>1035.2169921306838</v>
      </c>
      <c r="M19" s="5">
        <f t="shared" si="5"/>
        <v>1035.2219001314409</v>
      </c>
    </row>
    <row r="20" spans="6:13">
      <c r="F20">
        <v>19</v>
      </c>
      <c r="G20" s="5">
        <f t="shared" si="6"/>
        <v>1035.4387928189772</v>
      </c>
      <c r="H20" s="5">
        <f t="shared" si="0"/>
        <v>1036.2980324654588</v>
      </c>
      <c r="I20" s="5">
        <f t="shared" si="1"/>
        <v>1036.7487724294031</v>
      </c>
      <c r="J20" s="5">
        <f t="shared" si="2"/>
        <v>1037.0576234314699</v>
      </c>
      <c r="K20" s="5">
        <f t="shared" si="3"/>
        <v>1037.1782571326505</v>
      </c>
      <c r="L20" s="5">
        <f t="shared" si="4"/>
        <v>1037.2094602436075</v>
      </c>
      <c r="M20" s="5">
        <f t="shared" si="5"/>
        <v>1037.2146508829173</v>
      </c>
    </row>
    <row r="21" spans="6:13">
      <c r="F21">
        <v>20</v>
      </c>
      <c r="G21" s="5">
        <f t="shared" si="6"/>
        <v>1037.3383993791178</v>
      </c>
      <c r="H21" s="5">
        <f t="shared" si="0"/>
        <v>1038.244541266472</v>
      </c>
      <c r="I21" s="5">
        <f t="shared" si="1"/>
        <v>1038.7199010245306</v>
      </c>
      <c r="J21" s="5">
        <f t="shared" si="2"/>
        <v>1039.0456280073133</v>
      </c>
      <c r="K21" s="5">
        <f t="shared" si="3"/>
        <v>1039.172854661942</v>
      </c>
      <c r="L21" s="5">
        <f t="shared" si="4"/>
        <v>1039.2057632329013</v>
      </c>
      <c r="M21" s="5">
        <f t="shared" si="5"/>
        <v>1039.211237580636</v>
      </c>
    </row>
    <row r="22" spans="6:13">
      <c r="F22">
        <v>21</v>
      </c>
      <c r="G22" s="5">
        <f t="shared" si="6"/>
        <v>1039.2414909401184</v>
      </c>
      <c r="H22" s="5">
        <f t="shared" si="0"/>
        <v>1040.1947062517042</v>
      </c>
      <c r="I22" s="5">
        <f t="shared" si="1"/>
        <v>1040.6947772468964</v>
      </c>
      <c r="J22" s="5">
        <f t="shared" si="2"/>
        <v>1041.0374435210488</v>
      </c>
      <c r="K22" s="5">
        <f t="shared" si="3"/>
        <v>1041.1712880017865</v>
      </c>
      <c r="L22" s="5">
        <f t="shared" si="4"/>
        <v>1041.2059084794998</v>
      </c>
      <c r="M22" s="5">
        <f t="shared" si="5"/>
        <v>1041.2116676086025</v>
      </c>
    </row>
    <row r="23" spans="6:13">
      <c r="F23">
        <v>22</v>
      </c>
      <c r="G23" s="5">
        <f t="shared" si="6"/>
        <v>1041.1480738955295</v>
      </c>
      <c r="H23" s="5">
        <f t="shared" si="0"/>
        <v>1042.1485342886729</v>
      </c>
      <c r="I23" s="5">
        <f t="shared" si="1"/>
        <v>1042.6734082217124</v>
      </c>
      <c r="J23" s="5">
        <f t="shared" si="2"/>
        <v>1043.0330772781163</v>
      </c>
      <c r="K23" s="5">
        <f t="shared" si="3"/>
        <v>1043.1735645288311</v>
      </c>
      <c r="L23" s="5">
        <f t="shared" si="4"/>
        <v>1043.2099033785435</v>
      </c>
      <c r="M23" s="5">
        <f t="shared" si="5"/>
        <v>1043.2159483650371</v>
      </c>
    </row>
    <row r="24" spans="6:13">
      <c r="F24">
        <v>23</v>
      </c>
      <c r="G24" s="5">
        <f t="shared" si="6"/>
        <v>1043.0581546506316</v>
      </c>
      <c r="H24" s="5">
        <f t="shared" si="0"/>
        <v>1044.1060322577946</v>
      </c>
      <c r="I24" s="5">
        <f t="shared" si="1"/>
        <v>1044.6558010877382</v>
      </c>
      <c r="J24" s="5">
        <f t="shared" si="2"/>
        <v>1045.0325365979597</v>
      </c>
      <c r="K24" s="5">
        <f t="shared" si="3"/>
        <v>1045.1796916339094</v>
      </c>
      <c r="L24" s="5">
        <f t="shared" si="4"/>
        <v>1045.217755339406</v>
      </c>
      <c r="M24" s="5">
        <f t="shared" si="5"/>
        <v>1045.2240872624009</v>
      </c>
    </row>
    <row r="25" spans="6:13">
      <c r="F25">
        <v>24</v>
      </c>
      <c r="G25" s="5">
        <f t="shared" si="6"/>
        <v>1044.971739622456</v>
      </c>
      <c r="H25" s="5">
        <f t="shared" si="0"/>
        <v>1046.0672070524101</v>
      </c>
      <c r="I25" s="5">
        <f t="shared" si="1"/>
        <v>1046.6419629973057</v>
      </c>
      <c r="J25" s="5">
        <f t="shared" si="2"/>
        <v>1047.0358288140544</v>
      </c>
      <c r="K25" s="5">
        <f t="shared" si="3"/>
        <v>1047.1896767220676</v>
      </c>
      <c r="L25" s="5">
        <f t="shared" si="4"/>
        <v>1047.2294717857224</v>
      </c>
      <c r="M25" s="5">
        <f t="shared" si="5"/>
        <v>1047.2360917274232</v>
      </c>
    </row>
    <row r="26" spans="6:13">
      <c r="F26">
        <v>25</v>
      </c>
      <c r="G26" s="5">
        <f t="shared" si="6"/>
        <v>1046.8888352398069</v>
      </c>
      <c r="H26" s="5">
        <f t="shared" si="0"/>
        <v>1048.0320655788078</v>
      </c>
      <c r="I26" s="5">
        <f t="shared" si="1"/>
        <v>1048.6319011163448</v>
      </c>
      <c r="J26" s="5">
        <f t="shared" si="2"/>
        <v>1049.0429612739331</v>
      </c>
      <c r="K26" s="5">
        <f t="shared" si="3"/>
        <v>1049.2035272125938</v>
      </c>
      <c r="L26" s="5">
        <f t="shared" si="4"/>
        <v>1049.2450601554151</v>
      </c>
      <c r="M26" s="5">
        <f t="shared" si="5"/>
        <v>1049.2519692011301</v>
      </c>
    </row>
    <row r="27" spans="6:13">
      <c r="F27">
        <v>26</v>
      </c>
      <c r="G27" s="5">
        <f t="shared" si="6"/>
        <v>1048.8094479432825</v>
      </c>
      <c r="H27" s="5">
        <f t="shared" si="0"/>
        <v>1050.0006147562485</v>
      </c>
      <c r="I27" s="5">
        <f t="shared" si="1"/>
        <v>1050.6256226244109</v>
      </c>
      <c r="J27" s="5">
        <f t="shared" si="2"/>
        <v>1051.0539413392146</v>
      </c>
      <c r="K27" s="5">
        <f t="shared" si="3"/>
        <v>1051.2212505390428</v>
      </c>
      <c r="L27" s="5">
        <f t="shared" si="4"/>
        <v>1051.2645279007229</v>
      </c>
      <c r="M27" s="5">
        <f t="shared" si="5"/>
        <v>1051.2717271388713</v>
      </c>
    </row>
    <row r="28" spans="6:13">
      <c r="F28">
        <v>27</v>
      </c>
      <c r="G28" s="5">
        <f t="shared" si="6"/>
        <v>1050.7335841852966</v>
      </c>
      <c r="H28" s="5">
        <f t="shared" si="0"/>
        <v>1051.9728615169897</v>
      </c>
      <c r="I28" s="5">
        <f t="shared" si="1"/>
        <v>1052.6231347147082</v>
      </c>
      <c r="J28" s="5">
        <f t="shared" si="2"/>
        <v>1053.0687763856286</v>
      </c>
      <c r="K28" s="5">
        <f t="shared" si="3"/>
        <v>1053.2428541492657</v>
      </c>
      <c r="L28" s="5">
        <f t="shared" si="4"/>
        <v>1053.2878824882271</v>
      </c>
      <c r="M28" s="5">
        <f t="shared" si="5"/>
        <v>1053.2953730103466</v>
      </c>
    </row>
    <row r="29" spans="6:13">
      <c r="F29">
        <v>28</v>
      </c>
      <c r="G29" s="5">
        <f t="shared" si="6"/>
        <v>1052.6612504301013</v>
      </c>
      <c r="H29" s="5">
        <f t="shared" si="0"/>
        <v>1053.9488128063097</v>
      </c>
      <c r="I29" s="5">
        <f t="shared" si="1"/>
        <v>1054.6244445941179</v>
      </c>
      <c r="J29" s="5">
        <f t="shared" si="2"/>
        <v>1055.0874738030443</v>
      </c>
      <c r="K29" s="5">
        <f t="shared" si="3"/>
        <v>1055.2683455054364</v>
      </c>
      <c r="L29" s="5">
        <f t="shared" si="4"/>
        <v>1055.3151313988803</v>
      </c>
      <c r="M29" s="5">
        <f t="shared" si="5"/>
        <v>1055.3229142996358</v>
      </c>
    </row>
    <row r="30" spans="6:13">
      <c r="F30">
        <v>29</v>
      </c>
      <c r="G30" s="5">
        <f t="shared" si="6"/>
        <v>1054.5924531538074</v>
      </c>
      <c r="H30" s="5">
        <f t="shared" si="0"/>
        <v>1055.9284755825327</v>
      </c>
      <c r="I30" s="5">
        <f t="shared" si="1"/>
        <v>1056.6295594832236</v>
      </c>
      <c r="J30" s="5">
        <f t="shared" si="2"/>
        <v>1057.1100409954968</v>
      </c>
      <c r="K30" s="5">
        <f t="shared" si="3"/>
        <v>1057.2977320840789</v>
      </c>
      <c r="L30" s="5">
        <f t="shared" si="4"/>
        <v>1057.3462821280336</v>
      </c>
      <c r="M30" s="5">
        <f t="shared" si="5"/>
        <v>1057.354358505225</v>
      </c>
    </row>
    <row r="31" spans="6:13">
      <c r="F31">
        <v>30</v>
      </c>
      <c r="G31" s="5">
        <f t="shared" si="6"/>
        <v>1056.5271988444065</v>
      </c>
      <c r="H31" s="5">
        <f t="shared" si="0"/>
        <v>1057.9118568170527</v>
      </c>
      <c r="I31" s="5">
        <f t="shared" si="1"/>
        <v>1058.6384866163362</v>
      </c>
      <c r="J31" s="5">
        <f t="shared" si="2"/>
        <v>1059.1364853812149</v>
      </c>
      <c r="K31" s="5">
        <f t="shared" si="3"/>
        <v>1059.3310213760956</v>
      </c>
      <c r="L31" s="5">
        <f t="shared" si="4"/>
        <v>1059.3813421854643</v>
      </c>
      <c r="M31" s="5">
        <f t="shared" si="5"/>
        <v>1059.3897131400338</v>
      </c>
    </row>
    <row r="32" spans="6:13">
      <c r="F32">
        <v>31</v>
      </c>
      <c r="G32" s="5">
        <f t="shared" si="6"/>
        <v>1058.4654940017938</v>
      </c>
      <c r="H32" s="5">
        <f t="shared" si="0"/>
        <v>1059.8989634943582</v>
      </c>
      <c r="I32" s="5">
        <f t="shared" si="1"/>
        <v>1060.6512332415211</v>
      </c>
      <c r="J32" s="5">
        <f t="shared" si="2"/>
        <v>1061.1668143926479</v>
      </c>
      <c r="K32" s="5">
        <f t="shared" si="3"/>
        <v>1061.3682208867951</v>
      </c>
      <c r="L32" s="5">
        <f t="shared" si="4"/>
        <v>1061.4203190954033</v>
      </c>
      <c r="M32" s="5">
        <f t="shared" si="5"/>
        <v>1061.4289857314445</v>
      </c>
    </row>
    <row r="33" spans="6:13">
      <c r="F33">
        <v>32</v>
      </c>
      <c r="G33" s="5">
        <f t="shared" si="6"/>
        <v>1060.4073451377883</v>
      </c>
      <c r="H33" s="5">
        <f t="shared" si="0"/>
        <v>1061.8898026120571</v>
      </c>
      <c r="I33" s="5">
        <f t="shared" si="1"/>
        <v>1062.667806620625</v>
      </c>
      <c r="J33" s="5">
        <f t="shared" si="2"/>
        <v>1063.2010354764918</v>
      </c>
      <c r="K33" s="5">
        <f t="shared" si="3"/>
        <v>1063.4093381359189</v>
      </c>
      <c r="L33" s="5">
        <f t="shared" si="4"/>
        <v>1063.4632203965632</v>
      </c>
      <c r="M33" s="5">
        <f t="shared" si="5"/>
        <v>1063.4721838213293</v>
      </c>
    </row>
    <row r="34" spans="6:13">
      <c r="F34">
        <v>33</v>
      </c>
      <c r="G34" s="5">
        <f t="shared" si="6"/>
        <v>1062.352758776156</v>
      </c>
      <c r="H34" s="5">
        <f t="shared" si="0"/>
        <v>1063.8843811809008</v>
      </c>
      <c r="I34" s="5">
        <f t="shared" si="1"/>
        <v>1064.6882140293003</v>
      </c>
      <c r="J34" s="5">
        <f t="shared" si="2"/>
        <v>1065.2391560937194</v>
      </c>
      <c r="K34" s="5">
        <f t="shared" si="3"/>
        <v>1065.4543806576696</v>
      </c>
      <c r="L34" s="5">
        <f t="shared" si="4"/>
        <v>1065.5100536421673</v>
      </c>
      <c r="M34" s="5">
        <f t="shared" si="5"/>
        <v>1065.519314966077</v>
      </c>
    </row>
    <row r="35" spans="6:13">
      <c r="F35">
        <v>34</v>
      </c>
      <c r="G35" s="5">
        <f t="shared" si="6"/>
        <v>1064.3017414526309</v>
      </c>
      <c r="H35" s="5">
        <f t="shared" si="0"/>
        <v>1065.8827062248097</v>
      </c>
      <c r="I35" s="5">
        <f t="shared" si="1"/>
        <v>1066.7124627570331</v>
      </c>
      <c r="J35" s="5">
        <f t="shared" si="2"/>
        <v>1067.2811837196043</v>
      </c>
      <c r="K35" s="5">
        <f t="shared" si="3"/>
        <v>1067.5033560007391</v>
      </c>
      <c r="L35" s="5">
        <f t="shared" si="4"/>
        <v>1067.5608263999754</v>
      </c>
      <c r="M35" s="5">
        <f t="shared" si="5"/>
        <v>1067.570386736624</v>
      </c>
    </row>
    <row r="36" spans="6:13">
      <c r="F36">
        <v>35</v>
      </c>
      <c r="G36" s="5">
        <f t="shared" si="6"/>
        <v>1066.2542997149387</v>
      </c>
      <c r="H36" s="5">
        <f t="shared" si="0"/>
        <v>1067.884784780897</v>
      </c>
      <c r="I36" s="5">
        <f t="shared" si="1"/>
        <v>1068.7405601071675</v>
      </c>
      <c r="J36" s="5">
        <f t="shared" si="2"/>
        <v>1069.3271258437512</v>
      </c>
      <c r="K36" s="5">
        <f t="shared" si="3"/>
        <v>1069.5562717283365</v>
      </c>
      <c r="L36" s="5">
        <f t="shared" si="4"/>
        <v>1069.6155462523134</v>
      </c>
      <c r="M36" s="5">
        <f t="shared" si="5"/>
        <v>1069.6254067184782</v>
      </c>
    </row>
    <row r="37" spans="6:13">
      <c r="F37">
        <v>36</v>
      </c>
      <c r="G37" s="5">
        <f t="shared" si="6"/>
        <v>1068.2104401228157</v>
      </c>
      <c r="H37" s="5">
        <f t="shared" si="0"/>
        <v>1069.8906238994939</v>
      </c>
      <c r="I37" s="5">
        <f t="shared" si="1"/>
        <v>1070.7725133969345</v>
      </c>
      <c r="J37" s="5">
        <f t="shared" si="2"/>
        <v>1071.376989970121</v>
      </c>
      <c r="K37" s="5">
        <f t="shared" si="3"/>
        <v>1071.6131354182151</v>
      </c>
      <c r="L37" s="5">
        <f t="shared" si="4"/>
        <v>1071.6742207961004</v>
      </c>
      <c r="M37" s="5">
        <f t="shared" si="5"/>
        <v>1071.6843825117512</v>
      </c>
    </row>
    <row r="38" spans="6:13">
      <c r="F38">
        <v>37</v>
      </c>
      <c r="G38" s="5">
        <f t="shared" si="6"/>
        <v>1070.170169248034</v>
      </c>
      <c r="H38" s="5">
        <f t="shared" si="0"/>
        <v>1071.9002306441748</v>
      </c>
      <c r="I38" s="5">
        <f t="shared" si="1"/>
        <v>1072.8083299574766</v>
      </c>
      <c r="J38" s="5">
        <f t="shared" si="2"/>
        <v>1073.4307836170606</v>
      </c>
      <c r="K38" s="5">
        <f t="shared" si="3"/>
        <v>1073.6739546627011</v>
      </c>
      <c r="L38" s="5">
        <f t="shared" si="4"/>
        <v>1073.7368576428773</v>
      </c>
      <c r="M38" s="5">
        <f t="shared" si="5"/>
        <v>1073.7473217311831</v>
      </c>
    </row>
    <row r="39" spans="6:13">
      <c r="F39">
        <v>38</v>
      </c>
      <c r="G39" s="5">
        <f t="shared" si="6"/>
        <v>1072.1334936744208</v>
      </c>
      <c r="H39" s="5">
        <f t="shared" si="0"/>
        <v>1073.9136120917813</v>
      </c>
      <c r="I39" s="5">
        <f t="shared" si="1"/>
        <v>1074.8480171338742</v>
      </c>
      <c r="J39" s="5">
        <f t="shared" si="2"/>
        <v>1075.4885143173285</v>
      </c>
      <c r="K39" s="5">
        <f t="shared" si="3"/>
        <v>1075.7387370687222</v>
      </c>
      <c r="L39" s="5">
        <f t="shared" si="4"/>
        <v>1075.8034644188356</v>
      </c>
      <c r="M39" s="5">
        <f t="shared" si="5"/>
        <v>1075.8142320061722</v>
      </c>
    </row>
    <row r="40" spans="6:13">
      <c r="F40">
        <v>39</v>
      </c>
      <c r="G40" s="5">
        <f t="shared" si="6"/>
        <v>1074.1004199978838</v>
      </c>
      <c r="H40" s="5">
        <f t="shared" si="0"/>
        <v>1075.9307753324479</v>
      </c>
      <c r="I40" s="5">
        <f t="shared" si="1"/>
        <v>1076.8915822851734</v>
      </c>
      <c r="J40" s="5">
        <f t="shared" si="2"/>
        <v>1077.5501896181233</v>
      </c>
      <c r="K40" s="5">
        <f t="shared" si="3"/>
        <v>1077.8074902578342</v>
      </c>
      <c r="L40" s="5">
        <f t="shared" si="4"/>
        <v>1077.8740487648438</v>
      </c>
      <c r="M40" s="5">
        <f t="shared" si="5"/>
        <v>1077.8851209808038</v>
      </c>
    </row>
    <row r="41" spans="6:13">
      <c r="F41">
        <v>40</v>
      </c>
      <c r="G41" s="5">
        <f t="shared" si="6"/>
        <v>1076.0709548264301</v>
      </c>
      <c r="H41" s="5">
        <f t="shared" si="0"/>
        <v>1077.951727469627</v>
      </c>
      <c r="I41" s="5">
        <f t="shared" si="1"/>
        <v>1078.939032784411</v>
      </c>
      <c r="J41" s="5">
        <f t="shared" si="2"/>
        <v>1079.6158170811118</v>
      </c>
      <c r="K41" s="5">
        <f t="shared" si="3"/>
        <v>1079.8802218662497</v>
      </c>
      <c r="L41" s="5">
        <f t="shared" si="4"/>
        <v>1079.948618336477</v>
      </c>
      <c r="M41" s="5">
        <f t="shared" si="5"/>
        <v>1079.9599963138771</v>
      </c>
    </row>
    <row r="42" spans="6:13">
      <c r="F42">
        <v>41</v>
      </c>
      <c r="G42" s="5">
        <f t="shared" si="6"/>
        <v>1078.0451047801905</v>
      </c>
      <c r="H42" s="5">
        <f t="shared" si="0"/>
        <v>1079.9764756201137</v>
      </c>
      <c r="I42" s="5">
        <f t="shared" si="1"/>
        <v>1080.9903760186423</v>
      </c>
      <c r="J42" s="5">
        <f t="shared" si="2"/>
        <v>1081.6854042824559</v>
      </c>
      <c r="K42" s="5">
        <f t="shared" si="3"/>
        <v>1081.9569395448673</v>
      </c>
      <c r="L42" s="5">
        <f t="shared" si="4"/>
        <v>1082.027180804045</v>
      </c>
      <c r="M42" s="5">
        <f t="shared" si="5"/>
        <v>1082.0388656789337</v>
      </c>
    </row>
    <row r="43" spans="6:13">
      <c r="F43">
        <v>42</v>
      </c>
      <c r="G43" s="5">
        <f t="shared" si="6"/>
        <v>1080.0228764914402</v>
      </c>
      <c r="H43" s="5">
        <f t="shared" si="0"/>
        <v>1082.0050269140695</v>
      </c>
      <c r="I43" s="5">
        <f t="shared" si="1"/>
        <v>1083.0456193889672</v>
      </c>
      <c r="J43" s="5">
        <f t="shared" si="2"/>
        <v>1083.7589588128408</v>
      </c>
      <c r="K43" s="5">
        <f t="shared" si="3"/>
        <v>1084.0376509592991</v>
      </c>
      <c r="L43" s="5">
        <f t="shared" si="4"/>
        <v>1084.1097438526203</v>
      </c>
      <c r="M43" s="5">
        <f t="shared" si="5"/>
        <v>1084.1217367642871</v>
      </c>
    </row>
    <row r="44" spans="6:13">
      <c r="F44">
        <v>43</v>
      </c>
      <c r="G44" s="5">
        <f t="shared" si="6"/>
        <v>1082.0042766046224</v>
      </c>
      <c r="H44" s="5">
        <f t="shared" si="0"/>
        <v>1084.0373884950504</v>
      </c>
      <c r="I44" s="5">
        <f t="shared" si="1"/>
        <v>1085.1047703105571</v>
      </c>
      <c r="J44" s="5">
        <f t="shared" si="2"/>
        <v>1085.8364882775027</v>
      </c>
      <c r="K44" s="5">
        <f t="shared" si="3"/>
        <v>1086.1223637898977</v>
      </c>
      <c r="L44" s="5">
        <f t="shared" si="4"/>
        <v>1086.1963151820673</v>
      </c>
      <c r="M44" s="5">
        <f t="shared" si="5"/>
        <v>1086.2086172730501</v>
      </c>
    </row>
    <row r="45" spans="6:13">
      <c r="F45">
        <v>44</v>
      </c>
      <c r="G45" s="5">
        <f t="shared" si="6"/>
        <v>1083.9893117763709</v>
      </c>
      <c r="H45" s="5">
        <f t="shared" si="0"/>
        <v>1086.0735675200292</v>
      </c>
      <c r="I45" s="5">
        <f t="shared" si="1"/>
        <v>1087.1678362126818</v>
      </c>
      <c r="J45" s="5">
        <f t="shared" si="2"/>
        <v>1087.9180002962567</v>
      </c>
      <c r="K45" s="5">
        <f t="shared" si="3"/>
        <v>1088.2110857317873</v>
      </c>
      <c r="L45" s="5">
        <f t="shared" si="4"/>
        <v>1088.2869025070695</v>
      </c>
      <c r="M45" s="5">
        <f t="shared" si="5"/>
        <v>1088.2995149231638</v>
      </c>
    </row>
    <row r="46" spans="6:13">
      <c r="F46">
        <v>45</v>
      </c>
      <c r="G46" s="5">
        <f t="shared" si="6"/>
        <v>1085.9779886755302</v>
      </c>
      <c r="H46" s="5">
        <f t="shared" si="0"/>
        <v>1088.1135711594225</v>
      </c>
      <c r="I46" s="5">
        <f t="shared" si="1"/>
        <v>1089.2348245387352</v>
      </c>
      <c r="J46" s="5">
        <f t="shared" si="2"/>
        <v>1090.0035025035256</v>
      </c>
      <c r="K46" s="5">
        <f t="shared" si="3"/>
        <v>1090.3038244948898</v>
      </c>
      <c r="L46" s="5">
        <f t="shared" si="4"/>
        <v>1090.3815135571597</v>
      </c>
      <c r="M46" s="5">
        <f t="shared" si="5"/>
        <v>1090.3944374474258</v>
      </c>
    </row>
    <row r="47" spans="6:13">
      <c r="F47">
        <v>46</v>
      </c>
      <c r="G47" s="5">
        <f t="shared" si="6"/>
        <v>1087.9703139831809</v>
      </c>
      <c r="H47" s="5">
        <f t="shared" si="0"/>
        <v>1090.1574065971149</v>
      </c>
      <c r="I47" s="5">
        <f t="shared" si="1"/>
        <v>1091.3057427462641</v>
      </c>
      <c r="J47" s="5">
        <f t="shared" si="2"/>
        <v>1092.093002548366</v>
      </c>
      <c r="K47" s="5">
        <f t="shared" si="3"/>
        <v>1092.4005878039538</v>
      </c>
      <c r="L47" s="5">
        <f t="shared" si="4"/>
        <v>1092.4801560767464</v>
      </c>
      <c r="M47" s="5">
        <f t="shared" si="5"/>
        <v>1092.493392593519</v>
      </c>
    </row>
    <row r="48" spans="6:13">
      <c r="F48">
        <v>47</v>
      </c>
      <c r="G48" s="5">
        <f t="shared" si="6"/>
        <v>1089.9662943926594</v>
      </c>
      <c r="H48" s="5">
        <f t="shared" si="0"/>
        <v>1092.205081030485</v>
      </c>
      <c r="I48" s="5">
        <f t="shared" si="1"/>
        <v>1093.3805983069931</v>
      </c>
      <c r="J48" s="5">
        <f t="shared" si="2"/>
        <v>1094.1865080944983</v>
      </c>
      <c r="K48" s="5">
        <f t="shared" si="3"/>
        <v>1094.501383398584</v>
      </c>
      <c r="L48" s="5">
        <f t="shared" si="4"/>
        <v>1094.5828378251445</v>
      </c>
      <c r="M48" s="5">
        <f t="shared" si="5"/>
        <v>1094.5963881240398</v>
      </c>
    </row>
    <row r="49" spans="6:13">
      <c r="F49">
        <v>48</v>
      </c>
      <c r="G49" s="5">
        <f t="shared" si="6"/>
        <v>1091.9659366095823</v>
      </c>
      <c r="H49" s="5">
        <f t="shared" si="0"/>
        <v>1094.25660167043</v>
      </c>
      <c r="I49" s="5">
        <f t="shared" si="1"/>
        <v>1095.4593987068531</v>
      </c>
      <c r="J49" s="5">
        <f t="shared" si="2"/>
        <v>1096.2840268203338</v>
      </c>
      <c r="K49" s="5">
        <f t="shared" si="3"/>
        <v>1096.6062190332689</v>
      </c>
      <c r="L49" s="5">
        <f t="shared" si="4"/>
        <v>1096.6895665766031</v>
      </c>
      <c r="M49" s="5">
        <f t="shared" si="5"/>
        <v>1096.7034318165281</v>
      </c>
    </row>
    <row r="50" spans="6:13">
      <c r="F50">
        <v>49</v>
      </c>
      <c r="G50" s="5">
        <f t="shared" si="6"/>
        <v>1093.9692473518678</v>
      </c>
      <c r="H50" s="5">
        <f t="shared" si="0"/>
        <v>1096.311975741392</v>
      </c>
      <c r="I50" s="5">
        <f t="shared" si="1"/>
        <v>1097.5421514460074</v>
      </c>
      <c r="J50" s="5">
        <f t="shared" si="2"/>
        <v>1098.3855664190025</v>
      </c>
      <c r="K50" s="5">
        <f t="shared" si="3"/>
        <v>1098.7151024774093</v>
      </c>
      <c r="L50" s="5">
        <f t="shared" si="4"/>
        <v>1098.8003501203339</v>
      </c>
      <c r="M50" s="5">
        <f t="shared" si="5"/>
        <v>1098.8145314634942</v>
      </c>
    </row>
    <row r="51" spans="6:13">
      <c r="F51">
        <v>50</v>
      </c>
      <c r="G51" s="5">
        <f t="shared" si="6"/>
        <v>1095.9762333497595</v>
      </c>
      <c r="H51" s="5">
        <f t="shared" si="0"/>
        <v>1098.3712104813826</v>
      </c>
      <c r="I51" s="5">
        <f t="shared" si="1"/>
        <v>1099.6288640388796</v>
      </c>
      <c r="J51" s="5">
        <f t="shared" si="2"/>
        <v>1100.491134598383</v>
      </c>
      <c r="K51" s="5">
        <f t="shared" si="3"/>
        <v>1100.8280415153479</v>
      </c>
      <c r="L51" s="5">
        <f t="shared" si="4"/>
        <v>1100.9151962605408</v>
      </c>
      <c r="M51" s="5">
        <f t="shared" si="5"/>
        <v>1100.9296948724493</v>
      </c>
    </row>
    <row r="52" spans="6:13">
      <c r="F52">
        <v>51</v>
      </c>
      <c r="G52" s="5">
        <f t="shared" si="6"/>
        <v>1097.9869013458479</v>
      </c>
      <c r="H52" s="5">
        <f t="shared" si="0"/>
        <v>1100.4343131420094</v>
      </c>
      <c r="I52" s="5">
        <f t="shared" si="1"/>
        <v>1101.7195440141793</v>
      </c>
      <c r="J52" s="5">
        <f t="shared" si="2"/>
        <v>1102.6007390811285</v>
      </c>
      <c r="K52" s="5">
        <f t="shared" si="3"/>
        <v>1102.9450439463974</v>
      </c>
      <c r="L52" s="5">
        <f t="shared" si="4"/>
        <v>1103.034112816448</v>
      </c>
      <c r="M52" s="5">
        <f t="shared" si="5"/>
        <v>1103.0489298659336</v>
      </c>
    </row>
    <row r="53" spans="6:13">
      <c r="F53">
        <v>52</v>
      </c>
      <c r="G53" s="5">
        <f t="shared" si="6"/>
        <v>1100.0012580950929</v>
      </c>
      <c r="H53" s="5">
        <f t="shared" si="0"/>
        <v>1102.5012909884999</v>
      </c>
      <c r="I53" s="5">
        <f t="shared" si="1"/>
        <v>1103.8141989149308</v>
      </c>
      <c r="J53" s="5">
        <f t="shared" si="2"/>
        <v>1104.7143876046971</v>
      </c>
      <c r="K53" s="5">
        <f t="shared" si="3"/>
        <v>1105.0661175848691</v>
      </c>
      <c r="L53" s="5">
        <f t="shared" si="4"/>
        <v>1105.1571076223297</v>
      </c>
      <c r="M53" s="5">
        <f t="shared" si="5"/>
        <v>1105.1722442815451</v>
      </c>
    </row>
    <row r="54" spans="6:13">
      <c r="F54">
        <v>53</v>
      </c>
      <c r="G54" s="5">
        <f t="shared" si="6"/>
        <v>1102.0193103648476</v>
      </c>
      <c r="H54" s="5">
        <f t="shared" ref="H54:H117" si="7">$C$2*(1+$C$1/$D$6)^(F54*$D$6*0.019231)</f>
        <v>1104.5721512997291</v>
      </c>
      <c r="I54" s="5">
        <f t="shared" ref="I54:I117" si="8">$C$2*(1+$C$1/$D$7)^(F54*$D$7*0.019231)</f>
        <v>1105.9128362984993</v>
      </c>
      <c r="J54" s="5">
        <f t="shared" ref="J54:J117" si="9">$C$2*(1+$C$1/$D$8)^(F54*$D$8*0.019231)</f>
        <v>1106.8320879213788</v>
      </c>
      <c r="K54" s="5">
        <f t="shared" ref="K54:K117" si="10">$C$2*(1+$C$1/$D$9)^(F54*$D$9*0.019231)</f>
        <v>1107.1912702601019</v>
      </c>
      <c r="L54" s="5">
        <f t="shared" ref="L54:L117" si="11">$C$2*(1+$C$1/$D$10)^(F54*$D$10*0.019231)</f>
        <v>1107.2841885275382</v>
      </c>
      <c r="M54" s="5">
        <f t="shared" ref="M54:M117" si="12">$C$2*EXP($C$1*F54*0.019231)</f>
        <v>1107.2996459719684</v>
      </c>
    </row>
    <row r="55" spans="6:13">
      <c r="F55">
        <v>54</v>
      </c>
      <c r="G55" s="5">
        <f t="shared" si="6"/>
        <v>1104.0410649348803</v>
      </c>
      <c r="H55" s="5">
        <f t="shared" si="7"/>
        <v>1106.6469013682436</v>
      </c>
      <c r="I55" s="5">
        <f t="shared" si="8"/>
        <v>1108.0154637366186</v>
      </c>
      <c r="J55" s="5">
        <f t="shared" si="9"/>
        <v>1108.9538477983249</v>
      </c>
      <c r="K55" s="5">
        <f t="shared" si="10"/>
        <v>1109.3205098164913</v>
      </c>
      <c r="L55" s="5">
        <f t="shared" si="11"/>
        <v>1109.4153633965334</v>
      </c>
      <c r="M55" s="5">
        <f t="shared" si="12"/>
        <v>1109.431142805005</v>
      </c>
    </row>
    <row r="56" spans="6:13">
      <c r="F56">
        <v>55</v>
      </c>
      <c r="G56" s="5">
        <f t="shared" si="6"/>
        <v>1106.0665285973967</v>
      </c>
      <c r="H56" s="5">
        <f t="shared" si="7"/>
        <v>1108.7255485002879</v>
      </c>
      <c r="I56" s="5">
        <f t="shared" si="8"/>
        <v>1110.1220888154187</v>
      </c>
      <c r="J56" s="5">
        <f t="shared" si="9"/>
        <v>1111.0796750175757</v>
      </c>
      <c r="K56" s="5">
        <f t="shared" si="10"/>
        <v>1111.4538441135192</v>
      </c>
      <c r="L56" s="5">
        <f t="shared" si="11"/>
        <v>1111.5506401089119</v>
      </c>
      <c r="M56" s="5">
        <f t="shared" si="12"/>
        <v>1111.566742663601</v>
      </c>
    </row>
    <row r="57" spans="6:13">
      <c r="F57">
        <v>56</v>
      </c>
      <c r="G57" s="5">
        <f t="shared" si="6"/>
        <v>1108.0957081570646</v>
      </c>
      <c r="H57" s="5">
        <f t="shared" si="7"/>
        <v>1110.8081000158297</v>
      </c>
      <c r="I57" s="5">
        <f t="shared" si="8"/>
        <v>1112.232719135452</v>
      </c>
      <c r="J57" s="5">
        <f t="shared" si="9"/>
        <v>1113.2095773760896</v>
      </c>
      <c r="K57" s="5">
        <f t="shared" si="10"/>
        <v>1113.591281025781</v>
      </c>
      <c r="L57" s="5">
        <f t="shared" si="11"/>
        <v>1113.6900265594363</v>
      </c>
      <c r="M57" s="5">
        <f t="shared" si="12"/>
        <v>1113.7064534458764</v>
      </c>
    </row>
    <row r="58" spans="6:13">
      <c r="F58">
        <v>57</v>
      </c>
      <c r="G58" s="5">
        <f t="shared" si="6"/>
        <v>1110.128610431035</v>
      </c>
      <c r="H58" s="5">
        <f t="shared" si="7"/>
        <v>1112.8945632485868</v>
      </c>
      <c r="I58" s="5">
        <f t="shared" si="8"/>
        <v>1114.3473623117225</v>
      </c>
      <c r="J58" s="5">
        <f t="shared" si="9"/>
        <v>1115.3435626857713</v>
      </c>
      <c r="K58" s="5">
        <f t="shared" si="10"/>
        <v>1115.7328284430159</v>
      </c>
      <c r="L58" s="5">
        <f t="shared" si="11"/>
        <v>1115.8335306580636</v>
      </c>
      <c r="M58" s="5">
        <f t="shared" si="12"/>
        <v>1115.850283065156</v>
      </c>
    </row>
    <row r="59" spans="6:13">
      <c r="F59">
        <v>58</v>
      </c>
      <c r="G59" s="5">
        <f t="shared" si="6"/>
        <v>1112.1652422489653</v>
      </c>
      <c r="H59" s="5">
        <f t="shared" si="7"/>
        <v>1114.9849455460514</v>
      </c>
      <c r="I59" s="5">
        <f t="shared" si="8"/>
        <v>1116.4660259737111</v>
      </c>
      <c r="J59" s="5">
        <f t="shared" si="9"/>
        <v>1117.4816387735009</v>
      </c>
      <c r="K59" s="5">
        <f t="shared" si="10"/>
        <v>1117.8784942701363</v>
      </c>
      <c r="L59" s="5">
        <f t="shared" si="11"/>
        <v>1117.9811603299756</v>
      </c>
      <c r="M59" s="5">
        <f t="shared" si="12"/>
        <v>1117.9982394499957</v>
      </c>
    </row>
    <row r="60" spans="6:13">
      <c r="F60">
        <v>59</v>
      </c>
      <c r="G60" s="5">
        <f t="shared" si="6"/>
        <v>1114.2056104530432</v>
      </c>
      <c r="H60" s="5">
        <f t="shared" si="7"/>
        <v>1117.0792542695172</v>
      </c>
      <c r="I60" s="5">
        <f t="shared" si="8"/>
        <v>1118.5887177654056</v>
      </c>
      <c r="J60" s="5">
        <f t="shared" si="9"/>
        <v>1119.6238134811624</v>
      </c>
      <c r="K60" s="5">
        <f t="shared" si="10"/>
        <v>1120.0282864272567</v>
      </c>
      <c r="L60" s="5">
        <f t="shared" si="11"/>
        <v>1120.132923515607</v>
      </c>
      <c r="M60" s="5">
        <f t="shared" si="12"/>
        <v>1120.1503305442147</v>
      </c>
    </row>
    <row r="61" spans="6:13">
      <c r="F61">
        <v>60</v>
      </c>
      <c r="G61" s="5">
        <f t="shared" si="6"/>
        <v>1116.2497218980081</v>
      </c>
      <c r="H61" s="5">
        <f t="shared" si="7"/>
        <v>1119.1774967941042</v>
      </c>
      <c r="I61" s="5">
        <f t="shared" si="8"/>
        <v>1120.7154453453263</v>
      </c>
      <c r="J61" s="5">
        <f t="shared" si="9"/>
        <v>1121.7700946656726</v>
      </c>
      <c r="K61" s="5">
        <f t="shared" si="10"/>
        <v>1122.1822128497222</v>
      </c>
      <c r="L61" s="5">
        <f t="shared" si="11"/>
        <v>1122.2888281706757</v>
      </c>
      <c r="M61" s="5">
        <f t="shared" si="12"/>
        <v>1122.3065643069233</v>
      </c>
    </row>
    <row r="62" spans="6:13">
      <c r="F62">
        <v>61</v>
      </c>
      <c r="G62" s="5">
        <f t="shared" si="6"/>
        <v>1118.297583451176</v>
      </c>
      <c r="H62" s="5">
        <f t="shared" si="7"/>
        <v>1121.2796805087862</v>
      </c>
      <c r="I62" s="5">
        <f t="shared" si="8"/>
        <v>1122.8462163865545</v>
      </c>
      <c r="J62" s="5">
        <f t="shared" si="9"/>
        <v>1123.920490199009</v>
      </c>
      <c r="K62" s="5">
        <f t="shared" si="10"/>
        <v>1124.3402814881383</v>
      </c>
      <c r="L62" s="5">
        <f t="shared" si="11"/>
        <v>1124.448882266212</v>
      </c>
      <c r="M62" s="5">
        <f t="shared" si="12"/>
        <v>1124.466948712552</v>
      </c>
    </row>
    <row r="63" spans="6:13">
      <c r="F63">
        <v>62</v>
      </c>
      <c r="G63" s="5">
        <f t="shared" si="6"/>
        <v>1120.3492019924613</v>
      </c>
      <c r="H63" s="5">
        <f t="shared" si="7"/>
        <v>1123.385812816415</v>
      </c>
      <c r="I63" s="5">
        <f t="shared" si="8"/>
        <v>1124.9810385767598</v>
      </c>
      <c r="J63" s="5">
        <f t="shared" si="9"/>
        <v>1126.07500796824</v>
      </c>
      <c r="K63" s="5">
        <f t="shared" si="10"/>
        <v>1126.5025003084006</v>
      </c>
      <c r="L63" s="5">
        <f t="shared" si="11"/>
        <v>1126.6130937885873</v>
      </c>
      <c r="M63" s="5">
        <f t="shared" si="12"/>
        <v>1126.6314917508832</v>
      </c>
    </row>
    <row r="64" spans="6:13">
      <c r="F64">
        <v>63</v>
      </c>
      <c r="G64" s="5">
        <f t="shared" si="6"/>
        <v>1122.4045844143996</v>
      </c>
      <c r="H64" s="5">
        <f t="shared" si="7"/>
        <v>1125.495901133748</v>
      </c>
      <c r="I64" s="5">
        <f t="shared" si="8"/>
        <v>1127.1199196182283</v>
      </c>
      <c r="J64" s="5">
        <f t="shared" si="9"/>
        <v>1128.2336558755533</v>
      </c>
      <c r="K64" s="5">
        <f t="shared" si="10"/>
        <v>1128.6688772917244</v>
      </c>
      <c r="L64" s="5">
        <f t="shared" si="11"/>
        <v>1128.7814707395453</v>
      </c>
      <c r="M64" s="5">
        <f t="shared" si="12"/>
        <v>1128.800201427078</v>
      </c>
    </row>
    <row r="65" spans="6:13">
      <c r="F65">
        <v>64</v>
      </c>
      <c r="G65" s="5">
        <f t="shared" si="6"/>
        <v>1124.4637376221722</v>
      </c>
      <c r="H65" s="5">
        <f t="shared" si="7"/>
        <v>1127.6099528914735</v>
      </c>
      <c r="I65" s="5">
        <f t="shared" si="8"/>
        <v>1129.2628672278902</v>
      </c>
      <c r="J65" s="5">
        <f t="shared" si="9"/>
        <v>1130.3964418382845</v>
      </c>
      <c r="K65" s="5">
        <f t="shared" si="10"/>
        <v>1130.8394204346728</v>
      </c>
      <c r="L65" s="5">
        <f t="shared" si="11"/>
        <v>1130.9540211362294</v>
      </c>
      <c r="M65" s="5">
        <f t="shared" si="12"/>
        <v>1130.9730857617069</v>
      </c>
    </row>
    <row r="66" spans="6:13">
      <c r="F66">
        <v>65</v>
      </c>
      <c r="G66" s="5">
        <f t="shared" si="6"/>
        <v>1126.5266685336287</v>
      </c>
      <c r="H66" s="5">
        <f t="shared" si="7"/>
        <v>1129.7279755342374</v>
      </c>
      <c r="I66" s="5">
        <f t="shared" si="8"/>
        <v>1131.4098891373471</v>
      </c>
      <c r="J66" s="5">
        <f t="shared" si="9"/>
        <v>1132.5633737889466</v>
      </c>
      <c r="K66" s="5">
        <f t="shared" si="10"/>
        <v>1133.0141377491875</v>
      </c>
      <c r="L66" s="5">
        <f t="shared" si="11"/>
        <v>1133.1307530112142</v>
      </c>
      <c r="M66" s="5">
        <f t="shared" si="12"/>
        <v>1133.1501527907808</v>
      </c>
    </row>
    <row r="67" spans="6:13">
      <c r="F67">
        <v>66</v>
      </c>
      <c r="G67" s="5">
        <f t="shared" si="6"/>
        <v>1128.5933840793091</v>
      </c>
      <c r="H67" s="5">
        <f t="shared" si="7"/>
        <v>1131.8499765206686</v>
      </c>
      <c r="I67" s="5">
        <f t="shared" si="8"/>
        <v>1133.5609930929013</v>
      </c>
      <c r="J67" s="5">
        <f t="shared" si="9"/>
        <v>1134.7344596752594</v>
      </c>
      <c r="K67" s="5">
        <f t="shared" si="10"/>
        <v>1135.193037262618</v>
      </c>
      <c r="L67" s="5">
        <f t="shared" si="11"/>
        <v>1135.3116744125346</v>
      </c>
      <c r="M67" s="5">
        <f t="shared" si="12"/>
        <v>1135.3314105657782</v>
      </c>
    </row>
    <row r="68" spans="6:13">
      <c r="F68">
        <v>67</v>
      </c>
      <c r="G68" s="5">
        <f t="shared" ref="G68:G131" si="13">$C$2*(1+$C$1)^(F68*0.019231/$D$5)</f>
        <v>1130.6638912024696</v>
      </c>
      <c r="H68" s="5">
        <f t="shared" si="7"/>
        <v>1133.9759633234059</v>
      </c>
      <c r="I68" s="5">
        <f t="shared" si="8"/>
        <v>1135.716186855582</v>
      </c>
      <c r="J68" s="5">
        <f t="shared" si="9"/>
        <v>1136.9097074601771</v>
      </c>
      <c r="K68" s="5">
        <f t="shared" si="10"/>
        <v>1137.3761270177511</v>
      </c>
      <c r="L68" s="5">
        <f t="shared" si="11"/>
        <v>1137.4967934037143</v>
      </c>
      <c r="M68" s="5">
        <f t="shared" si="12"/>
        <v>1137.5168671536776</v>
      </c>
    </row>
    <row r="69" spans="6:13">
      <c r="F69">
        <v>68</v>
      </c>
      <c r="G69" s="5">
        <f t="shared" si="13"/>
        <v>1132.7381968591033</v>
      </c>
      <c r="H69" s="5">
        <f t="shared" si="7"/>
        <v>1136.1059434291244</v>
      </c>
      <c r="I69" s="5">
        <f t="shared" si="8"/>
        <v>1137.8754782011745</v>
      </c>
      <c r="J69" s="5">
        <f t="shared" si="9"/>
        <v>1139.08912512192</v>
      </c>
      <c r="K69" s="5">
        <f t="shared" si="10"/>
        <v>1139.5634150728406</v>
      </c>
      <c r="L69" s="5">
        <f t="shared" si="11"/>
        <v>1139.6861180637984</v>
      </c>
      <c r="M69" s="5">
        <f t="shared" si="12"/>
        <v>1139.7065306369848</v>
      </c>
    </row>
    <row r="70" spans="6:13">
      <c r="F70">
        <v>69</v>
      </c>
      <c r="G70" s="5">
        <f t="shared" si="13"/>
        <v>1134.816308017965</v>
      </c>
      <c r="H70" s="5">
        <f t="shared" si="7"/>
        <v>1138.2399243385612</v>
      </c>
      <c r="I70" s="5">
        <f t="shared" si="8"/>
        <v>1140.0388749202475</v>
      </c>
      <c r="J70" s="5">
        <f t="shared" si="9"/>
        <v>1141.272720654001</v>
      </c>
      <c r="K70" s="5">
        <f t="shared" si="10"/>
        <v>1141.7549095016377</v>
      </c>
      <c r="L70" s="5">
        <f t="shared" si="11"/>
        <v>1141.8796564873808</v>
      </c>
      <c r="M70" s="5">
        <f t="shared" si="12"/>
        <v>1141.9004091137645</v>
      </c>
    </row>
    <row r="71" spans="6:13">
      <c r="F71">
        <v>70</v>
      </c>
      <c r="G71" s="5">
        <f t="shared" si="13"/>
        <v>1136.8982316605943</v>
      </c>
      <c r="H71" s="5">
        <f t="shared" si="7"/>
        <v>1140.3779135665429</v>
      </c>
      <c r="I71" s="5">
        <f t="shared" si="8"/>
        <v>1142.2063848181822</v>
      </c>
      <c r="J71" s="5">
        <f t="shared" si="9"/>
        <v>1143.4605020652575</v>
      </c>
      <c r="K71" s="5">
        <f t="shared" si="10"/>
        <v>1143.9506183934191</v>
      </c>
      <c r="L71" s="5">
        <f t="shared" si="11"/>
        <v>1144.0774167846346</v>
      </c>
      <c r="M71" s="5">
        <f t="shared" si="12"/>
        <v>1144.0985106976702</v>
      </c>
    </row>
    <row r="72" spans="6:13">
      <c r="F72">
        <v>71</v>
      </c>
      <c r="G72" s="5">
        <f t="shared" si="13"/>
        <v>1138.9839747813394</v>
      </c>
      <c r="H72" s="5">
        <f t="shared" si="7"/>
        <v>1142.5199186420107</v>
      </c>
      <c r="I72" s="5">
        <f t="shared" si="8"/>
        <v>1144.3780157151996</v>
      </c>
      <c r="J72" s="5">
        <f t="shared" si="9"/>
        <v>1145.652477379879</v>
      </c>
      <c r="K72" s="5">
        <f t="shared" si="10"/>
        <v>1146.1505498530191</v>
      </c>
      <c r="L72" s="5">
        <f t="shared" si="11"/>
        <v>1146.2794070813432</v>
      </c>
      <c r="M72" s="5">
        <f t="shared" si="12"/>
        <v>1146.3008435179731</v>
      </c>
    </row>
    <row r="73" spans="6:13">
      <c r="F73">
        <v>72</v>
      </c>
      <c r="G73" s="5">
        <f t="shared" si="13"/>
        <v>1141.0735443873796</v>
      </c>
      <c r="H73" s="5">
        <f t="shared" si="7"/>
        <v>1144.6659471080482</v>
      </c>
      <c r="I73" s="5">
        <f t="shared" si="8"/>
        <v>1146.5537754463885</v>
      </c>
      <c r="J73" s="5">
        <f t="shared" si="9"/>
        <v>1147.8486546374372</v>
      </c>
      <c r="K73" s="5">
        <f t="shared" si="10"/>
        <v>1148.3547120008577</v>
      </c>
      <c r="L73" s="5">
        <f t="shared" si="11"/>
        <v>1148.4856355189288</v>
      </c>
      <c r="M73" s="5">
        <f t="shared" si="12"/>
        <v>1148.5074157195934</v>
      </c>
    </row>
    <row r="74" spans="6:13">
      <c r="F74">
        <v>73</v>
      </c>
      <c r="G74" s="5">
        <f t="shared" si="13"/>
        <v>1143.1669474987502</v>
      </c>
      <c r="H74" s="5">
        <f t="shared" si="7"/>
        <v>1146.8160065219074</v>
      </c>
      <c r="I74" s="5">
        <f t="shared" si="8"/>
        <v>1148.7336718617353</v>
      </c>
      <c r="J74" s="5">
        <f t="shared" si="9"/>
        <v>1150.0490418929151</v>
      </c>
      <c r="K74" s="5">
        <f t="shared" si="10"/>
        <v>1150.5631129729718</v>
      </c>
      <c r="L74" s="5">
        <f t="shared" si="11"/>
        <v>1150.6961102544842</v>
      </c>
      <c r="M74" s="5">
        <f t="shared" si="12"/>
        <v>1150.7182354631293</v>
      </c>
    </row>
    <row r="75" spans="6:13">
      <c r="F75">
        <v>74</v>
      </c>
      <c r="G75" s="5">
        <f t="shared" si="13"/>
        <v>1145.2641911483652</v>
      </c>
      <c r="H75" s="5">
        <f t="shared" si="7"/>
        <v>1148.970104455035</v>
      </c>
      <c r="I75" s="5">
        <f t="shared" si="8"/>
        <v>1150.9177128261501</v>
      </c>
      <c r="J75" s="5">
        <f t="shared" si="9"/>
        <v>1152.2536472167371</v>
      </c>
      <c r="K75" s="5">
        <f t="shared" si="10"/>
        <v>1152.7757609210444</v>
      </c>
      <c r="L75" s="5">
        <f t="shared" si="11"/>
        <v>1152.9108394608011</v>
      </c>
      <c r="M75" s="5">
        <f t="shared" si="12"/>
        <v>1152.9333109248885</v>
      </c>
    </row>
    <row r="76" spans="6:13">
      <c r="F76">
        <v>75</v>
      </c>
      <c r="G76" s="5">
        <f t="shared" si="13"/>
        <v>1147.3652823820407</v>
      </c>
      <c r="H76" s="5">
        <f t="shared" si="7"/>
        <v>1151.1282484930989</v>
      </c>
      <c r="I76" s="5">
        <f t="shared" si="8"/>
        <v>1153.105906219497</v>
      </c>
      <c r="J76" s="5">
        <f t="shared" si="9"/>
        <v>1154.4624786947984</v>
      </c>
      <c r="K76" s="5">
        <f t="shared" si="10"/>
        <v>1154.9926640124349</v>
      </c>
      <c r="L76" s="5">
        <f t="shared" si="11"/>
        <v>1155.1298313264017</v>
      </c>
      <c r="M76" s="5">
        <f t="shared" si="12"/>
        <v>1155.152650296917</v>
      </c>
    </row>
    <row r="77" spans="6:13">
      <c r="F77">
        <v>76</v>
      </c>
      <c r="G77" s="5">
        <f t="shared" si="13"/>
        <v>1149.4702282585197</v>
      </c>
      <c r="H77" s="5">
        <f t="shared" si="7"/>
        <v>1153.2904462360166</v>
      </c>
      <c r="I77" s="5">
        <f t="shared" si="8"/>
        <v>1155.2982599366214</v>
      </c>
      <c r="J77" s="5">
        <f t="shared" si="9"/>
        <v>1156.6755444284947</v>
      </c>
      <c r="K77" s="5">
        <f t="shared" si="10"/>
        <v>1157.2138304302096</v>
      </c>
      <c r="L77" s="5">
        <f t="shared" si="11"/>
        <v>1157.3530940555693</v>
      </c>
      <c r="M77" s="5">
        <f t="shared" si="12"/>
        <v>1157.3762617870302</v>
      </c>
    </row>
    <row r="78" spans="6:13">
      <c r="F78">
        <v>77</v>
      </c>
      <c r="G78" s="5">
        <f t="shared" si="13"/>
        <v>1151.5790358494942</v>
      </c>
      <c r="H78" s="5">
        <f t="shared" si="7"/>
        <v>1155.4567052979799</v>
      </c>
      <c r="I78" s="5">
        <f t="shared" si="8"/>
        <v>1157.4947818873791</v>
      </c>
      <c r="J78" s="5">
        <f t="shared" si="9"/>
        <v>1158.8928525347512</v>
      </c>
      <c r="K78" s="5">
        <f t="shared" si="10"/>
        <v>1159.4392683731717</v>
      </c>
      <c r="L78" s="5">
        <f t="shared" si="11"/>
        <v>1159.580635868376</v>
      </c>
      <c r="M78" s="5">
        <f t="shared" si="12"/>
        <v>1159.6041536188436</v>
      </c>
    </row>
    <row r="79" spans="6:13">
      <c r="F79">
        <v>78</v>
      </c>
      <c r="G79" s="5">
        <f t="shared" si="13"/>
        <v>1153.6917122396305</v>
      </c>
      <c r="H79" s="5">
        <f t="shared" si="7"/>
        <v>1157.6270333074824</v>
      </c>
      <c r="I79" s="5">
        <f t="shared" si="8"/>
        <v>1159.6954799966643</v>
      </c>
      <c r="J79" s="5">
        <f t="shared" si="9"/>
        <v>1161.114411146054</v>
      </c>
      <c r="K79" s="5">
        <f t="shared" si="10"/>
        <v>1161.6689860558911</v>
      </c>
      <c r="L79" s="5">
        <f t="shared" si="11"/>
        <v>1161.8124650007169</v>
      </c>
      <c r="M79" s="5">
        <f t="shared" si="12"/>
        <v>1161.8363340318024</v>
      </c>
    </row>
    <row r="80" spans="6:13">
      <c r="F80">
        <v>79</v>
      </c>
      <c r="G80" s="5">
        <f t="shared" si="13"/>
        <v>1155.8082645265929</v>
      </c>
      <c r="H80" s="5">
        <f t="shared" si="7"/>
        <v>1159.8014379073475</v>
      </c>
      <c r="I80" s="5">
        <f t="shared" si="8"/>
        <v>1161.9003622044388</v>
      </c>
      <c r="J80" s="5">
        <f t="shared" si="9"/>
        <v>1163.3402284104775</v>
      </c>
      <c r="K80" s="5">
        <f t="shared" si="10"/>
        <v>1163.9029917087355</v>
      </c>
      <c r="L80" s="5">
        <f t="shared" si="11"/>
        <v>1164.0485897043372</v>
      </c>
      <c r="M80" s="5">
        <f t="shared" si="12"/>
        <v>1164.0728112812117</v>
      </c>
    </row>
    <row r="81" spans="6:13">
      <c r="F81">
        <v>80</v>
      </c>
      <c r="G81" s="5">
        <f t="shared" si="13"/>
        <v>1157.9286998210653</v>
      </c>
      <c r="H81" s="5">
        <f t="shared" si="7"/>
        <v>1161.9799267547533</v>
      </c>
      <c r="I81" s="5">
        <f t="shared" si="8"/>
        <v>1164.1094364657602</v>
      </c>
      <c r="J81" s="5">
        <f t="shared" si="9"/>
        <v>1165.570312491717</v>
      </c>
      <c r="K81" s="5">
        <f t="shared" si="10"/>
        <v>1166.1412935779008</v>
      </c>
      <c r="L81" s="5">
        <f t="shared" si="11"/>
        <v>1166.2890182468655</v>
      </c>
      <c r="M81" s="5">
        <f t="shared" si="12"/>
        <v>1166.3135936382691</v>
      </c>
    </row>
    <row r="82" spans="6:13">
      <c r="F82">
        <v>81</v>
      </c>
      <c r="G82" s="5">
        <f t="shared" si="13"/>
        <v>1160.0530252467784</v>
      </c>
      <c r="H82" s="5">
        <f t="shared" si="7"/>
        <v>1164.162507521261</v>
      </c>
      <c r="I82" s="5">
        <f t="shared" si="8"/>
        <v>1166.3227107508108</v>
      </c>
      <c r="J82" s="5">
        <f t="shared" si="9"/>
        <v>1167.8046715691166</v>
      </c>
      <c r="K82" s="5">
        <f t="shared" si="10"/>
        <v>1168.3838999254399</v>
      </c>
      <c r="L82" s="5">
        <f t="shared" si="11"/>
        <v>1168.5337589118417</v>
      </c>
      <c r="M82" s="5">
        <f t="shared" si="12"/>
        <v>1168.5586893900927</v>
      </c>
    </row>
    <row r="83" spans="6:13">
      <c r="F83">
        <v>82</v>
      </c>
      <c r="G83" s="5">
        <f t="shared" si="13"/>
        <v>1162.1812479405316</v>
      </c>
      <c r="H83" s="5">
        <f t="shared" si="7"/>
        <v>1166.3491878928417</v>
      </c>
      <c r="I83" s="5">
        <f t="shared" si="8"/>
        <v>1168.5401930449257</v>
      </c>
      <c r="J83" s="5">
        <f t="shared" si="9"/>
        <v>1170.0433138377002</v>
      </c>
      <c r="K83" s="5">
        <f t="shared" si="10"/>
        <v>1170.6308190292959</v>
      </c>
      <c r="L83" s="5">
        <f t="shared" si="11"/>
        <v>1170.7828199987493</v>
      </c>
      <c r="M83" s="5">
        <f t="shared" si="12"/>
        <v>1170.8081068397532</v>
      </c>
    </row>
    <row r="84" spans="6:13">
      <c r="F84">
        <v>83</v>
      </c>
      <c r="G84" s="5">
        <f t="shared" si="13"/>
        <v>1164.3133750522172</v>
      </c>
      <c r="H84" s="5">
        <f t="shared" si="7"/>
        <v>1168.5399755699029</v>
      </c>
      <c r="I84" s="5">
        <f t="shared" si="8"/>
        <v>1170.7618913486231</v>
      </c>
      <c r="J84" s="5">
        <f t="shared" si="9"/>
        <v>1172.2862475082013</v>
      </c>
      <c r="K84" s="5">
        <f t="shared" si="10"/>
        <v>1172.8820591833305</v>
      </c>
      <c r="L84" s="5">
        <f t="shared" si="11"/>
        <v>1173.036209823046</v>
      </c>
      <c r="M84" s="5">
        <f t="shared" si="12"/>
        <v>1173.0618543063047</v>
      </c>
    </row>
    <row r="85" spans="6:13">
      <c r="F85">
        <v>84</v>
      </c>
      <c r="G85" s="5">
        <f t="shared" si="13"/>
        <v>1166.4494137448444</v>
      </c>
      <c r="H85" s="5">
        <f t="shared" si="7"/>
        <v>1170.7348782673164</v>
      </c>
      <c r="I85" s="5">
        <f t="shared" si="8"/>
        <v>1172.9878136776317</v>
      </c>
      <c r="J85" s="5">
        <f t="shared" si="9"/>
        <v>1174.5334808070927</v>
      </c>
      <c r="K85" s="5">
        <f t="shared" si="10"/>
        <v>1175.137628697355</v>
      </c>
      <c r="L85" s="5">
        <f t="shared" si="11"/>
        <v>1175.2939367161941</v>
      </c>
      <c r="M85" s="5">
        <f t="shared" si="12"/>
        <v>1175.3199401248141</v>
      </c>
    </row>
    <row r="86" spans="6:13">
      <c r="F86">
        <v>85</v>
      </c>
      <c r="G86" s="5">
        <f t="shared" si="13"/>
        <v>1168.5893711945644</v>
      </c>
      <c r="H86" s="5">
        <f t="shared" si="7"/>
        <v>1172.9339037144446</v>
      </c>
      <c r="I86" s="5">
        <f t="shared" si="8"/>
        <v>1175.2179680629206</v>
      </c>
      <c r="J86" s="5">
        <f t="shared" si="9"/>
        <v>1176.7850219766176</v>
      </c>
      <c r="K86" s="5">
        <f t="shared" si="10"/>
        <v>1177.397535897162</v>
      </c>
      <c r="L86" s="5">
        <f t="shared" si="11"/>
        <v>1177.5560090256911</v>
      </c>
      <c r="M86" s="5">
        <f t="shared" si="12"/>
        <v>1177.5823726463939</v>
      </c>
    </row>
    <row r="87" spans="6:13">
      <c r="F87">
        <v>86</v>
      </c>
      <c r="G87" s="5">
        <f t="shared" si="13"/>
        <v>1170.7332545906925</v>
      </c>
      <c r="H87" s="5">
        <f t="shared" si="7"/>
        <v>1175.137059655169</v>
      </c>
      <c r="I87" s="5">
        <f t="shared" si="8"/>
        <v>1177.4523625507275</v>
      </c>
      <c r="J87" s="5">
        <f t="shared" si="9"/>
        <v>1179.040879274819</v>
      </c>
      <c r="K87" s="5">
        <f t="shared" si="10"/>
        <v>1179.6617891245551</v>
      </c>
      <c r="L87" s="5">
        <f t="shared" si="11"/>
        <v>1179.8224351151009</v>
      </c>
      <c r="M87" s="5">
        <f t="shared" si="12"/>
        <v>1179.8491602382314</v>
      </c>
    </row>
    <row r="88" spans="6:13">
      <c r="F88">
        <v>87</v>
      </c>
      <c r="G88" s="5">
        <f t="shared" si="13"/>
        <v>1172.8810711357348</v>
      </c>
      <c r="H88" s="5">
        <f t="shared" si="7"/>
        <v>1177.3443538479153</v>
      </c>
      <c r="I88" s="5">
        <f t="shared" si="8"/>
        <v>1179.6910052025876</v>
      </c>
      <c r="J88" s="5">
        <f t="shared" si="9"/>
        <v>1181.3010609755706</v>
      </c>
      <c r="K88" s="5">
        <f t="shared" si="10"/>
        <v>1181.9303967373801</v>
      </c>
      <c r="L88" s="5">
        <f t="shared" si="11"/>
        <v>1182.0932233640849</v>
      </c>
      <c r="M88" s="5">
        <f t="shared" si="12"/>
        <v>1182.120311283621</v>
      </c>
    </row>
    <row r="89" spans="6:13">
      <c r="F89">
        <v>88</v>
      </c>
      <c r="G89" s="5">
        <f t="shared" si="13"/>
        <v>1175.0328280454103</v>
      </c>
      <c r="H89" s="5">
        <f t="shared" si="7"/>
        <v>1179.5557940656836</v>
      </c>
      <c r="I89" s="5">
        <f t="shared" si="8"/>
        <v>1181.9339040953644</v>
      </c>
      <c r="J89" s="5">
        <f t="shared" si="9"/>
        <v>1183.5655753686062</v>
      </c>
      <c r="K89" s="5">
        <f t="shared" si="10"/>
        <v>1184.2033671095555</v>
      </c>
      <c r="L89" s="5">
        <f t="shared" si="11"/>
        <v>1184.3683821684324</v>
      </c>
      <c r="M89" s="5">
        <f t="shared" si="12"/>
        <v>1184.3958341819937</v>
      </c>
    </row>
    <row r="90" spans="6:13">
      <c r="F90">
        <v>89</v>
      </c>
      <c r="G90" s="5">
        <f t="shared" si="13"/>
        <v>1177.1885325486758</v>
      </c>
      <c r="H90" s="5">
        <f t="shared" si="7"/>
        <v>1181.7713880960735</v>
      </c>
      <c r="I90" s="5">
        <f t="shared" si="8"/>
        <v>1184.1810673212769</v>
      </c>
      <c r="J90" s="5">
        <f t="shared" si="9"/>
        <v>1185.8344307595514</v>
      </c>
      <c r="K90" s="5">
        <f t="shared" si="10"/>
        <v>1186.4807086311041</v>
      </c>
      <c r="L90" s="5">
        <f t="shared" si="11"/>
        <v>1186.6479199400917</v>
      </c>
      <c r="M90" s="5">
        <f t="shared" si="12"/>
        <v>1186.6757373489495</v>
      </c>
    </row>
    <row r="91" spans="6:13">
      <c r="F91">
        <v>90</v>
      </c>
      <c r="G91" s="5">
        <f t="shared" si="13"/>
        <v>1179.3481918877503</v>
      </c>
      <c r="H91" s="5">
        <f t="shared" si="7"/>
        <v>1183.9911437413118</v>
      </c>
      <c r="I91" s="5">
        <f t="shared" si="8"/>
        <v>1186.4325029879292</v>
      </c>
      <c r="J91" s="5">
        <f t="shared" si="9"/>
        <v>1188.1076354699533</v>
      </c>
      <c r="K91" s="5">
        <f t="shared" si="10"/>
        <v>1188.7624297081832</v>
      </c>
      <c r="L91" s="5">
        <f t="shared" si="11"/>
        <v>1188.9318451072024</v>
      </c>
      <c r="M91" s="5">
        <f t="shared" si="12"/>
        <v>1188.9600292162884</v>
      </c>
    </row>
    <row r="92" spans="6:13">
      <c r="F92">
        <v>91</v>
      </c>
      <c r="G92" s="5">
        <f t="shared" si="13"/>
        <v>1181.5118133181402</v>
      </c>
      <c r="H92" s="5">
        <f t="shared" si="7"/>
        <v>1186.2150688182815</v>
      </c>
      <c r="I92" s="5">
        <f t="shared" si="8"/>
        <v>1188.6882192183409</v>
      </c>
      <c r="J92" s="5">
        <f t="shared" si="9"/>
        <v>1190.3851978373107</v>
      </c>
      <c r="K92" s="5">
        <f t="shared" si="10"/>
        <v>1191.0485387631163</v>
      </c>
      <c r="L92" s="5">
        <f t="shared" si="11"/>
        <v>1191.2201661141248</v>
      </c>
      <c r="M92" s="5">
        <f t="shared" si="12"/>
        <v>1191.2487182320397</v>
      </c>
    </row>
    <row r="93" spans="6:13">
      <c r="F93">
        <v>92</v>
      </c>
      <c r="G93" s="5">
        <f t="shared" si="13"/>
        <v>1183.6794041086612</v>
      </c>
      <c r="H93" s="5">
        <f t="shared" si="7"/>
        <v>1188.4431711585476</v>
      </c>
      <c r="I93" s="5">
        <f t="shared" si="8"/>
        <v>1190.9482241509747</v>
      </c>
      <c r="J93" s="5">
        <f t="shared" si="9"/>
        <v>1192.6671262151053</v>
      </c>
      <c r="K93" s="5">
        <f t="shared" si="10"/>
        <v>1193.3390442344237</v>
      </c>
      <c r="L93" s="5">
        <f t="shared" si="11"/>
        <v>1193.5128914214722</v>
      </c>
      <c r="M93" s="5">
        <f t="shared" si="12"/>
        <v>1193.5418128604967</v>
      </c>
    </row>
    <row r="94" spans="6:13">
      <c r="F94">
        <v>93</v>
      </c>
      <c r="G94" s="5">
        <f t="shared" si="13"/>
        <v>1185.8509715414657</v>
      </c>
      <c r="H94" s="5">
        <f t="shared" si="7"/>
        <v>1190.6754586083855</v>
      </c>
      <c r="I94" s="5">
        <f t="shared" si="8"/>
        <v>1193.2125259397674</v>
      </c>
      <c r="J94" s="5">
        <f t="shared" si="9"/>
        <v>1194.9534289728329</v>
      </c>
      <c r="K94" s="5">
        <f t="shared" si="10"/>
        <v>1195.6339545768535</v>
      </c>
      <c r="L94" s="5">
        <f t="shared" si="11"/>
        <v>1195.810029506142</v>
      </c>
      <c r="M94" s="5">
        <f t="shared" si="12"/>
        <v>1195.8393215822443</v>
      </c>
    </row>
    <row r="95" spans="6:13">
      <c r="F95">
        <v>94</v>
      </c>
      <c r="G95" s="5">
        <f t="shared" si="13"/>
        <v>1188.0265229120653</v>
      </c>
      <c r="H95" s="5">
        <f t="shared" si="7"/>
        <v>1192.9119390288081</v>
      </c>
      <c r="I95" s="5">
        <f t="shared" si="8"/>
        <v>1195.4811327541579</v>
      </c>
      <c r="J95" s="5">
        <f t="shared" si="9"/>
        <v>1197.2441144960317</v>
      </c>
      <c r="K95" s="5">
        <f t="shared" si="10"/>
        <v>1197.933278261414</v>
      </c>
      <c r="L95" s="5">
        <f t="shared" si="11"/>
        <v>1198.1115888613467</v>
      </c>
      <c r="M95" s="5">
        <f t="shared" si="12"/>
        <v>1198.1412528941935</v>
      </c>
    </row>
    <row r="96" spans="6:13">
      <c r="F96">
        <v>95</v>
      </c>
      <c r="G96" s="5">
        <f t="shared" si="13"/>
        <v>1190.2060655293558</v>
      </c>
      <c r="H96" s="5">
        <f t="shared" si="7"/>
        <v>1195.1526202955952</v>
      </c>
      <c r="I96" s="5">
        <f t="shared" si="8"/>
        <v>1197.7540527791177</v>
      </c>
      <c r="J96" s="5">
        <f t="shared" si="9"/>
        <v>1199.5391911863162</v>
      </c>
      <c r="K96" s="5">
        <f t="shared" si="10"/>
        <v>1200.2370237754033</v>
      </c>
      <c r="L96" s="5">
        <f t="shared" si="11"/>
        <v>1200.4175779966458</v>
      </c>
      <c r="M96" s="5">
        <f t="shared" si="12"/>
        <v>1200.4476153096107</v>
      </c>
    </row>
    <row r="97" spans="6:13">
      <c r="F97">
        <v>96</v>
      </c>
      <c r="G97" s="5">
        <f t="shared" si="13"/>
        <v>1192.389606715642</v>
      </c>
      <c r="H97" s="5">
        <f t="shared" si="7"/>
        <v>1197.3975102993179</v>
      </c>
      <c r="I97" s="5">
        <f t="shared" si="8"/>
        <v>1200.03129421518</v>
      </c>
      <c r="J97" s="5">
        <f t="shared" si="9"/>
        <v>1201.8386674614062</v>
      </c>
      <c r="K97" s="5">
        <f t="shared" si="10"/>
        <v>1202.5451996224415</v>
      </c>
      <c r="L97" s="5">
        <f t="shared" si="11"/>
        <v>1202.7280054379773</v>
      </c>
      <c r="M97" s="5">
        <f t="shared" si="12"/>
        <v>1202.7584173581497</v>
      </c>
    </row>
    <row r="98" spans="6:13">
      <c r="F98">
        <v>97</v>
      </c>
      <c r="G98" s="5">
        <f t="shared" si="13"/>
        <v>1194.5771538066622</v>
      </c>
      <c r="H98" s="5">
        <f t="shared" si="7"/>
        <v>1199.6466169453704</v>
      </c>
      <c r="I98" s="5">
        <f t="shared" si="8"/>
        <v>1202.3128652784694</v>
      </c>
      <c r="J98" s="5">
        <f t="shared" si="9"/>
        <v>1204.1425517551575</v>
      </c>
      <c r="K98" s="5">
        <f t="shared" si="10"/>
        <v>1204.8578143225022</v>
      </c>
      <c r="L98" s="5">
        <f t="shared" si="11"/>
        <v>1205.0428797276886</v>
      </c>
      <c r="M98" s="5">
        <f t="shared" si="12"/>
        <v>1205.0736675858843</v>
      </c>
    </row>
    <row r="99" spans="6:13">
      <c r="F99">
        <v>98</v>
      </c>
      <c r="G99" s="5">
        <f t="shared" si="13"/>
        <v>1196.7687141516124</v>
      </c>
      <c r="H99" s="5">
        <f t="shared" si="7"/>
        <v>1201.8999481539943</v>
      </c>
      <c r="I99" s="5">
        <f t="shared" si="8"/>
        <v>1204.598774200731</v>
      </c>
      <c r="J99" s="5">
        <f t="shared" si="9"/>
        <v>1206.4508525175931</v>
      </c>
      <c r="K99" s="5">
        <f t="shared" si="10"/>
        <v>1207.1748764119441</v>
      </c>
      <c r="L99" s="5">
        <f t="shared" si="11"/>
        <v>1207.3622094245684</v>
      </c>
      <c r="M99" s="5">
        <f t="shared" si="12"/>
        <v>1207.3933745553384</v>
      </c>
    </row>
    <row r="100" spans="6:13">
      <c r="F100">
        <v>99</v>
      </c>
      <c r="G100" s="5">
        <f t="shared" si="13"/>
        <v>1198.9642951131718</v>
      </c>
      <c r="H100" s="5">
        <f t="shared" si="7"/>
        <v>1204.1575118603087</v>
      </c>
      <c r="I100" s="5">
        <f t="shared" si="8"/>
        <v>1206.8890292293613</v>
      </c>
      <c r="J100" s="5">
        <f t="shared" si="9"/>
        <v>1208.7635782149357</v>
      </c>
      <c r="K100" s="5">
        <f t="shared" si="10"/>
        <v>1209.4963944435415</v>
      </c>
      <c r="L100" s="5">
        <f t="shared" si="11"/>
        <v>1209.6860031038782</v>
      </c>
      <c r="M100" s="5">
        <f t="shared" si="12"/>
        <v>1209.7175468455182</v>
      </c>
    </row>
    <row r="101" spans="6:13">
      <c r="F101">
        <v>100</v>
      </c>
      <c r="G101" s="5">
        <f t="shared" si="13"/>
        <v>1201.1639040675268</v>
      </c>
      <c r="H101" s="5">
        <f t="shared" si="7"/>
        <v>1206.4193160143377</v>
      </c>
      <c r="I101" s="5">
        <f t="shared" si="8"/>
        <v>1209.1836386274367</v>
      </c>
      <c r="J101" s="5">
        <f t="shared" si="9"/>
        <v>1211.0807373296363</v>
      </c>
      <c r="K101" s="5">
        <f t="shared" si="10"/>
        <v>1211.8223769865169</v>
      </c>
      <c r="L101" s="5">
        <f t="shared" si="11"/>
        <v>1212.014269357385</v>
      </c>
      <c r="M101" s="5">
        <f t="shared" si="12"/>
        <v>1212.0461930519446</v>
      </c>
    </row>
    <row r="102" spans="6:13">
      <c r="F102">
        <v>101</v>
      </c>
      <c r="G102" s="5">
        <f t="shared" si="13"/>
        <v>1203.3675484043965</v>
      </c>
      <c r="H102" s="5">
        <f t="shared" si="7"/>
        <v>1208.6853685810374</v>
      </c>
      <c r="I102" s="5">
        <f t="shared" si="8"/>
        <v>1211.4826106737444</v>
      </c>
      <c r="J102" s="5">
        <f t="shared" si="9"/>
        <v>1213.4023383604069</v>
      </c>
      <c r="K102" s="5">
        <f t="shared" si="10"/>
        <v>1214.1528326265723</v>
      </c>
      <c r="L102" s="5">
        <f t="shared" si="11"/>
        <v>1214.3470167933915</v>
      </c>
      <c r="M102" s="5">
        <f t="shared" si="12"/>
        <v>1214.3793217866844</v>
      </c>
    </row>
    <row r="103" spans="6:13">
      <c r="F103">
        <v>102</v>
      </c>
      <c r="G103" s="5">
        <f t="shared" si="13"/>
        <v>1205.5752355270567</v>
      </c>
      <c r="H103" s="5">
        <f t="shared" si="7"/>
        <v>1210.9556775403257</v>
      </c>
      <c r="I103" s="5">
        <f t="shared" si="8"/>
        <v>1213.7859536628114</v>
      </c>
      <c r="J103" s="5">
        <f t="shared" si="9"/>
        <v>1215.7283898222511</v>
      </c>
      <c r="K103" s="5">
        <f t="shared" si="10"/>
        <v>1216.4877699659207</v>
      </c>
      <c r="L103" s="5">
        <f t="shared" si="11"/>
        <v>1216.6842540367688</v>
      </c>
      <c r="M103" s="5">
        <f t="shared" si="12"/>
        <v>1216.7169416783815</v>
      </c>
    </row>
    <row r="104" spans="6:13">
      <c r="F104">
        <v>103</v>
      </c>
      <c r="G104" s="5">
        <f t="shared" si="13"/>
        <v>1207.7869728523656</v>
      </c>
      <c r="H104" s="5">
        <f t="shared" si="7"/>
        <v>1213.2302508871085</v>
      </c>
      <c r="I104" s="5">
        <f t="shared" si="8"/>
        <v>1216.0936759049343</v>
      </c>
      <c r="J104" s="5">
        <f t="shared" si="9"/>
        <v>1218.0589002464956</v>
      </c>
      <c r="K104" s="5">
        <f t="shared" si="10"/>
        <v>1218.8271976233182</v>
      </c>
      <c r="L104" s="5">
        <f t="shared" si="11"/>
        <v>1219.0259897289884</v>
      </c>
      <c r="M104" s="5">
        <f t="shared" si="12"/>
        <v>1219.0590613722904</v>
      </c>
    </row>
    <row r="105" spans="6:13">
      <c r="F105">
        <v>104</v>
      </c>
      <c r="G105" s="5">
        <f t="shared" si="13"/>
        <v>1210.0027678107874</v>
      </c>
      <c r="H105" s="5">
        <f t="shared" si="7"/>
        <v>1215.5090966313089</v>
      </c>
      <c r="I105" s="5">
        <f t="shared" si="8"/>
        <v>1218.4057857262105</v>
      </c>
      <c r="J105" s="5">
        <f t="shared" si="9"/>
        <v>1220.3938781808213</v>
      </c>
      <c r="K105" s="5">
        <f t="shared" si="10"/>
        <v>1221.1711242340957</v>
      </c>
      <c r="L105" s="5">
        <f t="shared" si="11"/>
        <v>1221.3722325281537</v>
      </c>
      <c r="M105" s="5">
        <f t="shared" si="12"/>
        <v>1221.4056895303072</v>
      </c>
    </row>
    <row r="106" spans="6:13">
      <c r="F106">
        <v>105</v>
      </c>
      <c r="G106" s="5">
        <f t="shared" si="13"/>
        <v>1212.2226278464191</v>
      </c>
      <c r="H106" s="5">
        <f t="shared" si="7"/>
        <v>1217.7922227978959</v>
      </c>
      <c r="I106" s="5">
        <f t="shared" si="8"/>
        <v>1220.7222914685672</v>
      </c>
      <c r="J106" s="5">
        <f t="shared" si="9"/>
        <v>1222.7333321892945</v>
      </c>
      <c r="K106" s="5">
        <f t="shared" si="10"/>
        <v>1223.5195584501901</v>
      </c>
      <c r="L106" s="5">
        <f t="shared" si="11"/>
        <v>1223.7229911090326</v>
      </c>
      <c r="M106" s="5">
        <f t="shared" si="12"/>
        <v>1223.7568348310006</v>
      </c>
    </row>
    <row r="107" spans="6:13">
      <c r="F107">
        <v>106</v>
      </c>
      <c r="G107" s="5">
        <f t="shared" si="13"/>
        <v>1214.4465604170143</v>
      </c>
      <c r="H107" s="5">
        <f t="shared" si="7"/>
        <v>1220.0796374269116</v>
      </c>
      <c r="I107" s="5">
        <f t="shared" si="8"/>
        <v>1223.0432014897915</v>
      </c>
      <c r="J107" s="5">
        <f t="shared" si="9"/>
        <v>1225.0772708523991</v>
      </c>
      <c r="K107" s="5">
        <f t="shared" si="10"/>
        <v>1225.8725089401778</v>
      </c>
      <c r="L107" s="5">
        <f t="shared" si="11"/>
        <v>1226.0782741630887</v>
      </c>
      <c r="M107" s="5">
        <f t="shared" si="12"/>
        <v>1226.1125059696467</v>
      </c>
    </row>
    <row r="108" spans="6:13">
      <c r="F108">
        <v>107</v>
      </c>
      <c r="G108" s="5">
        <f t="shared" si="13"/>
        <v>1216.6745729940085</v>
      </c>
      <c r="H108" s="5">
        <f t="shared" si="7"/>
        <v>1222.3713485735</v>
      </c>
      <c r="I108" s="5">
        <f t="shared" si="8"/>
        <v>1225.368524163561</v>
      </c>
      <c r="J108" s="5">
        <f t="shared" si="9"/>
        <v>1227.4257027670672</v>
      </c>
      <c r="K108" s="5">
        <f t="shared" si="10"/>
        <v>1228.2299843893049</v>
      </c>
      <c r="L108" s="5">
        <f t="shared" si="11"/>
        <v>1228.4380903985143</v>
      </c>
      <c r="M108" s="5">
        <f t="shared" si="12"/>
        <v>1228.4727116582585</v>
      </c>
    </row>
    <row r="109" spans="6:13">
      <c r="F109">
        <v>108</v>
      </c>
      <c r="G109" s="5">
        <f t="shared" si="13"/>
        <v>1218.9066730625441</v>
      </c>
      <c r="H109" s="5">
        <f t="shared" si="7"/>
        <v>1224.6673643079348</v>
      </c>
      <c r="I109" s="5">
        <f t="shared" si="8"/>
        <v>1227.6982678794741</v>
      </c>
      <c r="J109" s="5">
        <f t="shared" si="9"/>
        <v>1229.7786365467105</v>
      </c>
      <c r="K109" s="5">
        <f t="shared" si="10"/>
        <v>1230.5919934995204</v>
      </c>
      <c r="L109" s="5">
        <f t="shared" si="11"/>
        <v>1230.8024485402623</v>
      </c>
      <c r="M109" s="5">
        <f t="shared" si="12"/>
        <v>1230.8374606256193</v>
      </c>
    </row>
    <row r="110" spans="6:13">
      <c r="F110">
        <v>109</v>
      </c>
      <c r="G110" s="5">
        <f t="shared" si="13"/>
        <v>1221.1428681214959</v>
      </c>
      <c r="H110" s="5">
        <f t="shared" si="7"/>
        <v>1226.9676927156497</v>
      </c>
      <c r="I110" s="5">
        <f t="shared" si="8"/>
        <v>1230.0324410430799</v>
      </c>
      <c r="J110" s="5">
        <f t="shared" si="9"/>
        <v>1232.136080821253</v>
      </c>
      <c r="K110" s="5">
        <f t="shared" si="10"/>
        <v>1232.9585449895083</v>
      </c>
      <c r="L110" s="5">
        <f t="shared" si="11"/>
        <v>1233.1713573300779</v>
      </c>
      <c r="M110" s="5">
        <f t="shared" si="12"/>
        <v>1233.2067616173156</v>
      </c>
    </row>
    <row r="111" spans="6:13">
      <c r="F111">
        <v>110</v>
      </c>
      <c r="G111" s="5">
        <f t="shared" si="13"/>
        <v>1223.3831656834957</v>
      </c>
      <c r="H111" s="5">
        <f t="shared" si="7"/>
        <v>1229.2723418972639</v>
      </c>
      <c r="I111" s="5">
        <f t="shared" si="8"/>
        <v>1232.3710520759084</v>
      </c>
      <c r="J111" s="5">
        <f t="shared" si="9"/>
        <v>1234.4980442371616</v>
      </c>
      <c r="K111" s="5">
        <f t="shared" si="10"/>
        <v>1235.3296475947188</v>
      </c>
      <c r="L111" s="5">
        <f t="shared" si="11"/>
        <v>1235.5448255265319</v>
      </c>
      <c r="M111" s="5">
        <f t="shared" si="12"/>
        <v>1235.580623395768</v>
      </c>
    </row>
    <row r="112" spans="6:13">
      <c r="F112">
        <v>111</v>
      </c>
      <c r="G112" s="5">
        <f t="shared" si="13"/>
        <v>1225.6275732749584</v>
      </c>
      <c r="H112" s="5">
        <f t="shared" si="7"/>
        <v>1231.5813199686131</v>
      </c>
      <c r="I112" s="5">
        <f t="shared" si="8"/>
        <v>1234.7141094155011</v>
      </c>
      <c r="J112" s="5">
        <f t="shared" si="9"/>
        <v>1236.8645354574783</v>
      </c>
      <c r="K112" s="5">
        <f t="shared" si="10"/>
        <v>1237.7053100674023</v>
      </c>
      <c r="L112" s="5">
        <f t="shared" si="11"/>
        <v>1237.9228619050527</v>
      </c>
      <c r="M112" s="5">
        <f t="shared" si="12"/>
        <v>1237.9590547402643</v>
      </c>
    </row>
    <row r="113" spans="6:13">
      <c r="F113">
        <v>112</v>
      </c>
      <c r="G113" s="5">
        <f t="shared" si="13"/>
        <v>1227.8760984361065</v>
      </c>
      <c r="H113" s="5">
        <f t="shared" si="7"/>
        <v>1233.8946350607775</v>
      </c>
      <c r="I113" s="5">
        <f t="shared" si="8"/>
        <v>1237.0616215154414</v>
      </c>
      <c r="J113" s="5">
        <f t="shared" si="9"/>
        <v>1239.2355631618516</v>
      </c>
      <c r="K113" s="5">
        <f t="shared" si="10"/>
        <v>1240.0855411766395</v>
      </c>
      <c r="L113" s="5">
        <f t="shared" si="11"/>
        <v>1240.3054752579578</v>
      </c>
      <c r="M113" s="5">
        <f t="shared" si="12"/>
        <v>1240.3420644469925</v>
      </c>
    </row>
    <row r="114" spans="6:13">
      <c r="F114">
        <v>113</v>
      </c>
      <c r="G114" s="5">
        <f t="shared" si="13"/>
        <v>1230.1287487209959</v>
      </c>
      <c r="H114" s="5">
        <f t="shared" si="7"/>
        <v>1236.2122953201094</v>
      </c>
      <c r="I114" s="5">
        <f t="shared" si="8"/>
        <v>1239.4135968453857</v>
      </c>
      <c r="J114" s="5">
        <f t="shared" si="9"/>
        <v>1241.6111360465693</v>
      </c>
      <c r="K114" s="5">
        <f t="shared" si="10"/>
        <v>1242.4703497083758</v>
      </c>
      <c r="L114" s="5">
        <f t="shared" si="11"/>
        <v>1242.6926743944884</v>
      </c>
      <c r="M114" s="5">
        <f t="shared" si="12"/>
        <v>1242.7296613290723</v>
      </c>
    </row>
    <row r="115" spans="6:13">
      <c r="F115">
        <v>114</v>
      </c>
      <c r="G115" s="5">
        <f t="shared" si="13"/>
        <v>1232.3855316975407</v>
      </c>
      <c r="H115" s="5">
        <f t="shared" si="7"/>
        <v>1238.5343089082628</v>
      </c>
      <c r="I115" s="5">
        <f t="shared" si="8"/>
        <v>1241.7700438910931</v>
      </c>
      <c r="J115" s="5">
        <f t="shared" si="9"/>
        <v>1243.9912628245888</v>
      </c>
      <c r="K115" s="5">
        <f t="shared" si="10"/>
        <v>1244.8597444654522</v>
      </c>
      <c r="L115" s="5">
        <f t="shared" si="11"/>
        <v>1245.08446814084</v>
      </c>
      <c r="M115" s="5">
        <f t="shared" si="12"/>
        <v>1245.1218542165886</v>
      </c>
    </row>
    <row r="116" spans="6:13">
      <c r="F116">
        <v>115</v>
      </c>
      <c r="G116" s="5">
        <f t="shared" si="13"/>
        <v>1234.6464549475393</v>
      </c>
      <c r="H116" s="5">
        <f t="shared" si="7"/>
        <v>1240.8606840022223</v>
      </c>
      <c r="I116" s="5">
        <f t="shared" si="8"/>
        <v>1244.1309711544559</v>
      </c>
      <c r="J116" s="5">
        <f t="shared" si="9"/>
        <v>1246.3759522255707</v>
      </c>
      <c r="K116" s="5">
        <f t="shared" si="10"/>
        <v>1247.2537342676389</v>
      </c>
      <c r="L116" s="5">
        <f t="shared" si="11"/>
        <v>1247.4808653401954</v>
      </c>
      <c r="M116" s="5">
        <f t="shared" si="12"/>
        <v>1247.5186519566237</v>
      </c>
    </row>
    <row r="117" spans="6:13">
      <c r="F117">
        <v>116</v>
      </c>
      <c r="G117" s="5">
        <f t="shared" si="13"/>
        <v>1236.9115260666999</v>
      </c>
      <c r="H117" s="5">
        <f t="shared" si="7"/>
        <v>1243.1914287943314</v>
      </c>
      <c r="I117" s="5">
        <f t="shared" si="8"/>
        <v>1246.4963871535313</v>
      </c>
      <c r="J117" s="5">
        <f t="shared" si="9"/>
        <v>1248.7652129959092</v>
      </c>
      <c r="K117" s="5">
        <f t="shared" si="10"/>
        <v>1249.6523279516673</v>
      </c>
      <c r="L117" s="5">
        <f t="shared" si="11"/>
        <v>1249.8818748527585</v>
      </c>
      <c r="M117" s="5">
        <f t="shared" si="12"/>
        <v>1249.9200634132901</v>
      </c>
    </row>
    <row r="118" spans="6:13">
      <c r="F118">
        <v>117</v>
      </c>
      <c r="G118" s="5">
        <f t="shared" si="13"/>
        <v>1239.1807526646653</v>
      </c>
      <c r="H118" s="5">
        <f t="shared" ref="H118:H181" si="14">$C$2*(1+$C$1/$D$6)^(F118*$D$6*0.019231)</f>
        <v>1245.5265514923212</v>
      </c>
      <c r="I118" s="5">
        <f t="shared" ref="I118:I181" si="15">$C$2*(1+$C$1/$D$7)^(F118*$D$7*0.019231)</f>
        <v>1248.8663004225716</v>
      </c>
      <c r="J118" s="5">
        <f t="shared" ref="J118:J181" si="16">$C$2*(1+$C$1/$D$8)^(F118*$D$8*0.019231)</f>
        <v>1251.1590538987659</v>
      </c>
      <c r="K118" s="5">
        <f t="shared" ref="K118:K181" si="17">$C$2*(1+$C$1/$D$9)^(F118*$D$9*0.019231)</f>
        <v>1252.0555343712626</v>
      </c>
      <c r="L118" s="5">
        <f t="shared" ref="L118:L181" si="18">$C$2*(1+$C$1/$D$10)^(F118*$D$10*0.019231)</f>
        <v>1252.2875055557861</v>
      </c>
      <c r="M118" s="5">
        <f t="shared" ref="M118:M181" si="19">$C$2*EXP($C$1*F118*0.019231)</f>
        <v>1252.3260974677628</v>
      </c>
    </row>
    <row r="119" spans="6:13">
      <c r="F119">
        <v>118</v>
      </c>
      <c r="G119" s="5">
        <f t="shared" si="13"/>
        <v>1241.4541423650385</v>
      </c>
      <c r="H119" s="5">
        <f t="shared" si="14"/>
        <v>1247.8660603193402</v>
      </c>
      <c r="I119" s="5">
        <f t="shared" si="15"/>
        <v>1251.2407195120543</v>
      </c>
      <c r="J119" s="5">
        <f t="shared" si="16"/>
        <v>1253.557483714101</v>
      </c>
      <c r="K119" s="5">
        <f t="shared" si="17"/>
        <v>1254.463362397177</v>
      </c>
      <c r="L119" s="5">
        <f t="shared" si="18"/>
        <v>1254.6977663436207</v>
      </c>
      <c r="M119" s="5">
        <f t="shared" si="19"/>
        <v>1254.7367630183135</v>
      </c>
    </row>
    <row r="120" spans="6:13">
      <c r="F120">
        <v>119</v>
      </c>
      <c r="G120" s="5">
        <f t="shared" si="13"/>
        <v>1243.7317028054099</v>
      </c>
      <c r="H120" s="5">
        <f t="shared" si="14"/>
        <v>1250.2099635139828</v>
      </c>
      <c r="I120" s="5">
        <f t="shared" si="15"/>
        <v>1253.6196529887141</v>
      </c>
      <c r="J120" s="5">
        <f t="shared" si="16"/>
        <v>1255.9605112387051</v>
      </c>
      <c r="K120" s="5">
        <f t="shared" si="17"/>
        <v>1256.8758209172211</v>
      </c>
      <c r="L120" s="5">
        <f t="shared" si="18"/>
        <v>1257.1126661277237</v>
      </c>
      <c r="M120" s="5">
        <f t="shared" si="19"/>
        <v>1257.1520689803419</v>
      </c>
    </row>
    <row r="121" spans="6:13">
      <c r="F121">
        <v>120</v>
      </c>
      <c r="G121" s="5">
        <f t="shared" si="13"/>
        <v>1246.0134416373808</v>
      </c>
      <c r="H121" s="5">
        <f t="shared" si="14"/>
        <v>1252.5582693303172</v>
      </c>
      <c r="I121" s="5">
        <f t="shared" si="15"/>
        <v>1256.0031094355729</v>
      </c>
      <c r="J121" s="5">
        <f t="shared" si="16"/>
        <v>1258.368145286232</v>
      </c>
      <c r="K121" s="5">
        <f t="shared" si="17"/>
        <v>1259.2929188362989</v>
      </c>
      <c r="L121" s="5">
        <f t="shared" si="18"/>
        <v>1259.5322138367087</v>
      </c>
      <c r="M121" s="5">
        <f t="shared" si="19"/>
        <v>1259.5720242864099</v>
      </c>
    </row>
    <row r="122" spans="6:13">
      <c r="F122">
        <v>121</v>
      </c>
      <c r="G122" s="5">
        <f t="shared" si="13"/>
        <v>1248.2993665265901</v>
      </c>
      <c r="H122" s="5">
        <f t="shared" si="14"/>
        <v>1254.9109860379162</v>
      </c>
      <c r="I122" s="5">
        <f t="shared" si="15"/>
        <v>1258.391097451972</v>
      </c>
      <c r="J122" s="5">
        <f t="shared" si="16"/>
        <v>1260.7803946872314</v>
      </c>
      <c r="K122" s="5">
        <f t="shared" si="17"/>
        <v>1261.7146650764382</v>
      </c>
      <c r="L122" s="5">
        <f t="shared" si="18"/>
        <v>1261.9564184163733</v>
      </c>
      <c r="M122" s="5">
        <f t="shared" si="19"/>
        <v>1261.9966378862734</v>
      </c>
    </row>
    <row r="123" spans="6:13">
      <c r="F123">
        <v>122</v>
      </c>
      <c r="G123" s="5">
        <f t="shared" si="13"/>
        <v>1250.5894851527401</v>
      </c>
      <c r="H123" s="5">
        <f t="shared" si="14"/>
        <v>1257.2681219218853</v>
      </c>
      <c r="I123" s="5">
        <f t="shared" si="15"/>
        <v>1260.7836256536009</v>
      </c>
      <c r="J123" s="5">
        <f t="shared" si="16"/>
        <v>1263.1972682891806</v>
      </c>
      <c r="K123" s="5">
        <f t="shared" si="17"/>
        <v>1264.1410685768258</v>
      </c>
      <c r="L123" s="5">
        <f t="shared" si="18"/>
        <v>1264.3852888297336</v>
      </c>
      <c r="M123" s="5">
        <f t="shared" si="19"/>
        <v>1264.4259187469174</v>
      </c>
    </row>
    <row r="124" spans="6:13">
      <c r="F124">
        <v>123</v>
      </c>
      <c r="G124" s="5">
        <f t="shared" si="13"/>
        <v>1252.883805209623</v>
      </c>
      <c r="H124" s="5">
        <f t="shared" si="14"/>
        <v>1259.6296852828928</v>
      </c>
      <c r="I124" s="5">
        <f t="shared" si="15"/>
        <v>1263.180702672531</v>
      </c>
      <c r="J124" s="5">
        <f t="shared" si="16"/>
        <v>1265.6187749565172</v>
      </c>
      <c r="K124" s="5">
        <f t="shared" si="17"/>
        <v>1266.5721382938386</v>
      </c>
      <c r="L124" s="5">
        <f t="shared" si="18"/>
        <v>1266.8188340570564</v>
      </c>
      <c r="M124" s="5">
        <f t="shared" si="19"/>
        <v>1266.8598758525864</v>
      </c>
    </row>
    <row r="125" spans="6:13">
      <c r="F125">
        <v>124</v>
      </c>
      <c r="G125" s="5">
        <f t="shared" si="13"/>
        <v>1255.1823344051445</v>
      </c>
      <c r="H125" s="5">
        <f t="shared" si="14"/>
        <v>1261.995684437197</v>
      </c>
      <c r="I125" s="5">
        <f t="shared" si="15"/>
        <v>1265.5823371572451</v>
      </c>
      <c r="J125" s="5">
        <f t="shared" si="16"/>
        <v>1268.0449235706719</v>
      </c>
      <c r="K125" s="5">
        <f t="shared" si="17"/>
        <v>1269.0078832010784</v>
      </c>
      <c r="L125" s="5">
        <f t="shared" si="18"/>
        <v>1269.2570630958926</v>
      </c>
      <c r="M125" s="5">
        <f t="shared" si="19"/>
        <v>1269.2985182048205</v>
      </c>
    </row>
    <row r="126" spans="6:13">
      <c r="F126">
        <v>125</v>
      </c>
      <c r="G126" s="5">
        <f t="shared" si="13"/>
        <v>1257.4850804613525</v>
      </c>
      <c r="H126" s="5">
        <f t="shared" si="14"/>
        <v>1264.3661277166789</v>
      </c>
      <c r="I126" s="5">
        <f t="shared" si="15"/>
        <v>1267.9885377726682</v>
      </c>
      <c r="J126" s="5">
        <f t="shared" si="16"/>
        <v>1270.4757230301002</v>
      </c>
      <c r="K126" s="5">
        <f t="shared" si="17"/>
        <v>1271.448312289403</v>
      </c>
      <c r="L126" s="5">
        <f t="shared" si="18"/>
        <v>1271.6999849611111</v>
      </c>
      <c r="M126" s="5">
        <f t="shared" si="19"/>
        <v>1271.7418548224862</v>
      </c>
    </row>
    <row r="127" spans="6:13">
      <c r="F127">
        <v>126</v>
      </c>
      <c r="G127" s="5">
        <f t="shared" si="13"/>
        <v>1259.7920511144607</v>
      </c>
      <c r="H127" s="5">
        <f t="shared" si="14"/>
        <v>1266.7410234688673</v>
      </c>
      <c r="I127" s="5">
        <f t="shared" si="15"/>
        <v>1270.3993132002013</v>
      </c>
      <c r="J127" s="5">
        <f t="shared" si="16"/>
        <v>1272.9111822503164</v>
      </c>
      <c r="K127" s="5">
        <f t="shared" si="17"/>
        <v>1273.8934345669618</v>
      </c>
      <c r="L127" s="5">
        <f t="shared" si="18"/>
        <v>1274.1476086849311</v>
      </c>
      <c r="M127" s="5">
        <f t="shared" si="19"/>
        <v>1274.1898947418115</v>
      </c>
    </row>
    <row r="128" spans="6:13">
      <c r="F128">
        <v>127</v>
      </c>
      <c r="G128" s="5">
        <f t="shared" si="13"/>
        <v>1262.1032541148766</v>
      </c>
      <c r="H128" s="5">
        <f t="shared" si="14"/>
        <v>1269.1203800569724</v>
      </c>
      <c r="I128" s="5">
        <f t="shared" si="15"/>
        <v>1272.8146721377493</v>
      </c>
      <c r="J128" s="5">
        <f t="shared" si="16"/>
        <v>1275.3513101639251</v>
      </c>
      <c r="K128" s="5">
        <f t="shared" si="17"/>
        <v>1276.3432590592265</v>
      </c>
      <c r="L128" s="5">
        <f t="shared" si="18"/>
        <v>1276.5999433169559</v>
      </c>
      <c r="M128" s="5">
        <f t="shared" si="19"/>
        <v>1276.6426470164186</v>
      </c>
    </row>
    <row r="129" spans="6:13">
      <c r="F129">
        <v>128</v>
      </c>
      <c r="G129" s="5">
        <f t="shared" si="13"/>
        <v>1264.4186972272253</v>
      </c>
      <c r="H129" s="5">
        <f t="shared" si="14"/>
        <v>1271.5042058599115</v>
      </c>
      <c r="I129" s="5">
        <f t="shared" si="15"/>
        <v>1275.2346232997554</v>
      </c>
      <c r="J129" s="5">
        <f t="shared" si="16"/>
        <v>1277.7961157206544</v>
      </c>
      <c r="K129" s="5">
        <f t="shared" si="17"/>
        <v>1278.7977948090268</v>
      </c>
      <c r="L129" s="5">
        <f t="shared" si="18"/>
        <v>1279.0569979242068</v>
      </c>
      <c r="M129" s="5">
        <f t="shared" si="19"/>
        <v>1279.1001207173574</v>
      </c>
    </row>
    <row r="130" spans="6:13">
      <c r="F130">
        <v>129</v>
      </c>
      <c r="G130" s="5">
        <f t="shared" si="13"/>
        <v>1266.7383882303777</v>
      </c>
      <c r="H130" s="5">
        <f t="shared" si="14"/>
        <v>1273.8925092723414</v>
      </c>
      <c r="I130" s="5">
        <f t="shared" si="15"/>
        <v>1277.65917541723</v>
      </c>
      <c r="J130" s="5">
        <f t="shared" si="16"/>
        <v>1280.2456078873886</v>
      </c>
      <c r="K130" s="5">
        <f t="shared" si="17"/>
        <v>1281.2570508765816</v>
      </c>
      <c r="L130" s="5">
        <f t="shared" si="18"/>
        <v>1281.5187815911563</v>
      </c>
      <c r="M130" s="5">
        <f t="shared" si="19"/>
        <v>1281.5623249331388</v>
      </c>
    </row>
    <row r="131" spans="6:13">
      <c r="F131">
        <v>130</v>
      </c>
      <c r="G131" s="5">
        <f t="shared" si="13"/>
        <v>1269.0623349174757</v>
      </c>
      <c r="H131" s="5">
        <f t="shared" si="14"/>
        <v>1276.2852987046867</v>
      </c>
      <c r="I131" s="5">
        <f t="shared" si="15"/>
        <v>1280.0883372377843</v>
      </c>
      <c r="J131" s="5">
        <f t="shared" si="16"/>
        <v>1282.6997956482016</v>
      </c>
      <c r="K131" s="5">
        <f t="shared" si="17"/>
        <v>1283.721036339535</v>
      </c>
      <c r="L131" s="5">
        <f t="shared" si="18"/>
        <v>1283.9853034197615</v>
      </c>
      <c r="M131" s="5">
        <f t="shared" si="19"/>
        <v>1284.0292687697697</v>
      </c>
    </row>
    <row r="132" spans="6:13">
      <c r="F132">
        <v>131</v>
      </c>
      <c r="G132" s="5">
        <f t="shared" ref="G132:G195" si="20">$C$2*(1+$C$1)^(F132*0.019231/$D$5)</f>
        <v>1271.390545095958</v>
      </c>
      <c r="H132" s="5">
        <f t="shared" si="14"/>
        <v>1278.6825825831691</v>
      </c>
      <c r="I132" s="5">
        <f t="shared" si="15"/>
        <v>1282.5221175256606</v>
      </c>
      <c r="J132" s="5">
        <f t="shared" si="16"/>
        <v>1285.1586880043892</v>
      </c>
      <c r="K132" s="5">
        <f t="shared" si="17"/>
        <v>1286.1897602929866</v>
      </c>
      <c r="L132" s="5">
        <f t="shared" si="18"/>
        <v>1286.4565725294976</v>
      </c>
      <c r="M132" s="5">
        <f t="shared" si="19"/>
        <v>1286.5009613507843</v>
      </c>
    </row>
    <row r="133" spans="6:13">
      <c r="F133">
        <v>132</v>
      </c>
      <c r="G133" s="5">
        <f t="shared" si="20"/>
        <v>1273.7230265875869</v>
      </c>
      <c r="H133" s="5">
        <f t="shared" si="14"/>
        <v>1281.084369349838</v>
      </c>
      <c r="I133" s="5">
        <f t="shared" si="15"/>
        <v>1284.9605250617647</v>
      </c>
      <c r="J133" s="5">
        <f t="shared" si="16"/>
        <v>1287.6222939745028</v>
      </c>
      <c r="K133" s="5">
        <f t="shared" si="17"/>
        <v>1288.6632318495276</v>
      </c>
      <c r="L133" s="5">
        <f t="shared" si="18"/>
        <v>1288.9325980573924</v>
      </c>
      <c r="M133" s="5">
        <f t="shared" si="19"/>
        <v>1288.97741181728</v>
      </c>
    </row>
    <row r="134" spans="6:13">
      <c r="F134">
        <v>133</v>
      </c>
      <c r="G134" s="5">
        <f t="shared" si="20"/>
        <v>1276.059787228475</v>
      </c>
      <c r="H134" s="5">
        <f t="shared" si="14"/>
        <v>1283.4906674625995</v>
      </c>
      <c r="I134" s="5">
        <f t="shared" si="15"/>
        <v>1287.4035686436966</v>
      </c>
      <c r="J134" s="5">
        <f t="shared" si="16"/>
        <v>1290.0906225943813</v>
      </c>
      <c r="K134" s="5">
        <f t="shared" si="17"/>
        <v>1291.1414601392742</v>
      </c>
      <c r="L134" s="5">
        <f t="shared" si="18"/>
        <v>1291.4133891580598</v>
      </c>
      <c r="M134" s="5">
        <f t="shared" si="19"/>
        <v>1291.4586293279497</v>
      </c>
    </row>
    <row r="135" spans="6:13">
      <c r="F135">
        <v>134</v>
      </c>
      <c r="G135" s="5">
        <f t="shared" si="20"/>
        <v>1278.40083486911</v>
      </c>
      <c r="H135" s="5">
        <f t="shared" si="14"/>
        <v>1285.9014853952465</v>
      </c>
      <c r="I135" s="5">
        <f t="shared" si="15"/>
        <v>1289.8512570857831</v>
      </c>
      <c r="J135" s="5">
        <f t="shared" si="16"/>
        <v>1292.5636829171856</v>
      </c>
      <c r="K135" s="5">
        <f t="shared" si="17"/>
        <v>1293.6244543098996</v>
      </c>
      <c r="L135" s="5">
        <f t="shared" si="18"/>
        <v>1293.8989550037325</v>
      </c>
      <c r="M135" s="5">
        <f t="shared" si="19"/>
        <v>1293.9446230591172</v>
      </c>
    </row>
    <row r="136" spans="6:13">
      <c r="F136">
        <v>135</v>
      </c>
      <c r="G136" s="5">
        <f t="shared" si="20"/>
        <v>1280.7461773743826</v>
      </c>
      <c r="H136" s="5">
        <f t="shared" si="14"/>
        <v>1288.3168316374879</v>
      </c>
      <c r="I136" s="5">
        <f t="shared" si="15"/>
        <v>1292.3035992191096</v>
      </c>
      <c r="J136" s="5">
        <f t="shared" si="16"/>
        <v>1295.041484013431</v>
      </c>
      <c r="K136" s="5">
        <f t="shared" si="17"/>
        <v>1296.1122235266696</v>
      </c>
      <c r="L136" s="5">
        <f t="shared" si="18"/>
        <v>1296.3893047842978</v>
      </c>
      <c r="M136" s="5">
        <f t="shared" si="19"/>
        <v>1296.4354022047694</v>
      </c>
    </row>
    <row r="137" spans="6:13">
      <c r="F137">
        <v>136</v>
      </c>
      <c r="G137" s="5">
        <f t="shared" si="20"/>
        <v>1283.0958226236125</v>
      </c>
      <c r="H137" s="5">
        <f t="shared" si="14"/>
        <v>1290.7367146949805</v>
      </c>
      <c r="I137" s="5">
        <f t="shared" si="15"/>
        <v>1294.7606038915515</v>
      </c>
      <c r="J137" s="5">
        <f t="shared" si="16"/>
        <v>1297.5240349710209</v>
      </c>
      <c r="K137" s="5">
        <f t="shared" si="17"/>
        <v>1298.6047769724755</v>
      </c>
      <c r="L137" s="5">
        <f t="shared" si="18"/>
        <v>1298.8844477073305</v>
      </c>
      <c r="M137" s="5">
        <f t="shared" si="19"/>
        <v>1298.9309759765922</v>
      </c>
    </row>
    <row r="138" spans="6:13">
      <c r="F138">
        <v>137</v>
      </c>
      <c r="G138" s="5">
        <f t="shared" si="20"/>
        <v>1285.4497785105743</v>
      </c>
      <c r="H138" s="5">
        <f t="shared" si="14"/>
        <v>1293.1611430893558</v>
      </c>
      <c r="I138" s="5">
        <f t="shared" si="15"/>
        <v>1297.2222799678054</v>
      </c>
      <c r="J138" s="5">
        <f t="shared" si="16"/>
        <v>1300.0113448952793</v>
      </c>
      <c r="K138" s="5">
        <f t="shared" si="17"/>
        <v>1301.1021238478684</v>
      </c>
      <c r="L138" s="5">
        <f t="shared" si="18"/>
        <v>1301.3843929981267</v>
      </c>
      <c r="M138" s="5">
        <f t="shared" si="19"/>
        <v>1301.431353604002</v>
      </c>
    </row>
    <row r="139" spans="6:13">
      <c r="F139">
        <v>138</v>
      </c>
      <c r="G139" s="5">
        <f t="shared" si="20"/>
        <v>1287.8080529435244</v>
      </c>
      <c r="H139" s="5">
        <f t="shared" si="14"/>
        <v>1295.5901253582533</v>
      </c>
      <c r="I139" s="5">
        <f t="shared" si="15"/>
        <v>1299.6886363294238</v>
      </c>
      <c r="J139" s="5">
        <f t="shared" si="16"/>
        <v>1302.5034229089856</v>
      </c>
      <c r="K139" s="5">
        <f t="shared" si="17"/>
        <v>1303.6042733710926</v>
      </c>
      <c r="L139" s="5">
        <f t="shared" si="18"/>
        <v>1303.8891498997386</v>
      </c>
      <c r="M139" s="5">
        <f t="shared" si="19"/>
        <v>1303.9365443341828</v>
      </c>
    </row>
    <row r="140" spans="6:13">
      <c r="F140">
        <v>139</v>
      </c>
      <c r="G140" s="5">
        <f t="shared" si="20"/>
        <v>1290.1706538452286</v>
      </c>
      <c r="H140" s="5">
        <f t="shared" si="14"/>
        <v>1298.0236700553478</v>
      </c>
      <c r="I140" s="5">
        <f t="shared" si="15"/>
        <v>1302.1596818748437</v>
      </c>
      <c r="J140" s="5">
        <f t="shared" si="16"/>
        <v>1305.0002781524063</v>
      </c>
      <c r="K140" s="5">
        <f t="shared" si="17"/>
        <v>1306.1112347781204</v>
      </c>
      <c r="L140" s="5">
        <f t="shared" si="18"/>
        <v>1306.3987276730086</v>
      </c>
      <c r="M140" s="5">
        <f t="shared" si="19"/>
        <v>1306.4465574321182</v>
      </c>
    </row>
    <row r="141" spans="6:13">
      <c r="F141">
        <v>140</v>
      </c>
      <c r="G141" s="5">
        <f t="shared" si="20"/>
        <v>1292.5375891529861</v>
      </c>
      <c r="H141" s="5">
        <f t="shared" si="14"/>
        <v>1300.4617857503813</v>
      </c>
      <c r="I141" s="5">
        <f t="shared" si="15"/>
        <v>1304.6354255194215</v>
      </c>
      <c r="J141" s="5">
        <f t="shared" si="16"/>
        <v>1307.501919783331</v>
      </c>
      <c r="K141" s="5">
        <f t="shared" si="17"/>
        <v>1308.6230173226861</v>
      </c>
      <c r="L141" s="5">
        <f t="shared" si="18"/>
        <v>1308.9131355966026</v>
      </c>
      <c r="M141" s="5">
        <f t="shared" si="19"/>
        <v>1308.9614021806269</v>
      </c>
    </row>
    <row r="142" spans="6:13">
      <c r="F142">
        <v>141</v>
      </c>
      <c r="G142" s="5">
        <f t="shared" si="20"/>
        <v>1294.9088668186596</v>
      </c>
      <c r="H142" s="5">
        <f t="shared" si="14"/>
        <v>1302.9044810291923</v>
      </c>
      <c r="I142" s="5">
        <f t="shared" si="15"/>
        <v>1307.115876195463</v>
      </c>
      <c r="J142" s="5">
        <f t="shared" si="16"/>
        <v>1310.0083569771025</v>
      </c>
      <c r="K142" s="5">
        <f t="shared" si="17"/>
        <v>1311.1396302763185</v>
      </c>
      <c r="L142" s="5">
        <f t="shared" si="18"/>
        <v>1311.4323829670459</v>
      </c>
      <c r="M142" s="5">
        <f t="shared" si="19"/>
        <v>1311.481087880396</v>
      </c>
    </row>
    <row r="143" spans="6:13">
      <c r="F143">
        <v>142</v>
      </c>
      <c r="G143" s="5">
        <f t="shared" si="20"/>
        <v>1297.2844948086986</v>
      </c>
      <c r="H143" s="5">
        <f t="shared" si="14"/>
        <v>1305.3517644937467</v>
      </c>
      <c r="I143" s="5">
        <f t="shared" si="15"/>
        <v>1309.6010428522575</v>
      </c>
      <c r="J143" s="5">
        <f t="shared" si="16"/>
        <v>1312.5195989266542</v>
      </c>
      <c r="K143" s="5">
        <f t="shared" si="17"/>
        <v>1313.6610829283779</v>
      </c>
      <c r="L143" s="5">
        <f t="shared" si="18"/>
        <v>1313.9564790987556</v>
      </c>
      <c r="M143" s="5">
        <f t="shared" si="19"/>
        <v>1314.0056238500167</v>
      </c>
    </row>
    <row r="144" spans="6:13">
      <c r="F144">
        <v>143</v>
      </c>
      <c r="G144" s="5">
        <f t="shared" si="20"/>
        <v>1299.6644811041685</v>
      </c>
      <c r="H144" s="5">
        <f t="shared" si="14"/>
        <v>1307.8036447621676</v>
      </c>
      <c r="I144" s="5">
        <f t="shared" si="15"/>
        <v>1312.0909344561087</v>
      </c>
      <c r="J144" s="5">
        <f t="shared" si="16"/>
        <v>1315.0356548425411</v>
      </c>
      <c r="K144" s="5">
        <f t="shared" si="17"/>
        <v>1316.1873845860882</v>
      </c>
      <c r="L144" s="5">
        <f t="shared" si="18"/>
        <v>1316.4854333240771</v>
      </c>
      <c r="M144" s="5">
        <f t="shared" si="19"/>
        <v>1316.5350194260172</v>
      </c>
    </row>
    <row r="145" spans="6:13">
      <c r="F145">
        <v>144</v>
      </c>
      <c r="G145" s="5">
        <f t="shared" si="20"/>
        <v>1302.0488337007771</v>
      </c>
      <c r="H145" s="5">
        <f t="shared" si="14"/>
        <v>1310.2601304687653</v>
      </c>
      <c r="I145" s="5">
        <f t="shared" si="15"/>
        <v>1314.5855599903678</v>
      </c>
      <c r="J145" s="5">
        <f t="shared" si="16"/>
        <v>1317.5565339529742</v>
      </c>
      <c r="K145" s="5">
        <f t="shared" si="17"/>
        <v>1318.7185445745729</v>
      </c>
      <c r="L145" s="5">
        <f t="shared" si="18"/>
        <v>1319.0192549933179</v>
      </c>
      <c r="M145" s="5">
        <f t="shared" si="19"/>
        <v>1319.0692839628989</v>
      </c>
    </row>
    <row r="146" spans="6:13">
      <c r="F146">
        <v>145</v>
      </c>
      <c r="G146" s="5">
        <f t="shared" si="20"/>
        <v>1304.4375606089006</v>
      </c>
      <c r="H146" s="5">
        <f t="shared" si="14"/>
        <v>1312.7212302640689</v>
      </c>
      <c r="I146" s="5">
        <f t="shared" si="15"/>
        <v>1317.0849284554656</v>
      </c>
      <c r="J146" s="5">
        <f t="shared" si="16"/>
        <v>1320.0822455038558</v>
      </c>
      <c r="K146" s="5">
        <f t="shared" si="17"/>
        <v>1321.2545722368873</v>
      </c>
      <c r="L146" s="5">
        <f t="shared" si="18"/>
        <v>1321.5579534747806</v>
      </c>
      <c r="M146" s="5">
        <f t="shared" si="19"/>
        <v>1321.6084268331695</v>
      </c>
    </row>
    <row r="147" spans="6:13">
      <c r="F147">
        <v>146</v>
      </c>
      <c r="G147" s="5">
        <f t="shared" si="20"/>
        <v>1306.8306698536107</v>
      </c>
      <c r="H147" s="5">
        <f t="shared" si="14"/>
        <v>1315.1869528148557</v>
      </c>
      <c r="I147" s="5">
        <f t="shared" si="15"/>
        <v>1319.5890488689449</v>
      </c>
      <c r="J147" s="5">
        <f t="shared" si="16"/>
        <v>1322.6127987588116</v>
      </c>
      <c r="K147" s="5">
        <f t="shared" si="17"/>
        <v>1323.7954769340554</v>
      </c>
      <c r="L147" s="5">
        <f t="shared" si="18"/>
        <v>1324.1015381547998</v>
      </c>
      <c r="M147" s="5">
        <f t="shared" si="19"/>
        <v>1324.1524574273783</v>
      </c>
    </row>
    <row r="148" spans="6:13">
      <c r="F148">
        <v>147</v>
      </c>
      <c r="G148" s="5">
        <f t="shared" si="20"/>
        <v>1309.2281694747021</v>
      </c>
      <c r="H148" s="5">
        <f t="shared" si="14"/>
        <v>1317.6573068041819</v>
      </c>
      <c r="I148" s="5">
        <f t="shared" si="15"/>
        <v>1322.0979302654937</v>
      </c>
      <c r="J148" s="5">
        <f t="shared" si="16"/>
        <v>1325.1482029992253</v>
      </c>
      <c r="K148" s="5">
        <f t="shared" si="17"/>
        <v>1326.3412680451031</v>
      </c>
      <c r="L148" s="5">
        <f t="shared" si="18"/>
        <v>1326.6500184377758</v>
      </c>
      <c r="M148" s="5">
        <f t="shared" si="19"/>
        <v>1326.7013851541515</v>
      </c>
    </row>
    <row r="149" spans="6:13">
      <c r="F149">
        <v>148</v>
      </c>
      <c r="G149" s="5">
        <f t="shared" si="20"/>
        <v>1311.6300675267194</v>
      </c>
      <c r="H149" s="5">
        <f t="shared" si="14"/>
        <v>1320.1323009314137</v>
      </c>
      <c r="I149" s="5">
        <f t="shared" si="15"/>
        <v>1324.6115816969766</v>
      </c>
      <c r="J149" s="5">
        <f t="shared" si="16"/>
        <v>1327.6884675242727</v>
      </c>
      <c r="K149" s="5">
        <f t="shared" si="17"/>
        <v>1328.8919549670925</v>
      </c>
      <c r="L149" s="5">
        <f t="shared" si="18"/>
        <v>1329.2034037462088</v>
      </c>
      <c r="M149" s="5">
        <f t="shared" si="19"/>
        <v>1329.2552194402258</v>
      </c>
    </row>
    <row r="150" spans="6:13">
      <c r="F150">
        <v>149</v>
      </c>
      <c r="G150" s="5">
        <f t="shared" si="20"/>
        <v>1314.0363720789835</v>
      </c>
      <c r="H150" s="5">
        <f t="shared" si="14"/>
        <v>1322.6119439122572</v>
      </c>
      <c r="I150" s="5">
        <f t="shared" si="15"/>
        <v>1327.1300122324687</v>
      </c>
      <c r="J150" s="5">
        <f t="shared" si="16"/>
        <v>1330.233601650956</v>
      </c>
      <c r="K150" s="5">
        <f t="shared" si="17"/>
        <v>1331.4475471151586</v>
      </c>
      <c r="L150" s="5">
        <f t="shared" si="18"/>
        <v>1331.7617035207354</v>
      </c>
      <c r="M150" s="5">
        <f t="shared" si="19"/>
        <v>1331.8139697304846</v>
      </c>
    </row>
    <row r="151" spans="6:13">
      <c r="F151">
        <v>150</v>
      </c>
      <c r="G151" s="5">
        <f t="shared" si="20"/>
        <v>1316.4470912156203</v>
      </c>
      <c r="H151" s="5">
        <f t="shared" si="14"/>
        <v>1325.0962444787897</v>
      </c>
      <c r="I151" s="5">
        <f t="shared" si="15"/>
        <v>1329.6532309582874</v>
      </c>
      <c r="J151" s="5">
        <f t="shared" si="16"/>
        <v>1332.7836147141379</v>
      </c>
      <c r="K151" s="5">
        <f t="shared" si="17"/>
        <v>1334.0080539225412</v>
      </c>
      <c r="L151" s="5">
        <f t="shared" si="18"/>
        <v>1334.3249272201615</v>
      </c>
      <c r="M151" s="5">
        <f t="shared" si="19"/>
        <v>1334.3776454879915</v>
      </c>
    </row>
    <row r="152" spans="6:13">
      <c r="F152">
        <v>151</v>
      </c>
      <c r="G152" s="5">
        <f t="shared" si="20"/>
        <v>1318.8622330355852</v>
      </c>
      <c r="H152" s="5">
        <f t="shared" si="14"/>
        <v>1327.5852113794904</v>
      </c>
      <c r="I152" s="5">
        <f t="shared" si="15"/>
        <v>1332.1812469780259</v>
      </c>
      <c r="J152" s="5">
        <f t="shared" si="16"/>
        <v>1335.3385160665755</v>
      </c>
      <c r="K152" s="5">
        <f t="shared" si="17"/>
        <v>1336.5734848406216</v>
      </c>
      <c r="L152" s="5">
        <f t="shared" si="18"/>
        <v>1336.8930843214987</v>
      </c>
      <c r="M152" s="5">
        <f t="shared" si="19"/>
        <v>1336.9462561940263</v>
      </c>
    </row>
    <row r="153" spans="6:13">
      <c r="F153">
        <v>152</v>
      </c>
      <c r="G153" s="5">
        <f t="shared" si="20"/>
        <v>1321.2818056526933</v>
      </c>
      <c r="H153" s="5">
        <f t="shared" si="14"/>
        <v>1330.0788533792702</v>
      </c>
      <c r="I153" s="5">
        <f t="shared" si="15"/>
        <v>1334.7140694125853</v>
      </c>
      <c r="J153" s="5">
        <f t="shared" si="16"/>
        <v>1337.8983150789545</v>
      </c>
      <c r="K153" s="5">
        <f t="shared" si="17"/>
        <v>1339.1438493389578</v>
      </c>
      <c r="L153" s="5">
        <f t="shared" si="18"/>
        <v>1339.4661843199988</v>
      </c>
      <c r="M153" s="5">
        <f t="shared" si="19"/>
        <v>1339.5198113481206</v>
      </c>
    </row>
    <row r="154" spans="6:13">
      <c r="F154">
        <v>153</v>
      </c>
      <c r="G154" s="5">
        <f t="shared" si="20"/>
        <v>1323.7058171956439</v>
      </c>
      <c r="H154" s="5">
        <f t="shared" si="14"/>
        <v>1332.5771792595046</v>
      </c>
      <c r="I154" s="5">
        <f t="shared" si="15"/>
        <v>1337.2517074002083</v>
      </c>
      <c r="J154" s="5">
        <f t="shared" si="16"/>
        <v>1340.4630211399246</v>
      </c>
      <c r="K154" s="5">
        <f t="shared" si="17"/>
        <v>1341.7191569053177</v>
      </c>
      <c r="L154" s="5">
        <f t="shared" si="18"/>
        <v>1342.0442367291892</v>
      </c>
      <c r="M154" s="5">
        <f t="shared" si="19"/>
        <v>1342.0983204680906</v>
      </c>
    </row>
    <row r="155" spans="6:13">
      <c r="F155">
        <v>154</v>
      </c>
      <c r="G155" s="5">
        <f t="shared" si="20"/>
        <v>1326.1342758080505</v>
      </c>
      <c r="H155" s="5">
        <f t="shared" si="14"/>
        <v>1335.0801978180627</v>
      </c>
      <c r="I155" s="5">
        <f t="shared" si="15"/>
        <v>1339.7941700965112</v>
      </c>
      <c r="J155" s="5">
        <f t="shared" si="16"/>
        <v>1343.0326436561327</v>
      </c>
      <c r="K155" s="5">
        <f t="shared" si="17"/>
        <v>1344.2994170457155</v>
      </c>
      <c r="L155" s="5">
        <f t="shared" si="18"/>
        <v>1344.6272510809072</v>
      </c>
      <c r="M155" s="5">
        <f t="shared" si="19"/>
        <v>1344.6817930900747</v>
      </c>
    </row>
    <row r="156" spans="6:13">
      <c r="F156">
        <v>155</v>
      </c>
      <c r="G156" s="5">
        <f t="shared" si="20"/>
        <v>1328.567189648466</v>
      </c>
      <c r="H156" s="5">
        <f t="shared" si="14"/>
        <v>1337.5879178693385</v>
      </c>
      <c r="I156" s="5">
        <f t="shared" si="15"/>
        <v>1342.3414666745186</v>
      </c>
      <c r="J156" s="5">
        <f t="shared" si="16"/>
        <v>1345.6071920522584</v>
      </c>
      <c r="K156" s="5">
        <f t="shared" si="17"/>
        <v>1346.8846392844464</v>
      </c>
      <c r="L156" s="5">
        <f t="shared" si="18"/>
        <v>1347.2152369253365</v>
      </c>
      <c r="M156" s="5">
        <f t="shared" si="19"/>
        <v>1347.2702387685681</v>
      </c>
    </row>
    <row r="157" spans="6:13">
      <c r="F157">
        <v>156</v>
      </c>
      <c r="G157" s="5">
        <f t="shared" si="20"/>
        <v>1331.0045668904106</v>
      </c>
      <c r="H157" s="5">
        <f t="shared" si="14"/>
        <v>1340.1003482442832</v>
      </c>
      <c r="I157" s="5">
        <f t="shared" si="15"/>
        <v>1344.8936063246938</v>
      </c>
      <c r="J157" s="5">
        <f t="shared" si="16"/>
        <v>1348.1866757710475</v>
      </c>
      <c r="K157" s="5">
        <f t="shared" si="17"/>
        <v>1349.4748331641219</v>
      </c>
      <c r="L157" s="5">
        <f t="shared" si="18"/>
        <v>1349.808203831042</v>
      </c>
      <c r="M157" s="5">
        <f t="shared" si="19"/>
        <v>1349.8636670764574</v>
      </c>
    </row>
    <row r="158" spans="6:13">
      <c r="F158">
        <v>157</v>
      </c>
      <c r="G158" s="5">
        <f t="shared" si="20"/>
        <v>1333.4464157224006</v>
      </c>
      <c r="H158" s="5">
        <f t="shared" si="14"/>
        <v>1342.617497790435</v>
      </c>
      <c r="I158" s="5">
        <f t="shared" si="15"/>
        <v>1347.4505982549749</v>
      </c>
      <c r="J158" s="5">
        <f t="shared" si="16"/>
        <v>1350.7711042733474</v>
      </c>
      <c r="K158" s="5">
        <f t="shared" si="17"/>
        <v>1352.0700082457051</v>
      </c>
      <c r="L158" s="5">
        <f t="shared" si="18"/>
        <v>1352.4061613850042</v>
      </c>
      <c r="M158" s="5">
        <f t="shared" si="19"/>
        <v>1352.4620876050571</v>
      </c>
    </row>
    <row r="159" spans="6:13">
      <c r="F159">
        <v>158</v>
      </c>
      <c r="G159" s="5">
        <f t="shared" si="20"/>
        <v>1335.892744347974</v>
      </c>
      <c r="H159" s="5">
        <f t="shared" si="14"/>
        <v>1345.139375371951</v>
      </c>
      <c r="I159" s="5">
        <f t="shared" si="15"/>
        <v>1350.0124516908063</v>
      </c>
      <c r="J159" s="5">
        <f t="shared" si="16"/>
        <v>1353.3604870381419</v>
      </c>
      <c r="K159" s="5">
        <f t="shared" si="17"/>
        <v>1354.6701741085449</v>
      </c>
      <c r="L159" s="5">
        <f t="shared" si="18"/>
        <v>1355.009119192657</v>
      </c>
      <c r="M159" s="5">
        <f t="shared" si="19"/>
        <v>1355.0655099641438</v>
      </c>
    </row>
    <row r="160" spans="6:13">
      <c r="F160">
        <v>159</v>
      </c>
      <c r="G160" s="5">
        <f t="shared" si="20"/>
        <v>1338.3435609857193</v>
      </c>
      <c r="H160" s="5">
        <f t="shared" si="14"/>
        <v>1347.6659898696373</v>
      </c>
      <c r="I160" s="5">
        <f t="shared" si="15"/>
        <v>1352.5791758751723</v>
      </c>
      <c r="J160" s="5">
        <f t="shared" si="16"/>
        <v>1355.9548335625857</v>
      </c>
      <c r="K160" s="5">
        <f t="shared" si="17"/>
        <v>1357.2753403504137</v>
      </c>
      <c r="L160" s="5">
        <f t="shared" si="18"/>
        <v>1357.61708687792</v>
      </c>
      <c r="M160" s="5">
        <f t="shared" si="19"/>
        <v>1357.6739437819929</v>
      </c>
    </row>
    <row r="161" spans="6:13">
      <c r="F161">
        <v>160</v>
      </c>
      <c r="G161" s="5">
        <f t="shared" si="20"/>
        <v>1340.7988738693027</v>
      </c>
      <c r="H161" s="5">
        <f t="shared" si="14"/>
        <v>1350.1973501809819</v>
      </c>
      <c r="I161" s="5">
        <f t="shared" si="15"/>
        <v>1355.15078006863</v>
      </c>
      <c r="J161" s="5">
        <f t="shared" si="16"/>
        <v>1358.554153362039</v>
      </c>
      <c r="K161" s="5">
        <f t="shared" si="17"/>
        <v>1359.8855165875395</v>
      </c>
      <c r="L161" s="5">
        <f t="shared" si="18"/>
        <v>1360.2300740832375</v>
      </c>
      <c r="M161" s="5">
        <f t="shared" si="19"/>
        <v>1360.2873987054136</v>
      </c>
    </row>
    <row r="162" spans="6:13">
      <c r="F162">
        <v>161</v>
      </c>
      <c r="G162" s="5">
        <f t="shared" si="20"/>
        <v>1343.2586912474956</v>
      </c>
      <c r="H162" s="5">
        <f t="shared" si="14"/>
        <v>1352.7334652201848</v>
      </c>
      <c r="I162" s="5">
        <f t="shared" si="15"/>
        <v>1357.7272735493441</v>
      </c>
      <c r="J162" s="5">
        <f t="shared" si="16"/>
        <v>1361.1584559701023</v>
      </c>
      <c r="K162" s="5">
        <f t="shared" si="17"/>
        <v>1362.5007124546451</v>
      </c>
      <c r="L162" s="5">
        <f t="shared" si="18"/>
        <v>1362.8480904696112</v>
      </c>
      <c r="M162" s="5">
        <f t="shared" si="19"/>
        <v>1362.9058843997852</v>
      </c>
    </row>
    <row r="163" spans="6:13">
      <c r="F163">
        <v>162</v>
      </c>
      <c r="G163" s="5">
        <f t="shared" si="20"/>
        <v>1345.7230213842029</v>
      </c>
      <c r="H163" s="5">
        <f t="shared" si="14"/>
        <v>1355.27434391819</v>
      </c>
      <c r="I163" s="5">
        <f t="shared" si="15"/>
        <v>1360.308665613119</v>
      </c>
      <c r="J163" s="5">
        <f t="shared" si="16"/>
        <v>1363.7677509386524</v>
      </c>
      <c r="K163" s="5">
        <f t="shared" si="17"/>
        <v>1365.1209376049803</v>
      </c>
      <c r="L163" s="5">
        <f t="shared" si="18"/>
        <v>1365.4711457166379</v>
      </c>
      <c r="M163" s="5">
        <f t="shared" si="19"/>
        <v>1365.5294105490914</v>
      </c>
    </row>
    <row r="164" spans="6:13">
      <c r="F164">
        <v>163</v>
      </c>
      <c r="G164" s="5">
        <f t="shared" si="20"/>
        <v>1348.1918725584901</v>
      </c>
      <c r="H164" s="5">
        <f t="shared" si="14"/>
        <v>1357.8199952227169</v>
      </c>
      <c r="I164" s="5">
        <f t="shared" si="15"/>
        <v>1362.8949655734332</v>
      </c>
      <c r="J164" s="5">
        <f t="shared" si="16"/>
        <v>1366.3820478378764</v>
      </c>
      <c r="K164" s="5">
        <f t="shared" si="17"/>
        <v>1367.7462017103608</v>
      </c>
      <c r="L164" s="5">
        <f t="shared" si="18"/>
        <v>1368.0992495225446</v>
      </c>
      <c r="M164" s="5">
        <f t="shared" si="19"/>
        <v>1368.1579868559579</v>
      </c>
    </row>
    <row r="165" spans="6:13">
      <c r="F165">
        <v>164</v>
      </c>
      <c r="G165" s="5">
        <f t="shared" si="20"/>
        <v>1350.6652530646115</v>
      </c>
      <c r="H165" s="5">
        <f t="shared" si="14"/>
        <v>1360.3704280982911</v>
      </c>
      <c r="I165" s="5">
        <f t="shared" si="15"/>
        <v>1365.4861827614723</v>
      </c>
      <c r="J165" s="5">
        <f t="shared" si="16"/>
        <v>1369.001356256307</v>
      </c>
      <c r="K165" s="5">
        <f t="shared" si="17"/>
        <v>1370.3765144612003</v>
      </c>
      <c r="L165" s="5">
        <f t="shared" si="18"/>
        <v>1370.7324116042239</v>
      </c>
      <c r="M165" s="5">
        <f t="shared" si="19"/>
        <v>1370.7916230416874</v>
      </c>
    </row>
    <row r="166" spans="6:13">
      <c r="F166">
        <v>165</v>
      </c>
      <c r="G166" s="5">
        <f t="shared" si="20"/>
        <v>1353.1431712120382</v>
      </c>
      <c r="H166" s="5">
        <f t="shared" si="14"/>
        <v>1362.9256515262773</v>
      </c>
      <c r="I166" s="5">
        <f t="shared" si="15"/>
        <v>1368.0823265261624</v>
      </c>
      <c r="J166" s="5">
        <f t="shared" si="16"/>
        <v>1371.6256858008583</v>
      </c>
      <c r="K166" s="5">
        <f t="shared" si="17"/>
        <v>1373.0118855665492</v>
      </c>
      <c r="L166" s="5">
        <f t="shared" si="18"/>
        <v>1373.3706416972705</v>
      </c>
      <c r="M166" s="5">
        <f t="shared" si="19"/>
        <v>1373.4303288462952</v>
      </c>
    </row>
    <row r="167" spans="6:13">
      <c r="F167">
        <v>166</v>
      </c>
      <c r="G167" s="5">
        <f t="shared" si="20"/>
        <v>1355.6256353254848</v>
      </c>
      <c r="H167" s="5">
        <f t="shared" si="14"/>
        <v>1365.4856745049092</v>
      </c>
      <c r="I167" s="5">
        <f t="shared" si="15"/>
        <v>1370.6834062342052</v>
      </c>
      <c r="J167" s="5">
        <f t="shared" si="16"/>
        <v>1374.2550460968596</v>
      </c>
      <c r="K167" s="5">
        <f t="shared" si="17"/>
        <v>1375.6523247541293</v>
      </c>
      <c r="L167" s="5">
        <f t="shared" si="18"/>
        <v>1376.0139495560172</v>
      </c>
      <c r="M167" s="5">
        <f t="shared" si="19"/>
        <v>1376.0741140285459</v>
      </c>
    </row>
    <row r="168" spans="6:13">
      <c r="F168">
        <v>167</v>
      </c>
      <c r="G168" s="5">
        <f t="shared" si="20"/>
        <v>1358.1126537449397</v>
      </c>
      <c r="H168" s="5">
        <f t="shared" si="14"/>
        <v>1368.0505060493228</v>
      </c>
      <c r="I168" s="5">
        <f t="shared" si="15"/>
        <v>1373.2894312701105</v>
      </c>
      <c r="J168" s="5">
        <f t="shared" si="16"/>
        <v>1376.8894467880925</v>
      </c>
      <c r="K168" s="5">
        <f t="shared" si="17"/>
        <v>1378.2978417703698</v>
      </c>
      <c r="L168" s="5">
        <f t="shared" si="18"/>
        <v>1378.6623449535714</v>
      </c>
      <c r="M168" s="5">
        <f t="shared" si="19"/>
        <v>1378.7229883659895</v>
      </c>
    </row>
    <row r="169" spans="6:13">
      <c r="F169">
        <v>168</v>
      </c>
      <c r="G169" s="5">
        <f t="shared" si="20"/>
        <v>1360.6042348256913</v>
      </c>
      <c r="H169" s="5">
        <f t="shared" si="14"/>
        <v>1370.6201551915881</v>
      </c>
      <c r="I169" s="5">
        <f t="shared" si="15"/>
        <v>1375.9004110362307</v>
      </c>
      <c r="J169" s="5">
        <f t="shared" si="16"/>
        <v>1379.5288975368251</v>
      </c>
      <c r="K169" s="5">
        <f t="shared" si="17"/>
        <v>1380.9484463804426</v>
      </c>
      <c r="L169" s="5">
        <f t="shared" si="18"/>
        <v>1381.3158376818492</v>
      </c>
      <c r="M169" s="5">
        <f t="shared" si="19"/>
        <v>1381.3769616549969</v>
      </c>
    </row>
    <row r="170" spans="6:13">
      <c r="F170">
        <v>169</v>
      </c>
      <c r="G170" s="5">
        <f t="shared" si="20"/>
        <v>1363.1003869383558</v>
      </c>
      <c r="H170" s="5">
        <f t="shared" si="14"/>
        <v>1373.1946309807383</v>
      </c>
      <c r="I170" s="5">
        <f t="shared" si="15"/>
        <v>1378.516354952794</v>
      </c>
      <c r="J170" s="5">
        <f t="shared" si="16"/>
        <v>1382.1734080238477</v>
      </c>
      <c r="K170" s="5">
        <f t="shared" si="17"/>
        <v>1383.6041483683</v>
      </c>
      <c r="L170" s="5">
        <f t="shared" si="18"/>
        <v>1383.9744375516148</v>
      </c>
      <c r="M170" s="5">
        <f t="shared" si="19"/>
        <v>1384.0360437107963</v>
      </c>
    </row>
    <row r="171" spans="6:13">
      <c r="F171">
        <v>170</v>
      </c>
      <c r="G171" s="5">
        <f t="shared" si="20"/>
        <v>1365.6011184689069</v>
      </c>
      <c r="H171" s="5">
        <f t="shared" si="14"/>
        <v>1375.773942482806</v>
      </c>
      <c r="I171" s="5">
        <f t="shared" si="15"/>
        <v>1381.1372724579398</v>
      </c>
      <c r="J171" s="5">
        <f t="shared" si="16"/>
        <v>1384.8229879485084</v>
      </c>
      <c r="K171" s="5">
        <f t="shared" si="17"/>
        <v>1386.2649575367091</v>
      </c>
      <c r="L171" s="5">
        <f t="shared" si="18"/>
        <v>1386.6381543925136</v>
      </c>
      <c r="M171" s="5">
        <f t="shared" si="19"/>
        <v>1386.7002443675108</v>
      </c>
    </row>
    <row r="172" spans="6:13">
      <c r="F172">
        <v>171</v>
      </c>
      <c r="G172" s="5">
        <f t="shared" si="20"/>
        <v>1368.1064378187032</v>
      </c>
      <c r="H172" s="5">
        <f t="shared" si="14"/>
        <v>1378.3580987808512</v>
      </c>
      <c r="I172" s="5">
        <f t="shared" si="15"/>
        <v>1383.763173007751</v>
      </c>
      <c r="J172" s="5">
        <f t="shared" si="16"/>
        <v>1387.4776470287484</v>
      </c>
      <c r="K172" s="5">
        <f t="shared" si="17"/>
        <v>1388.930883707289</v>
      </c>
      <c r="L172" s="5">
        <f t="shared" si="18"/>
        <v>1389.3069980531106</v>
      </c>
      <c r="M172" s="5">
        <f t="shared" si="19"/>
        <v>1389.369573478192</v>
      </c>
    </row>
    <row r="173" spans="6:13">
      <c r="F173">
        <v>172</v>
      </c>
      <c r="G173" s="5">
        <f t="shared" si="20"/>
        <v>1370.6163534045152</v>
      </c>
      <c r="H173" s="5">
        <f t="shared" si="14"/>
        <v>1380.9471089749959</v>
      </c>
      <c r="I173" s="5">
        <f t="shared" si="15"/>
        <v>1386.3940660762892</v>
      </c>
      <c r="J173" s="5">
        <f t="shared" si="16"/>
        <v>1390.1373950011384</v>
      </c>
      <c r="K173" s="5">
        <f t="shared" si="17"/>
        <v>1391.6019367205463</v>
      </c>
      <c r="L173" s="5">
        <f t="shared" si="18"/>
        <v>1391.9809784009267</v>
      </c>
      <c r="M173" s="5">
        <f t="shared" si="19"/>
        <v>1392.0440409148603</v>
      </c>
    </row>
    <row r="174" spans="6:13">
      <c r="F174">
        <v>173</v>
      </c>
      <c r="G174" s="5">
        <f t="shared" si="20"/>
        <v>1373.1308736585565</v>
      </c>
      <c r="H174" s="5">
        <f t="shared" si="14"/>
        <v>1383.5409821824537</v>
      </c>
      <c r="I174" s="5">
        <f t="shared" si="15"/>
        <v>1389.0299611556288</v>
      </c>
      <c r="J174" s="5">
        <f t="shared" si="16"/>
        <v>1392.8022416209133</v>
      </c>
      <c r="K174" s="5">
        <f t="shared" si="17"/>
        <v>1394.278126435913</v>
      </c>
      <c r="L174" s="5">
        <f t="shared" si="18"/>
        <v>1394.6601053224736</v>
      </c>
      <c r="M174" s="5">
        <f t="shared" si="19"/>
        <v>1394.7236565685373</v>
      </c>
    </row>
    <row r="175" spans="6:13">
      <c r="F175">
        <v>174</v>
      </c>
      <c r="G175" s="5">
        <f t="shared" si="20"/>
        <v>1375.6500070285088</v>
      </c>
      <c r="H175" s="5">
        <f t="shared" si="14"/>
        <v>1386.1397275375652</v>
      </c>
      <c r="I175" s="5">
        <f t="shared" si="15"/>
        <v>1391.6708677558915</v>
      </c>
      <c r="J175" s="5">
        <f t="shared" si="16"/>
        <v>1395.4721966620086</v>
      </c>
      <c r="K175" s="5">
        <f t="shared" si="17"/>
        <v>1396.9594627317806</v>
      </c>
      <c r="L175" s="5">
        <f t="shared" si="18"/>
        <v>1397.3443887232925</v>
      </c>
      <c r="M175" s="5">
        <f t="shared" si="19"/>
        <v>1397.4084303492853</v>
      </c>
    </row>
    <row r="176" spans="6:13">
      <c r="F176">
        <v>175</v>
      </c>
      <c r="G176" s="5">
        <f t="shared" si="20"/>
        <v>1378.1737619775524</v>
      </c>
      <c r="H176" s="5">
        <f t="shared" si="14"/>
        <v>1388.7433541918269</v>
      </c>
      <c r="I176" s="5">
        <f t="shared" si="15"/>
        <v>1394.3167954052792</v>
      </c>
      <c r="J176" s="5">
        <f t="shared" si="16"/>
        <v>1398.1472699170961</v>
      </c>
      <c r="K176" s="5">
        <f t="shared" si="17"/>
        <v>1399.6459555055383</v>
      </c>
      <c r="L176" s="5">
        <f t="shared" si="18"/>
        <v>1400.0338385279886</v>
      </c>
      <c r="M176" s="5">
        <f t="shared" si="19"/>
        <v>1400.0983721862426</v>
      </c>
    </row>
    <row r="177" spans="6:13">
      <c r="F177">
        <v>176</v>
      </c>
      <c r="G177" s="5">
        <f t="shared" si="20"/>
        <v>1380.7021469843946</v>
      </c>
      <c r="H177" s="5">
        <f t="shared" si="14"/>
        <v>1391.3518713139254</v>
      </c>
      <c r="I177" s="5">
        <f t="shared" si="15"/>
        <v>1396.9677536501101</v>
      </c>
      <c r="J177" s="5">
        <f t="shared" si="16"/>
        <v>1400.8274711976198</v>
      </c>
      <c r="K177" s="5">
        <f t="shared" si="17"/>
        <v>1402.3376146736086</v>
      </c>
      <c r="L177" s="5">
        <f t="shared" si="18"/>
        <v>1402.7284646802696</v>
      </c>
      <c r="M177" s="5">
        <f t="shared" si="19"/>
        <v>1402.7934920276609</v>
      </c>
    </row>
    <row r="178" spans="6:13">
      <c r="F178">
        <v>177</v>
      </c>
      <c r="G178" s="5">
        <f t="shared" si="20"/>
        <v>1383.2351705432968</v>
      </c>
      <c r="H178" s="5">
        <f t="shared" si="14"/>
        <v>1393.965288089769</v>
      </c>
      <c r="I178" s="5">
        <f t="shared" si="15"/>
        <v>1399.6237520548525</v>
      </c>
      <c r="J178" s="5">
        <f t="shared" si="16"/>
        <v>1403.512810333832</v>
      </c>
      <c r="K178" s="5">
        <f t="shared" si="17"/>
        <v>1405.0344501714849</v>
      </c>
      <c r="L178" s="5">
        <f t="shared" si="18"/>
        <v>1405.4282771429819</v>
      </c>
      <c r="M178" s="5">
        <f t="shared" si="19"/>
        <v>1405.4937998409418</v>
      </c>
    </row>
    <row r="179" spans="6:13">
      <c r="F179">
        <v>178</v>
      </c>
      <c r="G179" s="5">
        <f t="shared" si="20"/>
        <v>1385.7728411641046</v>
      </c>
      <c r="H179" s="5">
        <f t="shared" si="14"/>
        <v>1396.5836137225201</v>
      </c>
      <c r="I179" s="5">
        <f t="shared" si="15"/>
        <v>1402.2848002021583</v>
      </c>
      <c r="J179" s="5">
        <f t="shared" si="16"/>
        <v>1406.2032971748295</v>
      </c>
      <c r="K179" s="5">
        <f t="shared" si="17"/>
        <v>1407.7364719537668</v>
      </c>
      <c r="L179" s="5">
        <f t="shared" si="18"/>
        <v>1408.1332858981464</v>
      </c>
      <c r="M179" s="5">
        <f t="shared" si="19"/>
        <v>1408.1993056126735</v>
      </c>
    </row>
    <row r="180" spans="6:13">
      <c r="F180">
        <v>179</v>
      </c>
      <c r="G180" s="5">
        <f t="shared" si="20"/>
        <v>1388.3151673722748</v>
      </c>
      <c r="H180" s="5">
        <f t="shared" si="14"/>
        <v>1399.2068574326274</v>
      </c>
      <c r="I180" s="5">
        <f t="shared" si="15"/>
        <v>1404.9509076929</v>
      </c>
      <c r="J180" s="5">
        <f t="shared" si="16"/>
        <v>1408.8989415885887</v>
      </c>
      <c r="K180" s="5">
        <f t="shared" si="17"/>
        <v>1410.4436899941982</v>
      </c>
      <c r="L180" s="5">
        <f t="shared" si="18"/>
        <v>1410.843500946997</v>
      </c>
      <c r="M180" s="5">
        <f t="shared" si="19"/>
        <v>1410.9100193486677</v>
      </c>
    </row>
    <row r="181" spans="6:13">
      <c r="F181">
        <v>180</v>
      </c>
      <c r="G181" s="5">
        <f t="shared" si="20"/>
        <v>1390.8621577089061</v>
      </c>
      <c r="H181" s="5">
        <f t="shared" si="14"/>
        <v>1401.8350284578598</v>
      </c>
      <c r="I181" s="5">
        <f t="shared" si="15"/>
        <v>1407.6220841462027</v>
      </c>
      <c r="J181" s="5">
        <f t="shared" si="16"/>
        <v>1411.5997534620033</v>
      </c>
      <c r="K181" s="5">
        <f t="shared" si="17"/>
        <v>1413.1561142857031</v>
      </c>
      <c r="L181" s="5">
        <f t="shared" si="18"/>
        <v>1413.5589323100169</v>
      </c>
      <c r="M181" s="5">
        <f t="shared" si="19"/>
        <v>1413.6259510739969</v>
      </c>
    </row>
    <row r="182" spans="6:13">
      <c r="F182">
        <v>181</v>
      </c>
      <c r="G182" s="5">
        <f t="shared" si="20"/>
        <v>1393.4138207307658</v>
      </c>
      <c r="H182" s="5">
        <f t="shared" ref="H182:H245" si="21">$C$2*(1+$C$1/$D$6)^(F182*$D$6*0.019231)</f>
        <v>1404.4681360533359</v>
      </c>
      <c r="I182" s="5">
        <f t="shared" ref="I182:I245" si="22">$C$2*(1+$C$1/$D$7)^(F182*$D$7*0.019231)</f>
        <v>1410.2983391994808</v>
      </c>
      <c r="J182" s="5">
        <f t="shared" ref="J182:J245" si="23">$C$2*(1+$C$1/$D$8)^(F182*$D$8*0.019231)</f>
        <v>1414.3057427009196</v>
      </c>
      <c r="K182" s="5">
        <f t="shared" ref="K182:K245" si="24">$C$2*(1+$C$1/$D$9)^(F182*$D$9*0.019231)</f>
        <v>1415.8737548404233</v>
      </c>
      <c r="L182" s="5">
        <f t="shared" ref="L182:L245" si="25">$C$2*(1+$C$1/$D$10)^(F182*$D$10*0.019231)</f>
        <v>1416.2795900269746</v>
      </c>
      <c r="M182" s="5">
        <f t="shared" ref="M182:M245" si="26">$C$2*EXP($C$1*F182*0.019231)</f>
        <v>1416.3471108330318</v>
      </c>
    </row>
    <row r="183" spans="6:13">
      <c r="F183">
        <v>182</v>
      </c>
      <c r="G183" s="5">
        <f t="shared" si="20"/>
        <v>1395.9701650103193</v>
      </c>
      <c r="H183" s="5">
        <f t="shared" si="21"/>
        <v>1407.1061894915601</v>
      </c>
      <c r="I183" s="5">
        <f t="shared" si="22"/>
        <v>1412.9796825084707</v>
      </c>
      <c r="J183" s="5">
        <f t="shared" si="23"/>
        <v>1417.0169192301732</v>
      </c>
      <c r="K183" s="5">
        <f t="shared" si="24"/>
        <v>1418.5966216897546</v>
      </c>
      <c r="L183" s="5">
        <f t="shared" si="25"/>
        <v>1419.0054841569631</v>
      </c>
      <c r="M183" s="5">
        <f t="shared" si="26"/>
        <v>1419.0735086894774</v>
      </c>
    </row>
    <row r="184" spans="6:13">
      <c r="F184">
        <v>183</v>
      </c>
      <c r="G184" s="5">
        <f t="shared" si="20"/>
        <v>1398.5311991357596</v>
      </c>
      <c r="H184" s="5">
        <f t="shared" si="21"/>
        <v>1409.7491980624529</v>
      </c>
      <c r="I184" s="5">
        <f t="shared" si="22"/>
        <v>1415.6661237472679</v>
      </c>
      <c r="J184" s="5">
        <f t="shared" si="23"/>
        <v>1419.7332929936251</v>
      </c>
      <c r="K184" s="5">
        <f t="shared" si="24"/>
        <v>1421.3247248843841</v>
      </c>
      <c r="L184" s="5">
        <f t="shared" si="25"/>
        <v>1421.7366247784355</v>
      </c>
      <c r="M184" s="5">
        <f t="shared" si="26"/>
        <v>1421.8051547264117</v>
      </c>
    </row>
    <row r="185" spans="6:13">
      <c r="F185">
        <v>184</v>
      </c>
      <c r="G185" s="5">
        <f t="shared" si="20"/>
        <v>1401.0969317110353</v>
      </c>
      <c r="H185" s="5">
        <f t="shared" si="21"/>
        <v>1412.3971710733847</v>
      </c>
      <c r="I185" s="5">
        <f t="shared" si="22"/>
        <v>1418.3576726083606</v>
      </c>
      <c r="J185" s="5">
        <f t="shared" si="23"/>
        <v>1422.4548739541981</v>
      </c>
      <c r="K185" s="5">
        <f t="shared" si="24"/>
        <v>1424.0580744943277</v>
      </c>
      <c r="L185" s="5">
        <f t="shared" si="25"/>
        <v>1424.4730219892431</v>
      </c>
      <c r="M185" s="5">
        <f t="shared" si="26"/>
        <v>1424.5420590463207</v>
      </c>
    </row>
    <row r="186" spans="6:13">
      <c r="F186">
        <v>185</v>
      </c>
      <c r="G186" s="5">
        <f t="shared" si="20"/>
        <v>1403.6673713558791</v>
      </c>
      <c r="H186" s="5">
        <f t="shared" si="21"/>
        <v>1415.0501178492073</v>
      </c>
      <c r="I186" s="5">
        <f t="shared" si="22"/>
        <v>1421.0543388026651</v>
      </c>
      <c r="J186" s="5">
        <f t="shared" si="23"/>
        <v>1425.1816720939146</v>
      </c>
      <c r="K186" s="5">
        <f t="shared" si="24"/>
        <v>1426.7966806089667</v>
      </c>
      <c r="L186" s="5">
        <f t="shared" si="25"/>
        <v>1427.2146859066715</v>
      </c>
      <c r="M186" s="5">
        <f t="shared" si="26"/>
        <v>1427.2842317711384</v>
      </c>
    </row>
    <row r="187" spans="6:13">
      <c r="F187">
        <v>186</v>
      </c>
      <c r="G187" s="5">
        <f t="shared" si="20"/>
        <v>1406.2425267058381</v>
      </c>
      <c r="H187" s="5">
        <f t="shared" si="21"/>
        <v>1417.7080477322888</v>
      </c>
      <c r="I187" s="5">
        <f t="shared" si="22"/>
        <v>1423.7561320595603</v>
      </c>
      <c r="J187" s="5">
        <f t="shared" si="23"/>
        <v>1427.9136974139305</v>
      </c>
      <c r="K187" s="5">
        <f t="shared" si="24"/>
        <v>1429.5405533370856</v>
      </c>
      <c r="L187" s="5">
        <f t="shared" si="25"/>
        <v>1429.96162666748</v>
      </c>
      <c r="M187" s="5">
        <f t="shared" si="26"/>
        <v>1430.0316830422823</v>
      </c>
    </row>
    <row r="188" spans="6:13">
      <c r="F188">
        <v>187</v>
      </c>
      <c r="G188" s="5">
        <f t="shared" si="20"/>
        <v>1408.8224064123021</v>
      </c>
      <c r="H188" s="5">
        <f t="shared" si="21"/>
        <v>1420.3709700825443</v>
      </c>
      <c r="I188" s="5">
        <f t="shared" si="22"/>
        <v>1426.4630621269234</v>
      </c>
      <c r="J188" s="5">
        <f t="shared" si="23"/>
        <v>1430.6509599345759</v>
      </c>
      <c r="K188" s="5">
        <f t="shared" si="24"/>
        <v>1432.2897028069087</v>
      </c>
      <c r="L188" s="5">
        <f t="shared" si="25"/>
        <v>1432.7138544279376</v>
      </c>
      <c r="M188" s="5">
        <f t="shared" si="26"/>
        <v>1432.7844230206927</v>
      </c>
    </row>
    <row r="189" spans="6:13">
      <c r="F189">
        <v>188</v>
      </c>
      <c r="G189" s="5">
        <f t="shared" si="20"/>
        <v>1411.4070191425319</v>
      </c>
      <c r="H189" s="5">
        <f t="shared" si="21"/>
        <v>1423.0388942774709</v>
      </c>
      <c r="I189" s="5">
        <f t="shared" si="22"/>
        <v>1429.1751387711647</v>
      </c>
      <c r="J189" s="5">
        <f t="shared" si="23"/>
        <v>1433.393469695387</v>
      </c>
      <c r="K189" s="5">
        <f t="shared" si="24"/>
        <v>1435.0441391661384</v>
      </c>
      <c r="L189" s="5">
        <f t="shared" si="25"/>
        <v>1435.4713793638607</v>
      </c>
      <c r="M189" s="5">
        <f t="shared" si="26"/>
        <v>1435.5424618868681</v>
      </c>
    </row>
    <row r="190" spans="6:13">
      <c r="F190">
        <v>189</v>
      </c>
      <c r="G190" s="5">
        <f t="shared" si="20"/>
        <v>1413.9963735796903</v>
      </c>
      <c r="H190" s="5">
        <f t="shared" si="21"/>
        <v>1425.7118297121792</v>
      </c>
      <c r="I190" s="5">
        <f t="shared" si="22"/>
        <v>1431.8923717772632</v>
      </c>
      <c r="J190" s="5">
        <f t="shared" si="23"/>
        <v>1436.1412367551475</v>
      </c>
      <c r="K190" s="5">
        <f t="shared" si="24"/>
        <v>1437.8038725819915</v>
      </c>
      <c r="L190" s="5">
        <f t="shared" si="25"/>
        <v>1438.2342116706513</v>
      </c>
      <c r="M190" s="5">
        <f t="shared" si="26"/>
        <v>1438.3058098409037</v>
      </c>
    </row>
    <row r="191" spans="6:13">
      <c r="F191">
        <v>190</v>
      </c>
      <c r="G191" s="5">
        <f t="shared" si="20"/>
        <v>1416.5904784228692</v>
      </c>
      <c r="H191" s="5">
        <f t="shared" si="21"/>
        <v>1428.3897857994268</v>
      </c>
      <c r="I191" s="5">
        <f t="shared" si="22"/>
        <v>1434.6147709488016</v>
      </c>
      <c r="J191" s="5">
        <f t="shared" si="23"/>
        <v>1438.8942711919219</v>
      </c>
      <c r="K191" s="5">
        <f t="shared" si="24"/>
        <v>1440.5689132412376</v>
      </c>
      <c r="L191" s="5">
        <f t="shared" si="25"/>
        <v>1441.0023615633336</v>
      </c>
      <c r="M191" s="5">
        <f t="shared" si="26"/>
        <v>1441.0744771025311</v>
      </c>
    </row>
    <row r="192" spans="6:13">
      <c r="F192">
        <v>191</v>
      </c>
      <c r="G192" s="5">
        <f t="shared" si="20"/>
        <v>1419.18934238712</v>
      </c>
      <c r="H192" s="5">
        <f t="shared" si="21"/>
        <v>1431.0727719696517</v>
      </c>
      <c r="I192" s="5">
        <f t="shared" si="22"/>
        <v>1437.3423461080017</v>
      </c>
      <c r="J192" s="5">
        <f t="shared" si="23"/>
        <v>1441.6525831030954</v>
      </c>
      <c r="K192" s="5">
        <f t="shared" si="24"/>
        <v>1443.3392713502371</v>
      </c>
      <c r="L192" s="5">
        <f t="shared" si="25"/>
        <v>1443.7758392765938</v>
      </c>
      <c r="M192" s="5">
        <f t="shared" si="26"/>
        <v>1443.8484739111523</v>
      </c>
    </row>
    <row r="193" spans="6:13">
      <c r="F193">
        <v>192</v>
      </c>
      <c r="G193" s="5">
        <f t="shared" si="20"/>
        <v>1421.7929742034835</v>
      </c>
      <c r="H193" s="5">
        <f t="shared" si="21"/>
        <v>1433.7607976710053</v>
      </c>
      <c r="I193" s="5">
        <f t="shared" si="22"/>
        <v>1440.0751070957601</v>
      </c>
      <c r="J193" s="5">
        <f t="shared" si="23"/>
        <v>1444.4161826054083</v>
      </c>
      <c r="K193" s="5">
        <f t="shared" si="24"/>
        <v>1446.1149571349774</v>
      </c>
      <c r="L193" s="5">
        <f t="shared" si="25"/>
        <v>1446.5546550648155</v>
      </c>
      <c r="M193" s="5">
        <f t="shared" si="26"/>
        <v>1446.6278105258814</v>
      </c>
    </row>
    <row r="194" spans="6:13">
      <c r="F194">
        <v>193</v>
      </c>
      <c r="G194" s="5">
        <f t="shared" si="20"/>
        <v>1424.4013826190167</v>
      </c>
      <c r="H194" s="5">
        <f t="shared" si="21"/>
        <v>1436.4538723693861</v>
      </c>
      <c r="I194" s="5">
        <f t="shared" si="22"/>
        <v>1442.8130637716829</v>
      </c>
      <c r="J194" s="5">
        <f t="shared" si="23"/>
        <v>1447.1850798349953</v>
      </c>
      <c r="K194" s="5">
        <f t="shared" si="24"/>
        <v>1448.8959808411119</v>
      </c>
      <c r="L194" s="5">
        <f t="shared" si="25"/>
        <v>1449.3388192021198</v>
      </c>
      <c r="M194" s="5">
        <f t="shared" si="26"/>
        <v>1449.4124972255795</v>
      </c>
    </row>
    <row r="195" spans="6:13">
      <c r="F195">
        <v>194</v>
      </c>
      <c r="G195" s="5">
        <f t="shared" si="20"/>
        <v>1427.0145763968255</v>
      </c>
      <c r="H195" s="5">
        <f t="shared" si="21"/>
        <v>1439.1520055484721</v>
      </c>
      <c r="I195" s="5">
        <f t="shared" si="22"/>
        <v>1445.5562260141226</v>
      </c>
      <c r="J195" s="5">
        <f t="shared" si="23"/>
        <v>1449.9592849474216</v>
      </c>
      <c r="K195" s="5">
        <f t="shared" si="24"/>
        <v>1451.6823527339973</v>
      </c>
      <c r="L195" s="5">
        <f t="shared" si="25"/>
        <v>1452.128341982401</v>
      </c>
      <c r="M195" s="5">
        <f t="shared" si="26"/>
        <v>1452.2025443088946</v>
      </c>
    </row>
    <row r="196" spans="6:13">
      <c r="F196">
        <v>195</v>
      </c>
      <c r="G196" s="5">
        <f t="shared" ref="G196:G259" si="27">$C$2*(1+$C$1)^(F196*0.019231/$D$5)</f>
        <v>1429.6325643160917</v>
      </c>
      <c r="H196" s="5">
        <f t="shared" si="21"/>
        <v>1441.8552067097553</v>
      </c>
      <c r="I196" s="5">
        <f t="shared" si="22"/>
        <v>1448.3046037202128</v>
      </c>
      <c r="J196" s="5">
        <f t="shared" si="23"/>
        <v>1452.7388081177198</v>
      </c>
      <c r="K196" s="5">
        <f t="shared" si="24"/>
        <v>1454.4740830987314</v>
      </c>
      <c r="L196" s="5">
        <f t="shared" si="25"/>
        <v>1454.9232337193666</v>
      </c>
      <c r="M196" s="5">
        <f t="shared" si="26"/>
        <v>1454.9979620942991</v>
      </c>
    </row>
    <row r="197" spans="6:13">
      <c r="F197">
        <v>196</v>
      </c>
      <c r="G197" s="5">
        <f t="shared" si="27"/>
        <v>1432.2553551721035</v>
      </c>
      <c r="H197" s="5">
        <f t="shared" si="21"/>
        <v>1444.5634853725742</v>
      </c>
      <c r="I197" s="5">
        <f t="shared" si="22"/>
        <v>1451.0582068059036</v>
      </c>
      <c r="J197" s="5">
        <f t="shared" si="23"/>
        <v>1455.5236595404276</v>
      </c>
      <c r="K197" s="5">
        <f t="shared" si="24"/>
        <v>1457.2711822401923</v>
      </c>
      <c r="L197" s="5">
        <f t="shared" si="25"/>
        <v>1457.7235047465754</v>
      </c>
      <c r="M197" s="5">
        <f t="shared" si="26"/>
        <v>1457.7987609201275</v>
      </c>
    </row>
    <row r="198" spans="6:13">
      <c r="F198">
        <v>197</v>
      </c>
      <c r="G198" s="5">
        <f t="shared" si="27"/>
        <v>1434.8829577762847</v>
      </c>
      <c r="H198" s="5">
        <f t="shared" si="21"/>
        <v>1447.2768510741478</v>
      </c>
      <c r="I198" s="5">
        <f t="shared" si="22"/>
        <v>1453.8170452059987</v>
      </c>
      <c r="J198" s="5">
        <f t="shared" si="23"/>
        <v>1458.3138494296256</v>
      </c>
      <c r="K198" s="5">
        <f t="shared" si="24"/>
        <v>1460.0736604830743</v>
      </c>
      <c r="L198" s="5">
        <f t="shared" si="25"/>
        <v>1460.5291654174739</v>
      </c>
      <c r="M198" s="5">
        <f t="shared" si="26"/>
        <v>1460.6049511446161</v>
      </c>
    </row>
    <row r="199" spans="6:13">
      <c r="F199">
        <v>198</v>
      </c>
      <c r="G199" s="5">
        <f t="shared" si="27"/>
        <v>1437.5153809562246</v>
      </c>
      <c r="H199" s="5">
        <f t="shared" si="21"/>
        <v>1449.9953133696097</v>
      </c>
      <c r="I199" s="5">
        <f t="shared" si="22"/>
        <v>1456.5811288741902</v>
      </c>
      <c r="J199" s="5">
        <f t="shared" si="23"/>
        <v>1461.1093880189751</v>
      </c>
      <c r="K199" s="5">
        <f t="shared" si="24"/>
        <v>1462.8815281719267</v>
      </c>
      <c r="L199" s="5">
        <f t="shared" si="25"/>
        <v>1463.3402261054364</v>
      </c>
      <c r="M199" s="5">
        <f t="shared" si="26"/>
        <v>1463.4165431459385</v>
      </c>
    </row>
    <row r="200" spans="6:13">
      <c r="F200">
        <v>199</v>
      </c>
      <c r="G200" s="5">
        <f t="shared" si="27"/>
        <v>1440.1526335557078</v>
      </c>
      <c r="H200" s="5">
        <f t="shared" si="21"/>
        <v>1452.7188818320406</v>
      </c>
      <c r="I200" s="5">
        <f t="shared" si="22"/>
        <v>1459.350467783094</v>
      </c>
      <c r="J200" s="5">
        <f t="shared" si="23"/>
        <v>1463.9102855617541</v>
      </c>
      <c r="K200" s="5">
        <f t="shared" si="24"/>
        <v>1465.694795671194</v>
      </c>
      <c r="L200" s="5">
        <f t="shared" si="25"/>
        <v>1466.1566972038027</v>
      </c>
      <c r="M200" s="5">
        <f t="shared" si="26"/>
        <v>1466.2335473222479</v>
      </c>
    </row>
    <row r="201" spans="6:13">
      <c r="F201">
        <v>200</v>
      </c>
      <c r="G201" s="5">
        <f t="shared" si="27"/>
        <v>1442.7947244347431</v>
      </c>
      <c r="H201" s="5">
        <f t="shared" si="21"/>
        <v>1455.4475660525025</v>
      </c>
      <c r="I201" s="5">
        <f t="shared" si="22"/>
        <v>1462.1250719242876</v>
      </c>
      <c r="J201" s="5">
        <f t="shared" si="23"/>
        <v>1466.7165523308959</v>
      </c>
      <c r="K201" s="5">
        <f t="shared" si="24"/>
        <v>1468.5134733652519</v>
      </c>
      <c r="L201" s="5">
        <f t="shared" si="25"/>
        <v>1468.978589125916</v>
      </c>
      <c r="M201" s="5">
        <f t="shared" si="26"/>
        <v>1469.055974091712</v>
      </c>
    </row>
    <row r="202" spans="6:13">
      <c r="F202">
        <v>201</v>
      </c>
      <c r="G202" s="5">
        <f t="shared" si="27"/>
        <v>1445.4416624695937</v>
      </c>
      <c r="H202" s="5">
        <f t="shared" si="21"/>
        <v>1458.1813756400729</v>
      </c>
      <c r="I202" s="5">
        <f t="shared" si="22"/>
        <v>1464.9049513083448</v>
      </c>
      <c r="J202" s="5">
        <f t="shared" si="23"/>
        <v>1469.5281986190266</v>
      </c>
      <c r="K202" s="5">
        <f t="shared" si="24"/>
        <v>1471.3375716584453</v>
      </c>
      <c r="L202" s="5">
        <f t="shared" si="25"/>
        <v>1471.8059123051626</v>
      </c>
      <c r="M202" s="5">
        <f t="shared" si="26"/>
        <v>1471.8838338925532</v>
      </c>
    </row>
    <row r="203" spans="6:13">
      <c r="F203">
        <v>202</v>
      </c>
      <c r="G203" s="5">
        <f t="shared" si="27"/>
        <v>1448.0934565528078</v>
      </c>
      <c r="H203" s="5">
        <f t="shared" si="21"/>
        <v>1460.9203202218785</v>
      </c>
      <c r="I203" s="5">
        <f t="shared" si="22"/>
        <v>1467.6901159648714</v>
      </c>
      <c r="J203" s="5">
        <f t="shared" si="23"/>
        <v>1472.3452347385034</v>
      </c>
      <c r="K203" s="5">
        <f t="shared" si="24"/>
        <v>1474.1671009751292</v>
      </c>
      <c r="L203" s="5">
        <f t="shared" si="25"/>
        <v>1474.6386771950094</v>
      </c>
      <c r="M203" s="5">
        <f t="shared" si="26"/>
        <v>1474.7171371830873</v>
      </c>
    </row>
    <row r="204" spans="6:13">
      <c r="F204">
        <v>203</v>
      </c>
      <c r="G204" s="5">
        <f t="shared" si="27"/>
        <v>1450.7501155932473</v>
      </c>
      <c r="H204" s="5">
        <f t="shared" si="21"/>
        <v>1463.6644094431285</v>
      </c>
      <c r="I204" s="5">
        <f t="shared" si="22"/>
        <v>1470.4805759425433</v>
      </c>
      <c r="J204" s="5">
        <f t="shared" si="23"/>
        <v>1475.167671021452</v>
      </c>
      <c r="K204" s="5">
        <f t="shared" si="24"/>
        <v>1477.0020717597047</v>
      </c>
      <c r="L204" s="5">
        <f t="shared" si="25"/>
        <v>1477.476894269043</v>
      </c>
      <c r="M204" s="5">
        <f t="shared" si="26"/>
        <v>1477.5558944417617</v>
      </c>
    </row>
    <row r="205" spans="6:13">
      <c r="F205">
        <v>204</v>
      </c>
      <c r="G205" s="5">
        <f t="shared" si="27"/>
        <v>1453.4116485161187</v>
      </c>
      <c r="H205" s="5">
        <f t="shared" si="21"/>
        <v>1466.4136529671491</v>
      </c>
      <c r="I205" s="5">
        <f t="shared" si="22"/>
        <v>1473.2763413091402</v>
      </c>
      <c r="J205" s="5">
        <f t="shared" si="23"/>
        <v>1477.9955178198034</v>
      </c>
      <c r="K205" s="5">
        <f t="shared" si="24"/>
        <v>1479.8424944766591</v>
      </c>
      <c r="L205" s="5">
        <f t="shared" si="25"/>
        <v>1480.3205740210085</v>
      </c>
      <c r="M205" s="5">
        <f t="shared" si="26"/>
        <v>1480.4001161671943</v>
      </c>
    </row>
    <row r="206" spans="6:13">
      <c r="F206">
        <v>205</v>
      </c>
      <c r="G206" s="5">
        <f t="shared" si="27"/>
        <v>1456.0780642630016</v>
      </c>
      <c r="H206" s="5">
        <f t="shared" si="21"/>
        <v>1469.1680604754176</v>
      </c>
      <c r="I206" s="5">
        <f t="shared" si="22"/>
        <v>1476.0774221515844</v>
      </c>
      <c r="J206" s="5">
        <f t="shared" si="23"/>
        <v>1480.8287855053341</v>
      </c>
      <c r="K206" s="5">
        <f t="shared" si="24"/>
        <v>1482.6883796106031</v>
      </c>
      <c r="L206" s="5">
        <f t="shared" si="25"/>
        <v>1483.169726964848</v>
      </c>
      <c r="M206" s="5">
        <f t="shared" si="26"/>
        <v>1483.2498128782117</v>
      </c>
    </row>
    <row r="207" spans="6:13">
      <c r="F207">
        <v>206</v>
      </c>
      <c r="G207" s="5">
        <f t="shared" si="27"/>
        <v>1458.7493717918808</v>
      </c>
      <c r="H207" s="5">
        <f t="shared" si="21"/>
        <v>1471.9276416675959</v>
      </c>
      <c r="I207" s="5">
        <f t="shared" si="22"/>
        <v>1478.8838285759753</v>
      </c>
      <c r="J207" s="5">
        <f t="shared" si="23"/>
        <v>1483.6674844697022</v>
      </c>
      <c r="K207" s="5">
        <f t="shared" si="24"/>
        <v>1485.5397376663113</v>
      </c>
      <c r="L207" s="5">
        <f t="shared" si="25"/>
        <v>1486.0243636347398</v>
      </c>
      <c r="M207" s="5">
        <f t="shared" si="26"/>
        <v>1486.10499511389</v>
      </c>
    </row>
    <row r="208" spans="6:13">
      <c r="F208">
        <v>207</v>
      </c>
      <c r="G208" s="5">
        <f t="shared" si="27"/>
        <v>1461.4255800771746</v>
      </c>
      <c r="H208" s="5">
        <f t="shared" si="21"/>
        <v>1474.6924062615653</v>
      </c>
      <c r="I208" s="5">
        <f t="shared" si="22"/>
        <v>1481.695570707627</v>
      </c>
      <c r="J208" s="5">
        <f t="shared" si="23"/>
        <v>1486.5116251244867</v>
      </c>
      <c r="K208" s="5">
        <f t="shared" si="24"/>
        <v>1488.3965791687599</v>
      </c>
      <c r="L208" s="5">
        <f t="shared" si="25"/>
        <v>1488.8844945851367</v>
      </c>
      <c r="M208" s="5">
        <f t="shared" si="26"/>
        <v>1488.9656734335917</v>
      </c>
    </row>
    <row r="209" spans="6:13">
      <c r="F209">
        <v>208</v>
      </c>
      <c r="G209" s="5">
        <f t="shared" si="27"/>
        <v>1464.1066981097661</v>
      </c>
      <c r="H209" s="5">
        <f t="shared" si="21"/>
        <v>1477.4623639934605</v>
      </c>
      <c r="I209" s="5">
        <f t="shared" si="22"/>
        <v>1484.5126586911042</v>
      </c>
      <c r="J209" s="5">
        <f t="shared" si="23"/>
        <v>1489.361217901225</v>
      </c>
      <c r="K209" s="5">
        <f t="shared" si="24"/>
        <v>1491.2589146631651</v>
      </c>
      <c r="L209" s="5">
        <f t="shared" si="25"/>
        <v>1491.7501303908066</v>
      </c>
      <c r="M209" s="5">
        <f t="shared" si="26"/>
        <v>1491.8318584170049</v>
      </c>
    </row>
    <row r="210" spans="6:13">
      <c r="F210">
        <v>209</v>
      </c>
      <c r="G210" s="5">
        <f t="shared" si="27"/>
        <v>1466.7927348970331</v>
      </c>
      <c r="H210" s="5">
        <f t="shared" si="21"/>
        <v>1480.2375246177039</v>
      </c>
      <c r="I210" s="5">
        <f t="shared" si="22"/>
        <v>1487.3351026902594</v>
      </c>
      <c r="J210" s="5">
        <f t="shared" si="23"/>
        <v>1492.2162732514514</v>
      </c>
      <c r="K210" s="5">
        <f t="shared" si="24"/>
        <v>1494.1267547150233</v>
      </c>
      <c r="L210" s="5">
        <f t="shared" si="25"/>
        <v>1494.6212816468692</v>
      </c>
      <c r="M210" s="5">
        <f t="shared" si="26"/>
        <v>1494.7035606641846</v>
      </c>
    </row>
    <row r="211" spans="6:13">
      <c r="F211">
        <v>210</v>
      </c>
      <c r="G211" s="5">
        <f t="shared" si="27"/>
        <v>1469.4836994628779</v>
      </c>
      <c r="H211" s="5">
        <f t="shared" si="21"/>
        <v>1483.0178979070404</v>
      </c>
      <c r="I211" s="5">
        <f t="shared" si="22"/>
        <v>1490.1629128882691</v>
      </c>
      <c r="J211" s="5">
        <f t="shared" si="23"/>
        <v>1495.0768016467357</v>
      </c>
      <c r="K211" s="5">
        <f t="shared" si="24"/>
        <v>1497.0001099101485</v>
      </c>
      <c r="L211" s="5">
        <f t="shared" si="25"/>
        <v>1497.4979589688373</v>
      </c>
      <c r="M211" s="5">
        <f t="shared" si="26"/>
        <v>1497.5807907955891</v>
      </c>
    </row>
    <row r="212" spans="6:13">
      <c r="F212">
        <v>211</v>
      </c>
      <c r="G212" s="5">
        <f t="shared" si="27"/>
        <v>1472.1796008477581</v>
      </c>
      <c r="H212" s="5">
        <f t="shared" si="21"/>
        <v>1485.8034936525696</v>
      </c>
      <c r="I212" s="5">
        <f t="shared" si="22"/>
        <v>1492.9960994876703</v>
      </c>
      <c r="J212" s="5">
        <f t="shared" si="23"/>
        <v>1497.9428135787209</v>
      </c>
      <c r="K212" s="5">
        <f t="shared" si="24"/>
        <v>1499.8789908547133</v>
      </c>
      <c r="L212" s="5">
        <f t="shared" si="25"/>
        <v>1500.3801729926554</v>
      </c>
      <c r="M212" s="5">
        <f t="shared" si="26"/>
        <v>1500.4635594521214</v>
      </c>
    </row>
    <row r="213" spans="6:13">
      <c r="F213">
        <v>212</v>
      </c>
      <c r="G213" s="5">
        <f t="shared" si="27"/>
        <v>1474.8804481087168</v>
      </c>
      <c r="H213" s="5">
        <f t="shared" si="21"/>
        <v>1488.5943216637843</v>
      </c>
      <c r="I213" s="5">
        <f t="shared" si="22"/>
        <v>1495.8346727103983</v>
      </c>
      <c r="J213" s="5">
        <f t="shared" si="23"/>
        <v>1500.8143195591626</v>
      </c>
      <c r="K213" s="5">
        <f t="shared" si="24"/>
        <v>1502.7634081752865</v>
      </c>
      <c r="L213" s="5">
        <f t="shared" si="25"/>
        <v>1503.2679343747382</v>
      </c>
      <c r="M213" s="5">
        <f t="shared" si="26"/>
        <v>1503.351877295167</v>
      </c>
    </row>
    <row r="214" spans="6:13">
      <c r="F214">
        <v>213</v>
      </c>
      <c r="G214" s="5">
        <f t="shared" si="27"/>
        <v>1477.5862503194132</v>
      </c>
      <c r="H214" s="5">
        <f t="shared" si="21"/>
        <v>1491.3903917686007</v>
      </c>
      <c r="I214" s="5">
        <f t="shared" si="22"/>
        <v>1498.6786427978225</v>
      </c>
      <c r="J214" s="5">
        <f t="shared" si="23"/>
        <v>1503.6913301199666</v>
      </c>
      <c r="K214" s="5">
        <f t="shared" si="24"/>
        <v>1505.6533725188729</v>
      </c>
      <c r="L214" s="5">
        <f t="shared" si="25"/>
        <v>1506.1612537920107</v>
      </c>
      <c r="M214" s="5">
        <f t="shared" si="26"/>
        <v>1506.2457550066347</v>
      </c>
    </row>
    <row r="215" spans="6:13">
      <c r="F215">
        <v>214</v>
      </c>
      <c r="G215" s="5">
        <f t="shared" si="27"/>
        <v>1480.2970165701529</v>
      </c>
      <c r="H215" s="5">
        <f t="shared" si="21"/>
        <v>1494.1917138133967</v>
      </c>
      <c r="I215" s="5">
        <f t="shared" si="22"/>
        <v>1501.5280200107836</v>
      </c>
      <c r="J215" s="5">
        <f t="shared" si="23"/>
        <v>1506.5738558132286</v>
      </c>
      <c r="K215" s="5">
        <f t="shared" si="24"/>
        <v>1508.5488945529521</v>
      </c>
      <c r="L215" s="5">
        <f t="shared" si="25"/>
        <v>1509.0601419419486</v>
      </c>
      <c r="M215" s="5">
        <f t="shared" si="26"/>
        <v>1509.1452032889947</v>
      </c>
    </row>
    <row r="216" spans="6:13">
      <c r="F216">
        <v>215</v>
      </c>
      <c r="G216" s="5">
        <f t="shared" si="27"/>
        <v>1483.0127559679183</v>
      </c>
      <c r="H216" s="5">
        <f t="shared" si="21"/>
        <v>1496.998297663044</v>
      </c>
      <c r="I216" s="5">
        <f t="shared" si="22"/>
        <v>1504.3828146296314</v>
      </c>
      <c r="J216" s="5">
        <f t="shared" si="23"/>
        <v>1509.4619072112719</v>
      </c>
      <c r="K216" s="5">
        <f t="shared" si="24"/>
        <v>1511.4499849655197</v>
      </c>
      <c r="L216" s="5">
        <f t="shared" si="25"/>
        <v>1511.9646095426153</v>
      </c>
      <c r="M216" s="5">
        <f t="shared" si="26"/>
        <v>1512.0502328653197</v>
      </c>
    </row>
    <row r="217" spans="6:13">
      <c r="F217">
        <v>216</v>
      </c>
      <c r="G217" s="5">
        <f t="shared" si="27"/>
        <v>1485.7334776363998</v>
      </c>
      <c r="H217" s="5">
        <f t="shared" si="21"/>
        <v>1499.8101532009443</v>
      </c>
      <c r="I217" s="5">
        <f t="shared" si="22"/>
        <v>1507.243036954261</v>
      </c>
      <c r="J217" s="5">
        <f t="shared" si="23"/>
        <v>1512.3554949066861</v>
      </c>
      <c r="K217" s="5">
        <f t="shared" si="24"/>
        <v>1514.3566544651239</v>
      </c>
      <c r="L217" s="5">
        <f t="shared" si="25"/>
        <v>1514.8746673327048</v>
      </c>
      <c r="M217" s="5">
        <f t="shared" si="26"/>
        <v>1514.9608544793234</v>
      </c>
    </row>
    <row r="218" spans="6:13">
      <c r="F218">
        <v>217</v>
      </c>
      <c r="G218" s="5">
        <f t="shared" si="27"/>
        <v>1488.4591907160257</v>
      </c>
      <c r="H218" s="5">
        <f t="shared" si="21"/>
        <v>1502.627290329063</v>
      </c>
      <c r="I218" s="5">
        <f t="shared" si="22"/>
        <v>1510.1086973041506</v>
      </c>
      <c r="J218" s="5">
        <f t="shared" si="23"/>
        <v>1515.254629512368</v>
      </c>
      <c r="K218" s="5">
        <f t="shared" si="24"/>
        <v>1517.2689137809073</v>
      </c>
      <c r="L218" s="5">
        <f t="shared" si="25"/>
        <v>1517.7903260715784</v>
      </c>
      <c r="M218" s="5">
        <f t="shared" si="26"/>
        <v>1517.8770788954005</v>
      </c>
    </row>
    <row r="219" spans="6:13">
      <c r="F219">
        <v>218</v>
      </c>
      <c r="G219" s="5">
        <f t="shared" si="27"/>
        <v>1491.189904363993</v>
      </c>
      <c r="H219" s="5">
        <f t="shared" si="21"/>
        <v>1505.4497189679651</v>
      </c>
      <c r="I219" s="5">
        <f t="shared" si="22"/>
        <v>1512.9798060183978</v>
      </c>
      <c r="J219" s="5">
        <f t="shared" si="23"/>
        <v>1518.1593216615572</v>
      </c>
      <c r="K219" s="5">
        <f t="shared" si="24"/>
        <v>1520.1867736626452</v>
      </c>
      <c r="L219" s="5">
        <f t="shared" si="25"/>
        <v>1520.7115965393066</v>
      </c>
      <c r="M219" s="5">
        <f t="shared" si="26"/>
        <v>1520.7989168986669</v>
      </c>
    </row>
    <row r="220" spans="6:13">
      <c r="F220">
        <v>219</v>
      </c>
      <c r="G220" s="5">
        <f t="shared" si="27"/>
        <v>1493.9256277542991</v>
      </c>
      <c r="H220" s="5">
        <f t="shared" si="21"/>
        <v>1508.277449056849</v>
      </c>
      <c r="I220" s="5">
        <f t="shared" si="22"/>
        <v>1515.8563734557579</v>
      </c>
      <c r="J220" s="5">
        <f t="shared" si="23"/>
        <v>1521.0695820078781</v>
      </c>
      <c r="K220" s="5">
        <f t="shared" si="24"/>
        <v>1523.1102448807867</v>
      </c>
      <c r="L220" s="5">
        <f t="shared" si="25"/>
        <v>1523.6384895367075</v>
      </c>
      <c r="M220" s="5">
        <f t="shared" si="26"/>
        <v>1523.7263792949991</v>
      </c>
    </row>
    <row r="221" spans="6:13">
      <c r="F221">
        <v>220</v>
      </c>
      <c r="G221" s="5">
        <f t="shared" si="27"/>
        <v>1496.6663700777715</v>
      </c>
      <c r="H221" s="5">
        <f t="shared" si="21"/>
        <v>1511.1104905535838</v>
      </c>
      <c r="I221" s="5">
        <f t="shared" si="22"/>
        <v>1518.738409994681</v>
      </c>
      <c r="J221" s="5">
        <f t="shared" si="23"/>
        <v>1523.985421225377</v>
      </c>
      <c r="K221" s="5">
        <f t="shared" si="24"/>
        <v>1526.0393382264924</v>
      </c>
      <c r="L221" s="5">
        <f t="shared" si="25"/>
        <v>1526.5710158853883</v>
      </c>
      <c r="M221" s="5">
        <f t="shared" si="26"/>
        <v>1526.6594769110745</v>
      </c>
    </row>
    <row r="222" spans="6:13">
      <c r="F222">
        <v>221</v>
      </c>
      <c r="G222" s="5">
        <f t="shared" si="27"/>
        <v>1499.4121405420995</v>
      </c>
      <c r="H222" s="5">
        <f t="shared" si="21"/>
        <v>1513.9488534347406</v>
      </c>
      <c r="I222" s="5">
        <f t="shared" si="22"/>
        <v>1521.6259260333488</v>
      </c>
      <c r="J222" s="5">
        <f t="shared" si="23"/>
        <v>1526.9068500085623</v>
      </c>
      <c r="K222" s="5">
        <f t="shared" si="24"/>
        <v>1528.9740645116765</v>
      </c>
      <c r="L222" s="5">
        <f t="shared" si="25"/>
        <v>1529.5091864277831</v>
      </c>
      <c r="M222" s="5">
        <f t="shared" si="26"/>
        <v>1529.5982205944115</v>
      </c>
    </row>
    <row r="223" spans="6:13">
      <c r="F223">
        <v>222</v>
      </c>
      <c r="G223" s="5">
        <f t="shared" si="27"/>
        <v>1502.1629483718639</v>
      </c>
      <c r="H223" s="5">
        <f t="shared" si="21"/>
        <v>1516.7925476956318</v>
      </c>
      <c r="I223" s="5">
        <f t="shared" si="22"/>
        <v>1524.5189319897133</v>
      </c>
      <c r="J223" s="5">
        <f t="shared" si="23"/>
        <v>1529.8338790724436</v>
      </c>
      <c r="K223" s="5">
        <f t="shared" si="24"/>
        <v>1531.9144345690443</v>
      </c>
      <c r="L223" s="5">
        <f t="shared" si="25"/>
        <v>1532.4530120271957</v>
      </c>
      <c r="M223" s="5">
        <f t="shared" si="26"/>
        <v>1532.5426212134089</v>
      </c>
    </row>
    <row r="224" spans="6:13">
      <c r="F224">
        <v>223</v>
      </c>
      <c r="G224" s="5">
        <f t="shared" si="27"/>
        <v>1504.9188028085694</v>
      </c>
      <c r="H224" s="5">
        <f t="shared" si="21"/>
        <v>1519.6415833503427</v>
      </c>
      <c r="I224" s="5">
        <f t="shared" si="22"/>
        <v>1527.4174383015336</v>
      </c>
      <c r="J224" s="5">
        <f t="shared" si="23"/>
        <v>1532.76651915257</v>
      </c>
      <c r="K224" s="5">
        <f t="shared" si="24"/>
        <v>1534.8604592521349</v>
      </c>
      <c r="L224" s="5">
        <f t="shared" si="25"/>
        <v>1535.4025035678376</v>
      </c>
      <c r="M224" s="5">
        <f t="shared" si="26"/>
        <v>1535.4926896573866</v>
      </c>
    </row>
    <row r="225" spans="6:13">
      <c r="F225">
        <v>224</v>
      </c>
      <c r="G225" s="5">
        <f t="shared" si="27"/>
        <v>1507.6797131106757</v>
      </c>
      <c r="H225" s="5">
        <f t="shared" si="21"/>
        <v>1522.4959704317696</v>
      </c>
      <c r="I225" s="5">
        <f t="shared" si="22"/>
        <v>1530.321455426413</v>
      </c>
      <c r="J225" s="5">
        <f t="shared" si="23"/>
        <v>1535.7047810050717</v>
      </c>
      <c r="K225" s="5">
        <f t="shared" si="24"/>
        <v>1537.8121494353588</v>
      </c>
      <c r="L225" s="5">
        <f t="shared" si="25"/>
        <v>1538.3576719548689</v>
      </c>
      <c r="M225" s="5">
        <f t="shared" si="26"/>
        <v>1538.448436836627</v>
      </c>
    </row>
    <row r="226" spans="6:13">
      <c r="F226">
        <v>225</v>
      </c>
      <c r="G226" s="5">
        <f t="shared" si="27"/>
        <v>1510.445688553626</v>
      </c>
      <c r="H226" s="5">
        <f t="shared" si="21"/>
        <v>1525.3557189916526</v>
      </c>
      <c r="I226" s="5">
        <f t="shared" si="22"/>
        <v>1533.230993841838</v>
      </c>
      <c r="J226" s="5">
        <f t="shared" si="23"/>
        <v>1538.6486754066968</v>
      </c>
      <c r="K226" s="5">
        <f t="shared" si="24"/>
        <v>1540.7695160140395</v>
      </c>
      <c r="L226" s="5">
        <f t="shared" si="25"/>
        <v>1541.3185281144385</v>
      </c>
      <c r="M226" s="5">
        <f t="shared" si="26"/>
        <v>1541.409873682413</v>
      </c>
    </row>
    <row r="227" spans="6:13">
      <c r="F227">
        <v>226</v>
      </c>
      <c r="G227" s="5">
        <f t="shared" si="27"/>
        <v>1513.2167384298832</v>
      </c>
      <c r="H227" s="5">
        <f t="shared" si="21"/>
        <v>1528.2208391006134</v>
      </c>
      <c r="I227" s="5">
        <f t="shared" si="22"/>
        <v>1536.146064045216</v>
      </c>
      <c r="J227" s="5">
        <f t="shared" si="23"/>
        <v>1541.5982131548524</v>
      </c>
      <c r="K227" s="5">
        <f t="shared" si="24"/>
        <v>1543.7325699044534</v>
      </c>
      <c r="L227" s="5">
        <f t="shared" si="25"/>
        <v>1544.2850829937261</v>
      </c>
      <c r="M227" s="5">
        <f t="shared" si="26"/>
        <v>1544.3770111470708</v>
      </c>
    </row>
    <row r="228" spans="6:13">
      <c r="F228">
        <v>227</v>
      </c>
      <c r="G228" s="5">
        <f t="shared" si="27"/>
        <v>1515.992872048955</v>
      </c>
      <c r="H228" s="5">
        <f t="shared" si="21"/>
        <v>1531.0913408481888</v>
      </c>
      <c r="I228" s="5">
        <f t="shared" si="22"/>
        <v>1539.0666765539117</v>
      </c>
      <c r="J228" s="5">
        <f t="shared" si="23"/>
        <v>1544.5534050676442</v>
      </c>
      <c r="K228" s="5">
        <f t="shared" si="24"/>
        <v>1546.7013220438694</v>
      </c>
      <c r="L228" s="5">
        <f t="shared" si="25"/>
        <v>1547.2573475609797</v>
      </c>
      <c r="M228" s="5">
        <f t="shared" si="26"/>
        <v>1547.3498602040077</v>
      </c>
    </row>
    <row r="229" spans="6:13">
      <c r="F229">
        <v>228</v>
      </c>
      <c r="G229" s="5">
        <f t="shared" si="27"/>
        <v>1518.77409873743</v>
      </c>
      <c r="H229" s="5">
        <f t="shared" si="21"/>
        <v>1533.9672343428679</v>
      </c>
      <c r="I229" s="5">
        <f t="shared" si="22"/>
        <v>1541.9928419052869</v>
      </c>
      <c r="J229" s="5">
        <f t="shared" si="23"/>
        <v>1547.5142619839153</v>
      </c>
      <c r="K229" s="5">
        <f t="shared" si="24"/>
        <v>1549.6757833905908</v>
      </c>
      <c r="L229" s="5">
        <f t="shared" si="25"/>
        <v>1550.2353328055581</v>
      </c>
      <c r="M229" s="5">
        <f t="shared" si="26"/>
        <v>1550.3284318477556</v>
      </c>
    </row>
    <row r="230" spans="6:13">
      <c r="F230">
        <v>229</v>
      </c>
      <c r="G230" s="5">
        <f t="shared" si="27"/>
        <v>1521.5604278390072</v>
      </c>
      <c r="H230" s="5">
        <f t="shared" si="21"/>
        <v>1536.8485297121263</v>
      </c>
      <c r="I230" s="5">
        <f t="shared" si="22"/>
        <v>1544.9245706567365</v>
      </c>
      <c r="J230" s="5">
        <f t="shared" si="23"/>
        <v>1550.4807947632871</v>
      </c>
      <c r="K230" s="5">
        <f t="shared" si="24"/>
        <v>1552.6559649239939</v>
      </c>
      <c r="L230" s="5">
        <f t="shared" si="25"/>
        <v>1553.2190497379718</v>
      </c>
      <c r="M230" s="5">
        <f t="shared" si="26"/>
        <v>1553.3127370940103</v>
      </c>
    </row>
    <row r="231" spans="6:13">
      <c r="F231">
        <v>230</v>
      </c>
      <c r="G231" s="5">
        <f t="shared" si="27"/>
        <v>1524.3518687145263</v>
      </c>
      <c r="H231" s="5">
        <f t="shared" si="21"/>
        <v>1539.7352371024629</v>
      </c>
      <c r="I231" s="5">
        <f t="shared" si="22"/>
        <v>1547.8618733857295</v>
      </c>
      <c r="J231" s="5">
        <f t="shared" si="23"/>
        <v>1553.4530142861977</v>
      </c>
      <c r="K231" s="5">
        <f t="shared" si="24"/>
        <v>1555.6418776445701</v>
      </c>
      <c r="L231" s="5">
        <f t="shared" si="25"/>
        <v>1556.2085093899227</v>
      </c>
      <c r="M231" s="5">
        <f t="shared" si="26"/>
        <v>1556.3027869796715</v>
      </c>
    </row>
    <row r="232" spans="6:13">
      <c r="F232">
        <v>231</v>
      </c>
      <c r="G232" s="5">
        <f t="shared" si="27"/>
        <v>1527.1484307420021</v>
      </c>
      <c r="H232" s="5">
        <f t="shared" si="21"/>
        <v>1542.6273666794336</v>
      </c>
      <c r="I232" s="5">
        <f t="shared" si="22"/>
        <v>1550.8047606898433</v>
      </c>
      <c r="J232" s="5">
        <f t="shared" si="23"/>
        <v>1556.4309314539439</v>
      </c>
      <c r="K232" s="5">
        <f t="shared" si="24"/>
        <v>1558.6335325739653</v>
      </c>
      <c r="L232" s="5">
        <f t="shared" si="25"/>
        <v>1559.2037228143449</v>
      </c>
      <c r="M232" s="5">
        <f t="shared" si="26"/>
        <v>1559.298592562885</v>
      </c>
    </row>
    <row r="233" spans="6:13">
      <c r="F233">
        <v>232</v>
      </c>
      <c r="G233" s="5">
        <f t="shared" si="27"/>
        <v>1529.9501233166525</v>
      </c>
      <c r="H233" s="5">
        <f t="shared" si="21"/>
        <v>1545.5249286276908</v>
      </c>
      <c r="I233" s="5">
        <f t="shared" si="22"/>
        <v>1553.7532431868065</v>
      </c>
      <c r="J233" s="5">
        <f t="shared" si="23"/>
        <v>1559.4145571887186</v>
      </c>
      <c r="K233" s="5">
        <f t="shared" si="24"/>
        <v>1561.6309407550216</v>
      </c>
      <c r="L233" s="5">
        <f t="shared" si="25"/>
        <v>1562.2047010854467</v>
      </c>
      <c r="M233" s="5">
        <f t="shared" si="26"/>
        <v>1562.3001649230828</v>
      </c>
    </row>
    <row r="234" spans="6:13">
      <c r="F234">
        <v>233</v>
      </c>
      <c r="G234" s="5">
        <f t="shared" si="27"/>
        <v>1532.7569558509326</v>
      </c>
      <c r="H234" s="5">
        <f t="shared" si="21"/>
        <v>1548.4279331510149</v>
      </c>
      <c r="I234" s="5">
        <f t="shared" si="22"/>
        <v>1556.7073315145321</v>
      </c>
      <c r="J234" s="5">
        <f t="shared" si="23"/>
        <v>1562.403902433653</v>
      </c>
      <c r="K234" s="5">
        <f t="shared" si="24"/>
        <v>1564.6341132518173</v>
      </c>
      <c r="L234" s="5">
        <f t="shared" si="25"/>
        <v>1565.2114552987503</v>
      </c>
      <c r="M234" s="5">
        <f t="shared" si="26"/>
        <v>1565.307515161024</v>
      </c>
    </row>
    <row r="235" spans="6:13">
      <c r="F235">
        <v>234</v>
      </c>
      <c r="G235" s="5">
        <f t="shared" si="27"/>
        <v>1535.5689377745659</v>
      </c>
      <c r="H235" s="5">
        <f t="shared" si="21"/>
        <v>1551.3363904723537</v>
      </c>
      <c r="I235" s="5">
        <f t="shared" si="22"/>
        <v>1559.6670363311609</v>
      </c>
      <c r="J235" s="5">
        <f t="shared" si="23"/>
        <v>1565.3989781528555</v>
      </c>
      <c r="K235" s="5">
        <f t="shared" si="24"/>
        <v>1567.6430611497083</v>
      </c>
      <c r="L235" s="5">
        <f t="shared" si="25"/>
        <v>1568.2239965711328</v>
      </c>
      <c r="M235" s="5">
        <f t="shared" si="26"/>
        <v>1568.3206543988367</v>
      </c>
    </row>
    <row r="236" spans="6:13">
      <c r="F236">
        <v>235</v>
      </c>
      <c r="G236" s="5">
        <f t="shared" si="27"/>
        <v>1538.3860785345746</v>
      </c>
      <c r="H236" s="5">
        <f t="shared" si="21"/>
        <v>1554.2503108338569</v>
      </c>
      <c r="I236" s="5">
        <f t="shared" si="22"/>
        <v>1562.6323683150958</v>
      </c>
      <c r="J236" s="5">
        <f t="shared" si="23"/>
        <v>1568.3997953314527</v>
      </c>
      <c r="K236" s="5">
        <f t="shared" si="24"/>
        <v>1570.6577955553685</v>
      </c>
      <c r="L236" s="5">
        <f t="shared" si="25"/>
        <v>1571.2423360408691</v>
      </c>
      <c r="M236" s="5">
        <f t="shared" si="26"/>
        <v>1571.3395937800576</v>
      </c>
    </row>
    <row r="237" spans="6:13">
      <c r="F237">
        <v>236</v>
      </c>
      <c r="G237" s="5">
        <f t="shared" si="27"/>
        <v>1541.2083875953133</v>
      </c>
      <c r="H237" s="5">
        <f t="shared" si="21"/>
        <v>1557.1697044969117</v>
      </c>
      <c r="I237" s="5">
        <f t="shared" si="22"/>
        <v>1565.6033381650434</v>
      </c>
      <c r="J237" s="5">
        <f t="shared" si="23"/>
        <v>1571.4063649756288</v>
      </c>
      <c r="K237" s="5">
        <f t="shared" si="24"/>
        <v>1573.678327596831</v>
      </c>
      <c r="L237" s="5">
        <f t="shared" si="25"/>
        <v>1574.2664848676709</v>
      </c>
      <c r="M237" s="5">
        <f t="shared" si="26"/>
        <v>1574.3643444696754</v>
      </c>
    </row>
    <row r="238" spans="6:13">
      <c r="F238">
        <v>237</v>
      </c>
      <c r="G238" s="5">
        <f t="shared" si="27"/>
        <v>1544.0358744384989</v>
      </c>
      <c r="H238" s="5">
        <f t="shared" si="21"/>
        <v>1560.0945817421798</v>
      </c>
      <c r="I238" s="5">
        <f t="shared" si="22"/>
        <v>1568.5799566000505</v>
      </c>
      <c r="J238" s="5">
        <f t="shared" si="23"/>
        <v>1574.418698112667</v>
      </c>
      <c r="K238" s="5">
        <f t="shared" si="24"/>
        <v>1576.7046684235293</v>
      </c>
      <c r="L238" s="5">
        <f t="shared" si="25"/>
        <v>1577.2964542327288</v>
      </c>
      <c r="M238" s="5">
        <f t="shared" si="26"/>
        <v>1577.3949176541698</v>
      </c>
    </row>
    <row r="239" spans="6:13">
      <c r="F239">
        <v>238</v>
      </c>
      <c r="G239" s="5">
        <f t="shared" si="27"/>
        <v>1546.8685485632443</v>
      </c>
      <c r="H239" s="5">
        <f t="shared" si="21"/>
        <v>1563.024952869634</v>
      </c>
      <c r="I239" s="5">
        <f t="shared" si="22"/>
        <v>1571.5622343595439</v>
      </c>
      <c r="J239" s="5">
        <f t="shared" si="23"/>
        <v>1577.4368057909894</v>
      </c>
      <c r="K239" s="5">
        <f t="shared" si="24"/>
        <v>1579.7368292063386</v>
      </c>
      <c r="L239" s="5">
        <f t="shared" si="25"/>
        <v>1580.3322553387538</v>
      </c>
      <c r="M239" s="5">
        <f t="shared" si="26"/>
        <v>1580.4313245415544</v>
      </c>
    </row>
    <row r="240" spans="6:13">
      <c r="F240">
        <v>239</v>
      </c>
      <c r="G240" s="5">
        <f t="shared" si="27"/>
        <v>1549.7064194860886</v>
      </c>
      <c r="H240" s="5">
        <f t="shared" si="21"/>
        <v>1565.9608281985932</v>
      </c>
      <c r="I240" s="5">
        <f t="shared" si="22"/>
        <v>1574.5501822033689</v>
      </c>
      <c r="J240" s="5">
        <f t="shared" si="23"/>
        <v>1580.4606990801969</v>
      </c>
      <c r="K240" s="5">
        <f t="shared" si="24"/>
        <v>1582.7748211376168</v>
      </c>
      <c r="L240" s="5">
        <f t="shared" si="25"/>
        <v>1583.373899410019</v>
      </c>
      <c r="M240" s="5">
        <f t="shared" si="26"/>
        <v>1583.4735763614176</v>
      </c>
    </row>
    <row r="241" spans="6:13">
      <c r="F241">
        <v>240</v>
      </c>
      <c r="G241" s="5">
        <f t="shared" si="27"/>
        <v>1552.54949674103</v>
      </c>
      <c r="H241" s="5">
        <f t="shared" si="21"/>
        <v>1568.9022180677591</v>
      </c>
      <c r="I241" s="5">
        <f t="shared" si="22"/>
        <v>1577.5438109118284</v>
      </c>
      <c r="J241" s="5">
        <f t="shared" si="23"/>
        <v>1583.4903890711114</v>
      </c>
      <c r="K241" s="5">
        <f t="shared" si="24"/>
        <v>1585.8186554312451</v>
      </c>
      <c r="L241" s="5">
        <f t="shared" si="25"/>
        <v>1586.4213976924002</v>
      </c>
      <c r="M241" s="5">
        <f t="shared" si="26"/>
        <v>1586.5216843649641</v>
      </c>
    </row>
    <row r="242" spans="6:13">
      <c r="F242">
        <v>241</v>
      </c>
      <c r="G242" s="5">
        <f t="shared" si="27"/>
        <v>1555.3977898795583</v>
      </c>
      <c r="H242" s="5">
        <f t="shared" si="21"/>
        <v>1571.8491328352541</v>
      </c>
      <c r="I242" s="5">
        <f t="shared" si="22"/>
        <v>1580.5431312857202</v>
      </c>
      <c r="J242" s="5">
        <f t="shared" si="23"/>
        <v>1586.5258868758149</v>
      </c>
      <c r="K242" s="5">
        <f t="shared" si="24"/>
        <v>1588.8683433226711</v>
      </c>
      <c r="L242" s="5">
        <f t="shared" si="25"/>
        <v>1589.4747614534183</v>
      </c>
      <c r="M242" s="5">
        <f t="shared" si="26"/>
        <v>1589.5756598250571</v>
      </c>
    </row>
    <row r="243" spans="6:13">
      <c r="F243">
        <v>242</v>
      </c>
      <c r="G243" s="5">
        <f t="shared" si="27"/>
        <v>1558.2513084706857</v>
      </c>
      <c r="H243" s="5">
        <f t="shared" si="21"/>
        <v>1574.8015828786547</v>
      </c>
      <c r="I243" s="5">
        <f t="shared" si="22"/>
        <v>1583.5481541463785</v>
      </c>
      <c r="J243" s="5">
        <f t="shared" si="23"/>
        <v>1589.567203627691</v>
      </c>
      <c r="K243" s="5">
        <f t="shared" si="24"/>
        <v>1591.9238960689486</v>
      </c>
      <c r="L243" s="5">
        <f t="shared" si="25"/>
        <v>1592.5340019822804</v>
      </c>
      <c r="M243" s="5">
        <f t="shared" si="26"/>
        <v>1592.6355140362582</v>
      </c>
    </row>
    <row r="244" spans="6:13">
      <c r="F244">
        <v>243</v>
      </c>
      <c r="G244" s="5">
        <f t="shared" si="27"/>
        <v>1561.1100621009796</v>
      </c>
      <c r="H244" s="5">
        <f t="shared" si="21"/>
        <v>1577.7595785950321</v>
      </c>
      <c r="I244" s="5">
        <f t="shared" si="22"/>
        <v>1586.5588903357111</v>
      </c>
      <c r="J244" s="5">
        <f t="shared" si="23"/>
        <v>1592.6143504814659</v>
      </c>
      <c r="K244" s="5">
        <f t="shared" si="24"/>
        <v>1594.9853249487803</v>
      </c>
      <c r="L244" s="5">
        <f t="shared" si="25"/>
        <v>1595.5991305899222</v>
      </c>
      <c r="M244" s="5">
        <f t="shared" si="26"/>
        <v>1595.7012583148721</v>
      </c>
    </row>
    <row r="245" spans="6:13">
      <c r="F245">
        <v>244</v>
      </c>
      <c r="G245" s="5">
        <f t="shared" si="27"/>
        <v>1563.9740603745956</v>
      </c>
      <c r="H245" s="5">
        <f t="shared" si="21"/>
        <v>1580.7231304009847</v>
      </c>
      <c r="I245" s="5">
        <f t="shared" si="22"/>
        <v>1589.5753507162397</v>
      </c>
      <c r="J245" s="5">
        <f t="shared" si="23"/>
        <v>1595.6673386132484</v>
      </c>
      <c r="K245" s="5">
        <f t="shared" si="24"/>
        <v>1598.0526412625588</v>
      </c>
      <c r="L245" s="5">
        <f t="shared" si="25"/>
        <v>1598.6701586090485</v>
      </c>
      <c r="M245" s="5">
        <f t="shared" si="26"/>
        <v>1598.7729039989861</v>
      </c>
    </row>
    <row r="246" spans="6:13">
      <c r="F246">
        <v>245</v>
      </c>
      <c r="G246" s="5">
        <f t="shared" si="27"/>
        <v>1566.8433129133082</v>
      </c>
      <c r="H246" s="5">
        <f t="shared" ref="H246:H309" si="28">$C$2*(1+$C$1/$D$6)^(F246*$D$6*0.019231)</f>
        <v>1583.6922487326779</v>
      </c>
      <c r="I246" s="5">
        <f t="shared" ref="I246:I309" si="29">$C$2*(1+$C$1/$D$7)^(F246*$D$7*0.019231)</f>
        <v>1592.5975461711371</v>
      </c>
      <c r="J246" s="5">
        <f t="shared" ref="J246:J309" si="30">$C$2*(1+$C$1/$D$8)^(F246*$D$8*0.019231)</f>
        <v>1598.7261792205718</v>
      </c>
      <c r="K246" s="5">
        <f t="shared" ref="K246:K309" si="31">$C$2*(1+$C$1/$D$9)^(F246*$D$9*0.019231)</f>
        <v>1601.1258563324084</v>
      </c>
      <c r="L246" s="5">
        <f t="shared" ref="L246:L309" si="32">$C$2*(1+$C$1/$D$10)^(F246*$D$10*0.019231)</f>
        <v>1601.7470973941772</v>
      </c>
      <c r="M246" s="5">
        <f t="shared" ref="M246:M309" si="33">$C$2*EXP($C$1*F246*0.019231)</f>
        <v>1601.8504624485124</v>
      </c>
    </row>
    <row r="247" spans="6:13">
      <c r="F247">
        <v>246</v>
      </c>
      <c r="G247" s="5">
        <f t="shared" si="27"/>
        <v>1569.7178293565444</v>
      </c>
      <c r="H247" s="5">
        <f t="shared" si="28"/>
        <v>1586.6669440458793</v>
      </c>
      <c r="I247" s="5">
        <f t="shared" si="29"/>
        <v>1595.6254876042692</v>
      </c>
      <c r="J247" s="5">
        <f t="shared" si="30"/>
        <v>1601.7908835224355</v>
      </c>
      <c r="K247" s="5">
        <f t="shared" si="31"/>
        <v>1604.2049815022267</v>
      </c>
      <c r="L247" s="5">
        <f t="shared" si="32"/>
        <v>1604.8299583216794</v>
      </c>
      <c r="M247" s="5">
        <f t="shared" si="33"/>
        <v>1604.933945045231</v>
      </c>
    </row>
    <row r="248" spans="6:13">
      <c r="F248">
        <v>247</v>
      </c>
      <c r="G248" s="5">
        <f t="shared" si="27"/>
        <v>1572.5976193614149</v>
      </c>
      <c r="H248" s="5">
        <f t="shared" si="28"/>
        <v>1589.6472268159953</v>
      </c>
      <c r="I248" s="5">
        <f t="shared" si="29"/>
        <v>1598.6591859402329</v>
      </c>
      <c r="J248" s="5">
        <f t="shared" si="30"/>
        <v>1604.8614627593442</v>
      </c>
      <c r="K248" s="5">
        <f t="shared" si="31"/>
        <v>1607.2900281377276</v>
      </c>
      <c r="L248" s="5">
        <f t="shared" si="32"/>
        <v>1607.9187527898223</v>
      </c>
      <c r="M248" s="5">
        <f t="shared" si="33"/>
        <v>1608.0233631928309</v>
      </c>
    </row>
    <row r="249" spans="6:13">
      <c r="F249">
        <v>248</v>
      </c>
      <c r="G249" s="5">
        <f t="shared" si="27"/>
        <v>1575.4826926027481</v>
      </c>
      <c r="H249" s="5">
        <f t="shared" si="28"/>
        <v>1592.6331075381099</v>
      </c>
      <c r="I249" s="5">
        <f t="shared" si="29"/>
        <v>1601.6986521243944</v>
      </c>
      <c r="J249" s="5">
        <f t="shared" si="30"/>
        <v>1607.9379281933511</v>
      </c>
      <c r="K249" s="5">
        <f t="shared" si="31"/>
        <v>1610.3810076264815</v>
      </c>
      <c r="L249" s="5">
        <f t="shared" si="32"/>
        <v>1611.0134922188108</v>
      </c>
      <c r="M249" s="5">
        <f t="shared" si="33"/>
        <v>1611.1187283169529</v>
      </c>
    </row>
    <row r="250" spans="6:13">
      <c r="F250">
        <v>249</v>
      </c>
      <c r="G250" s="5">
        <f t="shared" si="27"/>
        <v>1578.3730587731213</v>
      </c>
      <c r="H250" s="5">
        <f t="shared" si="28"/>
        <v>1595.6245967270188</v>
      </c>
      <c r="I250" s="5">
        <f t="shared" si="29"/>
        <v>1604.743897122931</v>
      </c>
      <c r="J250" s="5">
        <f t="shared" si="30"/>
        <v>1611.0202911080976</v>
      </c>
      <c r="K250" s="5">
        <f t="shared" si="31"/>
        <v>1613.4779313779591</v>
      </c>
      <c r="L250" s="5">
        <f t="shared" si="32"/>
        <v>1614.1141880508308</v>
      </c>
      <c r="M250" s="5">
        <f t="shared" si="33"/>
        <v>1614.2200518652314</v>
      </c>
    </row>
    <row r="251" spans="6:13">
      <c r="F251">
        <v>250</v>
      </c>
      <c r="G251" s="5">
        <f t="shared" si="27"/>
        <v>1581.2687275828941</v>
      </c>
      <c r="H251" s="5">
        <f t="shared" si="28"/>
        <v>1598.621704917269</v>
      </c>
      <c r="I251" s="5">
        <f t="shared" si="29"/>
        <v>1607.7949319228694</v>
      </c>
      <c r="J251" s="5">
        <f t="shared" si="30"/>
        <v>1614.108562808856</v>
      </c>
      <c r="K251" s="5">
        <f t="shared" si="31"/>
        <v>1616.5808108235713</v>
      </c>
      <c r="L251" s="5">
        <f t="shared" si="32"/>
        <v>1617.2208517500901</v>
      </c>
      <c r="M251" s="5">
        <f t="shared" si="33"/>
        <v>1617.3273453073373</v>
      </c>
    </row>
    <row r="252" spans="6:13">
      <c r="F252">
        <v>251</v>
      </c>
      <c r="G252" s="5">
        <f t="shared" si="27"/>
        <v>1584.1697087602399</v>
      </c>
      <c r="H252" s="5">
        <f t="shared" si="28"/>
        <v>1601.6244426631945</v>
      </c>
      <c r="I252" s="5">
        <f t="shared" si="29"/>
        <v>1610.8517675321252</v>
      </c>
      <c r="J252" s="5">
        <f t="shared" si="30"/>
        <v>1617.2027546225704</v>
      </c>
      <c r="K252" s="5">
        <f t="shared" si="31"/>
        <v>1619.6896574167145</v>
      </c>
      <c r="L252" s="5">
        <f t="shared" si="32"/>
        <v>1620.3334948028626</v>
      </c>
      <c r="M252" s="5">
        <f t="shared" si="33"/>
        <v>1620.4406201350196</v>
      </c>
    </row>
    <row r="253" spans="6:13">
      <c r="F253">
        <v>252</v>
      </c>
      <c r="G253" s="5">
        <f t="shared" si="27"/>
        <v>1587.0760120511802</v>
      </c>
      <c r="H253" s="5">
        <f t="shared" si="28"/>
        <v>1604.6328205389539</v>
      </c>
      <c r="I253" s="5">
        <f t="shared" si="29"/>
        <v>1613.9144149795432</v>
      </c>
      <c r="J253" s="5">
        <f t="shared" si="30"/>
        <v>1620.3028778978983</v>
      </c>
      <c r="K253" s="5">
        <f t="shared" si="31"/>
        <v>1622.8044826328098</v>
      </c>
      <c r="L253" s="5">
        <f t="shared" si="32"/>
        <v>1623.452128717528</v>
      </c>
      <c r="M253" s="5">
        <f t="shared" si="33"/>
        <v>1623.5598878621486</v>
      </c>
    </row>
    <row r="254" spans="6:13">
      <c r="F254">
        <v>253</v>
      </c>
      <c r="G254" s="5">
        <f t="shared" si="27"/>
        <v>1589.9876472196156</v>
      </c>
      <c r="H254" s="5">
        <f t="shared" si="28"/>
        <v>1607.6468491385672</v>
      </c>
      <c r="I254" s="5">
        <f t="shared" si="29"/>
        <v>1616.9828853149361</v>
      </c>
      <c r="J254" s="5">
        <f t="shared" si="30"/>
        <v>1623.4089440052517</v>
      </c>
      <c r="K254" s="5">
        <f t="shared" si="31"/>
        <v>1625.9252979693472</v>
      </c>
      <c r="L254" s="5">
        <f t="shared" si="32"/>
        <v>1626.576765024618</v>
      </c>
      <c r="M254" s="5">
        <f t="shared" si="33"/>
        <v>1626.6851600247578</v>
      </c>
    </row>
    <row r="255" spans="6:13">
      <c r="F255">
        <v>254</v>
      </c>
      <c r="G255" s="5">
        <f t="shared" si="27"/>
        <v>1592.9046240473604</v>
      </c>
      <c r="H255" s="5">
        <f t="shared" si="28"/>
        <v>1610.6665390759538</v>
      </c>
      <c r="I255" s="5">
        <f t="shared" si="29"/>
        <v>1620.0571896091265</v>
      </c>
      <c r="J255" s="5">
        <f t="shared" si="30"/>
        <v>1626.5209643368401</v>
      </c>
      <c r="K255" s="5">
        <f t="shared" si="31"/>
        <v>1629.0521149459275</v>
      </c>
      <c r="L255" s="5">
        <f t="shared" si="32"/>
        <v>1629.7074152768548</v>
      </c>
      <c r="M255" s="5">
        <f t="shared" si="33"/>
        <v>1629.8164481810879</v>
      </c>
    </row>
    <row r="256" spans="6:13">
      <c r="F256">
        <v>255</v>
      </c>
      <c r="G256" s="5">
        <f t="shared" si="27"/>
        <v>1595.8269523341737</v>
      </c>
      <c r="H256" s="5">
        <f t="shared" si="28"/>
        <v>1613.6919009849696</v>
      </c>
      <c r="I256" s="5">
        <f t="shared" si="29"/>
        <v>1623.1373389539842</v>
      </c>
      <c r="J256" s="5">
        <f t="shared" si="30"/>
        <v>1629.6389503067107</v>
      </c>
      <c r="K256" s="5">
        <f t="shared" si="31"/>
        <v>1632.1849451043051</v>
      </c>
      <c r="L256" s="5">
        <f t="shared" si="32"/>
        <v>1632.8440910491984</v>
      </c>
      <c r="M256" s="5">
        <f t="shared" si="33"/>
        <v>1632.9537639116277</v>
      </c>
    </row>
    <row r="257" spans="6:13">
      <c r="F257">
        <v>256</v>
      </c>
      <c r="G257" s="5">
        <f t="shared" si="27"/>
        <v>1598.7546418977936</v>
      </c>
      <c r="H257" s="5">
        <f t="shared" si="28"/>
        <v>1616.722945519444</v>
      </c>
      <c r="I257" s="5">
        <f t="shared" si="29"/>
        <v>1626.2233444624687</v>
      </c>
      <c r="J257" s="5">
        <f t="shared" si="30"/>
        <v>1632.7629133507915</v>
      </c>
      <c r="K257" s="5">
        <f t="shared" si="31"/>
        <v>1635.3238000084295</v>
      </c>
      <c r="L257" s="5">
        <f t="shared" si="32"/>
        <v>1635.9868039388846</v>
      </c>
      <c r="M257" s="5">
        <f t="shared" si="33"/>
        <v>1636.0971188191579</v>
      </c>
    </row>
    <row r="258" spans="6:13">
      <c r="F258">
        <v>257</v>
      </c>
      <c r="G258" s="5">
        <f t="shared" si="27"/>
        <v>1601.6877025739693</v>
      </c>
      <c r="H258" s="5">
        <f t="shared" si="28"/>
        <v>1619.7596833532184</v>
      </c>
      <c r="I258" s="5">
        <f t="shared" si="29"/>
        <v>1629.3152172686673</v>
      </c>
      <c r="J258" s="5">
        <f t="shared" si="30"/>
        <v>1635.8928649269326</v>
      </c>
      <c r="K258" s="5">
        <f t="shared" si="31"/>
        <v>1638.4686912444897</v>
      </c>
      <c r="L258" s="5">
        <f t="shared" si="32"/>
        <v>1639.135565565472</v>
      </c>
      <c r="M258" s="5">
        <f t="shared" si="33"/>
        <v>1639.2465245287951</v>
      </c>
    </row>
    <row r="259" spans="6:13">
      <c r="F259">
        <v>258</v>
      </c>
      <c r="G259" s="5">
        <f t="shared" si="27"/>
        <v>1604.626144216495</v>
      </c>
      <c r="H259" s="5">
        <f t="shared" si="28"/>
        <v>1622.8021251801824</v>
      </c>
      <c r="I259" s="5">
        <f t="shared" si="29"/>
        <v>1632.4129685278358</v>
      </c>
      <c r="J259" s="5">
        <f t="shared" si="30"/>
        <v>1639.0288165149486</v>
      </c>
      <c r="K259" s="5">
        <f t="shared" si="31"/>
        <v>1641.6196304209557</v>
      </c>
      <c r="L259" s="5">
        <f t="shared" si="32"/>
        <v>1642.2903875708821</v>
      </c>
      <c r="M259" s="5">
        <f t="shared" si="33"/>
        <v>1642.4019926880324</v>
      </c>
    </row>
    <row r="260" spans="6:13">
      <c r="F260">
        <v>259</v>
      </c>
      <c r="G260" s="5">
        <f t="shared" ref="G260:G323" si="34">$C$2*(1+$C$1)^(F260*0.019231/$D$5)</f>
        <v>1607.569976697243</v>
      </c>
      <c r="H260" s="5">
        <f t="shared" si="28"/>
        <v>1625.8502817143133</v>
      </c>
      <c r="I260" s="5">
        <f t="shared" si="29"/>
        <v>1635.5166094164404</v>
      </c>
      <c r="J260" s="5">
        <f t="shared" si="30"/>
        <v>1642.1707796166606</v>
      </c>
      <c r="K260" s="5">
        <f t="shared" si="31"/>
        <v>1644.7766291686216</v>
      </c>
      <c r="L260" s="5">
        <f t="shared" si="32"/>
        <v>1645.451281619444</v>
      </c>
      <c r="M260" s="5">
        <f t="shared" si="33"/>
        <v>1645.5635349667846</v>
      </c>
    </row>
    <row r="261" spans="6:13">
      <c r="F261">
        <v>260</v>
      </c>
      <c r="G261" s="5">
        <f t="shared" si="34"/>
        <v>1610.5192099061951</v>
      </c>
      <c r="H261" s="5">
        <f t="shared" si="28"/>
        <v>1628.9041636897111</v>
      </c>
      <c r="I261" s="5">
        <f t="shared" si="29"/>
        <v>1638.6261511321954</v>
      </c>
      <c r="J261" s="5">
        <f t="shared" si="30"/>
        <v>1645.3187657559379</v>
      </c>
      <c r="K261" s="5">
        <f t="shared" si="31"/>
        <v>1647.9396991406497</v>
      </c>
      <c r="L261" s="5">
        <f t="shared" si="32"/>
        <v>1648.6182593979368</v>
      </c>
      <c r="M261" s="5">
        <f t="shared" si="33"/>
        <v>1648.7311630574295</v>
      </c>
    </row>
    <row r="262" spans="6:13">
      <c r="F262">
        <v>261</v>
      </c>
      <c r="G262" s="5">
        <f t="shared" si="34"/>
        <v>1613.4738537514786</v>
      </c>
      <c r="H262" s="5">
        <f t="shared" si="28"/>
        <v>1631.9637818606402</v>
      </c>
      <c r="I262" s="5">
        <f t="shared" si="29"/>
        <v>1641.7416048941052</v>
      </c>
      <c r="J262" s="5">
        <f t="shared" si="30"/>
        <v>1648.4727864787408</v>
      </c>
      <c r="K262" s="5">
        <f t="shared" si="31"/>
        <v>1651.1088520126107</v>
      </c>
      <c r="L262" s="5">
        <f t="shared" si="32"/>
        <v>1651.7913326156336</v>
      </c>
      <c r="M262" s="5">
        <f t="shared" si="33"/>
        <v>1651.9048886748533</v>
      </c>
    </row>
    <row r="263" spans="6:13">
      <c r="F263">
        <v>262</v>
      </c>
      <c r="G263" s="5">
        <f t="shared" si="34"/>
        <v>1616.4339181593971</v>
      </c>
      <c r="H263" s="5">
        <f t="shared" si="28"/>
        <v>1635.0291470015632</v>
      </c>
      <c r="I263" s="5">
        <f t="shared" si="29"/>
        <v>1644.8629819425046</v>
      </c>
      <c r="J263" s="5">
        <f t="shared" si="30"/>
        <v>1651.632853353163</v>
      </c>
      <c r="K263" s="5">
        <f t="shared" si="31"/>
        <v>1654.2840994825301</v>
      </c>
      <c r="L263" s="5">
        <f t="shared" si="32"/>
        <v>1654.9705130043426</v>
      </c>
      <c r="M263" s="5">
        <f t="shared" si="33"/>
        <v>1655.0847235564922</v>
      </c>
    </row>
    <row r="264" spans="6:13">
      <c r="F264">
        <v>263</v>
      </c>
      <c r="G264" s="5">
        <f t="shared" si="34"/>
        <v>1619.3994130744659</v>
      </c>
      <c r="H264" s="5">
        <f t="shared" si="28"/>
        <v>1638.1002699071814</v>
      </c>
      <c r="I264" s="5">
        <f t="shared" si="29"/>
        <v>1647.9902935390994</v>
      </c>
      <c r="J264" s="5">
        <f t="shared" si="30"/>
        <v>1654.7989779694738</v>
      </c>
      <c r="K264" s="5">
        <f t="shared" si="31"/>
        <v>1657.4654532709296</v>
      </c>
      <c r="L264" s="5">
        <f t="shared" si="32"/>
        <v>1658.1558123184539</v>
      </c>
      <c r="M264" s="5">
        <f t="shared" si="33"/>
        <v>1658.2706794623762</v>
      </c>
    </row>
    <row r="265" spans="6:13">
      <c r="F265">
        <v>264</v>
      </c>
      <c r="G265" s="5">
        <f t="shared" si="34"/>
        <v>1622.370348459443</v>
      </c>
      <c r="H265" s="5">
        <f t="shared" si="28"/>
        <v>1641.1771613924723</v>
      </c>
      <c r="I265" s="5">
        <f t="shared" si="29"/>
        <v>1651.1235509670062</v>
      </c>
      <c r="J265" s="5">
        <f t="shared" si="30"/>
        <v>1657.9711719401607</v>
      </c>
      <c r="K265" s="5">
        <f t="shared" si="31"/>
        <v>1660.6529251208697</v>
      </c>
      <c r="L265" s="5">
        <f t="shared" si="32"/>
        <v>1661.3472423349797</v>
      </c>
      <c r="M265" s="5">
        <f t="shared" si="33"/>
        <v>1661.4627681751738</v>
      </c>
    </row>
    <row r="266" spans="6:13">
      <c r="F266">
        <v>265</v>
      </c>
      <c r="G266" s="5">
        <f t="shared" si="34"/>
        <v>1625.3467342953656</v>
      </c>
      <c r="H266" s="5">
        <f t="shared" si="28"/>
        <v>1644.2598322927272</v>
      </c>
      <c r="I266" s="5">
        <f t="shared" si="29"/>
        <v>1654.2627655307942</v>
      </c>
      <c r="J266" s="5">
        <f t="shared" si="30"/>
        <v>1661.1494468999715</v>
      </c>
      <c r="K266" s="5">
        <f t="shared" si="31"/>
        <v>1663.8465267979952</v>
      </c>
      <c r="L266" s="5">
        <f t="shared" si="32"/>
        <v>1664.5448148536004</v>
      </c>
      <c r="M266" s="5">
        <f t="shared" si="33"/>
        <v>1664.6610015002325</v>
      </c>
    </row>
    <row r="267" spans="6:13">
      <c r="F267">
        <v>266</v>
      </c>
      <c r="G267" s="5">
        <f t="shared" si="34"/>
        <v>1628.3285805815808</v>
      </c>
      <c r="H267" s="5">
        <f t="shared" si="28"/>
        <v>1647.348293463589</v>
      </c>
      <c r="I267" s="5">
        <f t="shared" si="29"/>
        <v>1657.4079485565251</v>
      </c>
      <c r="J267" s="5">
        <f t="shared" si="30"/>
        <v>1664.3338145059583</v>
      </c>
      <c r="K267" s="5">
        <f t="shared" si="31"/>
        <v>1667.0462700905771</v>
      </c>
      <c r="L267" s="5">
        <f t="shared" si="32"/>
        <v>1667.7485416967061</v>
      </c>
      <c r="M267" s="5">
        <f t="shared" si="33"/>
        <v>1667.8653912656266</v>
      </c>
    </row>
    <row r="268" spans="6:13">
      <c r="F268">
        <v>267</v>
      </c>
      <c r="G268" s="5">
        <f t="shared" si="34"/>
        <v>1631.3158973357813</v>
      </c>
      <c r="H268" s="5">
        <f t="shared" si="28"/>
        <v>1650.4425557810928</v>
      </c>
      <c r="I268" s="5">
        <f t="shared" si="29"/>
        <v>1660.5591113917958</v>
      </c>
      <c r="J268" s="5">
        <f t="shared" si="30"/>
        <v>1667.5242864375184</v>
      </c>
      <c r="K268" s="5">
        <f t="shared" si="31"/>
        <v>1670.2521668095555</v>
      </c>
      <c r="L268" s="5">
        <f t="shared" si="32"/>
        <v>1670.9584347094419</v>
      </c>
      <c r="M268" s="5">
        <f t="shared" si="33"/>
        <v>1671.0759493221983</v>
      </c>
    </row>
    <row r="269" spans="6:13">
      <c r="F269">
        <v>268</v>
      </c>
      <c r="G269" s="5">
        <f t="shared" si="34"/>
        <v>1634.3086945940374</v>
      </c>
      <c r="H269" s="5">
        <f t="shared" si="28"/>
        <v>1653.5426301417008</v>
      </c>
      <c r="I269" s="5">
        <f t="shared" si="29"/>
        <v>1663.7162654057754</v>
      </c>
      <c r="J269" s="5">
        <f t="shared" si="30"/>
        <v>1670.7208743964386</v>
      </c>
      <c r="K269" s="5">
        <f t="shared" si="31"/>
        <v>1673.4642287885854</v>
      </c>
      <c r="L269" s="5">
        <f t="shared" si="32"/>
        <v>1674.1745057597511</v>
      </c>
      <c r="M269" s="5">
        <f t="shared" si="33"/>
        <v>1674.292687543601</v>
      </c>
    </row>
    <row r="270" spans="6:13">
      <c r="F270">
        <v>269</v>
      </c>
      <c r="G270" s="5">
        <f t="shared" si="34"/>
        <v>1637.3069824108322</v>
      </c>
      <c r="H270" s="5">
        <f t="shared" si="28"/>
        <v>1656.6485274623433</v>
      </c>
      <c r="I270" s="5">
        <f t="shared" si="29"/>
        <v>1666.8794219892509</v>
      </c>
      <c r="J270" s="5">
        <f t="shared" si="30"/>
        <v>1673.9235901069378</v>
      </c>
      <c r="K270" s="5">
        <f t="shared" si="31"/>
        <v>1676.6824678840785</v>
      </c>
      <c r="L270" s="5">
        <f t="shared" si="32"/>
        <v>1677.3967667384184</v>
      </c>
      <c r="M270" s="5">
        <f t="shared" si="33"/>
        <v>1677.5156178263458</v>
      </c>
    </row>
    <row r="271" spans="6:13">
      <c r="F271">
        <v>270</v>
      </c>
      <c r="G271" s="5">
        <f t="shared" si="34"/>
        <v>1640.3107708590935</v>
      </c>
      <c r="H271" s="5">
        <f t="shared" si="28"/>
        <v>1659.7602586804555</v>
      </c>
      <c r="I271" s="5">
        <f t="shared" si="29"/>
        <v>1670.0485925546652</v>
      </c>
      <c r="J271" s="5">
        <f t="shared" si="30"/>
        <v>1677.1324453157097</v>
      </c>
      <c r="K271" s="5">
        <f t="shared" si="31"/>
        <v>1679.9068959752474</v>
      </c>
      <c r="L271" s="5">
        <f t="shared" si="32"/>
        <v>1680.625229559115</v>
      </c>
      <c r="M271" s="5">
        <f t="shared" si="33"/>
        <v>1680.7447520898427</v>
      </c>
    </row>
    <row r="272" spans="6:13">
      <c r="F272">
        <v>271</v>
      </c>
      <c r="G272" s="5">
        <f t="shared" si="34"/>
        <v>1643.3200700302307</v>
      </c>
      <c r="H272" s="5">
        <f t="shared" si="28"/>
        <v>1662.8778347540176</v>
      </c>
      <c r="I272" s="5">
        <f t="shared" si="29"/>
        <v>1673.2237885361599</v>
      </c>
      <c r="J272" s="5">
        <f t="shared" si="30"/>
        <v>1680.3474517919656</v>
      </c>
      <c r="K272" s="5">
        <f t="shared" si="31"/>
        <v>1683.1375249641503</v>
      </c>
      <c r="L272" s="5">
        <f t="shared" si="32"/>
        <v>1683.859906158443</v>
      </c>
      <c r="M272" s="5">
        <f t="shared" si="33"/>
        <v>1683.9801022764468</v>
      </c>
    </row>
    <row r="273" spans="6:13">
      <c r="F273">
        <v>272</v>
      </c>
      <c r="G273" s="5">
        <f t="shared" si="34"/>
        <v>1646.3348900341648</v>
      </c>
      <c r="H273" s="5">
        <f t="shared" si="28"/>
        <v>1666.0012666615914</v>
      </c>
      <c r="I273" s="5">
        <f t="shared" si="29"/>
        <v>1676.4050213896144</v>
      </c>
      <c r="J273" s="5">
        <f t="shared" si="30"/>
        <v>1683.5686213274789</v>
      </c>
      <c r="K273" s="5">
        <f t="shared" si="31"/>
        <v>1686.3743667757328</v>
      </c>
      <c r="L273" s="5">
        <f t="shared" si="32"/>
        <v>1687.1008084959772</v>
      </c>
      <c r="M273" s="5">
        <f t="shared" si="33"/>
        <v>1687.2216803515018</v>
      </c>
    </row>
    <row r="274" spans="6:13">
      <c r="F274">
        <v>273</v>
      </c>
      <c r="G274" s="5">
        <f t="shared" si="34"/>
        <v>1649.3552409993656</v>
      </c>
      <c r="H274" s="5">
        <f t="shared" si="28"/>
        <v>1669.1305654023611</v>
      </c>
      <c r="I274" s="5">
        <f t="shared" si="29"/>
        <v>1679.5923025926909</v>
      </c>
      <c r="J274" s="5">
        <f t="shared" si="30"/>
        <v>1686.7959657366262</v>
      </c>
      <c r="K274" s="5">
        <f t="shared" si="31"/>
        <v>1689.6174333578754</v>
      </c>
      <c r="L274" s="5">
        <f t="shared" si="32"/>
        <v>1690.3479485543116</v>
      </c>
      <c r="M274" s="5">
        <f t="shared" si="33"/>
        <v>1690.4694983033835</v>
      </c>
    </row>
    <row r="275" spans="6:13">
      <c r="F275">
        <v>274</v>
      </c>
      <c r="G275" s="5">
        <f t="shared" si="34"/>
        <v>1652.3811330728843</v>
      </c>
      <c r="H275" s="5">
        <f t="shared" si="28"/>
        <v>1672.2657419961699</v>
      </c>
      <c r="I275" s="5">
        <f t="shared" si="29"/>
        <v>1682.7856436448715</v>
      </c>
      <c r="J275" s="5">
        <f t="shared" si="30"/>
        <v>1690.0294968564328</v>
      </c>
      <c r="K275" s="5">
        <f t="shared" si="31"/>
        <v>1692.8667366814338</v>
      </c>
      <c r="L275" s="5">
        <f t="shared" si="32"/>
        <v>1693.6013383391028</v>
      </c>
      <c r="M275" s="5">
        <f t="shared" si="33"/>
        <v>1693.7235681435448</v>
      </c>
    </row>
    <row r="276" spans="6:13">
      <c r="F276">
        <v>275</v>
      </c>
      <c r="G276" s="5">
        <f t="shared" si="34"/>
        <v>1655.4125764203877</v>
      </c>
      <c r="H276" s="5">
        <f t="shared" si="28"/>
        <v>1675.4068074835611</v>
      </c>
      <c r="I276" s="5">
        <f t="shared" si="29"/>
        <v>1685.9850560675031</v>
      </c>
      <c r="J276" s="5">
        <f t="shared" si="30"/>
        <v>1693.2692265466148</v>
      </c>
      <c r="K276" s="5">
        <f t="shared" si="31"/>
        <v>1696.1222887402857</v>
      </c>
      <c r="L276" s="5">
        <f t="shared" si="32"/>
        <v>1696.8609898791151</v>
      </c>
      <c r="M276" s="5">
        <f t="shared" si="33"/>
        <v>1696.98390190656</v>
      </c>
    </row>
    <row r="277" spans="6:13">
      <c r="F277">
        <v>276</v>
      </c>
      <c r="G277" s="5">
        <f t="shared" si="34"/>
        <v>1658.4495812261919</v>
      </c>
      <c r="H277" s="5">
        <f t="shared" si="28"/>
        <v>1678.5537729258149</v>
      </c>
      <c r="I277" s="5">
        <f t="shared" si="29"/>
        <v>1689.1905514038369</v>
      </c>
      <c r="J277" s="5">
        <f t="shared" si="30"/>
        <v>1696.5151666896234</v>
      </c>
      <c r="K277" s="5">
        <f t="shared" si="31"/>
        <v>1699.3841015513747</v>
      </c>
      <c r="L277" s="5">
        <f t="shared" si="32"/>
        <v>1700.1269152262635</v>
      </c>
      <c r="M277" s="5">
        <f t="shared" si="33"/>
        <v>1700.25051165017</v>
      </c>
    </row>
    <row r="278" spans="6:13">
      <c r="F278">
        <v>277</v>
      </c>
      <c r="G278" s="5">
        <f t="shared" si="34"/>
        <v>1661.4921576932979</v>
      </c>
      <c r="H278" s="5">
        <f t="shared" si="28"/>
        <v>1681.7066494049884</v>
      </c>
      <c r="I278" s="5">
        <f t="shared" si="29"/>
        <v>1692.4021412190721</v>
      </c>
      <c r="J278" s="5">
        <f t="shared" si="30"/>
        <v>1699.7673291906876</v>
      </c>
      <c r="K278" s="5">
        <f t="shared" si="31"/>
        <v>1702.6521871547527</v>
      </c>
      <c r="L278" s="5">
        <f t="shared" si="32"/>
        <v>1703.3991264556596</v>
      </c>
      <c r="M278" s="5">
        <f t="shared" si="33"/>
        <v>1703.5234094553255</v>
      </c>
    </row>
    <row r="279" spans="6:13">
      <c r="F279">
        <v>278</v>
      </c>
      <c r="G279" s="5">
        <f t="shared" si="34"/>
        <v>1664.5403160434246</v>
      </c>
      <c r="H279" s="5">
        <f t="shared" si="28"/>
        <v>1684.8654480239547</v>
      </c>
      <c r="I279" s="5">
        <f t="shared" si="29"/>
        <v>1695.6198371003943</v>
      </c>
      <c r="J279" s="5">
        <f t="shared" si="30"/>
        <v>1703.0257259778582</v>
      </c>
      <c r="K279" s="5">
        <f t="shared" si="31"/>
        <v>1705.926557613627</v>
      </c>
      <c r="L279" s="5">
        <f t="shared" si="32"/>
        <v>1706.677635665656</v>
      </c>
      <c r="M279" s="5">
        <f t="shared" si="33"/>
        <v>1706.8026074262327</v>
      </c>
    </row>
    <row r="280" spans="6:13">
      <c r="F280">
        <v>279</v>
      </c>
      <c r="G280" s="5">
        <f t="shared" si="34"/>
        <v>1667.594066517044</v>
      </c>
      <c r="H280" s="5">
        <f t="shared" si="28"/>
        <v>1688.0301799064414</v>
      </c>
      <c r="I280" s="5">
        <f t="shared" si="29"/>
        <v>1698.8436506570213</v>
      </c>
      <c r="J280" s="5">
        <f t="shared" si="30"/>
        <v>1706.2903690020523</v>
      </c>
      <c r="K280" s="5">
        <f t="shared" si="31"/>
        <v>1709.2072250144033</v>
      </c>
      <c r="L280" s="5">
        <f t="shared" si="32"/>
        <v>1709.9624549778898</v>
      </c>
      <c r="M280" s="5">
        <f t="shared" si="33"/>
        <v>1710.0881176903981</v>
      </c>
    </row>
    <row r="281" spans="6:13">
      <c r="F281">
        <v>280</v>
      </c>
      <c r="G281" s="5">
        <f t="shared" si="34"/>
        <v>1670.653419373414</v>
      </c>
      <c r="H281" s="5">
        <f t="shared" si="28"/>
        <v>1691.2008561970706</v>
      </c>
      <c r="I281" s="5">
        <f t="shared" si="29"/>
        <v>1702.0735935202417</v>
      </c>
      <c r="J281" s="5">
        <f t="shared" si="30"/>
        <v>1709.5612702370961</v>
      </c>
      <c r="K281" s="5">
        <f t="shared" si="31"/>
        <v>1712.4942014667308</v>
      </c>
      <c r="L281" s="5">
        <f t="shared" si="32"/>
        <v>1713.2535965373302</v>
      </c>
      <c r="M281" s="5">
        <f t="shared" si="33"/>
        <v>1713.3799523986727</v>
      </c>
    </row>
    <row r="282" spans="6:13">
      <c r="F282">
        <v>281</v>
      </c>
      <c r="G282" s="5">
        <f t="shared" si="34"/>
        <v>1673.7183848906159</v>
      </c>
      <c r="H282" s="5">
        <f t="shared" si="28"/>
        <v>1694.3774880613973</v>
      </c>
      <c r="I282" s="5">
        <f t="shared" si="29"/>
        <v>1705.309677343459</v>
      </c>
      <c r="J282" s="5">
        <f t="shared" si="30"/>
        <v>1712.8384416797689</v>
      </c>
      <c r="K282" s="5">
        <f t="shared" si="31"/>
        <v>1715.7874991035465</v>
      </c>
      <c r="L282" s="5">
        <f t="shared" si="32"/>
        <v>1716.5510725123204</v>
      </c>
      <c r="M282" s="5">
        <f t="shared" si="33"/>
        <v>1716.6781237252972</v>
      </c>
    </row>
    <row r="283" spans="6:13">
      <c r="F283">
        <v>282</v>
      </c>
      <c r="G283" s="5">
        <f t="shared" si="34"/>
        <v>1676.7889733655852</v>
      </c>
      <c r="H283" s="5">
        <f t="shared" si="28"/>
        <v>1697.560086685949</v>
      </c>
      <c r="I283" s="5">
        <f t="shared" si="29"/>
        <v>1708.551913802233</v>
      </c>
      <c r="J283" s="5">
        <f t="shared" si="30"/>
        <v>1716.121895349848</v>
      </c>
      <c r="K283" s="5">
        <f t="shared" si="31"/>
        <v>1719.0871300811209</v>
      </c>
      <c r="L283" s="5">
        <f t="shared" si="32"/>
        <v>1719.854895094624</v>
      </c>
      <c r="M283" s="5">
        <f t="shared" si="33"/>
        <v>1719.982643867947</v>
      </c>
    </row>
    <row r="284" spans="6:13">
      <c r="F284">
        <v>283</v>
      </c>
      <c r="G284" s="5">
        <f t="shared" si="34"/>
        <v>1679.8651951141492</v>
      </c>
      <c r="H284" s="5">
        <f t="shared" si="28"/>
        <v>1700.7486632782659</v>
      </c>
      <c r="I284" s="5">
        <f t="shared" si="29"/>
        <v>1711.8003145943205</v>
      </c>
      <c r="J284" s="5">
        <f t="shared" si="30"/>
        <v>1719.4116432901519</v>
      </c>
      <c r="K284" s="5">
        <f t="shared" si="31"/>
        <v>1722.3931065791014</v>
      </c>
      <c r="L284" s="5">
        <f t="shared" si="32"/>
        <v>1723.1650764994702</v>
      </c>
      <c r="M284" s="5">
        <f t="shared" si="33"/>
        <v>1723.2935250477781</v>
      </c>
    </row>
    <row r="285" spans="6:13">
      <c r="F285">
        <v>284</v>
      </c>
      <c r="G285" s="5">
        <f t="shared" si="34"/>
        <v>1682.9470604710602</v>
      </c>
      <c r="H285" s="5">
        <f t="shared" si="28"/>
        <v>1703.9432290669381</v>
      </c>
      <c r="I285" s="5">
        <f t="shared" si="29"/>
        <v>1715.0548914397202</v>
      </c>
      <c r="J285" s="5">
        <f t="shared" si="30"/>
        <v>1722.7076975665852</v>
      </c>
      <c r="K285" s="5">
        <f t="shared" si="31"/>
        <v>1725.7054408005583</v>
      </c>
      <c r="L285" s="5">
        <f t="shared" si="32"/>
        <v>1726.4816289655985</v>
      </c>
      <c r="M285" s="5">
        <f t="shared" si="33"/>
        <v>1726.6107795094713</v>
      </c>
    </row>
    <row r="286" spans="6:13">
      <c r="F286">
        <v>285</v>
      </c>
      <c r="G286" s="5">
        <f t="shared" si="34"/>
        <v>1686.0345797900309</v>
      </c>
      <c r="H286" s="5">
        <f t="shared" si="28"/>
        <v>1707.1437953016487</v>
      </c>
      <c r="I286" s="5">
        <f t="shared" si="29"/>
        <v>1718.3156560807129</v>
      </c>
      <c r="J286" s="5">
        <f t="shared" si="30"/>
        <v>1726.0100702681821</v>
      </c>
      <c r="K286" s="5">
        <f t="shared" si="31"/>
        <v>1729.0241449720299</v>
      </c>
      <c r="L286" s="5">
        <f t="shared" si="32"/>
        <v>1729.8045647553042</v>
      </c>
      <c r="M286" s="5">
        <f t="shared" si="33"/>
        <v>1729.9344195212775</v>
      </c>
    </row>
    <row r="287" spans="6:13">
      <c r="F287">
        <v>286</v>
      </c>
      <c r="G287" s="5">
        <f t="shared" si="34"/>
        <v>1689.1277634437681</v>
      </c>
      <c r="H287" s="5">
        <f t="shared" si="28"/>
        <v>1710.3503732532097</v>
      </c>
      <c r="I287" s="5">
        <f t="shared" si="29"/>
        <v>1721.5826202819044</v>
      </c>
      <c r="J287" s="5">
        <f t="shared" si="30"/>
        <v>1729.3187735071504</v>
      </c>
      <c r="K287" s="5">
        <f t="shared" si="31"/>
        <v>1732.3492313435675</v>
      </c>
      <c r="L287" s="5">
        <f t="shared" si="32"/>
        <v>1733.1338961544836</v>
      </c>
      <c r="M287" s="5">
        <f t="shared" si="33"/>
        <v>1733.2644573750638</v>
      </c>
    </row>
    <row r="288" spans="6:13">
      <c r="F288">
        <v>287</v>
      </c>
      <c r="G288" s="5">
        <f t="shared" si="34"/>
        <v>1692.2266218240088</v>
      </c>
      <c r="H288" s="5">
        <f t="shared" si="28"/>
        <v>1713.5629742136048</v>
      </c>
      <c r="I288" s="5">
        <f t="shared" si="29"/>
        <v>1724.8557958302686</v>
      </c>
      <c r="J288" s="5">
        <f t="shared" si="30"/>
        <v>1732.6338194189182</v>
      </c>
      <c r="K288" s="5">
        <f t="shared" si="31"/>
        <v>1735.68071218878</v>
      </c>
      <c r="L288" s="5">
        <f t="shared" si="32"/>
        <v>1736.4696354726796</v>
      </c>
      <c r="M288" s="5">
        <f t="shared" si="33"/>
        <v>1736.6009053863577</v>
      </c>
    </row>
    <row r="289" spans="6:13">
      <c r="F289">
        <v>288</v>
      </c>
      <c r="G289" s="5">
        <f t="shared" si="34"/>
        <v>1695.3311653415544</v>
      </c>
      <c r="H289" s="5">
        <f t="shared" si="28"/>
        <v>1716.781609496026</v>
      </c>
      <c r="I289" s="5">
        <f t="shared" si="29"/>
        <v>1728.1351945351889</v>
      </c>
      <c r="J289" s="5">
        <f t="shared" si="30"/>
        <v>1735.955220162175</v>
      </c>
      <c r="K289" s="5">
        <f t="shared" si="31"/>
        <v>1739.0185998048796</v>
      </c>
      <c r="L289" s="5">
        <f t="shared" si="32"/>
        <v>1739.8117950431274</v>
      </c>
      <c r="M289" s="5">
        <f t="shared" si="33"/>
        <v>1739.9437758943945</v>
      </c>
    </row>
    <row r="290" spans="6:13">
      <c r="F290">
        <v>289</v>
      </c>
      <c r="G290" s="5">
        <f t="shared" si="34"/>
        <v>1698.441404426306</v>
      </c>
      <c r="H290" s="5">
        <f t="shared" si="28"/>
        <v>1720.0062904349174</v>
      </c>
      <c r="I290" s="5">
        <f t="shared" si="29"/>
        <v>1731.4208282285017</v>
      </c>
      <c r="J290" s="5">
        <f t="shared" si="30"/>
        <v>1739.2829879189198</v>
      </c>
      <c r="K290" s="5">
        <f t="shared" si="31"/>
        <v>1742.3629065127277</v>
      </c>
      <c r="L290" s="5">
        <f t="shared" si="32"/>
        <v>1743.160387222799</v>
      </c>
      <c r="M290" s="5">
        <f t="shared" si="33"/>
        <v>1743.2930812621619</v>
      </c>
    </row>
    <row r="291" spans="6:13">
      <c r="F291">
        <v>290</v>
      </c>
      <c r="G291" s="5">
        <f t="shared" si="34"/>
        <v>1701.5573495272993</v>
      </c>
      <c r="H291" s="5">
        <f t="shared" si="28"/>
        <v>1723.2370283860107</v>
      </c>
      <c r="I291" s="5">
        <f t="shared" si="29"/>
        <v>1734.7127087645385</v>
      </c>
      <c r="J291" s="5">
        <f t="shared" si="30"/>
        <v>1742.6171348945024</v>
      </c>
      <c r="K291" s="5">
        <f t="shared" si="31"/>
        <v>1745.7136446568802</v>
      </c>
      <c r="L291" s="5">
        <f t="shared" si="32"/>
        <v>1746.5154243924503</v>
      </c>
      <c r="M291" s="5">
        <f t="shared" si="33"/>
        <v>1746.6488338764445</v>
      </c>
    </row>
    <row r="292" spans="6:13">
      <c r="F292">
        <v>291</v>
      </c>
      <c r="G292" s="5">
        <f t="shared" si="34"/>
        <v>1704.6790111127395</v>
      </c>
      <c r="H292" s="5">
        <f t="shared" si="28"/>
        <v>1726.4738347263692</v>
      </c>
      <c r="I292" s="5">
        <f t="shared" si="29"/>
        <v>1738.0108480201702</v>
      </c>
      <c r="J292" s="5">
        <f t="shared" si="30"/>
        <v>1745.9576733176714</v>
      </c>
      <c r="K292" s="5">
        <f t="shared" si="31"/>
        <v>1749.0708266056317</v>
      </c>
      <c r="L292" s="5">
        <f t="shared" si="32"/>
        <v>1749.8769189566665</v>
      </c>
      <c r="M292" s="5">
        <f t="shared" si="33"/>
        <v>1750.0110461478723</v>
      </c>
    </row>
    <row r="293" spans="6:13">
      <c r="F293">
        <v>292</v>
      </c>
      <c r="G293" s="5">
        <f t="shared" si="34"/>
        <v>1707.8063996700366</v>
      </c>
      <c r="H293" s="5">
        <f t="shared" si="28"/>
        <v>1729.7167208544254</v>
      </c>
      <c r="I293" s="5">
        <f t="shared" si="29"/>
        <v>1741.3152578948468</v>
      </c>
      <c r="J293" s="5">
        <f t="shared" si="30"/>
        <v>1749.3046154406168</v>
      </c>
      <c r="K293" s="5">
        <f t="shared" si="31"/>
        <v>1752.4344647510632</v>
      </c>
      <c r="L293" s="5">
        <f t="shared" si="32"/>
        <v>1753.2448833439068</v>
      </c>
      <c r="M293" s="5">
        <f t="shared" si="33"/>
        <v>1753.3797305109645</v>
      </c>
    </row>
    <row r="294" spans="6:13">
      <c r="F294">
        <v>293</v>
      </c>
      <c r="G294" s="5">
        <f t="shared" si="34"/>
        <v>1710.9395257058413</v>
      </c>
      <c r="H294" s="5">
        <f t="shared" si="28"/>
        <v>1732.9656981900214</v>
      </c>
      <c r="I294" s="5">
        <f t="shared" si="29"/>
        <v>1744.6259503106437</v>
      </c>
      <c r="J294" s="5">
        <f t="shared" si="30"/>
        <v>1752.6579735390151</v>
      </c>
      <c r="K294" s="5">
        <f t="shared" si="31"/>
        <v>1755.8045715090871</v>
      </c>
      <c r="L294" s="5">
        <f t="shared" si="32"/>
        <v>1756.6193300065524</v>
      </c>
      <c r="M294" s="5">
        <f t="shared" si="33"/>
        <v>1756.7548994241758</v>
      </c>
    </row>
    <row r="295" spans="6:13">
      <c r="F295">
        <v>294</v>
      </c>
      <c r="G295" s="5">
        <f t="shared" si="34"/>
        <v>1714.0783997460792</v>
      </c>
      <c r="H295" s="5">
        <f t="shared" si="28"/>
        <v>1736.2207781744498</v>
      </c>
      <c r="I295" s="5">
        <f t="shared" si="29"/>
        <v>1747.942937212302</v>
      </c>
      <c r="J295" s="5">
        <f t="shared" si="30"/>
        <v>1756.0177599120759</v>
      </c>
      <c r="K295" s="5">
        <f t="shared" si="31"/>
        <v>1759.1811593194916</v>
      </c>
      <c r="L295" s="5">
        <f t="shared" si="32"/>
        <v>1760.0002714209509</v>
      </c>
      <c r="M295" s="5">
        <f t="shared" si="33"/>
        <v>1760.1365653699436</v>
      </c>
    </row>
    <row r="296" spans="6:13">
      <c r="F296">
        <v>295</v>
      </c>
      <c r="G296" s="5">
        <f t="shared" si="34"/>
        <v>1717.2230323359865</v>
      </c>
      <c r="H296" s="5">
        <f t="shared" si="28"/>
        <v>1739.4819722704945</v>
      </c>
      <c r="I296" s="5">
        <f t="shared" si="29"/>
        <v>1751.2662305672745</v>
      </c>
      <c r="J296" s="5">
        <f t="shared" si="30"/>
        <v>1759.3839868825851</v>
      </c>
      <c r="K296" s="5">
        <f t="shared" si="31"/>
        <v>1762.5642406459899</v>
      </c>
      <c r="L296" s="5">
        <f t="shared" si="32"/>
        <v>1763.3877200874624</v>
      </c>
      <c r="M296" s="5">
        <f t="shared" si="33"/>
        <v>1763.5247408547327</v>
      </c>
    </row>
    <row r="297" spans="6:13">
      <c r="F297">
        <v>296</v>
      </c>
      <c r="G297" s="5">
        <f t="shared" si="34"/>
        <v>1720.3734340401461</v>
      </c>
      <c r="H297" s="5">
        <f t="shared" si="28"/>
        <v>1742.7492919624685</v>
      </c>
      <c r="I297" s="5">
        <f t="shared" si="29"/>
        <v>1754.5958423657662</v>
      </c>
      <c r="J297" s="5">
        <f t="shared" si="30"/>
        <v>1762.7566667969513</v>
      </c>
      <c r="K297" s="5">
        <f t="shared" si="31"/>
        <v>1765.9538279762614</v>
      </c>
      <c r="L297" s="5">
        <f t="shared" si="32"/>
        <v>1766.7816885305072</v>
      </c>
      <c r="M297" s="5">
        <f t="shared" si="33"/>
        <v>1766.9194384090827</v>
      </c>
    </row>
    <row r="298" spans="6:13">
      <c r="F298">
        <v>297</v>
      </c>
      <c r="G298" s="5">
        <f t="shared" si="34"/>
        <v>1723.5296154425225</v>
      </c>
      <c r="H298" s="5">
        <f t="shared" si="28"/>
        <v>1746.0227487562581</v>
      </c>
      <c r="I298" s="5">
        <f t="shared" si="29"/>
        <v>1757.9317846207782</v>
      </c>
      <c r="J298" s="5">
        <f t="shared" si="30"/>
        <v>1766.1358120252517</v>
      </c>
      <c r="K298" s="5">
        <f t="shared" si="31"/>
        <v>1769.3499338220033</v>
      </c>
      <c r="L298" s="5">
        <f t="shared" si="32"/>
        <v>1770.1821892986109</v>
      </c>
      <c r="M298" s="5">
        <f t="shared" si="33"/>
        <v>1770.3206705876532</v>
      </c>
    </row>
    <row r="299" spans="6:13">
      <c r="F299">
        <v>298</v>
      </c>
      <c r="G299" s="5">
        <f t="shared" si="34"/>
        <v>1726.6915871464969</v>
      </c>
      <c r="H299" s="5">
        <f t="shared" si="28"/>
        <v>1749.3023541793598</v>
      </c>
      <c r="I299" s="5">
        <f t="shared" si="29"/>
        <v>1761.2740693681524</v>
      </c>
      <c r="J299" s="5">
        <f t="shared" si="30"/>
        <v>1769.5214349612745</v>
      </c>
      <c r="K299" s="5">
        <f t="shared" si="31"/>
        <v>1772.7525707189725</v>
      </c>
      <c r="L299" s="5">
        <f t="shared" si="32"/>
        <v>1773.5892349644514</v>
      </c>
      <c r="M299" s="5">
        <f t="shared" si="33"/>
        <v>1773.7284499692717</v>
      </c>
    </row>
    <row r="300" spans="6:13">
      <c r="F300">
        <v>299</v>
      </c>
      <c r="G300" s="5">
        <f t="shared" si="34"/>
        <v>1729.8593597749045</v>
      </c>
      <c r="H300" s="5">
        <f t="shared" si="28"/>
        <v>1752.588119780924</v>
      </c>
      <c r="I300" s="5">
        <f t="shared" si="29"/>
        <v>1764.6227086666136</v>
      </c>
      <c r="J300" s="5">
        <f t="shared" si="30"/>
        <v>1772.9135480225677</v>
      </c>
      <c r="K300" s="5">
        <f t="shared" si="31"/>
        <v>1776.1617512270336</v>
      </c>
      <c r="L300" s="5">
        <f t="shared" si="32"/>
        <v>1777.0028381249037</v>
      </c>
      <c r="M300" s="5">
        <f t="shared" si="33"/>
        <v>1777.1427891569788</v>
      </c>
    </row>
    <row r="301" spans="6:13">
      <c r="F301">
        <v>300</v>
      </c>
      <c r="G301" s="5">
        <f t="shared" si="34"/>
        <v>1733.0329439700677</v>
      </c>
      <c r="H301" s="5">
        <f t="shared" si="28"/>
        <v>1755.8800571317925</v>
      </c>
      <c r="I301" s="5">
        <f t="shared" si="29"/>
        <v>1767.9777145978128</v>
      </c>
      <c r="J301" s="5">
        <f t="shared" si="30"/>
        <v>1776.3121636504832</v>
      </c>
      <c r="K301" s="5">
        <f t="shared" si="31"/>
        <v>1779.5774879302053</v>
      </c>
      <c r="L301" s="5">
        <f t="shared" si="32"/>
        <v>1780.4230114010895</v>
      </c>
      <c r="M301" s="5">
        <f t="shared" si="33"/>
        <v>1780.5637007780756</v>
      </c>
    </row>
    <row r="302" spans="6:13">
      <c r="F302">
        <v>301</v>
      </c>
      <c r="G302" s="5">
        <f t="shared" si="34"/>
        <v>1736.2123503938337</v>
      </c>
      <c r="H302" s="5">
        <f t="shared" si="28"/>
        <v>1759.1781778245429</v>
      </c>
      <c r="I302" s="5">
        <f t="shared" si="29"/>
        <v>1771.3390992663724</v>
      </c>
      <c r="J302" s="5">
        <f t="shared" si="30"/>
        <v>1779.717294310223</v>
      </c>
      <c r="K302" s="5">
        <f t="shared" si="31"/>
        <v>1782.999793436707</v>
      </c>
      <c r="L302" s="5">
        <f t="shared" si="32"/>
        <v>1783.8497674384209</v>
      </c>
      <c r="M302" s="5">
        <f t="shared" si="33"/>
        <v>1783.99119748417</v>
      </c>
    </row>
    <row r="303" spans="6:13">
      <c r="F303">
        <v>302</v>
      </c>
      <c r="G303" s="5">
        <f t="shared" si="34"/>
        <v>1739.3975897276102</v>
      </c>
      <c r="H303" s="5">
        <f t="shared" si="28"/>
        <v>1762.4824934735259</v>
      </c>
      <c r="I303" s="5">
        <f t="shared" si="29"/>
        <v>1774.7068747999278</v>
      </c>
      <c r="J303" s="5">
        <f t="shared" si="30"/>
        <v>1783.1289524908836</v>
      </c>
      <c r="K303" s="5">
        <f t="shared" si="31"/>
        <v>1786.4286803790037</v>
      </c>
      <c r="L303" s="5">
        <f t="shared" si="32"/>
        <v>1787.2831189066501</v>
      </c>
      <c r="M303" s="5">
        <f t="shared" si="33"/>
        <v>1787.4252919512235</v>
      </c>
    </row>
    <row r="304" spans="6:13">
      <c r="F304">
        <v>303</v>
      </c>
      <c r="G304" s="5">
        <f t="shared" si="34"/>
        <v>1742.5886726724009</v>
      </c>
      <c r="H304" s="5">
        <f t="shared" si="28"/>
        <v>1765.793015714909</v>
      </c>
      <c r="I304" s="5">
        <f t="shared" si="29"/>
        <v>1778.0810533491733</v>
      </c>
      <c r="J304" s="5">
        <f t="shared" si="30"/>
        <v>1786.5471507055024</v>
      </c>
      <c r="K304" s="5">
        <f t="shared" si="31"/>
        <v>1789.8641614138555</v>
      </c>
      <c r="L304" s="5">
        <f t="shared" si="32"/>
        <v>1790.7230784999126</v>
      </c>
      <c r="M304" s="5">
        <f t="shared" si="33"/>
        <v>1790.8659968795982</v>
      </c>
    </row>
    <row r="305" spans="6:13">
      <c r="F305">
        <v>304</v>
      </c>
      <c r="G305" s="5">
        <f t="shared" si="34"/>
        <v>1745.7856099488411</v>
      </c>
      <c r="H305" s="5">
        <f t="shared" si="28"/>
        <v>1769.1097562067146</v>
      </c>
      <c r="I305" s="5">
        <f t="shared" si="29"/>
        <v>1781.4616470879037</v>
      </c>
      <c r="J305" s="5">
        <f t="shared" si="30"/>
        <v>1789.9719014911052</v>
      </c>
      <c r="K305" s="5">
        <f t="shared" si="31"/>
        <v>1793.3062492223612</v>
      </c>
      <c r="L305" s="5">
        <f t="shared" si="32"/>
        <v>1794.1696589367775</v>
      </c>
      <c r="M305" s="5">
        <f t="shared" si="33"/>
        <v>1794.3133249941043</v>
      </c>
    </row>
    <row r="306" spans="6:13">
      <c r="F306">
        <v>305</v>
      </c>
      <c r="G306" s="5">
        <f t="shared" si="34"/>
        <v>1748.9884122972344</v>
      </c>
      <c r="H306" s="5">
        <f t="shared" si="28"/>
        <v>1772.4327266288644</v>
      </c>
      <c r="I306" s="5">
        <f t="shared" si="29"/>
        <v>1784.8486682130599</v>
      </c>
      <c r="J306" s="5">
        <f t="shared" si="30"/>
        <v>1793.4032174087499</v>
      </c>
      <c r="K306" s="5">
        <f t="shared" si="31"/>
        <v>1796.754956510008</v>
      </c>
      <c r="L306" s="5">
        <f t="shared" si="32"/>
        <v>1797.6228729602926</v>
      </c>
      <c r="M306" s="5">
        <f t="shared" si="33"/>
        <v>1797.7672890440458</v>
      </c>
    </row>
    <row r="307" spans="6:13">
      <c r="F307">
        <v>306</v>
      </c>
      <c r="G307" s="5">
        <f t="shared" si="34"/>
        <v>1752.1970904775876</v>
      </c>
      <c r="H307" s="5">
        <f t="shared" si="28"/>
        <v>1775.761938683218</v>
      </c>
      <c r="I307" s="5">
        <f t="shared" si="29"/>
        <v>1788.2421289447723</v>
      </c>
      <c r="J307" s="5">
        <f t="shared" si="30"/>
        <v>1796.8411110435741</v>
      </c>
      <c r="K307" s="5">
        <f t="shared" si="31"/>
        <v>1800.2102960067164</v>
      </c>
      <c r="L307" s="5">
        <f t="shared" si="32"/>
        <v>1801.0827333380321</v>
      </c>
      <c r="M307" s="5">
        <f t="shared" si="33"/>
        <v>1801.2279018032693</v>
      </c>
    </row>
    <row r="308" spans="6:13">
      <c r="F308">
        <v>307</v>
      </c>
      <c r="G308" s="5">
        <f t="shared" si="34"/>
        <v>1755.4116552696491</v>
      </c>
      <c r="H308" s="5">
        <f t="shared" si="28"/>
        <v>1779.0974040936153</v>
      </c>
      <c r="I308" s="5">
        <f t="shared" si="29"/>
        <v>1791.6420415264049</v>
      </c>
      <c r="J308" s="5">
        <f t="shared" si="30"/>
        <v>1800.2855950048395</v>
      </c>
      <c r="K308" s="5">
        <f t="shared" si="31"/>
        <v>1803.6722804668873</v>
      </c>
      <c r="L308" s="5">
        <f t="shared" si="32"/>
        <v>1804.5492528621439</v>
      </c>
      <c r="M308" s="5">
        <f t="shared" si="33"/>
        <v>1804.6951760702098</v>
      </c>
    </row>
    <row r="309" spans="6:13">
      <c r="F309">
        <v>308</v>
      </c>
      <c r="G309" s="5">
        <f t="shared" si="34"/>
        <v>1758.6321174729424</v>
      </c>
      <c r="H309" s="5">
        <f t="shared" si="28"/>
        <v>1782.4391346059172</v>
      </c>
      <c r="I309" s="5">
        <f t="shared" si="29"/>
        <v>1795.0484182245996</v>
      </c>
      <c r="J309" s="5">
        <f t="shared" si="30"/>
        <v>1803.7366819259807</v>
      </c>
      <c r="K309" s="5">
        <f t="shared" si="31"/>
        <v>1807.1409226694502</v>
      </c>
      <c r="L309" s="5">
        <f t="shared" si="32"/>
        <v>1808.0224443493971</v>
      </c>
      <c r="M309" s="5">
        <f t="shared" si="33"/>
        <v>1808.1691246679384</v>
      </c>
    </row>
    <row r="310" spans="6:13">
      <c r="F310">
        <v>309</v>
      </c>
      <c r="G310" s="5">
        <f t="shared" si="34"/>
        <v>1761.8584879068053</v>
      </c>
      <c r="H310" s="5">
        <f t="shared" ref="H310:H373" si="35">$C$2*(1+$C$1/$D$6)^(F310*$D$6*0.019231)</f>
        <v>1785.7871419880471</v>
      </c>
      <c r="I310" s="5">
        <f t="shared" ref="I310:I373" si="36">$C$2*(1+$C$1/$D$7)^(F310*$D$7*0.019231)</f>
        <v>1798.4612713293204</v>
      </c>
      <c r="J310" s="5">
        <f t="shared" ref="J310:J373" si="37">$C$2*(1+$C$1/$D$8)^(F310*$D$8*0.019231)</f>
        <v>1807.1943844646498</v>
      </c>
      <c r="K310" s="5">
        <f t="shared" ref="K310:K373" si="38">$C$2*(1+$C$1/$D$9)^(F310*$D$9*0.019231)</f>
        <v>1810.6162354179098</v>
      </c>
      <c r="L310" s="5">
        <f t="shared" ref="L310:L373" si="39">$C$2*(1+$C$1/$D$10)^(F310*$D$10*0.019231)</f>
        <v>1811.5023206412284</v>
      </c>
      <c r="M310" s="5">
        <f t="shared" ref="M310:M373" si="40">$C$2*EXP($C$1*F310*0.019231)</f>
        <v>1811.6497604442113</v>
      </c>
    </row>
    <row r="311" spans="6:13">
      <c r="F311">
        <v>310</v>
      </c>
      <c r="G311" s="5">
        <f t="shared" si="34"/>
        <v>1765.0907774104228</v>
      </c>
      <c r="H311" s="5">
        <f t="shared" si="35"/>
        <v>1789.1414380300323</v>
      </c>
      <c r="I311" s="5">
        <f t="shared" si="36"/>
        <v>1801.8806131538975</v>
      </c>
      <c r="J311" s="5">
        <f t="shared" si="37"/>
        <v>1810.6587153027633</v>
      </c>
      <c r="K311" s="5">
        <f t="shared" si="38"/>
        <v>1814.0982315403933</v>
      </c>
      <c r="L311" s="5">
        <f t="shared" si="39"/>
        <v>1814.9888946037909</v>
      </c>
      <c r="M311" s="5">
        <f t="shared" si="40"/>
        <v>1815.1370962715146</v>
      </c>
    </row>
    <row r="312" spans="6:13">
      <c r="F312">
        <v>311</v>
      </c>
      <c r="G312" s="5">
        <f t="shared" si="34"/>
        <v>1768.3289968428667</v>
      </c>
      <c r="H312" s="5">
        <f t="shared" si="35"/>
        <v>1792.5020345440466</v>
      </c>
      <c r="I312" s="5">
        <f t="shared" si="36"/>
        <v>1805.306456035072</v>
      </c>
      <c r="J312" s="5">
        <f t="shared" si="37"/>
        <v>1814.1296871465474</v>
      </c>
      <c r="K312" s="5">
        <f t="shared" si="38"/>
        <v>1817.5869238896969</v>
      </c>
      <c r="L312" s="5">
        <f t="shared" si="39"/>
        <v>1818.4821791280001</v>
      </c>
      <c r="M312" s="5">
        <f t="shared" si="40"/>
        <v>1818.6311450471139</v>
      </c>
    </row>
    <row r="313" spans="6:13">
      <c r="F313">
        <v>312</v>
      </c>
      <c r="G313" s="5">
        <f t="shared" si="34"/>
        <v>1771.5731570831297</v>
      </c>
      <c r="H313" s="5">
        <f t="shared" si="35"/>
        <v>1795.8689433644495</v>
      </c>
      <c r="I313" s="5">
        <f t="shared" si="36"/>
        <v>1808.7388123330406</v>
      </c>
      <c r="J313" s="5">
        <f t="shared" si="37"/>
        <v>1817.607312726587</v>
      </c>
      <c r="K313" s="5">
        <f t="shared" si="38"/>
        <v>1821.0823253433348</v>
      </c>
      <c r="L313" s="5">
        <f t="shared" si="39"/>
        <v>1821.9821871295837</v>
      </c>
      <c r="M313" s="5">
        <f t="shared" si="40"/>
        <v>1822.1319196931015</v>
      </c>
    </row>
    <row r="314" spans="6:13">
      <c r="F314">
        <v>313</v>
      </c>
      <c r="G314" s="5">
        <f t="shared" si="34"/>
        <v>1774.8232690301645</v>
      </c>
      <c r="H314" s="5">
        <f t="shared" si="35"/>
        <v>1799.2421763478305</v>
      </c>
      <c r="I314" s="5">
        <f t="shared" si="36"/>
        <v>1812.1776944314995</v>
      </c>
      <c r="J314" s="5">
        <f t="shared" si="37"/>
        <v>1821.091604797871</v>
      </c>
      <c r="K314" s="5">
        <f t="shared" si="38"/>
        <v>1824.5844488035857</v>
      </c>
      <c r="L314" s="5">
        <f t="shared" si="39"/>
        <v>1825.4889315491268</v>
      </c>
      <c r="M314" s="5">
        <f t="shared" si="40"/>
        <v>1825.6394331564434</v>
      </c>
    </row>
    <row r="315" spans="6:13">
      <c r="F315">
        <v>314</v>
      </c>
      <c r="G315" s="5">
        <f t="shared" si="34"/>
        <v>1778.0793436029173</v>
      </c>
      <c r="H315" s="5">
        <f t="shared" si="35"/>
        <v>1802.6217453730492</v>
      </c>
      <c r="I315" s="5">
        <f t="shared" si="36"/>
        <v>1815.62311473769</v>
      </c>
      <c r="J315" s="5">
        <f t="shared" si="37"/>
        <v>1824.5825761398382</v>
      </c>
      <c r="K315" s="5">
        <f t="shared" si="38"/>
        <v>1828.093307197541</v>
      </c>
      <c r="L315" s="5">
        <f t="shared" si="39"/>
        <v>1829.0024253521224</v>
      </c>
      <c r="M315" s="5">
        <f t="shared" si="40"/>
        <v>1829.1536984090292</v>
      </c>
    </row>
    <row r="316" spans="6:13">
      <c r="F316">
        <v>315</v>
      </c>
      <c r="G316" s="5">
        <f t="shared" si="34"/>
        <v>1781.3413917403675</v>
      </c>
      <c r="H316" s="5">
        <f t="shared" si="35"/>
        <v>1806.0076623412776</v>
      </c>
      <c r="I316" s="5">
        <f t="shared" si="36"/>
        <v>1819.0750856824425</v>
      </c>
      <c r="J316" s="5">
        <f t="shared" si="37"/>
        <v>1828.0802395564262</v>
      </c>
      <c r="K316" s="5">
        <f t="shared" si="38"/>
        <v>1831.6089134771512</v>
      </c>
      <c r="L316" s="5">
        <f t="shared" si="39"/>
        <v>1832.5226815290171</v>
      </c>
      <c r="M316" s="5">
        <f t="shared" si="40"/>
        <v>1832.6747284477171</v>
      </c>
    </row>
    <row r="317" spans="6:13">
      <c r="F317">
        <v>316</v>
      </c>
      <c r="G317" s="5">
        <f t="shared" si="34"/>
        <v>1784.6094244015615</v>
      </c>
      <c r="H317" s="5">
        <f t="shared" si="35"/>
        <v>1809.3999391760422</v>
      </c>
      <c r="I317" s="5">
        <f t="shared" si="36"/>
        <v>1822.5336197202216</v>
      </c>
      <c r="J317" s="5">
        <f t="shared" si="37"/>
        <v>1831.5846078761167</v>
      </c>
      <c r="K317" s="5">
        <f t="shared" si="38"/>
        <v>1835.1312806192757</v>
      </c>
      <c r="L317" s="5">
        <f t="shared" si="39"/>
        <v>1836.0497130952599</v>
      </c>
      <c r="M317" s="5">
        <f t="shared" si="40"/>
        <v>1836.202536294385</v>
      </c>
    </row>
    <row r="318" spans="6:13">
      <c r="F318">
        <v>317</v>
      </c>
      <c r="G318" s="5">
        <f t="shared" si="34"/>
        <v>1787.8834525656528</v>
      </c>
      <c r="H318" s="5">
        <f t="shared" si="35"/>
        <v>1812.798587823266</v>
      </c>
      <c r="I318" s="5">
        <f t="shared" si="36"/>
        <v>1825.9987293291715</v>
      </c>
      <c r="J318" s="5">
        <f t="shared" si="37"/>
        <v>1835.0956939519833</v>
      </c>
      <c r="K318" s="5">
        <f t="shared" si="38"/>
        <v>1838.6604216257294</v>
      </c>
      <c r="L318" s="5">
        <f t="shared" si="39"/>
        <v>1839.5835330913512</v>
      </c>
      <c r="M318" s="5">
        <f t="shared" si="40"/>
        <v>1839.7371349959762</v>
      </c>
    </row>
    <row r="319" spans="6:13">
      <c r="F319">
        <v>318</v>
      </c>
      <c r="G319" s="5">
        <f t="shared" si="34"/>
        <v>1791.1634872319357</v>
      </c>
      <c r="H319" s="5">
        <f t="shared" si="35"/>
        <v>1816.2036202513093</v>
      </c>
      <c r="I319" s="5">
        <f t="shared" si="36"/>
        <v>1829.4704270111597</v>
      </c>
      <c r="J319" s="5">
        <f t="shared" si="37"/>
        <v>1838.6135106617394</v>
      </c>
      <c r="K319" s="5">
        <f t="shared" si="38"/>
        <v>1842.1963495233308</v>
      </c>
      <c r="L319" s="5">
        <f t="shared" si="39"/>
        <v>1843.1241545828902</v>
      </c>
      <c r="M319" s="5">
        <f t="shared" si="40"/>
        <v>1843.2785376245499</v>
      </c>
    </row>
    <row r="320" spans="6:13">
      <c r="F320">
        <v>319</v>
      </c>
      <c r="G320" s="5">
        <f t="shared" si="34"/>
        <v>1794.449539419885</v>
      </c>
      <c r="H320" s="5">
        <f t="shared" si="35"/>
        <v>1819.615048451014</v>
      </c>
      <c r="I320" s="5">
        <f t="shared" si="36"/>
        <v>1832.9487252918241</v>
      </c>
      <c r="J320" s="5">
        <f t="shared" si="37"/>
        <v>1842.1380709077828</v>
      </c>
      <c r="K320" s="5">
        <f t="shared" si="38"/>
        <v>1845.7390773639506</v>
      </c>
      <c r="L320" s="5">
        <f t="shared" si="39"/>
        <v>1846.6715906606223</v>
      </c>
      <c r="M320" s="5">
        <f t="shared" si="40"/>
        <v>1846.826757277327</v>
      </c>
    </row>
    <row r="321" spans="6:13">
      <c r="F321">
        <v>320</v>
      </c>
      <c r="G321" s="5">
        <f t="shared" si="34"/>
        <v>1797.7416201691904</v>
      </c>
      <c r="H321" s="5">
        <f t="shared" si="35"/>
        <v>1823.0328844357446</v>
      </c>
      <c r="I321" s="5">
        <f t="shared" si="36"/>
        <v>1836.4336367206163</v>
      </c>
      <c r="J321" s="5">
        <f t="shared" si="37"/>
        <v>1845.669387617246</v>
      </c>
      <c r="K321" s="5">
        <f t="shared" si="38"/>
        <v>1849.2886182245593</v>
      </c>
      <c r="L321" s="5">
        <f t="shared" si="39"/>
        <v>1850.2258544404897</v>
      </c>
      <c r="M321" s="5">
        <f t="shared" si="40"/>
        <v>1850.3818070767411</v>
      </c>
    </row>
    <row r="322" spans="6:13">
      <c r="F322">
        <v>321</v>
      </c>
      <c r="G322" s="5">
        <f t="shared" si="34"/>
        <v>1801.0397405397955</v>
      </c>
      <c r="H322" s="5">
        <f t="shared" si="35"/>
        <v>1826.4571402414306</v>
      </c>
      <c r="I322" s="5">
        <f t="shared" si="36"/>
        <v>1839.9251738708479</v>
      </c>
      <c r="J322" s="5">
        <f t="shared" si="37"/>
        <v>1849.2074737420421</v>
      </c>
      <c r="K322" s="5">
        <f t="shared" si="38"/>
        <v>1852.8449852072756</v>
      </c>
      <c r="L322" s="5">
        <f t="shared" si="39"/>
        <v>1853.7869590636781</v>
      </c>
      <c r="M322" s="5">
        <f t="shared" si="40"/>
        <v>1853.943700170485</v>
      </c>
    </row>
    <row r="323" spans="6:13">
      <c r="F323">
        <v>322</v>
      </c>
      <c r="G323" s="5">
        <f t="shared" si="34"/>
        <v>1804.3439116119346</v>
      </c>
      <c r="H323" s="5">
        <f t="shared" si="35"/>
        <v>1829.8878279266089</v>
      </c>
      <c r="I323" s="5">
        <f t="shared" si="36"/>
        <v>1843.4233493397353</v>
      </c>
      <c r="J323" s="5">
        <f t="shared" si="37"/>
        <v>1852.7523422589127</v>
      </c>
      <c r="K323" s="5">
        <f t="shared" si="38"/>
        <v>1856.4081914394155</v>
      </c>
      <c r="L323" s="5">
        <f t="shared" si="39"/>
        <v>1857.3549176966658</v>
      </c>
      <c r="M323" s="5">
        <f t="shared" si="40"/>
        <v>1857.5124497315605</v>
      </c>
    </row>
    <row r="324" spans="6:13">
      <c r="F324">
        <v>323</v>
      </c>
      <c r="G324" s="5">
        <f t="shared" ref="G324:G387" si="41">$C$2*(1+$C$1)^(F324*0.019231/$D$5)</f>
        <v>1807.65414448617</v>
      </c>
      <c r="H324" s="5">
        <f t="shared" si="35"/>
        <v>1833.3249595724656</v>
      </c>
      <c r="I324" s="5">
        <f t="shared" si="36"/>
        <v>1846.9281757484468</v>
      </c>
      <c r="J324" s="5">
        <f t="shared" si="37"/>
        <v>1856.3040061694751</v>
      </c>
      <c r="K324" s="5">
        <f t="shared" si="38"/>
        <v>1859.9782500735391</v>
      </c>
      <c r="L324" s="5">
        <f t="shared" si="39"/>
        <v>1860.9297435312724</v>
      </c>
      <c r="M324" s="5">
        <f t="shared" si="40"/>
        <v>1861.0880689583269</v>
      </c>
    </row>
    <row r="325" spans="6:13">
      <c r="F325">
        <v>324</v>
      </c>
      <c r="G325" s="5">
        <f t="shared" si="41"/>
        <v>1810.9704502834279</v>
      </c>
      <c r="H325" s="5">
        <f t="shared" si="35"/>
        <v>1836.7685472828805</v>
      </c>
      <c r="I325" s="5">
        <f t="shared" si="36"/>
        <v>1850.4396657421446</v>
      </c>
      <c r="J325" s="5">
        <f t="shared" si="37"/>
        <v>1859.8624785002701</v>
      </c>
      <c r="K325" s="5">
        <f t="shared" si="38"/>
        <v>1863.5551742875011</v>
      </c>
      <c r="L325" s="5">
        <f t="shared" si="39"/>
        <v>1864.5114497847082</v>
      </c>
      <c r="M325" s="5">
        <f t="shared" si="40"/>
        <v>1864.6705710745489</v>
      </c>
    </row>
    <row r="326" spans="6:13">
      <c r="F326">
        <v>325</v>
      </c>
      <c r="G326" s="5">
        <f t="shared" si="41"/>
        <v>1814.2928401450379</v>
      </c>
      <c r="H326" s="5">
        <f t="shared" si="35"/>
        <v>1840.2186031844676</v>
      </c>
      <c r="I326" s="5">
        <f t="shared" si="36"/>
        <v>1853.9578319900352</v>
      </c>
      <c r="J326" s="5">
        <f t="shared" si="37"/>
        <v>1863.4277723028106</v>
      </c>
      <c r="K326" s="5">
        <f t="shared" si="38"/>
        <v>1867.1389772844987</v>
      </c>
      <c r="L326" s="5">
        <f t="shared" si="39"/>
        <v>1868.1000496996216</v>
      </c>
      <c r="M326" s="5">
        <f t="shared" si="40"/>
        <v>1868.2599693294478</v>
      </c>
    </row>
    <row r="327" spans="6:13">
      <c r="F327">
        <v>326</v>
      </c>
      <c r="G327" s="5">
        <f t="shared" si="41"/>
        <v>1817.6213252327682</v>
      </c>
      <c r="H327" s="5">
        <f t="shared" si="35"/>
        <v>1843.6751394266189</v>
      </c>
      <c r="I327" s="5">
        <f t="shared" si="36"/>
        <v>1857.48268718541</v>
      </c>
      <c r="J327" s="5">
        <f t="shared" si="37"/>
        <v>1866.9999006536286</v>
      </c>
      <c r="K327" s="5">
        <f t="shared" si="38"/>
        <v>1870.7296722931187</v>
      </c>
      <c r="L327" s="5">
        <f t="shared" si="39"/>
        <v>1871.6955565441494</v>
      </c>
      <c r="M327" s="5">
        <f t="shared" si="40"/>
        <v>1871.8562769977477</v>
      </c>
    </row>
    <row r="328" spans="6:13">
      <c r="F328">
        <v>327</v>
      </c>
      <c r="G328" s="5">
        <f t="shared" si="41"/>
        <v>1820.9559167288655</v>
      </c>
      <c r="H328" s="5">
        <f t="shared" si="35"/>
        <v>1847.1381681815471</v>
      </c>
      <c r="I328" s="5">
        <f t="shared" si="36"/>
        <v>1861.0142440456957</v>
      </c>
      <c r="J328" s="5">
        <f t="shared" si="37"/>
        <v>1870.578876654323</v>
      </c>
      <c r="K328" s="5">
        <f t="shared" si="38"/>
        <v>1874.3272725673903</v>
      </c>
      <c r="L328" s="5">
        <f t="shared" si="39"/>
        <v>1875.2979836119662</v>
      </c>
      <c r="M328" s="5">
        <f t="shared" si="40"/>
        <v>1875.4595073797261</v>
      </c>
    </row>
    <row r="329" spans="6:13">
      <c r="F329">
        <v>328</v>
      </c>
      <c r="G329" s="5">
        <f t="shared" si="41"/>
        <v>1824.2966258360912</v>
      </c>
      <c r="H329" s="5">
        <f t="shared" si="35"/>
        <v>1850.607701644328</v>
      </c>
      <c r="I329" s="5">
        <f t="shared" si="36"/>
        <v>1864.5525153124963</v>
      </c>
      <c r="J329" s="5">
        <f t="shared" si="37"/>
        <v>1874.1647134316081</v>
      </c>
      <c r="K329" s="5">
        <f t="shared" si="38"/>
        <v>1877.9317913868283</v>
      </c>
      <c r="L329" s="5">
        <f t="shared" si="39"/>
        <v>1878.9073442223312</v>
      </c>
      <c r="M329" s="5">
        <f t="shared" si="40"/>
        <v>1879.0696738012637</v>
      </c>
    </row>
    <row r="330" spans="6:13">
      <c r="F330">
        <v>329</v>
      </c>
      <c r="G330" s="5">
        <f t="shared" si="41"/>
        <v>1827.6434637777584</v>
      </c>
      <c r="H330" s="5">
        <f t="shared" si="35"/>
        <v>1854.0837520329442</v>
      </c>
      <c r="I330" s="5">
        <f t="shared" si="36"/>
        <v>1868.0975137516434</v>
      </c>
      <c r="J330" s="5">
        <f t="shared" si="37"/>
        <v>1877.7574241373622</v>
      </c>
      <c r="K330" s="5">
        <f t="shared" si="38"/>
        <v>1881.5432420564882</v>
      </c>
      <c r="L330" s="5">
        <f t="shared" si="39"/>
        <v>1882.5236517201397</v>
      </c>
      <c r="M330" s="5">
        <f t="shared" si="40"/>
        <v>1882.6867896138913</v>
      </c>
    </row>
    <row r="331" spans="6:13">
      <c r="F331">
        <v>330</v>
      </c>
      <c r="G331" s="5">
        <f t="shared" si="41"/>
        <v>1830.9964417977706</v>
      </c>
      <c r="H331" s="5">
        <f t="shared" si="35"/>
        <v>1857.5663315883273</v>
      </c>
      <c r="I331" s="5">
        <f t="shared" si="36"/>
        <v>1871.6492521532371</v>
      </c>
      <c r="J331" s="5">
        <f t="shared" si="37"/>
        <v>1881.3570219486746</v>
      </c>
      <c r="K331" s="5">
        <f t="shared" si="38"/>
        <v>1885.161637907011</v>
      </c>
      <c r="L331" s="5">
        <f t="shared" si="39"/>
        <v>1886.1469194759723</v>
      </c>
      <c r="M331" s="5">
        <f t="shared" si="40"/>
        <v>1886.3108681948427</v>
      </c>
    </row>
    <row r="332" spans="6:13">
      <c r="F332">
        <v>331</v>
      </c>
      <c r="G332" s="5">
        <f t="shared" si="41"/>
        <v>1834.3555711606602</v>
      </c>
      <c r="H332" s="5">
        <f t="shared" si="35"/>
        <v>1861.0554525744017</v>
      </c>
      <c r="I332" s="5">
        <f t="shared" si="36"/>
        <v>1875.2077433316965</v>
      </c>
      <c r="J332" s="5">
        <f t="shared" si="37"/>
        <v>1884.9635200678952</v>
      </c>
      <c r="K332" s="5">
        <f t="shared" si="38"/>
        <v>1888.7869922946743</v>
      </c>
      <c r="L332" s="5">
        <f t="shared" si="39"/>
        <v>1889.7771608861431</v>
      </c>
      <c r="M332" s="5">
        <f t="shared" si="40"/>
        <v>1889.9419229471005</v>
      </c>
    </row>
    <row r="333" spans="6:13">
      <c r="F333">
        <v>332</v>
      </c>
      <c r="G333" s="5">
        <f t="shared" si="41"/>
        <v>1837.7208631516241</v>
      </c>
      <c r="H333" s="5">
        <f t="shared" si="35"/>
        <v>1864.5511272781268</v>
      </c>
      <c r="I333" s="5">
        <f t="shared" si="36"/>
        <v>1878.7730001258033</v>
      </c>
      <c r="J333" s="5">
        <f t="shared" si="37"/>
        <v>1888.5769317226818</v>
      </c>
      <c r="K333" s="5">
        <f t="shared" si="38"/>
        <v>1892.4193186014406</v>
      </c>
      <c r="L333" s="5">
        <f t="shared" si="39"/>
        <v>1893.4143893727498</v>
      </c>
      <c r="M333" s="5">
        <f t="shared" si="40"/>
        <v>1893.5799672994478</v>
      </c>
    </row>
    <row r="334" spans="6:13">
      <c r="F334">
        <v>333</v>
      </c>
      <c r="G334" s="5">
        <f t="shared" si="41"/>
        <v>1841.0923290765643</v>
      </c>
      <c r="H334" s="5">
        <f t="shared" si="35"/>
        <v>1868.0533680095421</v>
      </c>
      <c r="I334" s="5">
        <f t="shared" si="36"/>
        <v>1882.3450353987496</v>
      </c>
      <c r="J334" s="5">
        <f t="shared" si="37"/>
        <v>1892.1972701660497</v>
      </c>
      <c r="K334" s="5">
        <f t="shared" si="38"/>
        <v>1896.0586302350084</v>
      </c>
      <c r="L334" s="5">
        <f t="shared" si="39"/>
        <v>1897.058618383724</v>
      </c>
      <c r="M334" s="5">
        <f t="shared" si="40"/>
        <v>1897.2250147065183</v>
      </c>
    </row>
    <row r="335" spans="6:13">
      <c r="F335">
        <v>334</v>
      </c>
      <c r="G335" s="5">
        <f t="shared" si="41"/>
        <v>1844.4699802621228</v>
      </c>
      <c r="H335" s="5">
        <f t="shared" si="35"/>
        <v>1871.5621871018086</v>
      </c>
      <c r="I335" s="5">
        <f t="shared" si="36"/>
        <v>1885.9238620381836</v>
      </c>
      <c r="J335" s="5">
        <f t="shared" si="37"/>
        <v>1895.8245486764195</v>
      </c>
      <c r="K335" s="5">
        <f t="shared" si="38"/>
        <v>1899.704940628859</v>
      </c>
      <c r="L335" s="5">
        <f t="shared" si="39"/>
        <v>1900.7098613928802</v>
      </c>
      <c r="M335" s="5">
        <f t="shared" si="40"/>
        <v>1900.8770786488442</v>
      </c>
    </row>
    <row r="336" spans="6:13">
      <c r="F336">
        <v>335</v>
      </c>
      <c r="G336" s="5">
        <f t="shared" si="41"/>
        <v>1847.8538280557229</v>
      </c>
      <c r="H336" s="5">
        <f t="shared" si="35"/>
        <v>1875.0775969112535</v>
      </c>
      <c r="I336" s="5">
        <f t="shared" si="36"/>
        <v>1889.5094929562565</v>
      </c>
      <c r="J336" s="5">
        <f t="shared" si="37"/>
        <v>1899.4587805576664</v>
      </c>
      <c r="K336" s="5">
        <f t="shared" si="38"/>
        <v>1903.3582632423095</v>
      </c>
      <c r="L336" s="5">
        <f t="shared" si="39"/>
        <v>1904.368131899965</v>
      </c>
      <c r="M336" s="5">
        <f t="shared" si="40"/>
        <v>1904.5361726329079</v>
      </c>
    </row>
    <row r="337" spans="6:13">
      <c r="F337">
        <v>336</v>
      </c>
      <c r="G337" s="5">
        <f t="shared" si="41"/>
        <v>1851.2438838256048</v>
      </c>
      <c r="H337" s="5">
        <f t="shared" si="35"/>
        <v>1878.5996098174126</v>
      </c>
      <c r="I337" s="5">
        <f t="shared" si="36"/>
        <v>1893.1019410896686</v>
      </c>
      <c r="J337" s="5">
        <f t="shared" si="37"/>
        <v>1903.0999791391682</v>
      </c>
      <c r="K337" s="5">
        <f t="shared" si="38"/>
        <v>1907.0186115605584</v>
      </c>
      <c r="L337" s="5">
        <f t="shared" si="39"/>
        <v>1908.0334434307092</v>
      </c>
      <c r="M337" s="5">
        <f t="shared" si="40"/>
        <v>1908.2023101911905</v>
      </c>
    </row>
    <row r="338" spans="6:13">
      <c r="F338">
        <v>337</v>
      </c>
      <c r="G338" s="5">
        <f t="shared" si="41"/>
        <v>1854.6401589608652</v>
      </c>
      <c r="H338" s="5">
        <f t="shared" si="35"/>
        <v>1882.128238223075</v>
      </c>
      <c r="I338" s="5">
        <f t="shared" si="36"/>
        <v>1896.7012193997161</v>
      </c>
      <c r="J338" s="5">
        <f t="shared" si="37"/>
        <v>1906.7481577758551</v>
      </c>
      <c r="K338" s="5">
        <f t="shared" si="38"/>
        <v>1910.6859990947391</v>
      </c>
      <c r="L338" s="5">
        <f t="shared" si="39"/>
        <v>1911.705809536875</v>
      </c>
      <c r="M338" s="5">
        <f t="shared" si="40"/>
        <v>1911.8755048822222</v>
      </c>
    </row>
    <row r="339" spans="6:13">
      <c r="F339">
        <v>338</v>
      </c>
      <c r="G339" s="5">
        <f t="shared" si="41"/>
        <v>1858.0426648714954</v>
      </c>
      <c r="H339" s="5">
        <f t="shared" si="35"/>
        <v>1885.6634945543262</v>
      </c>
      <c r="I339" s="5">
        <f t="shared" si="36"/>
        <v>1900.3073408723378</v>
      </c>
      <c r="J339" s="5">
        <f t="shared" si="37"/>
        <v>1910.403329848258</v>
      </c>
      <c r="K339" s="5">
        <f t="shared" si="38"/>
        <v>1914.3604393819687</v>
      </c>
      <c r="L339" s="5">
        <f t="shared" si="39"/>
        <v>1915.3852437963083</v>
      </c>
      <c r="M339" s="5">
        <f t="shared" si="40"/>
        <v>1915.5557702906335</v>
      </c>
    </row>
    <row r="340" spans="6:13">
      <c r="F340">
        <v>339</v>
      </c>
      <c r="G340" s="5">
        <f t="shared" si="41"/>
        <v>1861.4514129884187</v>
      </c>
      <c r="H340" s="5">
        <f t="shared" si="35"/>
        <v>1889.2053912605927</v>
      </c>
      <c r="I340" s="5">
        <f t="shared" si="36"/>
        <v>1903.9203185181634</v>
      </c>
      <c r="J340" s="5">
        <f t="shared" si="37"/>
        <v>1914.0655087625578</v>
      </c>
      <c r="K340" s="5">
        <f t="shared" si="38"/>
        <v>1918.0419459853956</v>
      </c>
      <c r="L340" s="5">
        <f t="shared" si="39"/>
        <v>1919.0717598129881</v>
      </c>
      <c r="M340" s="5">
        <f t="shared" si="40"/>
        <v>1919.2431200272038</v>
      </c>
    </row>
    <row r="341" spans="6:13">
      <c r="F341">
        <v>340</v>
      </c>
      <c r="G341" s="5">
        <f t="shared" si="41"/>
        <v>1864.86641476353</v>
      </c>
      <c r="H341" s="5">
        <f t="shared" si="35"/>
        <v>1892.7539408146831</v>
      </c>
      <c r="I341" s="5">
        <f t="shared" si="36"/>
        <v>1907.5401653725576</v>
      </c>
      <c r="J341" s="5">
        <f t="shared" si="37"/>
        <v>1917.7347079506346</v>
      </c>
      <c r="K341" s="5">
        <f t="shared" si="38"/>
        <v>1921.7305324942536</v>
      </c>
      <c r="L341" s="5">
        <f t="shared" si="39"/>
        <v>1922.7653712170763</v>
      </c>
      <c r="M341" s="5">
        <f t="shared" si="40"/>
        <v>1922.9375677289138</v>
      </c>
    </row>
    <row r="342" spans="6:13">
      <c r="F342">
        <v>341</v>
      </c>
      <c r="G342" s="5">
        <f t="shared" si="41"/>
        <v>1868.287681669733</v>
      </c>
      <c r="H342" s="5">
        <f t="shared" si="35"/>
        <v>1896.3091557128369</v>
      </c>
      <c r="I342" s="5">
        <f t="shared" si="36"/>
        <v>1911.1668944956696</v>
      </c>
      <c r="J342" s="5">
        <f t="shared" si="37"/>
        <v>1921.4109408701172</v>
      </c>
      <c r="K342" s="5">
        <f t="shared" si="38"/>
        <v>1925.4262125239084</v>
      </c>
      <c r="L342" s="5">
        <f t="shared" si="39"/>
        <v>1926.4660916649686</v>
      </c>
      <c r="M342" s="5">
        <f t="shared" si="40"/>
        <v>1926.6391270589934</v>
      </c>
    </row>
    <row r="343" spans="6:13">
      <c r="F343">
        <v>342</v>
      </c>
      <c r="G343" s="5">
        <f t="shared" si="41"/>
        <v>1871.7152252009807</v>
      </c>
      <c r="H343" s="5">
        <f t="shared" si="35"/>
        <v>1899.8710484747633</v>
      </c>
      <c r="I343" s="5">
        <f t="shared" si="36"/>
        <v>1914.800518972479</v>
      </c>
      <c r="J343" s="5">
        <f t="shared" si="37"/>
        <v>1925.0942210044323</v>
      </c>
      <c r="K343" s="5">
        <f t="shared" si="38"/>
        <v>1929.1289997159101</v>
      </c>
      <c r="L343" s="5">
        <f t="shared" si="39"/>
        <v>1930.1739348393462</v>
      </c>
      <c r="M343" s="5">
        <f t="shared" si="40"/>
        <v>1930.3478117069737</v>
      </c>
    </row>
    <row r="344" spans="6:13">
      <c r="F344">
        <v>343</v>
      </c>
      <c r="G344" s="5">
        <f t="shared" si="41"/>
        <v>1875.1490568723123</v>
      </c>
      <c r="H344" s="5">
        <f t="shared" si="35"/>
        <v>1903.4396316436882</v>
      </c>
      <c r="I344" s="5">
        <f t="shared" si="36"/>
        <v>1918.4410519128437</v>
      </c>
      <c r="J344" s="5">
        <f t="shared" si="37"/>
        <v>1928.7845618628535</v>
      </c>
      <c r="K344" s="5">
        <f t="shared" si="38"/>
        <v>1932.838907738043</v>
      </c>
      <c r="L344" s="5">
        <f t="shared" si="39"/>
        <v>1933.8889144492234</v>
      </c>
      <c r="M344" s="5">
        <f t="shared" si="40"/>
        <v>1934.0636353887389</v>
      </c>
    </row>
    <row r="345" spans="6:13">
      <c r="F345">
        <v>344</v>
      </c>
      <c r="G345" s="5">
        <f t="shared" si="41"/>
        <v>1878.5891882198912</v>
      </c>
      <c r="H345" s="5">
        <f t="shared" si="35"/>
        <v>1907.0149177863989</v>
      </c>
      <c r="I345" s="5">
        <f t="shared" si="36"/>
        <v>1922.0885064515464</v>
      </c>
      <c r="J345" s="5">
        <f t="shared" si="37"/>
        <v>1932.4819769805513</v>
      </c>
      <c r="K345" s="5">
        <f t="shared" si="38"/>
        <v>1936.5559502843757</v>
      </c>
      <c r="L345" s="5">
        <f t="shared" si="39"/>
        <v>1937.6110442300012</v>
      </c>
      <c r="M345" s="5">
        <f t="shared" si="40"/>
        <v>1937.7866118465729</v>
      </c>
    </row>
    <row r="346" spans="6:13">
      <c r="F346">
        <v>345</v>
      </c>
      <c r="G346" s="5">
        <f t="shared" si="41"/>
        <v>1882.0356308010471</v>
      </c>
      <c r="H346" s="5">
        <f t="shared" si="35"/>
        <v>1910.5969194932859</v>
      </c>
      <c r="I346" s="5">
        <f t="shared" si="36"/>
        <v>1925.7428957483426</v>
      </c>
      <c r="J346" s="5">
        <f t="shared" si="37"/>
        <v>1936.1864799186428</v>
      </c>
      <c r="K346" s="5">
        <f t="shared" si="38"/>
        <v>1940.2801410753111</v>
      </c>
      <c r="L346" s="5">
        <f t="shared" si="39"/>
        <v>1941.340337943516</v>
      </c>
      <c r="M346" s="5">
        <f t="shared" si="40"/>
        <v>1941.5167548492166</v>
      </c>
    </row>
    <row r="347" spans="6:13">
      <c r="F347">
        <v>346</v>
      </c>
      <c r="G347" s="5">
        <f t="shared" si="41"/>
        <v>1885.4883961943108</v>
      </c>
      <c r="H347" s="5">
        <f t="shared" si="35"/>
        <v>1914.1856493783891</v>
      </c>
      <c r="I347" s="5">
        <f t="shared" si="36"/>
        <v>1929.4042329880083</v>
      </c>
      <c r="J347" s="5">
        <f t="shared" si="37"/>
        <v>1939.8980842642411</v>
      </c>
      <c r="K347" s="5">
        <f t="shared" si="38"/>
        <v>1944.0114938576398</v>
      </c>
      <c r="L347" s="5">
        <f t="shared" si="39"/>
        <v>1945.076809378093</v>
      </c>
      <c r="M347" s="5">
        <f t="shared" si="40"/>
        <v>1945.2540781919113</v>
      </c>
    </row>
    <row r="348" spans="6:13">
      <c r="F348">
        <v>347</v>
      </c>
      <c r="G348" s="5">
        <f t="shared" si="41"/>
        <v>1888.9474959994557</v>
      </c>
      <c r="H348" s="5">
        <f t="shared" si="35"/>
        <v>1917.781120079442</v>
      </c>
      <c r="I348" s="5">
        <f t="shared" si="36"/>
        <v>1933.0725313803866</v>
      </c>
      <c r="J348" s="5">
        <f t="shared" si="37"/>
        <v>1943.6168036305055</v>
      </c>
      <c r="K348" s="5">
        <f t="shared" si="38"/>
        <v>1947.7500224045864</v>
      </c>
      <c r="L348" s="5">
        <f t="shared" si="39"/>
        <v>1948.8204723485942</v>
      </c>
      <c r="M348" s="5">
        <f t="shared" si="40"/>
        <v>1948.9985956964551</v>
      </c>
    </row>
    <row r="349" spans="6:13">
      <c r="F349">
        <v>348</v>
      </c>
      <c r="G349" s="5">
        <f t="shared" si="41"/>
        <v>1892.4129418375362</v>
      </c>
      <c r="H349" s="5">
        <f t="shared" si="35"/>
        <v>1921.3833442579155</v>
      </c>
      <c r="I349" s="5">
        <f t="shared" si="36"/>
        <v>1936.7478041604363</v>
      </c>
      <c r="J349" s="5">
        <f t="shared" si="37"/>
        <v>1947.3426516566919</v>
      </c>
      <c r="K349" s="5">
        <f t="shared" si="38"/>
        <v>1951.495740515865</v>
      </c>
      <c r="L349" s="5">
        <f t="shared" si="39"/>
        <v>1952.5713406964712</v>
      </c>
      <c r="M349" s="5">
        <f t="shared" si="40"/>
        <v>1952.7503212112531</v>
      </c>
    </row>
    <row r="350" spans="6:13">
      <c r="F350">
        <v>349</v>
      </c>
      <c r="G350" s="5">
        <f t="shared" si="41"/>
        <v>1895.8847453509266</v>
      </c>
      <c r="H350" s="5">
        <f t="shared" si="35"/>
        <v>1924.9923345990635</v>
      </c>
      <c r="I350" s="5">
        <f t="shared" si="36"/>
        <v>1940.430064588279</v>
      </c>
      <c r="J350" s="5">
        <f t="shared" si="37"/>
        <v>1951.0756420082002</v>
      </c>
      <c r="K350" s="5">
        <f t="shared" si="38"/>
        <v>1955.2486620177265</v>
      </c>
      <c r="L350" s="5">
        <f t="shared" si="39"/>
        <v>1956.3294282898164</v>
      </c>
      <c r="M350" s="5">
        <f t="shared" si="40"/>
        <v>1956.5092686113662</v>
      </c>
    </row>
    <row r="351" spans="6:13">
      <c r="F351">
        <v>350</v>
      </c>
      <c r="G351" s="5">
        <f t="shared" si="41"/>
        <v>1899.3629182033596</v>
      </c>
      <c r="H351" s="5">
        <f t="shared" si="35"/>
        <v>1928.608103811966</v>
      </c>
      <c r="I351" s="5">
        <f t="shared" si="36"/>
        <v>1944.1193259492472</v>
      </c>
      <c r="J351" s="5">
        <f t="shared" si="37"/>
        <v>1954.8157883766291</v>
      </c>
      <c r="K351" s="5">
        <f t="shared" si="38"/>
        <v>1959.0088007630109</v>
      </c>
      <c r="L351" s="5">
        <f t="shared" si="39"/>
        <v>1960.0947490234137</v>
      </c>
      <c r="M351" s="5">
        <f t="shared" si="40"/>
        <v>1960.2754517985661</v>
      </c>
    </row>
    <row r="352" spans="6:13">
      <c r="F352">
        <v>351</v>
      </c>
      <c r="G352" s="5">
        <f t="shared" si="41"/>
        <v>1902.8474720799668</v>
      </c>
      <c r="H352" s="5">
        <f t="shared" si="35"/>
        <v>1932.2306646295763</v>
      </c>
      <c r="I352" s="5">
        <f t="shared" si="36"/>
        <v>1947.8156015539332</v>
      </c>
      <c r="J352" s="5">
        <f t="shared" si="37"/>
        <v>1958.5631044798217</v>
      </c>
      <c r="K352" s="5">
        <f t="shared" si="38"/>
        <v>1962.7761706312003</v>
      </c>
      <c r="L352" s="5">
        <f t="shared" si="39"/>
        <v>1963.8673168187897</v>
      </c>
      <c r="M352" s="5">
        <f t="shared" si="40"/>
        <v>1964.048884701383</v>
      </c>
    </row>
    <row r="353" spans="6:13">
      <c r="F353">
        <v>352</v>
      </c>
      <c r="G353" s="5">
        <f t="shared" si="41"/>
        <v>1906.338418687317</v>
      </c>
      <c r="H353" s="5">
        <f t="shared" si="35"/>
        <v>1935.860029808762</v>
      </c>
      <c r="I353" s="5">
        <f t="shared" si="36"/>
        <v>1951.5189047382348</v>
      </c>
      <c r="J353" s="5">
        <f t="shared" si="37"/>
        <v>1962.3176040619185</v>
      </c>
      <c r="K353" s="5">
        <f t="shared" si="38"/>
        <v>1966.5507855284663</v>
      </c>
      <c r="L353" s="5">
        <f t="shared" si="39"/>
        <v>1967.6471456242664</v>
      </c>
      <c r="M353" s="5">
        <f t="shared" si="40"/>
        <v>1967.8295812751594</v>
      </c>
    </row>
    <row r="354" spans="6:13">
      <c r="F354">
        <v>353</v>
      </c>
      <c r="G354" s="5">
        <f t="shared" si="41"/>
        <v>1909.8357697534555</v>
      </c>
      <c r="H354" s="5">
        <f t="shared" si="35"/>
        <v>1939.4962121303554</v>
      </c>
      <c r="I354" s="5">
        <f t="shared" si="36"/>
        <v>1955.2292488634059</v>
      </c>
      <c r="J354" s="5">
        <f t="shared" si="37"/>
        <v>1966.0793008934068</v>
      </c>
      <c r="K354" s="5">
        <f t="shared" si="38"/>
        <v>1970.3326593877252</v>
      </c>
      <c r="L354" s="5">
        <f t="shared" si="39"/>
        <v>1971.4342494150112</v>
      </c>
      <c r="M354" s="5">
        <f t="shared" si="40"/>
        <v>1971.6175555021014</v>
      </c>
    </row>
    <row r="355" spans="6:13">
      <c r="F355">
        <v>354</v>
      </c>
      <c r="G355" s="5">
        <f t="shared" si="41"/>
        <v>1913.3395370279436</v>
      </c>
      <c r="H355" s="5">
        <f t="shared" si="35"/>
        <v>1943.1392243991925</v>
      </c>
      <c r="I355" s="5">
        <f t="shared" si="36"/>
        <v>1958.9466473161028</v>
      </c>
      <c r="J355" s="5">
        <f t="shared" si="37"/>
        <v>1969.8482087711716</v>
      </c>
      <c r="K355" s="5">
        <f t="shared" si="38"/>
        <v>1974.1218061686868</v>
      </c>
      <c r="L355" s="5">
        <f t="shared" si="39"/>
        <v>1975.2286421930901</v>
      </c>
      <c r="M355" s="5">
        <f t="shared" si="40"/>
        <v>1975.4128213913293</v>
      </c>
    </row>
    <row r="356" spans="6:13">
      <c r="F356">
        <v>355</v>
      </c>
      <c r="G356" s="5">
        <f t="shared" si="41"/>
        <v>1916.8497322818994</v>
      </c>
      <c r="H356" s="5">
        <f t="shared" si="35"/>
        <v>1946.7890794441635</v>
      </c>
      <c r="I356" s="5">
        <f t="shared" si="36"/>
        <v>1962.671113508434</v>
      </c>
      <c r="J356" s="5">
        <f t="shared" si="37"/>
        <v>1973.6243415185459</v>
      </c>
      <c r="K356" s="5">
        <f t="shared" si="38"/>
        <v>1977.9182398579067</v>
      </c>
      <c r="L356" s="5">
        <f t="shared" si="39"/>
        <v>1979.0303379875179</v>
      </c>
      <c r="M356" s="5">
        <f t="shared" si="40"/>
        <v>1979.215392978932</v>
      </c>
    </row>
    <row r="357" spans="6:13">
      <c r="F357">
        <v>356</v>
      </c>
      <c r="G357" s="5">
        <f t="shared" si="41"/>
        <v>1920.3663673080343</v>
      </c>
      <c r="H357" s="5">
        <f t="shared" si="35"/>
        <v>1950.4457901182529</v>
      </c>
      <c r="I357" s="5">
        <f t="shared" si="36"/>
        <v>1966.4026608780075</v>
      </c>
      <c r="J357" s="5">
        <f t="shared" si="37"/>
        <v>1977.407712985362</v>
      </c>
      <c r="K357" s="5">
        <f t="shared" si="38"/>
        <v>1981.7219744688384</v>
      </c>
      <c r="L357" s="5">
        <f t="shared" si="39"/>
        <v>1982.8393508543109</v>
      </c>
      <c r="M357" s="5">
        <f t="shared" si="40"/>
        <v>1983.0252843280157</v>
      </c>
    </row>
    <row r="358" spans="6:13">
      <c r="F358">
        <v>357</v>
      </c>
      <c r="G358" s="5">
        <f t="shared" si="41"/>
        <v>1923.8894539206967</v>
      </c>
      <c r="H358" s="5">
        <f t="shared" si="35"/>
        <v>1954.1093692985901</v>
      </c>
      <c r="I358" s="5">
        <f t="shared" si="36"/>
        <v>1970.1413028879797</v>
      </c>
      <c r="J358" s="5">
        <f t="shared" si="37"/>
        <v>1981.1983370480009</v>
      </c>
      <c r="K358" s="5">
        <f t="shared" si="38"/>
        <v>1985.533024041885</v>
      </c>
      <c r="L358" s="5">
        <f t="shared" si="39"/>
        <v>1986.6556948765397</v>
      </c>
      <c r="M358" s="5">
        <f t="shared" si="40"/>
        <v>1986.8425095287573</v>
      </c>
    </row>
    <row r="359" spans="6:13">
      <c r="F359">
        <v>358</v>
      </c>
      <c r="G359" s="5">
        <f t="shared" si="41"/>
        <v>1927.4190039559076</v>
      </c>
      <c r="H359" s="5">
        <f t="shared" si="35"/>
        <v>1957.7798298864893</v>
      </c>
      <c r="I359" s="5">
        <f t="shared" si="36"/>
        <v>1973.887053027104</v>
      </c>
      <c r="J359" s="5">
        <f t="shared" si="37"/>
        <v>1984.9962276094452</v>
      </c>
      <c r="K359" s="5">
        <f t="shared" si="38"/>
        <v>1989.3514026444498</v>
      </c>
      <c r="L359" s="5">
        <f t="shared" si="39"/>
        <v>1990.4793841643793</v>
      </c>
      <c r="M359" s="5">
        <f t="shared" si="40"/>
        <v>1990.6670826984575</v>
      </c>
    </row>
    <row r="360" spans="6:13">
      <c r="F360">
        <v>359</v>
      </c>
      <c r="G360" s="5">
        <f t="shared" si="41"/>
        <v>1930.9550292714034</v>
      </c>
      <c r="H360" s="5">
        <f t="shared" si="35"/>
        <v>1961.4571848074997</v>
      </c>
      <c r="I360" s="5">
        <f t="shared" si="36"/>
        <v>1977.6399248097798</v>
      </c>
      <c r="J360" s="5">
        <f t="shared" si="37"/>
        <v>1988.8013985993291</v>
      </c>
      <c r="K360" s="5">
        <f t="shared" si="38"/>
        <v>1993.1771243709902</v>
      </c>
      <c r="L360" s="5">
        <f t="shared" si="39"/>
        <v>1994.3104328551633</v>
      </c>
      <c r="M360" s="5">
        <f t="shared" si="40"/>
        <v>1994.4990179815916</v>
      </c>
    </row>
    <row r="361" spans="6:13">
      <c r="F361">
        <v>360</v>
      </c>
      <c r="G361" s="5">
        <f t="shared" si="41"/>
        <v>1934.4975417466744</v>
      </c>
      <c r="H361" s="5">
        <f t="shared" si="35"/>
        <v>1965.1414470114482</v>
      </c>
      <c r="I361" s="5">
        <f t="shared" si="36"/>
        <v>1981.3999317760999</v>
      </c>
      <c r="J361" s="5">
        <f t="shared" si="37"/>
        <v>1992.6138639739886</v>
      </c>
      <c r="K361" s="5">
        <f t="shared" si="38"/>
        <v>1997.0102033430674</v>
      </c>
      <c r="L361" s="5">
        <f t="shared" si="39"/>
        <v>1998.1488551134346</v>
      </c>
      <c r="M361" s="5">
        <f t="shared" si="40"/>
        <v>1998.3383295498625</v>
      </c>
    </row>
    <row r="362" spans="6:13">
      <c r="F362">
        <v>361</v>
      </c>
      <c r="G362" s="5">
        <f t="shared" si="41"/>
        <v>1938.0465532830037</v>
      </c>
      <c r="H362" s="5">
        <f t="shared" si="35"/>
        <v>1968.8326294724855</v>
      </c>
      <c r="I362" s="5">
        <f t="shared" si="36"/>
        <v>1985.1670874919018</v>
      </c>
      <c r="J362" s="5">
        <f t="shared" si="37"/>
        <v>1996.4336377165137</v>
      </c>
      <c r="K362" s="5">
        <f t="shared" si="38"/>
        <v>2000.8506537094011</v>
      </c>
      <c r="L362" s="5">
        <f t="shared" si="39"/>
        <v>2001.9946651309986</v>
      </c>
      <c r="M362" s="5">
        <f t="shared" si="40"/>
        <v>2002.1850316022526</v>
      </c>
    </row>
    <row r="363" spans="6:13">
      <c r="F363">
        <v>362</v>
      </c>
      <c r="G363" s="5">
        <f t="shared" si="41"/>
        <v>1941.6020758035106</v>
      </c>
      <c r="H363" s="5">
        <f t="shared" si="35"/>
        <v>1972.5307451891317</v>
      </c>
      <c r="I363" s="5">
        <f t="shared" si="36"/>
        <v>1988.9414055488135</v>
      </c>
      <c r="J363" s="5">
        <f t="shared" si="37"/>
        <v>2000.2607338368002</v>
      </c>
      <c r="K363" s="5">
        <f t="shared" si="38"/>
        <v>2004.6984896459192</v>
      </c>
      <c r="L363" s="5">
        <f t="shared" si="39"/>
        <v>2005.8478771269752</v>
      </c>
      <c r="M363" s="5">
        <f t="shared" si="40"/>
        <v>2006.0391383650767</v>
      </c>
    </row>
    <row r="364" spans="6:13">
      <c r="F364">
        <v>363</v>
      </c>
      <c r="G364" s="5">
        <f t="shared" si="41"/>
        <v>1945.164121253187</v>
      </c>
      <c r="H364" s="5">
        <f t="shared" si="35"/>
        <v>1976.2358071843237</v>
      </c>
      <c r="I364" s="5">
        <f t="shared" si="36"/>
        <v>1992.7228995643059</v>
      </c>
      <c r="J364" s="5">
        <f t="shared" si="37"/>
        <v>2004.0951663715991</v>
      </c>
      <c r="K364" s="5">
        <f t="shared" si="38"/>
        <v>2008.5537253558123</v>
      </c>
      <c r="L364" s="5">
        <f t="shared" si="39"/>
        <v>2009.7085053478522</v>
      </c>
      <c r="M364" s="5">
        <f t="shared" si="40"/>
        <v>2009.9006640920352</v>
      </c>
    </row>
    <row r="365" spans="6:13">
      <c r="F365">
        <v>364</v>
      </c>
      <c r="G365" s="5">
        <f t="shared" si="41"/>
        <v>1948.7327015989383</v>
      </c>
      <c r="H365" s="5">
        <f t="shared" si="35"/>
        <v>1979.9478285054586</v>
      </c>
      <c r="I365" s="5">
        <f t="shared" si="36"/>
        <v>1996.5115831817384</v>
      </c>
      <c r="J365" s="5">
        <f t="shared" si="37"/>
        <v>2007.9369493845713</v>
      </c>
      <c r="K365" s="5">
        <f t="shared" si="38"/>
        <v>2012.4163750695848</v>
      </c>
      <c r="L365" s="5">
        <f t="shared" si="39"/>
        <v>2013.5765640675372</v>
      </c>
      <c r="M365" s="5">
        <f t="shared" si="40"/>
        <v>2013.7696230642646</v>
      </c>
    </row>
    <row r="366" spans="6:13">
      <c r="F366">
        <v>365</v>
      </c>
      <c r="G366" s="5">
        <f t="shared" si="41"/>
        <v>1952.3078288296267</v>
      </c>
      <c r="H366" s="5">
        <f t="shared" si="35"/>
        <v>1983.6668222244411</v>
      </c>
      <c r="I366" s="5">
        <f t="shared" si="36"/>
        <v>2000.3074700704117</v>
      </c>
      <c r="J366" s="5">
        <f t="shared" si="37"/>
        <v>2011.7860969663352</v>
      </c>
      <c r="K366" s="5">
        <f t="shared" si="38"/>
        <v>2016.2864530451068</v>
      </c>
      <c r="L366" s="5">
        <f t="shared" si="39"/>
        <v>2017.4520675874103</v>
      </c>
      <c r="M366" s="5">
        <f t="shared" si="40"/>
        <v>2017.6460295903942</v>
      </c>
    </row>
    <row r="367" spans="6:13">
      <c r="F367">
        <v>366</v>
      </c>
      <c r="G367" s="5">
        <f t="shared" si="41"/>
        <v>1955.889514956106</v>
      </c>
      <c r="H367" s="5">
        <f t="shared" si="35"/>
        <v>1987.3928014377295</v>
      </c>
      <c r="I367" s="5">
        <f t="shared" si="36"/>
        <v>2004.110573925615</v>
      </c>
      <c r="J367" s="5">
        <f t="shared" si="37"/>
        <v>2015.642623234522</v>
      </c>
      <c r="K367" s="5">
        <f t="shared" si="38"/>
        <v>2020.1639735676702</v>
      </c>
      <c r="L367" s="5">
        <f t="shared" si="39"/>
        <v>2021.3350302363779</v>
      </c>
      <c r="M367" s="5">
        <f t="shared" si="40"/>
        <v>2021.529898006595</v>
      </c>
    </row>
    <row r="368" spans="6:13">
      <c r="F368">
        <v>367</v>
      </c>
      <c r="G368" s="5">
        <f t="shared" si="41"/>
        <v>1959.4777720112679</v>
      </c>
      <c r="H368" s="5">
        <f t="shared" si="35"/>
        <v>1991.1257792663814</v>
      </c>
      <c r="I368" s="5">
        <f t="shared" si="36"/>
        <v>2007.9209084686745</v>
      </c>
      <c r="J368" s="5">
        <f t="shared" si="37"/>
        <v>2019.5065423338251</v>
      </c>
      <c r="K368" s="5">
        <f t="shared" si="38"/>
        <v>2024.0489509500362</v>
      </c>
      <c r="L368" s="5">
        <f t="shared" si="39"/>
        <v>2025.2254663709243</v>
      </c>
      <c r="M368" s="5">
        <f t="shared" si="40"/>
        <v>2025.4212426766344</v>
      </c>
    </row>
    <row r="369" spans="6:13">
      <c r="F369">
        <v>368</v>
      </c>
      <c r="G369" s="5">
        <f t="shared" si="41"/>
        <v>1963.0726120500774</v>
      </c>
      <c r="H369" s="5">
        <f t="shared" si="35"/>
        <v>1994.8657688560997</v>
      </c>
      <c r="I369" s="5">
        <f t="shared" si="36"/>
        <v>2011.7384874470056</v>
      </c>
      <c r="J369" s="5">
        <f t="shared" si="37"/>
        <v>2023.3778684360536</v>
      </c>
      <c r="K369" s="5">
        <f t="shared" si="38"/>
        <v>2027.9413995324921</v>
      </c>
      <c r="L369" s="5">
        <f t="shared" si="39"/>
        <v>2029.1233903751663</v>
      </c>
      <c r="M369" s="5">
        <f t="shared" si="40"/>
        <v>2029.3200779919309</v>
      </c>
    </row>
    <row r="370" spans="6:13">
      <c r="F370">
        <v>369</v>
      </c>
      <c r="G370" s="5">
        <f t="shared" si="41"/>
        <v>1966.6740471496166</v>
      </c>
      <c r="H370" s="5">
        <f t="shared" si="35"/>
        <v>1998.61278337728</v>
      </c>
      <c r="I370" s="5">
        <f t="shared" si="36"/>
        <v>2015.5633246341611</v>
      </c>
      <c r="J370" s="5">
        <f t="shared" si="37"/>
        <v>2027.2566157401823</v>
      </c>
      <c r="K370" s="5">
        <f t="shared" si="38"/>
        <v>2031.841333682903</v>
      </c>
      <c r="L370" s="5">
        <f t="shared" si="39"/>
        <v>2033.0288166609046</v>
      </c>
      <c r="M370" s="5">
        <f t="shared" si="40"/>
        <v>2033.2264183716031</v>
      </c>
    </row>
    <row r="371" spans="6:13">
      <c r="F371">
        <v>370</v>
      </c>
      <c r="G371" s="5">
        <f t="shared" si="41"/>
        <v>1970.2820894091235</v>
      </c>
      <c r="H371" s="5">
        <f t="shared" si="35"/>
        <v>2002.3668360250554</v>
      </c>
      <c r="I371" s="5">
        <f t="shared" si="36"/>
        <v>2019.3954338298799</v>
      </c>
      <c r="J371" s="5">
        <f t="shared" si="37"/>
        <v>2031.142798472406</v>
      </c>
      <c r="K371" s="5">
        <f t="shared" si="38"/>
        <v>2035.7487677967661</v>
      </c>
      <c r="L371" s="5">
        <f t="shared" si="39"/>
        <v>2036.9417596676788</v>
      </c>
      <c r="M371" s="5">
        <f t="shared" si="40"/>
        <v>2037.140278262528</v>
      </c>
    </row>
    <row r="372" spans="6:13">
      <c r="F372">
        <v>371</v>
      </c>
      <c r="G372" s="5">
        <f t="shared" si="41"/>
        <v>1973.8967509500333</v>
      </c>
      <c r="H372" s="5">
        <f t="shared" si="35"/>
        <v>2006.1279400193448</v>
      </c>
      <c r="I372" s="5">
        <f t="shared" si="36"/>
        <v>2023.2348288601388</v>
      </c>
      <c r="J372" s="5">
        <f t="shared" si="37"/>
        <v>2035.0364308861897</v>
      </c>
      <c r="K372" s="5">
        <f t="shared" si="38"/>
        <v>2039.6637162972593</v>
      </c>
      <c r="L372" s="5">
        <f t="shared" si="39"/>
        <v>2040.8622338628204</v>
      </c>
      <c r="M372" s="5">
        <f t="shared" si="40"/>
        <v>2041.0616721393922</v>
      </c>
    </row>
    <row r="373" spans="6:13">
      <c r="F373">
        <v>372</v>
      </c>
      <c r="G373" s="5">
        <f t="shared" si="41"/>
        <v>1977.5180439160199</v>
      </c>
      <c r="H373" s="5">
        <f t="shared" si="35"/>
        <v>2009.8961086048973</v>
      </c>
      <c r="I373" s="5">
        <f t="shared" si="36"/>
        <v>2027.0815235772002</v>
      </c>
      <c r="J373" s="5">
        <f t="shared" si="37"/>
        <v>2038.9375272623224</v>
      </c>
      <c r="K373" s="5">
        <f t="shared" si="38"/>
        <v>2043.586193635301</v>
      </c>
      <c r="L373" s="5">
        <f t="shared" si="39"/>
        <v>2044.7902537415055</v>
      </c>
      <c r="M373" s="5">
        <f t="shared" si="40"/>
        <v>2044.990614504743</v>
      </c>
    </row>
    <row r="374" spans="6:13">
      <c r="F374">
        <v>373</v>
      </c>
      <c r="G374" s="5">
        <f t="shared" si="41"/>
        <v>1981.145980473035</v>
      </c>
      <c r="H374" s="5">
        <f t="shared" ref="H374:H437" si="42">$C$2*(1+$C$1/$D$6)^(F374*$D$6*0.019231)</f>
        <v>2013.6713550513407</v>
      </c>
      <c r="I374" s="5">
        <f t="shared" ref="I374:I437" si="43">$C$2*(1+$C$1/$D$7)^(F374*$D$7*0.019231)</f>
        <v>2030.9355318596647</v>
      </c>
      <c r="J374" s="5">
        <f t="shared" ref="J374:J437" si="44">$C$2*(1+$C$1/$D$8)^(F374*$D$8*0.019231)</f>
        <v>2042.8461019089691</v>
      </c>
      <c r="K374" s="5">
        <f t="shared" ref="K374:K437" si="45">$C$2*(1+$C$1/$D$9)^(F374*$D$9*0.019231)</f>
        <v>2047.5162142895983</v>
      </c>
      <c r="L374" s="5">
        <f t="shared" ref="L374:L437" si="46">$C$2*(1+$C$1/$D$10)^(F374*$D$10*0.019231)</f>
        <v>2048.7258338268089</v>
      </c>
      <c r="M374" s="5">
        <f t="shared" ref="M374:M437" si="47">$C$2*EXP($C$1*F374*0.019231)</f>
        <v>2048.9271198890469</v>
      </c>
    </row>
    <row r="375" spans="6:13">
      <c r="F375">
        <v>374</v>
      </c>
      <c r="G375" s="5">
        <f t="shared" si="41"/>
        <v>1984.7805728093495</v>
      </c>
      <c r="H375" s="5">
        <f t="shared" si="42"/>
        <v>2017.4536926532282</v>
      </c>
      <c r="I375" s="5">
        <f t="shared" si="43"/>
        <v>2034.7968676125188</v>
      </c>
      <c r="J375" s="5">
        <f t="shared" si="44"/>
        <v>2046.762169161723</v>
      </c>
      <c r="K375" s="5">
        <f t="shared" si="45"/>
        <v>2051.4537927667029</v>
      </c>
      <c r="L375" s="5">
        <f t="shared" si="46"/>
        <v>2052.6689886697577</v>
      </c>
      <c r="M375" s="5">
        <f t="shared" si="47"/>
        <v>2052.8712028507393</v>
      </c>
    </row>
    <row r="376" spans="6:13">
      <c r="F376">
        <v>375</v>
      </c>
      <c r="G376" s="5">
        <f t="shared" si="41"/>
        <v>1988.421833135596</v>
      </c>
      <c r="H376" s="5">
        <f t="shared" si="42"/>
        <v>2021.2431347300828</v>
      </c>
      <c r="I376" s="5">
        <f t="shared" si="43"/>
        <v>2038.665544767186</v>
      </c>
      <c r="J376" s="5">
        <f t="shared" si="44"/>
        <v>2050.6857433836576</v>
      </c>
      <c r="K376" s="5">
        <f t="shared" si="45"/>
        <v>2055.3989436010647</v>
      </c>
      <c r="L376" s="5">
        <f t="shared" si="46"/>
        <v>2056.6197328493849</v>
      </c>
      <c r="M376" s="5">
        <f t="shared" si="47"/>
        <v>2056.8228779762803</v>
      </c>
    </row>
    <row r="377" spans="6:13">
      <c r="F377">
        <v>376</v>
      </c>
      <c r="G377" s="5">
        <f t="shared" si="41"/>
        <v>1992.0697736848074</v>
      </c>
      <c r="H377" s="5">
        <f t="shared" si="42"/>
        <v>2025.039694626447</v>
      </c>
      <c r="I377" s="5">
        <f t="shared" si="43"/>
        <v>2042.5415772815777</v>
      </c>
      <c r="J377" s="5">
        <f t="shared" si="44"/>
        <v>2054.6168389653799</v>
      </c>
      <c r="K377" s="5">
        <f t="shared" si="45"/>
        <v>2059.3516813550827</v>
      </c>
      <c r="L377" s="5">
        <f t="shared" si="46"/>
        <v>2060.5780809727848</v>
      </c>
      <c r="M377" s="5">
        <f t="shared" si="47"/>
        <v>2060.7821598802097</v>
      </c>
    </row>
    <row r="378" spans="6:13">
      <c r="F378">
        <v>377</v>
      </c>
      <c r="G378" s="5">
        <f t="shared" si="41"/>
        <v>1995.7244067124607</v>
      </c>
      <c r="H378" s="5">
        <f t="shared" si="42"/>
        <v>2028.8433857119296</v>
      </c>
      <c r="I378" s="5">
        <f t="shared" si="43"/>
        <v>2046.4249791401423</v>
      </c>
      <c r="J378" s="5">
        <f t="shared" si="44"/>
        <v>2058.5554703250846</v>
      </c>
      <c r="K378" s="5">
        <f t="shared" si="45"/>
        <v>2063.3120206191638</v>
      </c>
      <c r="L378" s="5">
        <f t="shared" si="46"/>
        <v>2064.5440476751646</v>
      </c>
      <c r="M378" s="5">
        <f t="shared" si="47"/>
        <v>2064.7490632051963</v>
      </c>
    </row>
    <row r="379" spans="6:13">
      <c r="F379">
        <v>378</v>
      </c>
      <c r="G379" s="5">
        <f t="shared" si="41"/>
        <v>1999.3857444965149</v>
      </c>
      <c r="H379" s="5">
        <f t="shared" si="42"/>
        <v>2032.6542213812497</v>
      </c>
      <c r="I379" s="5">
        <f t="shared" si="43"/>
        <v>2050.3157643539162</v>
      </c>
      <c r="J379" s="5">
        <f t="shared" si="44"/>
        <v>2062.5016519086043</v>
      </c>
      <c r="K379" s="5">
        <f t="shared" si="45"/>
        <v>2067.2799760117714</v>
      </c>
      <c r="L379" s="5">
        <f t="shared" si="46"/>
        <v>2068.5176476198994</v>
      </c>
      <c r="M379" s="5">
        <f t="shared" si="47"/>
        <v>2068.7236026220985</v>
      </c>
    </row>
    <row r="380" spans="6:13">
      <c r="F380">
        <v>379</v>
      </c>
      <c r="G380" s="5">
        <f t="shared" si="41"/>
        <v>2003.0537993374553</v>
      </c>
      <c r="H380" s="5">
        <f t="shared" si="42"/>
        <v>2036.4722150542884</v>
      </c>
      <c r="I380" s="5">
        <f t="shared" si="43"/>
        <v>2054.2139469605745</v>
      </c>
      <c r="J380" s="5">
        <f t="shared" si="44"/>
        <v>2066.4553981894633</v>
      </c>
      <c r="K380" s="5">
        <f t="shared" si="45"/>
        <v>2071.2555621794822</v>
      </c>
      <c r="L380" s="5">
        <f t="shared" si="46"/>
        <v>2072.4988954985879</v>
      </c>
      <c r="M380" s="5">
        <f t="shared" si="47"/>
        <v>2072.7057928300128</v>
      </c>
    </row>
    <row r="381" spans="6:13">
      <c r="F381">
        <v>380</v>
      </c>
      <c r="G381" s="5">
        <f t="shared" si="41"/>
        <v>2006.728583558333</v>
      </c>
      <c r="H381" s="5">
        <f t="shared" si="42"/>
        <v>2040.2973801761323</v>
      </c>
      <c r="I381" s="5">
        <f t="shared" si="43"/>
        <v>2058.1195410244827</v>
      </c>
      <c r="J381" s="5">
        <f t="shared" si="44"/>
        <v>2070.4167236689323</v>
      </c>
      <c r="K381" s="5">
        <f t="shared" si="45"/>
        <v>2075.2387937970407</v>
      </c>
      <c r="L381" s="5">
        <f t="shared" si="46"/>
        <v>2076.4878060311048</v>
      </c>
      <c r="M381" s="5">
        <f t="shared" si="47"/>
        <v>2076.6956485563333</v>
      </c>
    </row>
    <row r="382" spans="6:13">
      <c r="F382">
        <v>381</v>
      </c>
      <c r="G382" s="5">
        <f t="shared" si="41"/>
        <v>2010.4101095048077</v>
      </c>
      <c r="H382" s="5">
        <f t="shared" si="42"/>
        <v>2044.1297302171226</v>
      </c>
      <c r="I382" s="5">
        <f t="shared" si="43"/>
        <v>2062.0325606367442</v>
      </c>
      <c r="J382" s="5">
        <f t="shared" si="44"/>
        <v>2074.3856428760801</v>
      </c>
      <c r="K382" s="5">
        <f t="shared" si="45"/>
        <v>2079.2296855674113</v>
      </c>
      <c r="L382" s="5">
        <f t="shared" si="46"/>
        <v>2080.4843939656553</v>
      </c>
      <c r="M382" s="5">
        <f t="shared" si="47"/>
        <v>2080.6931845568015</v>
      </c>
    </row>
    <row r="383" spans="6:13">
      <c r="F383">
        <v>382</v>
      </c>
      <c r="G383" s="5">
        <f t="shared" si="41"/>
        <v>2014.0983895451866</v>
      </c>
      <c r="H383" s="5">
        <f t="shared" si="42"/>
        <v>2047.9692786729026</v>
      </c>
      <c r="I383" s="5">
        <f t="shared" si="43"/>
        <v>2065.9530199152546</v>
      </c>
      <c r="J383" s="5">
        <f t="shared" si="44"/>
        <v>2078.3621703678268</v>
      </c>
      <c r="K383" s="5">
        <f t="shared" si="45"/>
        <v>2083.2282522218334</v>
      </c>
      <c r="L383" s="5">
        <f t="shared" si="46"/>
        <v>2084.4886740788324</v>
      </c>
      <c r="M383" s="5">
        <f t="shared" si="47"/>
        <v>2084.6984156155636</v>
      </c>
    </row>
    <row r="384" spans="6:13">
      <c r="F384">
        <v>383</v>
      </c>
      <c r="G384" s="5">
        <f t="shared" si="41"/>
        <v>2017.7934360704692</v>
      </c>
      <c r="H384" s="5">
        <f t="shared" si="42"/>
        <v>2051.8160390644648</v>
      </c>
      <c r="I384" s="5">
        <f t="shared" si="43"/>
        <v>2069.8809330047516</v>
      </c>
      <c r="J384" s="5">
        <f t="shared" si="44"/>
        <v>2082.3463207289992</v>
      </c>
      <c r="K384" s="5">
        <f t="shared" si="45"/>
        <v>2087.2345085198776</v>
      </c>
      <c r="L384" s="5">
        <f t="shared" si="46"/>
        <v>2088.5006611756676</v>
      </c>
      <c r="M384" s="5">
        <f t="shared" si="47"/>
        <v>2088.711356545226</v>
      </c>
    </row>
    <row r="385" spans="6:13">
      <c r="F385">
        <v>384</v>
      </c>
      <c r="G385" s="5">
        <f t="shared" si="41"/>
        <v>2021.4952614943873</v>
      </c>
      <c r="H385" s="5">
        <f t="shared" si="42"/>
        <v>2055.6700249381979</v>
      </c>
      <c r="I385" s="5">
        <f t="shared" si="43"/>
        <v>2073.8163140768647</v>
      </c>
      <c r="J385" s="5">
        <f t="shared" si="44"/>
        <v>2086.3381085723804</v>
      </c>
      <c r="K385" s="5">
        <f t="shared" si="45"/>
        <v>2091.2484692494977</v>
      </c>
      <c r="L385" s="5">
        <f t="shared" si="46"/>
        <v>2092.5203700896877</v>
      </c>
      <c r="M385" s="5">
        <f t="shared" si="47"/>
        <v>2092.7320221869054</v>
      </c>
    </row>
    <row r="386" spans="6:13">
      <c r="F386">
        <v>385</v>
      </c>
      <c r="G386" s="5">
        <f t="shared" si="41"/>
        <v>2025.2038782534457</v>
      </c>
      <c r="H386" s="5">
        <f t="shared" si="42"/>
        <v>2059.5312498659359</v>
      </c>
      <c r="I386" s="5">
        <f t="shared" si="43"/>
        <v>2077.7591773301679</v>
      </c>
      <c r="J386" s="5">
        <f t="shared" si="44"/>
        <v>2090.3375485387674</v>
      </c>
      <c r="K386" s="5">
        <f t="shared" si="45"/>
        <v>2095.2701492270858</v>
      </c>
      <c r="L386" s="5">
        <f t="shared" si="46"/>
        <v>2096.5478156829695</v>
      </c>
      <c r="M386" s="5">
        <f t="shared" si="47"/>
        <v>2096.76042741029</v>
      </c>
    </row>
    <row r="387" spans="6:13">
      <c r="F387">
        <v>386</v>
      </c>
      <c r="G387" s="5">
        <f t="shared" si="41"/>
        <v>2028.9192988069665</v>
      </c>
      <c r="H387" s="5">
        <f t="shared" si="42"/>
        <v>2063.3997274450048</v>
      </c>
      <c r="I387" s="5">
        <f t="shared" si="43"/>
        <v>2081.7095369902299</v>
      </c>
      <c r="J387" s="5">
        <f t="shared" si="44"/>
        <v>2094.3446552970222</v>
      </c>
      <c r="K387" s="5">
        <f t="shared" si="45"/>
        <v>2099.2995632975276</v>
      </c>
      <c r="L387" s="5">
        <f t="shared" si="46"/>
        <v>2100.5830128461948</v>
      </c>
      <c r="M387" s="5">
        <f t="shared" si="47"/>
        <v>2100.7965871136903</v>
      </c>
    </row>
    <row r="388" spans="6:13">
      <c r="F388">
        <v>387</v>
      </c>
      <c r="G388" s="5">
        <f t="shared" ref="G388:G451" si="48">$C$2*(1+$C$1)^(F388*0.019231/$D$5)</f>
        <v>2032.6415356371288</v>
      </c>
      <c r="H388" s="5">
        <f t="shared" si="42"/>
        <v>2067.275471298271</v>
      </c>
      <c r="I388" s="5">
        <f t="shared" si="43"/>
        <v>2085.6674073096674</v>
      </c>
      <c r="J388" s="5">
        <f t="shared" si="44"/>
        <v>2098.3594435441273</v>
      </c>
      <c r="K388" s="5">
        <f t="shared" si="45"/>
        <v>2103.3367263342579</v>
      </c>
      <c r="L388" s="5">
        <f t="shared" si="46"/>
        <v>2104.6259764987049</v>
      </c>
      <c r="M388" s="5">
        <f t="shared" si="47"/>
        <v>2104.8405162240952</v>
      </c>
    </row>
    <row r="389" spans="6:13">
      <c r="F389">
        <v>388</v>
      </c>
      <c r="G389" s="5">
        <f t="shared" si="48"/>
        <v>2036.3706012490118</v>
      </c>
      <c r="H389" s="5">
        <f t="shared" si="42"/>
        <v>2071.1584950741899</v>
      </c>
      <c r="I389" s="5">
        <f t="shared" si="43"/>
        <v>2089.6328025681933</v>
      </c>
      <c r="J389" s="5">
        <f t="shared" si="44"/>
        <v>2102.3819280052385</v>
      </c>
      <c r="K389" s="5">
        <f t="shared" si="45"/>
        <v>2107.3816532393134</v>
      </c>
      <c r="L389" s="5">
        <f t="shared" si="46"/>
        <v>2108.6767215885566</v>
      </c>
      <c r="M389" s="5">
        <f t="shared" si="47"/>
        <v>2108.8922296972269</v>
      </c>
    </row>
    <row r="390" spans="6:13">
      <c r="F390">
        <v>389</v>
      </c>
      <c r="G390" s="5">
        <f t="shared" si="48"/>
        <v>2040.1065081706352</v>
      </c>
      <c r="H390" s="5">
        <f t="shared" si="42"/>
        <v>2075.0488124468511</v>
      </c>
      <c r="I390" s="5">
        <f t="shared" si="43"/>
        <v>2093.6057370726699</v>
      </c>
      <c r="J390" s="5">
        <f t="shared" si="44"/>
        <v>2106.4121234337385</v>
      </c>
      <c r="K390" s="5">
        <f t="shared" si="45"/>
        <v>2111.4343589433902</v>
      </c>
      <c r="L390" s="5">
        <f t="shared" si="46"/>
        <v>2112.735263092577</v>
      </c>
      <c r="M390" s="5">
        <f t="shared" si="47"/>
        <v>2112.9517425175977</v>
      </c>
    </row>
    <row r="391" spans="6:13">
      <c r="F391">
        <v>390</v>
      </c>
      <c r="G391" s="5">
        <f t="shared" si="48"/>
        <v>2043.8492689530042</v>
      </c>
      <c r="H391" s="5">
        <f t="shared" si="42"/>
        <v>2078.9464371160311</v>
      </c>
      <c r="I391" s="5">
        <f t="shared" si="43"/>
        <v>2097.5862251571625</v>
      </c>
      <c r="J391" s="5">
        <f t="shared" si="44"/>
        <v>2110.4500446112925</v>
      </c>
      <c r="K391" s="5">
        <f t="shared" si="45"/>
        <v>2115.4948584058961</v>
      </c>
      <c r="L391" s="5">
        <f t="shared" si="46"/>
        <v>2116.8016160164188</v>
      </c>
      <c r="M391" s="5">
        <f t="shared" si="47"/>
        <v>2117.0190696985628</v>
      </c>
    </row>
    <row r="392" spans="6:13">
      <c r="F392">
        <v>391</v>
      </c>
      <c r="G392" s="5">
        <f t="shared" si="48"/>
        <v>2047.5988961701489</v>
      </c>
      <c r="H392" s="5">
        <f t="shared" si="42"/>
        <v>2082.8513828072373</v>
      </c>
      <c r="I392" s="5">
        <f t="shared" si="43"/>
        <v>2101.5742811829864</v>
      </c>
      <c r="J392" s="5">
        <f t="shared" si="44"/>
        <v>2114.4957063479023</v>
      </c>
      <c r="K392" s="5">
        <f t="shared" si="45"/>
        <v>2119.5631666150084</v>
      </c>
      <c r="L392" s="5">
        <f t="shared" si="46"/>
        <v>2120.875795394616</v>
      </c>
      <c r="M392" s="5">
        <f t="shared" si="47"/>
        <v>2121.0942262823796</v>
      </c>
    </row>
    <row r="393" spans="6:13">
      <c r="F393">
        <v>392</v>
      </c>
      <c r="G393" s="5">
        <f t="shared" si="48"/>
        <v>2051.3554024191681</v>
      </c>
      <c r="H393" s="5">
        <f t="shared" si="42"/>
        <v>2086.763663271759</v>
      </c>
      <c r="I393" s="5">
        <f t="shared" si="43"/>
        <v>2105.5699195387642</v>
      </c>
      <c r="J393" s="5">
        <f t="shared" si="44"/>
        <v>2118.5491234819583</v>
      </c>
      <c r="K393" s="5">
        <f t="shared" si="45"/>
        <v>2123.6392985877278</v>
      </c>
      <c r="L393" s="5">
        <f t="shared" si="46"/>
        <v>2124.9578162906387</v>
      </c>
      <c r="M393" s="5">
        <f t="shared" si="47"/>
        <v>2125.1772273402594</v>
      </c>
    </row>
    <row r="394" spans="6:13">
      <c r="F394">
        <v>393</v>
      </c>
      <c r="G394" s="5">
        <f t="shared" si="48"/>
        <v>2055.118800320271</v>
      </c>
      <c r="H394" s="5">
        <f t="shared" si="42"/>
        <v>2090.6832922867147</v>
      </c>
      <c r="I394" s="5">
        <f t="shared" si="43"/>
        <v>2109.5731546404736</v>
      </c>
      <c r="J394" s="5">
        <f t="shared" si="44"/>
        <v>2122.6103108802963</v>
      </c>
      <c r="K394" s="5">
        <f t="shared" si="45"/>
        <v>2127.7232693699343</v>
      </c>
      <c r="L394" s="5">
        <f t="shared" si="46"/>
        <v>2129.0476937969511</v>
      </c>
      <c r="M394" s="5">
        <f t="shared" si="47"/>
        <v>2129.2680879724248</v>
      </c>
    </row>
    <row r="395" spans="6:13">
      <c r="F395">
        <v>394</v>
      </c>
      <c r="G395" s="5">
        <f t="shared" si="48"/>
        <v>2058.8891025168195</v>
      </c>
      <c r="H395" s="5">
        <f t="shared" si="42"/>
        <v>2094.6102836551013</v>
      </c>
      <c r="I395" s="5">
        <f t="shared" si="43"/>
        <v>2113.5840009315011</v>
      </c>
      <c r="J395" s="5">
        <f t="shared" si="44"/>
        <v>2126.6792834382532</v>
      </c>
      <c r="K395" s="5">
        <f t="shared" si="45"/>
        <v>2131.815094036443</v>
      </c>
      <c r="L395" s="5">
        <f t="shared" si="46"/>
        <v>2133.1454430350627</v>
      </c>
      <c r="M395" s="5">
        <f t="shared" si="47"/>
        <v>2133.3668233081657</v>
      </c>
    </row>
    <row r="396" spans="6:13">
      <c r="F396">
        <v>395</v>
      </c>
      <c r="G396" s="5">
        <f t="shared" si="48"/>
        <v>2062.6663216753705</v>
      </c>
      <c r="H396" s="5">
        <f t="shared" si="42"/>
        <v>2098.5446512058406</v>
      </c>
      <c r="I396" s="5">
        <f t="shared" si="43"/>
        <v>2117.6024728826928</v>
      </c>
      <c r="J396" s="5">
        <f t="shared" si="44"/>
        <v>2130.7560560797169</v>
      </c>
      <c r="K396" s="5">
        <f t="shared" si="45"/>
        <v>2135.9147876910583</v>
      </c>
      <c r="L396" s="5">
        <f t="shared" si="46"/>
        <v>2137.2510791555906</v>
      </c>
      <c r="M396" s="5">
        <f t="shared" si="47"/>
        <v>2137.4734485058962</v>
      </c>
    </row>
    <row r="397" spans="6:13">
      <c r="F397">
        <v>396</v>
      </c>
      <c r="G397" s="5">
        <f t="shared" si="48"/>
        <v>2066.45047048572</v>
      </c>
      <c r="H397" s="5">
        <f t="shared" si="42"/>
        <v>2102.4864087938327</v>
      </c>
      <c r="I397" s="5">
        <f t="shared" si="43"/>
        <v>2121.6285849924097</v>
      </c>
      <c r="J397" s="5">
        <f t="shared" si="44"/>
        <v>2134.8406437571844</v>
      </c>
      <c r="K397" s="5">
        <f t="shared" si="45"/>
        <v>2140.0223654666315</v>
      </c>
      <c r="L397" s="5">
        <f t="shared" si="46"/>
        <v>2141.3646173383095</v>
      </c>
      <c r="M397" s="5">
        <f t="shared" si="47"/>
        <v>2141.5879787532085</v>
      </c>
    </row>
    <row r="398" spans="6:13">
      <c r="F398">
        <v>397</v>
      </c>
      <c r="G398" s="5">
        <f t="shared" si="48"/>
        <v>2070.2415616609437</v>
      </c>
      <c r="H398" s="5">
        <f t="shared" si="42"/>
        <v>2106.4355702999987</v>
      </c>
      <c r="I398" s="5">
        <f t="shared" si="43"/>
        <v>2125.662351786576</v>
      </c>
      <c r="J398" s="5">
        <f t="shared" si="44"/>
        <v>2138.9330614518176</v>
      </c>
      <c r="K398" s="5">
        <f t="shared" si="45"/>
        <v>2144.1378425251164</v>
      </c>
      <c r="L398" s="5">
        <f t="shared" si="46"/>
        <v>2145.4860727922123</v>
      </c>
      <c r="M398" s="5">
        <f t="shared" si="47"/>
        <v>2145.710429266931</v>
      </c>
    </row>
    <row r="399" spans="6:13">
      <c r="F399">
        <v>398</v>
      </c>
      <c r="G399" s="5">
        <f t="shared" si="48"/>
        <v>2074.0396079374409</v>
      </c>
      <c r="H399" s="5">
        <f t="shared" si="42"/>
        <v>2110.3921496313342</v>
      </c>
      <c r="I399" s="5">
        <f t="shared" si="43"/>
        <v>2129.7037878187352</v>
      </c>
      <c r="J399" s="5">
        <f t="shared" si="44"/>
        <v>2143.0333241734966</v>
      </c>
      <c r="K399" s="5">
        <f t="shared" si="45"/>
        <v>2148.2612340576238</v>
      </c>
      <c r="L399" s="5">
        <f t="shared" si="46"/>
        <v>2149.6154607555627</v>
      </c>
      <c r="M399" s="5">
        <f t="shared" si="47"/>
        <v>2149.8408152931825</v>
      </c>
    </row>
    <row r="400" spans="6:13">
      <c r="F400">
        <v>399</v>
      </c>
      <c r="G400" s="5">
        <f t="shared" si="48"/>
        <v>2077.8446220749765</v>
      </c>
      <c r="H400" s="5">
        <f t="shared" si="42"/>
        <v>2114.3561607209563</v>
      </c>
      <c r="I400" s="5">
        <f t="shared" si="43"/>
        <v>2133.7529076700989</v>
      </c>
      <c r="J400" s="5">
        <f t="shared" si="44"/>
        <v>2147.1414469608731</v>
      </c>
      <c r="K400" s="5">
        <f t="shared" si="45"/>
        <v>2152.3925552844785</v>
      </c>
      <c r="L400" s="5">
        <f t="shared" si="46"/>
        <v>2153.752796495955</v>
      </c>
      <c r="M400" s="5">
        <f t="shared" si="47"/>
        <v>2153.9791521074312</v>
      </c>
    </row>
    <row r="401" spans="6:13">
      <c r="F401">
        <v>400</v>
      </c>
      <c r="G401" s="5">
        <f t="shared" si="48"/>
        <v>2081.656616856726</v>
      </c>
      <c r="H401" s="5">
        <f t="shared" si="42"/>
        <v>2118.3276175281535</v>
      </c>
      <c r="I401" s="5">
        <f t="shared" si="43"/>
        <v>2137.8097259496035</v>
      </c>
      <c r="J401" s="5">
        <f t="shared" si="44"/>
        <v>2151.2574448814294</v>
      </c>
      <c r="K401" s="5">
        <f t="shared" si="45"/>
        <v>2156.5318214552758</v>
      </c>
      <c r="L401" s="5">
        <f t="shared" si="46"/>
        <v>2157.8980953103664</v>
      </c>
      <c r="M401" s="5">
        <f t="shared" si="47"/>
        <v>2158.1254550145482</v>
      </c>
    </row>
    <row r="402" spans="6:13">
      <c r="F402">
        <v>401</v>
      </c>
      <c r="G402" s="5">
        <f t="shared" si="48"/>
        <v>2085.4756050893138</v>
      </c>
      <c r="H402" s="5">
        <f t="shared" si="42"/>
        <v>2122.3065340384342</v>
      </c>
      <c r="I402" s="5">
        <f t="shared" si="43"/>
        <v>2141.8742572939586</v>
      </c>
      <c r="J402" s="5">
        <f t="shared" si="44"/>
        <v>2155.3813330315306</v>
      </c>
      <c r="K402" s="5">
        <f t="shared" si="45"/>
        <v>2160.6790478489388</v>
      </c>
      <c r="L402" s="5">
        <f t="shared" si="46"/>
        <v>2162.0513725252194</v>
      </c>
      <c r="M402" s="5">
        <f t="shared" si="47"/>
        <v>2162.2797393488681</v>
      </c>
    </row>
    <row r="403" spans="6:13">
      <c r="F403">
        <v>402</v>
      </c>
      <c r="G403" s="5">
        <f t="shared" si="48"/>
        <v>2089.3015996028626</v>
      </c>
      <c r="H403" s="5">
        <f t="shared" si="42"/>
        <v>2126.292924263576</v>
      </c>
      <c r="I403" s="5">
        <f t="shared" si="43"/>
        <v>2145.9465163677037</v>
      </c>
      <c r="J403" s="5">
        <f t="shared" si="44"/>
        <v>2159.5131265364812</v>
      </c>
      <c r="K403" s="5">
        <f t="shared" si="45"/>
        <v>2164.8342497737708</v>
      </c>
      <c r="L403" s="5">
        <f t="shared" si="46"/>
        <v>2166.2126434964321</v>
      </c>
      <c r="M403" s="5">
        <f t="shared" si="47"/>
        <v>2166.4420204742414</v>
      </c>
    </row>
    <row r="404" spans="6:13">
      <c r="F404">
        <v>403</v>
      </c>
      <c r="G404" s="5">
        <f t="shared" si="48"/>
        <v>2093.1346132510307</v>
      </c>
      <c r="H404" s="5">
        <f t="shared" si="42"/>
        <v>2130.2868022416746</v>
      </c>
      <c r="I404" s="5">
        <f t="shared" si="43"/>
        <v>2150.026517863259</v>
      </c>
      <c r="J404" s="5">
        <f t="shared" si="44"/>
        <v>2163.652840550581</v>
      </c>
      <c r="K404" s="5">
        <f t="shared" si="45"/>
        <v>2168.9974425675168</v>
      </c>
      <c r="L404" s="5">
        <f t="shared" si="46"/>
        <v>2170.3819236094791</v>
      </c>
      <c r="M404" s="5">
        <f t="shared" si="47"/>
        <v>2170.6123137840932</v>
      </c>
    </row>
    <row r="405" spans="6:13">
      <c r="F405">
        <v>404</v>
      </c>
      <c r="G405" s="5">
        <f t="shared" si="48"/>
        <v>2096.9746589110591</v>
      </c>
      <c r="H405" s="5">
        <f t="shared" si="42"/>
        <v>2134.2881820371963</v>
      </c>
      <c r="I405" s="5">
        <f t="shared" si="43"/>
        <v>2154.1142765009781</v>
      </c>
      <c r="J405" s="5">
        <f t="shared" si="44"/>
        <v>2167.8004902571788</v>
      </c>
      <c r="K405" s="5">
        <f t="shared" si="45"/>
        <v>2173.1686415974168</v>
      </c>
      <c r="L405" s="5">
        <f t="shared" si="46"/>
        <v>2174.5592282794473</v>
      </c>
      <c r="M405" s="5">
        <f t="shared" si="47"/>
        <v>2174.7906347014809</v>
      </c>
    </row>
    <row r="406" spans="6:13">
      <c r="F406">
        <v>405</v>
      </c>
      <c r="G406" s="5">
        <f t="shared" si="48"/>
        <v>2100.8217494838109</v>
      </c>
      <c r="H406" s="5">
        <f t="shared" si="42"/>
        <v>2138.2970777410223</v>
      </c>
      <c r="I406" s="5">
        <f t="shared" si="43"/>
        <v>2158.2098070292022</v>
      </c>
      <c r="J406" s="5">
        <f t="shared" si="44"/>
        <v>2171.9560908687308</v>
      </c>
      <c r="K406" s="5">
        <f t="shared" si="45"/>
        <v>2177.3478622602638</v>
      </c>
      <c r="L406" s="5">
        <f t="shared" si="46"/>
        <v>2178.7445729510923</v>
      </c>
      <c r="M406" s="5">
        <f t="shared" si="47"/>
        <v>2178.9769986791512</v>
      </c>
    </row>
    <row r="407" spans="6:13">
      <c r="F407">
        <v>406</v>
      </c>
      <c r="G407" s="5">
        <f t="shared" si="48"/>
        <v>2104.675897893821</v>
      </c>
      <c r="H407" s="5">
        <f t="shared" si="42"/>
        <v>2142.3135034705024</v>
      </c>
      <c r="I407" s="5">
        <f t="shared" si="43"/>
        <v>2162.3131242243135</v>
      </c>
      <c r="J407" s="5">
        <f t="shared" si="44"/>
        <v>2176.1196576268544</v>
      </c>
      <c r="K407" s="5">
        <f t="shared" si="45"/>
        <v>2181.5351199824599</v>
      </c>
      <c r="L407" s="5">
        <f t="shared" si="46"/>
        <v>2182.9379730988971</v>
      </c>
      <c r="M407" s="5">
        <f t="shared" si="47"/>
        <v>2183.1714211995945</v>
      </c>
    </row>
    <row r="408" spans="6:13">
      <c r="F408">
        <v>407</v>
      </c>
      <c r="G408" s="5">
        <f t="shared" si="48"/>
        <v>2108.5371170893313</v>
      </c>
      <c r="H408" s="5">
        <f t="shared" si="42"/>
        <v>2146.3374733695032</v>
      </c>
      <c r="I408" s="5">
        <f t="shared" si="43"/>
        <v>2166.4242428907874</v>
      </c>
      <c r="J408" s="5">
        <f t="shared" si="44"/>
        <v>2180.291205802384</v>
      </c>
      <c r="K408" s="5">
        <f t="shared" si="45"/>
        <v>2185.730430220075</v>
      </c>
      <c r="L408" s="5">
        <f t="shared" si="46"/>
        <v>2187.1394442271267</v>
      </c>
      <c r="M408" s="5">
        <f t="shared" si="47"/>
        <v>2187.3739177751067</v>
      </c>
    </row>
    <row r="409" spans="6:13">
      <c r="F409">
        <v>408</v>
      </c>
      <c r="G409" s="5">
        <f t="shared" si="48"/>
        <v>2112.4054200423416</v>
      </c>
      <c r="H409" s="5">
        <f t="shared" si="42"/>
        <v>2150.3690016084588</v>
      </c>
      <c r="I409" s="5">
        <f t="shared" si="43"/>
        <v>2170.543177861246</v>
      </c>
      <c r="J409" s="5">
        <f t="shared" si="44"/>
        <v>2184.4707506954287</v>
      </c>
      <c r="K409" s="5">
        <f t="shared" si="45"/>
        <v>2189.9338084589003</v>
      </c>
      <c r="L409" s="5">
        <f t="shared" si="46"/>
        <v>2191.3490018698881</v>
      </c>
      <c r="M409" s="5">
        <f t="shared" si="47"/>
        <v>2191.5845039478418</v>
      </c>
    </row>
    <row r="410" spans="6:13">
      <c r="F410">
        <v>409</v>
      </c>
      <c r="G410" s="5">
        <f t="shared" si="48"/>
        <v>2116.2808197486479</v>
      </c>
      <c r="H410" s="5">
        <f t="shared" si="42"/>
        <v>2154.4081023844187</v>
      </c>
      <c r="I410" s="5">
        <f t="shared" si="43"/>
        <v>2174.6699439965132</v>
      </c>
      <c r="J410" s="5">
        <f t="shared" si="44"/>
        <v>2188.6583076354268</v>
      </c>
      <c r="K410" s="5">
        <f t="shared" si="45"/>
        <v>2194.1452702145107</v>
      </c>
      <c r="L410" s="5">
        <f t="shared" si="46"/>
        <v>2195.5666615911864</v>
      </c>
      <c r="M410" s="5">
        <f t="shared" si="47"/>
        <v>2195.8031952898741</v>
      </c>
    </row>
    <row r="411" spans="6:13">
      <c r="F411">
        <v>410</v>
      </c>
      <c r="G411" s="5">
        <f t="shared" si="48"/>
        <v>2120.1633292278898</v>
      </c>
      <c r="H411" s="5">
        <f t="shared" si="42"/>
        <v>2158.4547899211002</v>
      </c>
      <c r="I411" s="5">
        <f t="shared" si="43"/>
        <v>2178.8045561856666</v>
      </c>
      <c r="J411" s="5">
        <f t="shared" si="44"/>
        <v>2192.8538919812027</v>
      </c>
      <c r="K411" s="5">
        <f t="shared" si="45"/>
        <v>2198.364831032316</v>
      </c>
      <c r="L411" s="5">
        <f t="shared" si="46"/>
        <v>2199.7924389849818</v>
      </c>
      <c r="M411" s="5">
        <f t="shared" si="47"/>
        <v>2200.0300074032502</v>
      </c>
    </row>
    <row r="412" spans="6:13">
      <c r="F412">
        <v>411</v>
      </c>
      <c r="G412" s="5">
        <f t="shared" si="48"/>
        <v>2124.052961523591</v>
      </c>
      <c r="H412" s="5">
        <f t="shared" si="42"/>
        <v>2162.5090784689373</v>
      </c>
      <c r="I412" s="5">
        <f t="shared" si="43"/>
        <v>2182.9470293460909</v>
      </c>
      <c r="J412" s="5">
        <f t="shared" si="44"/>
        <v>2197.0575191210237</v>
      </c>
      <c r="K412" s="5">
        <f t="shared" si="45"/>
        <v>2202.5925064876237</v>
      </c>
      <c r="L412" s="5">
        <f t="shared" si="46"/>
        <v>2204.0263496752486</v>
      </c>
      <c r="M412" s="5">
        <f t="shared" si="47"/>
        <v>2204.2649559200536</v>
      </c>
    </row>
    <row r="413" spans="6:13">
      <c r="F413">
        <v>412</v>
      </c>
      <c r="G413" s="5">
        <f t="shared" si="48"/>
        <v>2127.9497297032062</v>
      </c>
      <c r="H413" s="5">
        <f t="shared" si="42"/>
        <v>2166.5709823051307</v>
      </c>
      <c r="I413" s="5">
        <f t="shared" si="43"/>
        <v>2187.0973784235343</v>
      </c>
      <c r="J413" s="5">
        <f t="shared" si="44"/>
        <v>2201.2692044726541</v>
      </c>
      <c r="K413" s="5">
        <f t="shared" si="45"/>
        <v>2206.8283121856934</v>
      </c>
      <c r="L413" s="5">
        <f t="shared" si="46"/>
        <v>2208.2684093160328</v>
      </c>
      <c r="M413" s="5">
        <f t="shared" si="47"/>
        <v>2208.5080565024555</v>
      </c>
    </row>
    <row r="414" spans="6:13">
      <c r="F414">
        <v>413</v>
      </c>
      <c r="G414" s="5">
        <f t="shared" si="48"/>
        <v>2131.8536468581628</v>
      </c>
      <c r="H414" s="5">
        <f t="shared" si="42"/>
        <v>2170.6405157336981</v>
      </c>
      <c r="I414" s="5">
        <f t="shared" si="43"/>
        <v>2191.2556183921597</v>
      </c>
      <c r="J414" s="5">
        <f t="shared" si="44"/>
        <v>2205.4889634834167</v>
      </c>
      <c r="K414" s="5">
        <f t="shared" si="45"/>
        <v>2211.0722637617951</v>
      </c>
      <c r="L414" s="5">
        <f t="shared" si="46"/>
        <v>2212.5186335915087</v>
      </c>
      <c r="M414" s="5">
        <f t="shared" si="47"/>
        <v>2212.7593248427779</v>
      </c>
    </row>
    <row r="415" spans="6:13">
      <c r="F415">
        <v>414</v>
      </c>
      <c r="G415" s="5">
        <f t="shared" si="48"/>
        <v>2135.764726103906</v>
      </c>
      <c r="H415" s="5">
        <f t="shared" si="42"/>
        <v>2174.7176930855258</v>
      </c>
      <c r="I415" s="5">
        <f t="shared" si="43"/>
        <v>2195.4217642546</v>
      </c>
      <c r="J415" s="5">
        <f t="shared" si="44"/>
        <v>2209.7168116302423</v>
      </c>
      <c r="K415" s="5">
        <f t="shared" si="45"/>
        <v>2215.3243768812663</v>
      </c>
      <c r="L415" s="5">
        <f t="shared" si="46"/>
        <v>2216.7770382160379</v>
      </c>
      <c r="M415" s="5">
        <f t="shared" si="47"/>
        <v>2217.018776663549</v>
      </c>
    </row>
    <row r="416" spans="6:13">
      <c r="F416">
        <v>415</v>
      </c>
      <c r="G416" s="5">
        <f t="shared" si="48"/>
        <v>2139.6829805799412</v>
      </c>
      <c r="H416" s="5">
        <f t="shared" si="42"/>
        <v>2178.8025287184173</v>
      </c>
      <c r="I416" s="5">
        <f t="shared" si="43"/>
        <v>2199.5958310420119</v>
      </c>
      <c r="J416" s="5">
        <f t="shared" si="44"/>
        <v>2213.9527644197351</v>
      </c>
      <c r="K416" s="5">
        <f t="shared" si="45"/>
        <v>2219.5846672395733</v>
      </c>
      <c r="L416" s="5">
        <f t="shared" si="46"/>
        <v>2221.0436389342276</v>
      </c>
      <c r="M416" s="5">
        <f t="shared" si="47"/>
        <v>2221.2864277175618</v>
      </c>
    </row>
    <row r="417" spans="6:13">
      <c r="F417">
        <v>416</v>
      </c>
      <c r="G417" s="5">
        <f t="shared" si="48"/>
        <v>2143.6084234498817</v>
      </c>
      <c r="H417" s="5">
        <f t="shared" si="42"/>
        <v>2182.8950370171451</v>
      </c>
      <c r="I417" s="5">
        <f t="shared" si="43"/>
        <v>2203.7778338141311</v>
      </c>
      <c r="J417" s="5">
        <f t="shared" si="44"/>
        <v>2218.1968373882205</v>
      </c>
      <c r="K417" s="5">
        <f t="shared" si="45"/>
        <v>2223.8531505623614</v>
      </c>
      <c r="L417" s="5">
        <f t="shared" si="46"/>
        <v>2225.3184515209878</v>
      </c>
      <c r="M417" s="5">
        <f t="shared" si="47"/>
        <v>2225.5622937879343</v>
      </c>
    </row>
    <row r="418" spans="6:13">
      <c r="F418">
        <v>417</v>
      </c>
      <c r="G418" s="5">
        <f t="shared" si="48"/>
        <v>2147.5410679014885</v>
      </c>
      <c r="H418" s="5">
        <f t="shared" si="42"/>
        <v>2186.9952323935013</v>
      </c>
      <c r="I418" s="5">
        <f t="shared" si="43"/>
        <v>2207.9677876593237</v>
      </c>
      <c r="J418" s="5">
        <f t="shared" si="44"/>
        <v>2222.449046101809</v>
      </c>
      <c r="K418" s="5">
        <f t="shared" si="45"/>
        <v>2228.1298426055228</v>
      </c>
      <c r="L418" s="5">
        <f t="shared" si="46"/>
        <v>2229.601491781591</v>
      </c>
      <c r="M418" s="5">
        <f t="shared" si="47"/>
        <v>2229.8463906881652</v>
      </c>
    </row>
    <row r="419" spans="6:13">
      <c r="F419">
        <v>418</v>
      </c>
      <c r="G419" s="5">
        <f t="shared" si="48"/>
        <v>2151.4809271467179</v>
      </c>
      <c r="H419" s="5">
        <f t="shared" si="42"/>
        <v>2191.1031292863477</v>
      </c>
      <c r="I419" s="5">
        <f t="shared" si="43"/>
        <v>2212.1657076946449</v>
      </c>
      <c r="J419" s="5">
        <f t="shared" si="44"/>
        <v>2226.7094061564503</v>
      </c>
      <c r="K419" s="5">
        <f t="shared" si="45"/>
        <v>2232.4147591552469</v>
      </c>
      <c r="L419" s="5">
        <f t="shared" si="46"/>
        <v>2233.8927755517298</v>
      </c>
      <c r="M419" s="5">
        <f t="shared" si="47"/>
        <v>2234.1387342621915</v>
      </c>
    </row>
    <row r="420" spans="6:13">
      <c r="F420">
        <v>419</v>
      </c>
      <c r="G420" s="5">
        <f t="shared" si="48"/>
        <v>2155.4280144217641</v>
      </c>
      <c r="H420" s="5">
        <f t="shared" si="42"/>
        <v>2195.2187421616686</v>
      </c>
      <c r="I420" s="5">
        <f t="shared" si="43"/>
        <v>2216.3716090658904</v>
      </c>
      <c r="J420" s="5">
        <f t="shared" si="44"/>
        <v>2230.9779331779914</v>
      </c>
      <c r="K420" s="5">
        <f t="shared" si="45"/>
        <v>2236.7079160280832</v>
      </c>
      <c r="L420" s="5">
        <f t="shared" si="46"/>
        <v>2238.1923186975741</v>
      </c>
      <c r="M420" s="5">
        <f t="shared" si="47"/>
        <v>2238.4393403844529</v>
      </c>
    </row>
    <row r="421" spans="6:13">
      <c r="F421">
        <v>420</v>
      </c>
      <c r="G421" s="5">
        <f t="shared" si="48"/>
        <v>2159.3823429871059</v>
      </c>
      <c r="H421" s="5">
        <f t="shared" si="42"/>
        <v>2199.3420855126164</v>
      </c>
      <c r="I421" s="5">
        <f t="shared" si="43"/>
        <v>2220.5855069476511</v>
      </c>
      <c r="J421" s="5">
        <f t="shared" si="44"/>
        <v>2235.2546428222331</v>
      </c>
      <c r="K421" s="5">
        <f t="shared" si="45"/>
        <v>2241.0093290709965</v>
      </c>
      <c r="L421" s="5">
        <f t="shared" si="46"/>
        <v>2242.5001371158341</v>
      </c>
      <c r="M421" s="5">
        <f t="shared" si="47"/>
        <v>2242.748224959942</v>
      </c>
    </row>
    <row r="422" spans="6:13">
      <c r="F422">
        <v>421</v>
      </c>
      <c r="G422" s="5">
        <f t="shared" si="48"/>
        <v>2163.3439261275466</v>
      </c>
      <c r="H422" s="5">
        <f t="shared" si="42"/>
        <v>2203.4731738595701</v>
      </c>
      <c r="I422" s="5">
        <f t="shared" si="43"/>
        <v>2224.8074165433709</v>
      </c>
      <c r="J422" s="5">
        <f t="shared" si="44"/>
        <v>2239.5395507749868</v>
      </c>
      <c r="K422" s="5">
        <f t="shared" si="45"/>
        <v>2245.3190141614282</v>
      </c>
      <c r="L422" s="5">
        <f t="shared" si="46"/>
        <v>2246.8162467338125</v>
      </c>
      <c r="M422" s="5">
        <f t="shared" si="47"/>
        <v>2247.0654039242722</v>
      </c>
    </row>
    <row r="423" spans="6:13">
      <c r="F423">
        <v>422</v>
      </c>
      <c r="G423" s="5">
        <f t="shared" si="48"/>
        <v>2167.3127771522641</v>
      </c>
      <c r="H423" s="5">
        <f t="shared" si="42"/>
        <v>2207.6120217501812</v>
      </c>
      <c r="I423" s="5">
        <f t="shared" si="43"/>
        <v>2229.0373530853976</v>
      </c>
      <c r="J423" s="5">
        <f t="shared" si="44"/>
        <v>2243.8326727521348</v>
      </c>
      <c r="K423" s="5">
        <f t="shared" si="45"/>
        <v>2249.6369872073533</v>
      </c>
      <c r="L423" s="5">
        <f t="shared" si="46"/>
        <v>2251.1406635094704</v>
      </c>
      <c r="M423" s="5">
        <f t="shared" si="47"/>
        <v>2251.3908932437298</v>
      </c>
    </row>
    <row r="424" spans="6:13">
      <c r="F424">
        <v>423</v>
      </c>
      <c r="G424" s="5">
        <f t="shared" si="48"/>
        <v>2171.2889093948538</v>
      </c>
      <c r="H424" s="5">
        <f t="shared" si="42"/>
        <v>2211.7586437594277</v>
      </c>
      <c r="I424" s="5">
        <f t="shared" si="43"/>
        <v>2233.275331835041</v>
      </c>
      <c r="J424" s="5">
        <f t="shared" si="44"/>
        <v>2248.1340244996854</v>
      </c>
      <c r="K424" s="5">
        <f t="shared" si="45"/>
        <v>2253.9632641473386</v>
      </c>
      <c r="L424" s="5">
        <f t="shared" si="46"/>
        <v>2255.4734034314815</v>
      </c>
      <c r="M424" s="5">
        <f t="shared" si="47"/>
        <v>2255.7247089153352</v>
      </c>
    </row>
    <row r="425" spans="6:13">
      <c r="F425">
        <v>424</v>
      </c>
      <c r="G425" s="5">
        <f t="shared" si="48"/>
        <v>2175.2723362133693</v>
      </c>
      <c r="H425" s="5">
        <f t="shared" si="42"/>
        <v>2215.9130544896616</v>
      </c>
      <c r="I425" s="5">
        <f t="shared" si="43"/>
        <v>2237.521368082625</v>
      </c>
      <c r="J425" s="5">
        <f t="shared" si="44"/>
        <v>2252.4436217938319</v>
      </c>
      <c r="K425" s="5">
        <f t="shared" si="45"/>
        <v>2258.2978609506026</v>
      </c>
      <c r="L425" s="5">
        <f t="shared" si="46"/>
        <v>2259.8144825192921</v>
      </c>
      <c r="M425" s="5">
        <f t="shared" si="47"/>
        <v>2260.066866966903</v>
      </c>
    </row>
    <row r="426" spans="6:13">
      <c r="F426">
        <v>425</v>
      </c>
      <c r="G426" s="5">
        <f t="shared" si="48"/>
        <v>2179.2630709903747</v>
      </c>
      <c r="H426" s="5">
        <f t="shared" si="42"/>
        <v>2220.0752685706652</v>
      </c>
      <c r="I426" s="5">
        <f t="shared" si="43"/>
        <v>2241.7754771475447</v>
      </c>
      <c r="J426" s="5">
        <f t="shared" si="44"/>
        <v>2256.7614804410096</v>
      </c>
      <c r="K426" s="5">
        <f t="shared" si="45"/>
        <v>2262.6407936170749</v>
      </c>
      <c r="L426" s="5">
        <f t="shared" si="46"/>
        <v>2264.1639168231818</v>
      </c>
      <c r="M426" s="5">
        <f t="shared" si="47"/>
        <v>2264.4173834571002</v>
      </c>
    </row>
    <row r="427" spans="6:13">
      <c r="F427">
        <v>426</v>
      </c>
      <c r="G427" s="5">
        <f t="shared" si="48"/>
        <v>2183.2611271329838</v>
      </c>
      <c r="H427" s="5">
        <f t="shared" si="42"/>
        <v>2224.2453006597007</v>
      </c>
      <c r="I427" s="5">
        <f t="shared" si="43"/>
        <v>2246.0376743783227</v>
      </c>
      <c r="J427" s="5">
        <f t="shared" si="44"/>
        <v>2261.0876162779541</v>
      </c>
      <c r="K427" s="5">
        <f t="shared" si="45"/>
        <v>2266.9920781774554</v>
      </c>
      <c r="L427" s="5">
        <f t="shared" si="46"/>
        <v>2268.521722424322</v>
      </c>
      <c r="M427" s="5">
        <f t="shared" si="47"/>
        <v>2268.7762744755069</v>
      </c>
    </row>
    <row r="428" spans="6:13">
      <c r="F428">
        <v>427</v>
      </c>
      <c r="G428" s="5">
        <f t="shared" si="48"/>
        <v>2187.2665180729068</v>
      </c>
      <c r="H428" s="5">
        <f t="shared" si="42"/>
        <v>2228.4231654415589</v>
      </c>
      <c r="I428" s="5">
        <f t="shared" si="43"/>
        <v>2250.3079751526629</v>
      </c>
      <c r="J428" s="5">
        <f t="shared" si="44"/>
        <v>2265.4220451717606</v>
      </c>
      <c r="K428" s="5">
        <f t="shared" si="45"/>
        <v>2271.3517306932695</v>
      </c>
      <c r="L428" s="5">
        <f t="shared" si="46"/>
        <v>2272.8879154348351</v>
      </c>
      <c r="M428" s="5">
        <f t="shared" si="47"/>
        <v>2273.1435561426729</v>
      </c>
    </row>
    <row r="429" spans="6:13">
      <c r="F429">
        <v>428</v>
      </c>
      <c r="G429" s="5">
        <f t="shared" si="48"/>
        <v>2191.2792572664957</v>
      </c>
      <c r="H429" s="5">
        <f t="shared" si="42"/>
        <v>2232.608877628616</v>
      </c>
      <c r="I429" s="5">
        <f t="shared" si="43"/>
        <v>2254.5863948775041</v>
      </c>
      <c r="J429" s="5">
        <f t="shared" si="44"/>
        <v>2269.7647830199389</v>
      </c>
      <c r="K429" s="5">
        <f t="shared" si="45"/>
        <v>2275.7197672569341</v>
      </c>
      <c r="L429" s="5">
        <f t="shared" si="46"/>
        <v>2277.2625119978538</v>
      </c>
      <c r="M429" s="5">
        <f t="shared" si="47"/>
        <v>2277.519244610181</v>
      </c>
    </row>
    <row r="430" spans="6:13">
      <c r="F430">
        <v>429</v>
      </c>
      <c r="G430" s="5">
        <f t="shared" si="48"/>
        <v>2195.2993581947899</v>
      </c>
      <c r="H430" s="5">
        <f t="shared" si="42"/>
        <v>2236.8024519608812</v>
      </c>
      <c r="I430" s="5">
        <f t="shared" si="43"/>
        <v>2258.8729489890802</v>
      </c>
      <c r="J430" s="5">
        <f t="shared" si="44"/>
        <v>2274.1158457504757</v>
      </c>
      <c r="K430" s="5">
        <f t="shared" si="45"/>
        <v>2280.0962039918109</v>
      </c>
      <c r="L430" s="5">
        <f t="shared" si="46"/>
        <v>2281.6455282875818</v>
      </c>
      <c r="M430" s="5">
        <f t="shared" si="47"/>
        <v>2281.9033560607049</v>
      </c>
    </row>
    <row r="431" spans="6:13">
      <c r="F431">
        <v>430</v>
      </c>
      <c r="G431" s="5">
        <f t="shared" si="48"/>
        <v>2199.3268343635605</v>
      </c>
      <c r="H431" s="5">
        <f t="shared" si="42"/>
        <v>2241.0039032060517</v>
      </c>
      <c r="I431" s="5">
        <f t="shared" si="43"/>
        <v>2263.1676529529723</v>
      </c>
      <c r="J431" s="5">
        <f t="shared" si="44"/>
        <v>2278.4752493218903</v>
      </c>
      <c r="K431" s="5">
        <f t="shared" si="45"/>
        <v>2284.4810570522695</v>
      </c>
      <c r="L431" s="5">
        <f t="shared" si="46"/>
        <v>2286.0369805093533</v>
      </c>
      <c r="M431" s="5">
        <f t="shared" si="47"/>
        <v>2286.2959067080674</v>
      </c>
    </row>
    <row r="432" spans="6:13">
      <c r="F432">
        <v>431</v>
      </c>
      <c r="G432" s="5">
        <f t="shared" si="48"/>
        <v>2203.361699303357</v>
      </c>
      <c r="H432" s="5">
        <f t="shared" si="42"/>
        <v>2245.2132461595629</v>
      </c>
      <c r="I432" s="5">
        <f t="shared" si="43"/>
        <v>2267.4705222641651</v>
      </c>
      <c r="J432" s="5">
        <f t="shared" si="44"/>
        <v>2282.8430097232931</v>
      </c>
      <c r="K432" s="5">
        <f t="shared" si="45"/>
        <v>2288.8743426237461</v>
      </c>
      <c r="L432" s="5">
        <f t="shared" si="46"/>
        <v>2290.4368848996924</v>
      </c>
      <c r="M432" s="5">
        <f t="shared" si="47"/>
        <v>2290.6969127973043</v>
      </c>
    </row>
    <row r="433" spans="6:13">
      <c r="F433">
        <v>432</v>
      </c>
      <c r="G433" s="5">
        <f t="shared" si="48"/>
        <v>2207.4039665695504</v>
      </c>
      <c r="H433" s="5">
        <f t="shared" si="42"/>
        <v>2249.4304956446404</v>
      </c>
      <c r="I433" s="5">
        <f t="shared" si="43"/>
        <v>2271.7815724471043</v>
      </c>
      <c r="J433" s="5">
        <f t="shared" si="44"/>
        <v>2287.2191429744475</v>
      </c>
      <c r="K433" s="5">
        <f t="shared" si="45"/>
        <v>2293.2760769228025</v>
      </c>
      <c r="L433" s="5">
        <f t="shared" si="46"/>
        <v>2294.8452577263729</v>
      </c>
      <c r="M433" s="5">
        <f t="shared" si="47"/>
        <v>2295.1063906047216</v>
      </c>
    </row>
    <row r="434" spans="6:13">
      <c r="F434">
        <v>433</v>
      </c>
      <c r="G434" s="5">
        <f t="shared" si="48"/>
        <v>2211.4536497423819</v>
      </c>
      <c r="H434" s="5">
        <f t="shared" si="42"/>
        <v>2253.6556665123517</v>
      </c>
      <c r="I434" s="5">
        <f t="shared" si="43"/>
        <v>2276.1008190557513</v>
      </c>
      <c r="J434" s="5">
        <f t="shared" si="44"/>
        <v>2291.6036651258246</v>
      </c>
      <c r="K434" s="5">
        <f t="shared" si="45"/>
        <v>2297.686276197187</v>
      </c>
      <c r="L434" s="5">
        <f t="shared" si="46"/>
        <v>2299.2621152884799</v>
      </c>
      <c r="M434" s="5">
        <f t="shared" si="47"/>
        <v>2299.5243564379557</v>
      </c>
    </row>
    <row r="435" spans="6:13">
      <c r="F435">
        <v>434</v>
      </c>
      <c r="G435" s="5">
        <f t="shared" si="48"/>
        <v>2215.5107624270058</v>
      </c>
      <c r="H435" s="5">
        <f t="shared" si="42"/>
        <v>2257.8887736416618</v>
      </c>
      <c r="I435" s="5">
        <f t="shared" si="43"/>
        <v>2280.4282776736391</v>
      </c>
      <c r="J435" s="5">
        <f t="shared" si="44"/>
        <v>2295.996592258663</v>
      </c>
      <c r="K435" s="5">
        <f t="shared" si="45"/>
        <v>2302.1049567258938</v>
      </c>
      <c r="L435" s="5">
        <f t="shared" si="46"/>
        <v>2303.6874739164682</v>
      </c>
      <c r="M435" s="5">
        <f t="shared" si="47"/>
        <v>2303.9508266360344</v>
      </c>
    </row>
    <row r="436" spans="6:13">
      <c r="F436">
        <v>435</v>
      </c>
      <c r="G436" s="5">
        <f t="shared" si="48"/>
        <v>2219.5753182535368</v>
      </c>
      <c r="H436" s="5">
        <f t="shared" si="42"/>
        <v>2262.1298319394823</v>
      </c>
      <c r="I436" s="5">
        <f t="shared" si="43"/>
        <v>2284.7639639139293</v>
      </c>
      <c r="J436" s="5">
        <f t="shared" si="44"/>
        <v>2300.3979404850306</v>
      </c>
      <c r="K436" s="5">
        <f t="shared" si="45"/>
        <v>2306.5321348192238</v>
      </c>
      <c r="L436" s="5">
        <f t="shared" si="46"/>
        <v>2308.1213499722248</v>
      </c>
      <c r="M436" s="5">
        <f t="shared" si="47"/>
        <v>2308.3858175694372</v>
      </c>
    </row>
    <row r="437" spans="6:13">
      <c r="F437">
        <v>436</v>
      </c>
      <c r="G437" s="5">
        <f t="shared" si="48"/>
        <v>2223.6473308770946</v>
      </c>
      <c r="H437" s="5">
        <f t="shared" si="42"/>
        <v>2266.3788563407247</v>
      </c>
      <c r="I437" s="5">
        <f t="shared" si="43"/>
        <v>2289.1078934194688</v>
      </c>
      <c r="J437" s="5">
        <f t="shared" si="44"/>
        <v>2304.80772594788</v>
      </c>
      <c r="K437" s="5">
        <f t="shared" si="45"/>
        <v>2310.9678268188427</v>
      </c>
      <c r="L437" s="5">
        <f t="shared" si="46"/>
        <v>2312.5637598491267</v>
      </c>
      <c r="M437" s="5">
        <f t="shared" si="47"/>
        <v>2312.8293456401584</v>
      </c>
    </row>
    <row r="438" spans="6:13">
      <c r="F438">
        <v>437</v>
      </c>
      <c r="G438" s="5">
        <f t="shared" si="48"/>
        <v>2227.7268139778516</v>
      </c>
      <c r="H438" s="5">
        <f t="shared" ref="H438:H501" si="49">$C$2*(1+$C$1/$D$6)^(F438*$D$6*0.019231)</f>
        <v>2270.6358618083527</v>
      </c>
      <c r="I438" s="5">
        <f t="shared" ref="I438:I501" si="50">$C$2*(1+$C$1/$D$7)^(F438*$D$7*0.019231)</f>
        <v>2293.4600818628446</v>
      </c>
      <c r="J438" s="5">
        <f t="shared" ref="J438:J501" si="51">$C$2*(1+$C$1/$D$8)^(F438*$D$8*0.019231)</f>
        <v>2309.2259648211084</v>
      </c>
      <c r="K438" s="5">
        <f t="shared" ref="K438:K501" si="52">$C$2*(1+$C$1/$D$9)^(F438*$D$9*0.019231)</f>
        <v>2315.4120490978448</v>
      </c>
      <c r="L438" s="5">
        <f t="shared" ref="L438:L501" si="53">$C$2*(1+$C$1/$D$10)^(F438*$D$10*0.019231)</f>
        <v>2317.0147199721041</v>
      </c>
      <c r="M438" s="5">
        <f t="shared" ref="M438:M501" si="54">$C$2*EXP($C$1*F438*0.019231)</f>
        <v>2317.2814272817623</v>
      </c>
    </row>
    <row r="439" spans="6:13">
      <c r="F439">
        <v>438</v>
      </c>
      <c r="G439" s="5">
        <f t="shared" si="48"/>
        <v>2231.8137812610771</v>
      </c>
      <c r="H439" s="5">
        <f t="shared" si="49"/>
        <v>2274.9008633334361</v>
      </c>
      <c r="I439" s="5">
        <f t="shared" si="50"/>
        <v>2297.8205449464422</v>
      </c>
      <c r="J439" s="5">
        <f t="shared" si="51"/>
        <v>2313.6526733096207</v>
      </c>
      <c r="K439" s="5">
        <f t="shared" si="52"/>
        <v>2319.8648180608097</v>
      </c>
      <c r="L439" s="5">
        <f t="shared" si="53"/>
        <v>2321.4742467976994</v>
      </c>
      <c r="M439" s="5">
        <f t="shared" si="54"/>
        <v>2321.742078959448</v>
      </c>
    </row>
    <row r="440" spans="6:13">
      <c r="F440">
        <v>439</v>
      </c>
      <c r="G440" s="5">
        <f t="shared" si="48"/>
        <v>2235.9082464571834</v>
      </c>
      <c r="H440" s="5">
        <f t="shared" si="49"/>
        <v>2279.1738759352033</v>
      </c>
      <c r="I440" s="5">
        <f t="shared" si="50"/>
        <v>2302.1892984025012</v>
      </c>
      <c r="J440" s="5">
        <f t="shared" si="51"/>
        <v>2318.0878676493835</v>
      </c>
      <c r="K440" s="5">
        <f t="shared" si="52"/>
        <v>2324.3261501438669</v>
      </c>
      <c r="L440" s="5">
        <f t="shared" si="53"/>
        <v>2325.9423568141297</v>
      </c>
      <c r="M440" s="5">
        <f t="shared" si="54"/>
        <v>2326.2113171701089</v>
      </c>
    </row>
    <row r="441" spans="6:13">
      <c r="F441">
        <v>440</v>
      </c>
      <c r="G441" s="5">
        <f t="shared" si="48"/>
        <v>2240.0102233217735</v>
      </c>
      <c r="H441" s="5">
        <f t="shared" si="49"/>
        <v>2283.4549146610925</v>
      </c>
      <c r="I441" s="5">
        <f t="shared" si="50"/>
        <v>2306.5663579931716</v>
      </c>
      <c r="J441" s="5">
        <f t="shared" si="51"/>
        <v>2322.5315641074894</v>
      </c>
      <c r="K441" s="5">
        <f t="shared" si="52"/>
        <v>2328.7960618147513</v>
      </c>
      <c r="L441" s="5">
        <f t="shared" si="53"/>
        <v>2330.4190665413457</v>
      </c>
      <c r="M441" s="5">
        <f t="shared" si="54"/>
        <v>2330.6891584423956</v>
      </c>
    </row>
    <row r="442" spans="6:13">
      <c r="F442">
        <v>441</v>
      </c>
      <c r="G442" s="5">
        <f t="shared" si="48"/>
        <v>2244.1197256356859</v>
      </c>
      <c r="H442" s="5">
        <f t="shared" si="49"/>
        <v>2287.7439945868068</v>
      </c>
      <c r="I442" s="5">
        <f t="shared" si="50"/>
        <v>2310.9517395105722</v>
      </c>
      <c r="J442" s="5">
        <f t="shared" si="51"/>
        <v>2326.9837789822122</v>
      </c>
      <c r="K442" s="5">
        <f t="shared" si="52"/>
        <v>2333.274569572869</v>
      </c>
      <c r="L442" s="5">
        <f t="shared" si="53"/>
        <v>2334.9043925310948</v>
      </c>
      <c r="M442" s="5">
        <f t="shared" si="54"/>
        <v>2335.1756193367746</v>
      </c>
    </row>
    <row r="443" spans="6:13">
      <c r="F443">
        <v>442</v>
      </c>
      <c r="G443" s="5">
        <f t="shared" si="48"/>
        <v>2248.2367672050405</v>
      </c>
      <c r="H443" s="5">
        <f t="shared" si="49"/>
        <v>2292.0411308163666</v>
      </c>
      <c r="I443" s="5">
        <f t="shared" si="50"/>
        <v>2315.3454587768465</v>
      </c>
      <c r="J443" s="5">
        <f t="shared" si="51"/>
        <v>2331.44452860307</v>
      </c>
      <c r="K443" s="5">
        <f t="shared" si="52"/>
        <v>2337.761689949356</v>
      </c>
      <c r="L443" s="5">
        <f t="shared" si="53"/>
        <v>2339.3983513669791</v>
      </c>
      <c r="M443" s="5">
        <f t="shared" si="54"/>
        <v>2339.6707164455897</v>
      </c>
    </row>
    <row r="444" spans="6:13">
      <c r="F444">
        <v>443</v>
      </c>
      <c r="G444" s="5">
        <f t="shared" si="48"/>
        <v>2252.3613618612876</v>
      </c>
      <c r="H444" s="5">
        <f t="shared" si="49"/>
        <v>2296.3463384821612</v>
      </c>
      <c r="I444" s="5">
        <f t="shared" si="50"/>
        <v>2319.7475316442196</v>
      </c>
      <c r="J444" s="5">
        <f t="shared" si="51"/>
        <v>2335.9138293308843</v>
      </c>
      <c r="K444" s="5">
        <f t="shared" si="52"/>
        <v>2342.2574395071383</v>
      </c>
      <c r="L444" s="5">
        <f t="shared" si="53"/>
        <v>2343.9009596645224</v>
      </c>
      <c r="M444" s="5">
        <f t="shared" si="54"/>
        <v>2344.1744663931254</v>
      </c>
    </row>
    <row r="445" spans="6:13">
      <c r="F445">
        <v>444</v>
      </c>
      <c r="G445" s="5">
        <f t="shared" si="48"/>
        <v>2256.4935234612508</v>
      </c>
      <c r="H445" s="5">
        <f t="shared" si="49"/>
        <v>2300.6596327450056</v>
      </c>
      <c r="I445" s="5">
        <f t="shared" si="50"/>
        <v>2324.1579739950566</v>
      </c>
      <c r="J445" s="5">
        <f t="shared" si="51"/>
        <v>2340.39169755784</v>
      </c>
      <c r="K445" s="5">
        <f t="shared" si="52"/>
        <v>2346.7618348409947</v>
      </c>
      <c r="L445" s="5">
        <f t="shared" si="53"/>
        <v>2348.4122340712247</v>
      </c>
      <c r="M445" s="5">
        <f t="shared" si="54"/>
        <v>2348.6868858356656</v>
      </c>
    </row>
    <row r="446" spans="6:13">
      <c r="F446">
        <v>445</v>
      </c>
      <c r="G446" s="5">
        <f t="shared" si="48"/>
        <v>2260.6332658871761</v>
      </c>
      <c r="H446" s="5">
        <f t="shared" si="49"/>
        <v>2304.9810287941905</v>
      </c>
      <c r="I446" s="5">
        <f t="shared" si="50"/>
        <v>2328.5768017419177</v>
      </c>
      <c r="J446" s="5">
        <f t="shared" si="51"/>
        <v>2344.8781497075433</v>
      </c>
      <c r="K446" s="5">
        <f t="shared" si="52"/>
        <v>2351.2748925776182</v>
      </c>
      <c r="L446" s="5">
        <f t="shared" si="53"/>
        <v>2352.9321912666296</v>
      </c>
      <c r="M446" s="5">
        <f t="shared" si="54"/>
        <v>2353.2079914615583</v>
      </c>
    </row>
    <row r="447" spans="6:13">
      <c r="F447">
        <v>446</v>
      </c>
      <c r="G447" s="5">
        <f t="shared" si="48"/>
        <v>2264.7806030467777</v>
      </c>
      <c r="H447" s="5">
        <f t="shared" si="49"/>
        <v>2309.3105418475366</v>
      </c>
      <c r="I447" s="5">
        <f t="shared" si="50"/>
        <v>2333.0040308276184</v>
      </c>
      <c r="J447" s="5">
        <f t="shared" si="51"/>
        <v>2349.3732022350864</v>
      </c>
      <c r="K447" s="5">
        <f t="shared" si="52"/>
        <v>2355.7966293756745</v>
      </c>
      <c r="L447" s="5">
        <f t="shared" si="53"/>
        <v>2357.4608479623835</v>
      </c>
      <c r="M447" s="5">
        <f t="shared" si="54"/>
        <v>2357.7377999912756</v>
      </c>
    </row>
    <row r="448" spans="6:13">
      <c r="F448">
        <v>447</v>
      </c>
      <c r="G448" s="5">
        <f t="shared" si="48"/>
        <v>2268.9355488732854</v>
      </c>
      <c r="H448" s="5">
        <f t="shared" si="49"/>
        <v>2313.6481871514511</v>
      </c>
      <c r="I448" s="5">
        <f t="shared" si="50"/>
        <v>2337.4396772252862</v>
      </c>
      <c r="J448" s="5">
        <f t="shared" si="51"/>
        <v>2353.8768716271034</v>
      </c>
      <c r="K448" s="5">
        <f t="shared" si="52"/>
        <v>2360.3270619258678</v>
      </c>
      <c r="L448" s="5">
        <f t="shared" si="53"/>
        <v>2361.998220902296</v>
      </c>
      <c r="M448" s="5">
        <f t="shared" si="54"/>
        <v>2362.2763281774751</v>
      </c>
    </row>
    <row r="449" spans="6:13">
      <c r="F449">
        <v>448</v>
      </c>
      <c r="G449" s="5">
        <f t="shared" si="48"/>
        <v>2273.0981173254891</v>
      </c>
      <c r="H449" s="5">
        <f t="shared" si="49"/>
        <v>2317.9939799809754</v>
      </c>
      <c r="I449" s="5">
        <f t="shared" si="50"/>
        <v>2341.883756938415</v>
      </c>
      <c r="J449" s="5">
        <f t="shared" si="51"/>
        <v>2358.3891744018351</v>
      </c>
      <c r="K449" s="5">
        <f t="shared" si="52"/>
        <v>2364.8662069509983</v>
      </c>
      <c r="L449" s="5">
        <f t="shared" si="53"/>
        <v>2366.5443268624035</v>
      </c>
      <c r="M449" s="5">
        <f t="shared" si="54"/>
        <v>2366.8235928050617</v>
      </c>
    </row>
    <row r="450" spans="6:13">
      <c r="F450">
        <v>449</v>
      </c>
      <c r="G450" s="5">
        <f t="shared" si="48"/>
        <v>2277.268322387788</v>
      </c>
      <c r="H450" s="5">
        <f t="shared" si="49"/>
        <v>2322.3479356398452</v>
      </c>
      <c r="I450" s="5">
        <f t="shared" si="50"/>
        <v>2346.3362860009274</v>
      </c>
      <c r="J450" s="5">
        <f t="shared" si="51"/>
        <v>2362.9101271091854</v>
      </c>
      <c r="K450" s="5">
        <f t="shared" si="52"/>
        <v>2369.4140812060277</v>
      </c>
      <c r="L450" s="5">
        <f t="shared" si="53"/>
        <v>2371.0991826510331</v>
      </c>
      <c r="M450" s="5">
        <f t="shared" si="54"/>
        <v>2371.3796106912514</v>
      </c>
    </row>
    <row r="451" spans="6:13">
      <c r="F451">
        <v>450</v>
      </c>
      <c r="G451" s="5">
        <f t="shared" si="48"/>
        <v>2281.4461780702381</v>
      </c>
      <c r="H451" s="5">
        <f t="shared" si="49"/>
        <v>2326.7100694605406</v>
      </c>
      <c r="I451" s="5">
        <f t="shared" si="50"/>
        <v>2350.7972804772307</v>
      </c>
      <c r="J451" s="5">
        <f t="shared" si="51"/>
        <v>2367.4397463307828</v>
      </c>
      <c r="K451" s="5">
        <f t="shared" si="52"/>
        <v>2373.9707014781379</v>
      </c>
      <c r="L451" s="5">
        <f t="shared" si="53"/>
        <v>2375.6628051088596</v>
      </c>
      <c r="M451" s="5">
        <f t="shared" si="54"/>
        <v>2375.9443986856331</v>
      </c>
    </row>
    <row r="452" spans="6:13">
      <c r="F452">
        <v>451</v>
      </c>
      <c r="G452" s="5">
        <f t="shared" ref="G452:G515" si="55">$C$2*(1+$C$1)^(F452*0.019231/$D$5)</f>
        <v>2285.6316984085975</v>
      </c>
      <c r="H452" s="5">
        <f t="shared" si="49"/>
        <v>2331.0803968043429</v>
      </c>
      <c r="I452" s="5">
        <f t="shared" si="50"/>
        <v>2355.2667564622748</v>
      </c>
      <c r="J452" s="5">
        <f t="shared" si="51"/>
        <v>2371.9780486800441</v>
      </c>
      <c r="K452" s="5">
        <f t="shared" si="52"/>
        <v>2378.536084586794</v>
      </c>
      <c r="L452" s="5">
        <f t="shared" si="53"/>
        <v>2380.2352111089735</v>
      </c>
      <c r="M452" s="5">
        <f t="shared" si="54"/>
        <v>2380.5179736702289</v>
      </c>
    </row>
    <row r="453" spans="6:13">
      <c r="F453">
        <v>452</v>
      </c>
      <c r="G453" s="5">
        <f t="shared" si="55"/>
        <v>2289.8248974643734</v>
      </c>
      <c r="H453" s="5">
        <f t="shared" si="49"/>
        <v>2335.4589330613826</v>
      </c>
      <c r="I453" s="5">
        <f t="shared" si="50"/>
        <v>2359.7447300816093</v>
      </c>
      <c r="J453" s="5">
        <f t="shared" si="51"/>
        <v>2376.5250508022341</v>
      </c>
      <c r="K453" s="5">
        <f t="shared" si="52"/>
        <v>2383.1102473838077</v>
      </c>
      <c r="L453" s="5">
        <f t="shared" si="53"/>
        <v>2384.8164175569395</v>
      </c>
      <c r="M453" s="5">
        <f t="shared" si="54"/>
        <v>2385.1003525595593</v>
      </c>
    </row>
    <row r="454" spans="6:13">
      <c r="F454">
        <v>453</v>
      </c>
      <c r="G454" s="5">
        <f t="shared" si="55"/>
        <v>2294.0257893248709</v>
      </c>
      <c r="H454" s="5">
        <f t="shared" si="49"/>
        <v>2339.8456936507023</v>
      </c>
      <c r="I454" s="5">
        <f t="shared" si="50"/>
        <v>2364.2312174914432</v>
      </c>
      <c r="J454" s="5">
        <f t="shared" si="51"/>
        <v>2381.0807693745237</v>
      </c>
      <c r="K454" s="5">
        <f t="shared" si="52"/>
        <v>2387.6932067533985</v>
      </c>
      <c r="L454" s="5">
        <f t="shared" si="53"/>
        <v>2389.40644139086</v>
      </c>
      <c r="M454" s="5">
        <f t="shared" si="54"/>
        <v>2389.6915523007028</v>
      </c>
    </row>
    <row r="455" spans="6:13">
      <c r="F455">
        <v>454</v>
      </c>
      <c r="G455" s="5">
        <f t="shared" si="55"/>
        <v>2298.2343881032393</v>
      </c>
      <c r="H455" s="5">
        <f t="shared" si="49"/>
        <v>2344.2406940203045</v>
      </c>
      <c r="I455" s="5">
        <f t="shared" si="50"/>
        <v>2368.7262348787031</v>
      </c>
      <c r="J455" s="5">
        <f t="shared" si="51"/>
        <v>2385.6452211060541</v>
      </c>
      <c r="K455" s="5">
        <f t="shared" si="52"/>
        <v>2392.2849796122537</v>
      </c>
      <c r="L455" s="5">
        <f t="shared" si="53"/>
        <v>2394.0052995814376</v>
      </c>
      <c r="M455" s="5">
        <f t="shared" si="54"/>
        <v>2394.2915898733622</v>
      </c>
    </row>
    <row r="456" spans="6:13">
      <c r="F456">
        <v>455</v>
      </c>
      <c r="G456" s="5">
        <f t="shared" si="55"/>
        <v>2302.4507079385203</v>
      </c>
      <c r="H456" s="5">
        <f t="shared" si="49"/>
        <v>2348.6439496472099</v>
      </c>
      <c r="I456" s="5">
        <f t="shared" si="50"/>
        <v>2373.2297984610918</v>
      </c>
      <c r="J456" s="5">
        <f t="shared" si="51"/>
        <v>2390.2184227379985</v>
      </c>
      <c r="K456" s="5">
        <f t="shared" si="52"/>
        <v>2396.885582909596</v>
      </c>
      <c r="L456" s="5">
        <f t="shared" si="53"/>
        <v>2398.6130091320406</v>
      </c>
      <c r="M456" s="5">
        <f t="shared" si="54"/>
        <v>2398.9004822899228</v>
      </c>
    </row>
    <row r="457" spans="6:13">
      <c r="F457">
        <v>456</v>
      </c>
      <c r="G457" s="5">
        <f t="shared" si="55"/>
        <v>2306.6747629956931</v>
      </c>
      <c r="H457" s="5">
        <f t="shared" si="49"/>
        <v>2353.0554760375071</v>
      </c>
      <c r="I457" s="5">
        <f t="shared" si="50"/>
        <v>2377.741924487143</v>
      </c>
      <c r="J457" s="5">
        <f t="shared" si="51"/>
        <v>2394.8003910436219</v>
      </c>
      <c r="K457" s="5">
        <f t="shared" si="52"/>
        <v>2401.4950336272418</v>
      </c>
      <c r="L457" s="5">
        <f t="shared" si="53"/>
        <v>2403.2295870787593</v>
      </c>
      <c r="M457" s="5">
        <f t="shared" si="54"/>
        <v>2403.5182465955213</v>
      </c>
    </row>
    <row r="458" spans="6:13">
      <c r="F458">
        <v>457</v>
      </c>
      <c r="G458" s="5">
        <f t="shared" si="55"/>
        <v>2310.9065674657263</v>
      </c>
      <c r="H458" s="5">
        <f t="shared" si="49"/>
        <v>2357.4752887264135</v>
      </c>
      <c r="I458" s="5">
        <f t="shared" si="50"/>
        <v>2382.2626292362866</v>
      </c>
      <c r="J458" s="5">
        <f t="shared" si="51"/>
        <v>2399.3911428283427</v>
      </c>
      <c r="K458" s="5">
        <f t="shared" si="52"/>
        <v>2406.1133487796637</v>
      </c>
      <c r="L458" s="5">
        <f t="shared" si="53"/>
        <v>2407.8550504904774</v>
      </c>
      <c r="M458" s="5">
        <f t="shared" si="54"/>
        <v>2408.1448998681021</v>
      </c>
    </row>
    <row r="459" spans="6:13">
      <c r="F459">
        <v>458</v>
      </c>
      <c r="G459" s="5">
        <f t="shared" si="55"/>
        <v>2315.146135565622</v>
      </c>
      <c r="H459" s="5">
        <f t="shared" si="49"/>
        <v>2361.9034032783247</v>
      </c>
      <c r="I459" s="5">
        <f t="shared" si="50"/>
        <v>2386.791929018902</v>
      </c>
      <c r="J459" s="5">
        <f t="shared" si="51"/>
        <v>2403.9906949297938</v>
      </c>
      <c r="K459" s="5">
        <f t="shared" si="52"/>
        <v>2410.7405454140589</v>
      </c>
      <c r="L459" s="5">
        <f t="shared" si="53"/>
        <v>2412.4894164689281</v>
      </c>
      <c r="M459" s="5">
        <f t="shared" si="54"/>
        <v>2412.7804592184862</v>
      </c>
    </row>
    <row r="460" spans="6:13">
      <c r="F460">
        <v>459</v>
      </c>
      <c r="G460" s="5">
        <f t="shared" si="55"/>
        <v>2319.393481538465</v>
      </c>
      <c r="H460" s="5">
        <f t="shared" si="49"/>
        <v>2366.3398352868726</v>
      </c>
      <c r="I460" s="5">
        <f t="shared" si="50"/>
        <v>2391.32984017638</v>
      </c>
      <c r="J460" s="5">
        <f t="shared" si="51"/>
        <v>2408.5990642178876</v>
      </c>
      <c r="K460" s="5">
        <f t="shared" si="52"/>
        <v>2415.3766406104037</v>
      </c>
      <c r="L460" s="5">
        <f t="shared" si="53"/>
        <v>2417.1327021487614</v>
      </c>
      <c r="M460" s="5">
        <f t="shared" si="54"/>
        <v>2417.4249417904307</v>
      </c>
    </row>
    <row r="461" spans="6:13">
      <c r="F461">
        <v>460</v>
      </c>
      <c r="G461" s="5">
        <f t="shared" si="55"/>
        <v>2323.6486196534688</v>
      </c>
      <c r="H461" s="5">
        <f t="shared" si="49"/>
        <v>2370.7846003749773</v>
      </c>
      <c r="I461" s="5">
        <f t="shared" si="50"/>
        <v>2395.8763790811795</v>
      </c>
      <c r="J461" s="5">
        <f t="shared" si="51"/>
        <v>2413.2162675948734</v>
      </c>
      <c r="K461" s="5">
        <f t="shared" si="52"/>
        <v>2420.0216514815233</v>
      </c>
      <c r="L461" s="5">
        <f t="shared" si="53"/>
        <v>2421.7849246976048</v>
      </c>
      <c r="M461" s="5">
        <f t="shared" si="54"/>
        <v>2422.0783647606931</v>
      </c>
    </row>
    <row r="462" spans="6:13">
      <c r="F462">
        <v>461</v>
      </c>
      <c r="G462" s="5">
        <f t="shared" si="55"/>
        <v>2327.9115642060269</v>
      </c>
      <c r="H462" s="5">
        <f t="shared" si="49"/>
        <v>2375.2377141949055</v>
      </c>
      <c r="I462" s="5">
        <f t="shared" si="50"/>
        <v>2400.4315621368887</v>
      </c>
      <c r="J462" s="5">
        <f t="shared" si="51"/>
        <v>2417.8423219954038</v>
      </c>
      <c r="K462" s="5">
        <f t="shared" si="52"/>
        <v>2424.675595173152</v>
      </c>
      <c r="L462" s="5">
        <f t="shared" si="53"/>
        <v>2426.4461013161299</v>
      </c>
      <c r="M462" s="5">
        <f t="shared" si="54"/>
        <v>2426.7407453390979</v>
      </c>
    </row>
    <row r="463" spans="6:13">
      <c r="F463">
        <v>462</v>
      </c>
      <c r="G463" s="5">
        <f t="shared" si="55"/>
        <v>2332.1823295177592</v>
      </c>
      <c r="H463" s="5">
        <f t="shared" si="49"/>
        <v>2379.6991924283238</v>
      </c>
      <c r="I463" s="5">
        <f t="shared" si="50"/>
        <v>2404.9954057782825</v>
      </c>
      <c r="J463" s="5">
        <f t="shared" si="51"/>
        <v>2422.4772443865913</v>
      </c>
      <c r="K463" s="5">
        <f t="shared" si="52"/>
        <v>2429.338488863998</v>
      </c>
      <c r="L463" s="5">
        <f t="shared" si="53"/>
        <v>2431.1162492381131</v>
      </c>
      <c r="M463" s="5">
        <f t="shared" si="54"/>
        <v>2431.4121007685949</v>
      </c>
    </row>
    <row r="464" spans="6:13">
      <c r="F464">
        <v>463</v>
      </c>
      <c r="G464" s="5">
        <f t="shared" si="55"/>
        <v>2336.4609299365584</v>
      </c>
      <c r="H464" s="5">
        <f t="shared" si="49"/>
        <v>2384.1690507863545</v>
      </c>
      <c r="I464" s="5">
        <f t="shared" si="50"/>
        <v>2409.5679264713835</v>
      </c>
      <c r="J464" s="5">
        <f t="shared" si="51"/>
        <v>2427.1210517680765</v>
      </c>
      <c r="K464" s="5">
        <f t="shared" si="52"/>
        <v>2434.0103497658042</v>
      </c>
      <c r="L464" s="5">
        <f t="shared" si="53"/>
        <v>2435.7953857304997</v>
      </c>
      <c r="M464" s="5">
        <f t="shared" si="54"/>
        <v>2436.0924483253266</v>
      </c>
    </row>
    <row r="465" spans="6:13">
      <c r="F465">
        <v>464</v>
      </c>
      <c r="G465" s="5">
        <f t="shared" si="55"/>
        <v>2340.74737983664</v>
      </c>
      <c r="H465" s="5">
        <f t="shared" si="49"/>
        <v>2388.6473050096288</v>
      </c>
      <c r="I465" s="5">
        <f t="shared" si="50"/>
        <v>2414.1491407135186</v>
      </c>
      <c r="J465" s="5">
        <f t="shared" si="51"/>
        <v>2431.7737611720868</v>
      </c>
      <c r="K465" s="5">
        <f t="shared" si="52"/>
        <v>2438.6911951234138</v>
      </c>
      <c r="L465" s="5">
        <f t="shared" si="53"/>
        <v>2440.4835280934699</v>
      </c>
      <c r="M465" s="5">
        <f t="shared" si="54"/>
        <v>2440.781805318692</v>
      </c>
    </row>
    <row r="466" spans="6:13">
      <c r="F466">
        <v>465</v>
      </c>
      <c r="G466" s="5">
        <f t="shared" si="55"/>
        <v>2345.0416936185911</v>
      </c>
      <c r="H466" s="5">
        <f t="shared" si="49"/>
        <v>2393.1339708683449</v>
      </c>
      <c r="I466" s="5">
        <f t="shared" si="50"/>
        <v>2418.7390650333832</v>
      </c>
      <c r="J466" s="5">
        <f t="shared" si="51"/>
        <v>2436.4353896635007</v>
      </c>
      <c r="K466" s="5">
        <f t="shared" si="52"/>
        <v>2443.3810422148349</v>
      </c>
      <c r="L466" s="5">
        <f t="shared" si="53"/>
        <v>2445.1806936605008</v>
      </c>
      <c r="M466" s="5">
        <f t="shared" si="54"/>
        <v>2445.4801890914086</v>
      </c>
    </row>
    <row r="467" spans="6:13">
      <c r="F467">
        <v>466</v>
      </c>
      <c r="G467" s="5">
        <f t="shared" si="55"/>
        <v>2349.3438857094179</v>
      </c>
      <c r="H467" s="5">
        <f t="shared" si="49"/>
        <v>2397.6290641623241</v>
      </c>
      <c r="I467" s="5">
        <f t="shared" si="50"/>
        <v>2423.3377159910956</v>
      </c>
      <c r="J467" s="5">
        <f t="shared" si="51"/>
        <v>2441.1059543399078</v>
      </c>
      <c r="K467" s="5">
        <f t="shared" si="52"/>
        <v>2448.0799083513007</v>
      </c>
      <c r="L467" s="5">
        <f t="shared" si="53"/>
        <v>2449.8868997984309</v>
      </c>
      <c r="M467" s="5">
        <f t="shared" si="54"/>
        <v>2450.1876170195796</v>
      </c>
    </row>
    <row r="468" spans="6:13">
      <c r="F468">
        <v>467</v>
      </c>
      <c r="G468" s="5">
        <f t="shared" si="55"/>
        <v>2353.6539705625942</v>
      </c>
      <c r="H468" s="5">
        <f t="shared" si="49"/>
        <v>2402.1326007210632</v>
      </c>
      <c r="I468" s="5">
        <f t="shared" si="50"/>
        <v>2427.9451101782606</v>
      </c>
      <c r="J468" s="5">
        <f t="shared" si="51"/>
        <v>2445.7854723316741</v>
      </c>
      <c r="K468" s="5">
        <f t="shared" si="52"/>
        <v>2452.7878108773384</v>
      </c>
      <c r="L468" s="5">
        <f t="shared" si="53"/>
        <v>2454.6021639075252</v>
      </c>
      <c r="M468" s="5">
        <f t="shared" si="54"/>
        <v>2454.904106512754</v>
      </c>
    </row>
    <row r="469" spans="6:13">
      <c r="F469">
        <v>468</v>
      </c>
      <c r="G469" s="5">
        <f t="shared" si="55"/>
        <v>2357.9719626581086</v>
      </c>
      <c r="H469" s="5">
        <f t="shared" si="49"/>
        <v>2406.6445964037916</v>
      </c>
      <c r="I469" s="5">
        <f t="shared" si="50"/>
        <v>2432.5612642180263</v>
      </c>
      <c r="J469" s="5">
        <f t="shared" si="51"/>
        <v>2450.4739608020041</v>
      </c>
      <c r="K469" s="5">
        <f t="shared" si="52"/>
        <v>2457.504767170828</v>
      </c>
      <c r="L469" s="5">
        <f t="shared" si="53"/>
        <v>2459.3265034215365</v>
      </c>
      <c r="M469" s="5">
        <f t="shared" si="54"/>
        <v>2459.629675013995</v>
      </c>
    </row>
    <row r="470" spans="6:13">
      <c r="F470">
        <v>469</v>
      </c>
      <c r="G470" s="5">
        <f t="shared" si="55"/>
        <v>2362.2978765025168</v>
      </c>
      <c r="H470" s="5">
        <f t="shared" si="49"/>
        <v>2411.1650670995296</v>
      </c>
      <c r="I470" s="5">
        <f t="shared" si="50"/>
        <v>2437.1861947651482</v>
      </c>
      <c r="J470" s="5">
        <f t="shared" si="51"/>
        <v>2455.1714369470033</v>
      </c>
      <c r="K470" s="5">
        <f t="shared" si="52"/>
        <v>2462.230794643071</v>
      </c>
      <c r="L470" s="5">
        <f t="shared" si="53"/>
        <v>2464.0599358077748</v>
      </c>
      <c r="M470" s="5">
        <f t="shared" si="54"/>
        <v>2464.3643399999423</v>
      </c>
    </row>
    <row r="471" spans="6:13">
      <c r="F471">
        <v>470</v>
      </c>
      <c r="G471" s="5">
        <f t="shared" si="55"/>
        <v>2366.6317266289866</v>
      </c>
      <c r="H471" s="5">
        <f t="shared" si="49"/>
        <v>2415.6940287271409</v>
      </c>
      <c r="I471" s="5">
        <f t="shared" si="50"/>
        <v>2441.8199185060453</v>
      </c>
      <c r="J471" s="5">
        <f t="shared" si="51"/>
        <v>2459.8779179957428</v>
      </c>
      <c r="K471" s="5">
        <f t="shared" si="52"/>
        <v>2466.9659107388493</v>
      </c>
      <c r="L471" s="5">
        <f t="shared" si="53"/>
        <v>2468.8024785671678</v>
      </c>
      <c r="M471" s="5">
        <f t="shared" si="54"/>
        <v>2469.1081189808765</v>
      </c>
    </row>
    <row r="472" spans="6:13">
      <c r="F472">
        <v>471</v>
      </c>
      <c r="G472" s="5">
        <f t="shared" si="55"/>
        <v>2370.9735275973489</v>
      </c>
      <c r="H472" s="5">
        <f t="shared" si="49"/>
        <v>2420.2314972353906</v>
      </c>
      <c r="I472" s="5">
        <f t="shared" si="50"/>
        <v>2446.4624521588617</v>
      </c>
      <c r="J472" s="5">
        <f t="shared" si="51"/>
        <v>2464.593421210318</v>
      </c>
      <c r="K472" s="5">
        <f t="shared" si="52"/>
        <v>2471.7101329364978</v>
      </c>
      <c r="L472" s="5">
        <f t="shared" si="53"/>
        <v>2473.5541492343268</v>
      </c>
      <c r="M472" s="5">
        <f t="shared" si="54"/>
        <v>2473.8610295007866</v>
      </c>
    </row>
    <row r="473" spans="6:13">
      <c r="F473">
        <v>472</v>
      </c>
      <c r="G473" s="5">
        <f t="shared" si="55"/>
        <v>2375.3232939941458</v>
      </c>
      <c r="H473" s="5">
        <f t="shared" si="49"/>
        <v>2424.7774886029993</v>
      </c>
      <c r="I473" s="5">
        <f t="shared" si="50"/>
        <v>2451.1138124735271</v>
      </c>
      <c r="J473" s="5">
        <f t="shared" si="51"/>
        <v>2469.3179638859187</v>
      </c>
      <c r="K473" s="5">
        <f t="shared" si="52"/>
        <v>2476.4634787479586</v>
      </c>
      <c r="L473" s="5">
        <f t="shared" si="53"/>
        <v>2478.3149653776127</v>
      </c>
      <c r="M473" s="5">
        <f t="shared" si="54"/>
        <v>2478.6230891374307</v>
      </c>
    </row>
    <row r="474" spans="6:13">
      <c r="F474">
        <v>473</v>
      </c>
      <c r="G474" s="5">
        <f t="shared" si="55"/>
        <v>2379.6810404326793</v>
      </c>
      <c r="H474" s="5">
        <f t="shared" si="49"/>
        <v>2429.3320188387029</v>
      </c>
      <c r="I474" s="5">
        <f t="shared" si="50"/>
        <v>2455.7740162318178</v>
      </c>
      <c r="J474" s="5">
        <f t="shared" si="51"/>
        <v>2474.051563350888</v>
      </c>
      <c r="K474" s="5">
        <f t="shared" si="52"/>
        <v>2481.2259657188552</v>
      </c>
      <c r="L474" s="5">
        <f t="shared" si="53"/>
        <v>2483.0849445991989</v>
      </c>
      <c r="M474" s="5">
        <f t="shared" si="54"/>
        <v>2483.3943155024049</v>
      </c>
    </row>
    <row r="475" spans="6:13">
      <c r="F475">
        <v>474</v>
      </c>
      <c r="G475" s="5">
        <f t="shared" si="55"/>
        <v>2384.0467815530606</v>
      </c>
      <c r="H475" s="5">
        <f t="shared" si="49"/>
        <v>2433.8951039813073</v>
      </c>
      <c r="I475" s="5">
        <f t="shared" si="50"/>
        <v>2460.4430802474158</v>
      </c>
      <c r="J475" s="5">
        <f t="shared" si="51"/>
        <v>2478.7942369667853</v>
      </c>
      <c r="K475" s="5">
        <f t="shared" si="52"/>
        <v>2485.9976114285514</v>
      </c>
      <c r="L475" s="5">
        <f t="shared" si="53"/>
        <v>2487.8641045351383</v>
      </c>
      <c r="M475" s="5">
        <f t="shared" si="54"/>
        <v>2488.1747262412055</v>
      </c>
    </row>
    <row r="476" spans="6:13">
      <c r="F476">
        <v>475</v>
      </c>
      <c r="G476" s="5">
        <f t="shared" si="55"/>
        <v>2388.4205320222609</v>
      </c>
      <c r="H476" s="5">
        <f t="shared" si="49"/>
        <v>2438.4667600997427</v>
      </c>
      <c r="I476" s="5">
        <f t="shared" si="50"/>
        <v>2465.121021365972</v>
      </c>
      <c r="J476" s="5">
        <f t="shared" si="51"/>
        <v>2483.5460021284534</v>
      </c>
      <c r="K476" s="5">
        <f t="shared" si="52"/>
        <v>2490.7784334902176</v>
      </c>
      <c r="L476" s="5">
        <f t="shared" si="53"/>
        <v>2492.652462855428</v>
      </c>
      <c r="M476" s="5">
        <f t="shared" si="54"/>
        <v>2492.9643390332953</v>
      </c>
    </row>
    <row r="477" spans="6:13">
      <c r="F477">
        <v>476</v>
      </c>
      <c r="G477" s="5">
        <f t="shared" si="55"/>
        <v>2392.8023065341581</v>
      </c>
      <c r="H477" s="5">
        <f t="shared" si="49"/>
        <v>2443.0470032931216</v>
      </c>
      <c r="I477" s="5">
        <f t="shared" si="50"/>
        <v>2469.8078564651623</v>
      </c>
      <c r="J477" s="5">
        <f t="shared" si="51"/>
        <v>2488.3068762640796</v>
      </c>
      <c r="K477" s="5">
        <f t="shared" si="52"/>
        <v>2495.5684495508967</v>
      </c>
      <c r="L477" s="5">
        <f t="shared" si="53"/>
        <v>2497.4500372640723</v>
      </c>
      <c r="M477" s="5">
        <f t="shared" si="54"/>
        <v>2497.7631715921721</v>
      </c>
    </row>
    <row r="478" spans="6:13">
      <c r="F478">
        <v>477</v>
      </c>
      <c r="G478" s="5">
        <f t="shared" si="55"/>
        <v>2397.1921198095879</v>
      </c>
      <c r="H478" s="5">
        <f t="shared" si="49"/>
        <v>2447.6358496907992</v>
      </c>
      <c r="I478" s="5">
        <f t="shared" si="50"/>
        <v>2474.5036024547535</v>
      </c>
      <c r="J478" s="5">
        <f t="shared" si="51"/>
        <v>2493.0768768352605</v>
      </c>
      <c r="K478" s="5">
        <f t="shared" si="52"/>
        <v>2500.3676772915683</v>
      </c>
      <c r="L478" s="5">
        <f t="shared" si="53"/>
        <v>2502.2568454991524</v>
      </c>
      <c r="M478" s="5">
        <f t="shared" si="54"/>
        <v>2502.5712416654274</v>
      </c>
    </row>
    <row r="479" spans="6:13">
      <c r="F479">
        <v>478</v>
      </c>
      <c r="G479" s="5">
        <f t="shared" si="55"/>
        <v>2401.5899865963925</v>
      </c>
      <c r="H479" s="5">
        <f t="shared" si="49"/>
        <v>2452.2333154524235</v>
      </c>
      <c r="I479" s="5">
        <f t="shared" si="50"/>
        <v>2479.2082762766627</v>
      </c>
      <c r="J479" s="5">
        <f t="shared" si="51"/>
        <v>2497.8560213370656</v>
      </c>
      <c r="K479" s="5">
        <f t="shared" si="52"/>
        <v>2505.1761344272145</v>
      </c>
      <c r="L479" s="5">
        <f t="shared" si="53"/>
        <v>2507.0729053328891</v>
      </c>
      <c r="M479" s="5">
        <f t="shared" si="54"/>
        <v>2507.3885670348186</v>
      </c>
    </row>
    <row r="480" spans="6:13">
      <c r="F480">
        <v>479</v>
      </c>
      <c r="G480" s="5">
        <f t="shared" si="55"/>
        <v>2405.995921669471</v>
      </c>
      <c r="H480" s="5">
        <f t="shared" si="49"/>
        <v>2456.8394167679985</v>
      </c>
      <c r="I480" s="5">
        <f t="shared" si="50"/>
        <v>2483.9218949050169</v>
      </c>
      <c r="J480" s="5">
        <f t="shared" si="51"/>
        <v>2502.6443272981023</v>
      </c>
      <c r="K480" s="5">
        <f t="shared" si="52"/>
        <v>2509.9938387068851</v>
      </c>
      <c r="L480" s="5">
        <f t="shared" si="53"/>
        <v>2511.8982345717081</v>
      </c>
      <c r="M480" s="5">
        <f t="shared" si="54"/>
        <v>2512.2151655163302</v>
      </c>
    </row>
    <row r="481" spans="6:13">
      <c r="F481">
        <v>480</v>
      </c>
      <c r="G481" s="5">
        <f t="shared" si="55"/>
        <v>2410.4099398308263</v>
      </c>
      <c r="H481" s="5">
        <f t="shared" si="49"/>
        <v>2461.4541698579346</v>
      </c>
      <c r="I481" s="5">
        <f t="shared" si="50"/>
        <v>2488.6444753462142</v>
      </c>
      <c r="J481" s="5">
        <f t="shared" si="51"/>
        <v>2507.4418122805801</v>
      </c>
      <c r="K481" s="5">
        <f t="shared" si="52"/>
        <v>2514.8208079137621</v>
      </c>
      <c r="L481" s="5">
        <f t="shared" si="53"/>
        <v>2516.7328510563088</v>
      </c>
      <c r="M481" s="5">
        <f t="shared" si="54"/>
        <v>2517.0510549602432</v>
      </c>
    </row>
    <row r="482" spans="6:13">
      <c r="F482">
        <v>481</v>
      </c>
      <c r="G482" s="5">
        <f t="shared" si="55"/>
        <v>2414.8320559096187</v>
      </c>
      <c r="H482" s="5">
        <f t="shared" si="49"/>
        <v>2466.0775909731137</v>
      </c>
      <c r="I482" s="5">
        <f t="shared" si="50"/>
        <v>2493.376034638989</v>
      </c>
      <c r="J482" s="5">
        <f t="shared" si="51"/>
        <v>2512.2484938803746</v>
      </c>
      <c r="K482" s="5">
        <f t="shared" si="52"/>
        <v>2519.6570598652279</v>
      </c>
      <c r="L482" s="5">
        <f t="shared" si="53"/>
        <v>2521.5767726617264</v>
      </c>
      <c r="M482" s="5">
        <f t="shared" si="54"/>
        <v>2521.8962532511987</v>
      </c>
    </row>
    <row r="483" spans="6:13">
      <c r="F483">
        <v>482</v>
      </c>
      <c r="G483" s="5">
        <f t="shared" si="55"/>
        <v>2419.2622847622147</v>
      </c>
      <c r="H483" s="5">
        <f t="shared" si="49"/>
        <v>2470.7096963949398</v>
      </c>
      <c r="I483" s="5">
        <f t="shared" si="50"/>
        <v>2498.1165898544687</v>
      </c>
      <c r="J483" s="5">
        <f t="shared" si="51"/>
        <v>2517.0643897270916</v>
      </c>
      <c r="K483" s="5">
        <f t="shared" si="52"/>
        <v>2524.5026124129299</v>
      </c>
      <c r="L483" s="5">
        <f t="shared" si="53"/>
        <v>2526.4300172974013</v>
      </c>
      <c r="M483" s="5">
        <f t="shared" si="54"/>
        <v>2526.7507783082651</v>
      </c>
    </row>
    <row r="484" spans="6:13">
      <c r="F484">
        <v>483</v>
      </c>
      <c r="G484" s="5">
        <f t="shared" si="55"/>
        <v>2423.7006412722344</v>
      </c>
      <c r="H484" s="5">
        <f t="shared" si="49"/>
        <v>2475.350502435399</v>
      </c>
      <c r="I484" s="5">
        <f t="shared" si="50"/>
        <v>2502.8661580962394</v>
      </c>
      <c r="J484" s="5">
        <f t="shared" si="51"/>
        <v>2521.8895174841318</v>
      </c>
      <c r="K484" s="5">
        <f t="shared" si="52"/>
        <v>2529.3574834428423</v>
      </c>
      <c r="L484" s="5">
        <f t="shared" si="53"/>
        <v>2531.2926029072428</v>
      </c>
      <c r="M484" s="5">
        <f t="shared" si="54"/>
        <v>2531.6146480850039</v>
      </c>
    </row>
    <row r="485" spans="6:13">
      <c r="F485">
        <v>484</v>
      </c>
      <c r="G485" s="5">
        <f t="shared" si="55"/>
        <v>2428.1471403506039</v>
      </c>
      <c r="H485" s="5">
        <f t="shared" si="49"/>
        <v>2480.0000254371166</v>
      </c>
      <c r="I485" s="5">
        <f t="shared" si="50"/>
        <v>2507.6247565004028</v>
      </c>
      <c r="J485" s="5">
        <f t="shared" si="51"/>
        <v>2526.7238948487575</v>
      </c>
      <c r="K485" s="5">
        <f t="shared" si="52"/>
        <v>2534.2216908753412</v>
      </c>
      <c r="L485" s="5">
        <f t="shared" si="53"/>
        <v>2536.1645474696979</v>
      </c>
      <c r="M485" s="5">
        <f t="shared" si="54"/>
        <v>2536.4878805695366</v>
      </c>
    </row>
    <row r="486" spans="6:13">
      <c r="F486">
        <v>485</v>
      </c>
      <c r="G486" s="5">
        <f t="shared" si="55"/>
        <v>2432.6017969356049</v>
      </c>
      <c r="H486" s="5">
        <f t="shared" si="49"/>
        <v>2484.6582817734156</v>
      </c>
      <c r="I486" s="5">
        <f t="shared" si="50"/>
        <v>2512.3924022356418</v>
      </c>
      <c r="J486" s="5">
        <f t="shared" si="51"/>
        <v>2531.5675395521548</v>
      </c>
      <c r="K486" s="5">
        <f t="shared" si="52"/>
        <v>2539.0952526652609</v>
      </c>
      <c r="L486" s="5">
        <f t="shared" si="53"/>
        <v>2541.0458689978159</v>
      </c>
      <c r="M486" s="5">
        <f t="shared" si="54"/>
        <v>2541.3704937846105</v>
      </c>
    </row>
    <row r="487" spans="6:13">
      <c r="F487">
        <v>486</v>
      </c>
      <c r="G487" s="5">
        <f t="shared" si="55"/>
        <v>2437.0646259929249</v>
      </c>
      <c r="H487" s="5">
        <f t="shared" si="49"/>
        <v>2489.3252878483727</v>
      </c>
      <c r="I487" s="5">
        <f t="shared" si="50"/>
        <v>2517.169112503283</v>
      </c>
      <c r="J487" s="5">
        <f t="shared" si="51"/>
        <v>2536.4204693595011</v>
      </c>
      <c r="K487" s="5">
        <f t="shared" si="52"/>
        <v>2543.9781868019668</v>
      </c>
      <c r="L487" s="5">
        <f t="shared" si="53"/>
        <v>2545.9365855393153</v>
      </c>
      <c r="M487" s="5">
        <f t="shared" si="54"/>
        <v>2546.2625057876667</v>
      </c>
    </row>
    <row r="488" spans="6:13">
      <c r="F488">
        <v>487</v>
      </c>
      <c r="G488" s="5">
        <f t="shared" si="55"/>
        <v>2441.535642515707</v>
      </c>
      <c r="H488" s="5">
        <f t="shared" si="49"/>
        <v>2494.0010600968776</v>
      </c>
      <c r="I488" s="5">
        <f t="shared" si="50"/>
        <v>2521.954904537356</v>
      </c>
      <c r="J488" s="5">
        <f t="shared" si="51"/>
        <v>2541.2827020700279</v>
      </c>
      <c r="K488" s="5">
        <f t="shared" si="52"/>
        <v>2548.8705113094193</v>
      </c>
      <c r="L488" s="5">
        <f t="shared" si="53"/>
        <v>2550.8367151766506</v>
      </c>
      <c r="M488" s="5">
        <f t="shared" si="54"/>
        <v>2551.1639346709044</v>
      </c>
    </row>
    <row r="489" spans="6:13">
      <c r="F489">
        <v>488</v>
      </c>
      <c r="G489" s="5">
        <f t="shared" si="55"/>
        <v>2446.0148615245994</v>
      </c>
      <c r="H489" s="5">
        <f t="shared" si="49"/>
        <v>2498.6856149846885</v>
      </c>
      <c r="I489" s="5">
        <f t="shared" si="50"/>
        <v>2526.7497956046559</v>
      </c>
      <c r="J489" s="5">
        <f t="shared" si="51"/>
        <v>2546.1542555170868</v>
      </c>
      <c r="K489" s="5">
        <f t="shared" si="52"/>
        <v>2553.7722442462405</v>
      </c>
      <c r="L489" s="5">
        <f t="shared" si="53"/>
        <v>2555.7462760270805</v>
      </c>
      <c r="M489" s="5">
        <f t="shared" si="54"/>
        <v>2556.0747985613511</v>
      </c>
    </row>
    <row r="490" spans="6:13">
      <c r="F490">
        <v>489</v>
      </c>
      <c r="G490" s="5">
        <f t="shared" si="55"/>
        <v>2450.5022980678095</v>
      </c>
      <c r="H490" s="5">
        <f t="shared" si="49"/>
        <v>2503.3789690084936</v>
      </c>
      <c r="I490" s="5">
        <f t="shared" si="50"/>
        <v>2531.5538030048078</v>
      </c>
      <c r="J490" s="5">
        <f t="shared" si="51"/>
        <v>2551.0351475682169</v>
      </c>
      <c r="K490" s="5">
        <f t="shared" si="52"/>
        <v>2558.6834037057815</v>
      </c>
      <c r="L490" s="5">
        <f t="shared" si="53"/>
        <v>2560.6652862427322</v>
      </c>
      <c r="M490" s="5">
        <f t="shared" si="54"/>
        <v>2560.9951156209272</v>
      </c>
    </row>
    <row r="491" spans="6:13">
      <c r="F491">
        <v>490</v>
      </c>
      <c r="G491" s="5">
        <f t="shared" si="55"/>
        <v>2454.9979672211507</v>
      </c>
      <c r="H491" s="5">
        <f t="shared" si="49"/>
        <v>2508.0811386959663</v>
      </c>
      <c r="I491" s="5">
        <f t="shared" si="50"/>
        <v>2536.366944070327</v>
      </c>
      <c r="J491" s="5">
        <f t="shared" si="51"/>
        <v>2555.925396125208</v>
      </c>
      <c r="K491" s="5">
        <f t="shared" si="52"/>
        <v>2563.6040078161877</v>
      </c>
      <c r="L491" s="5">
        <f t="shared" si="53"/>
        <v>2565.5937640106722</v>
      </c>
      <c r="M491" s="5">
        <f t="shared" si="54"/>
        <v>2565.9249040465129</v>
      </c>
    </row>
    <row r="492" spans="6:13">
      <c r="F492">
        <v>491</v>
      </c>
      <c r="G492" s="5">
        <f t="shared" si="55"/>
        <v>2459.5018840880953</v>
      </c>
      <c r="H492" s="5">
        <f t="shared" si="49"/>
        <v>2512.7921406058249</v>
      </c>
      <c r="I492" s="5">
        <f t="shared" si="50"/>
        <v>2541.1892361666837</v>
      </c>
      <c r="J492" s="5">
        <f t="shared" si="51"/>
        <v>2560.8250191241673</v>
      </c>
      <c r="K492" s="5">
        <f t="shared" si="52"/>
        <v>2568.534074740468</v>
      </c>
      <c r="L492" s="5">
        <f t="shared" si="53"/>
        <v>2570.5317275529687</v>
      </c>
      <c r="M492" s="5">
        <f t="shared" si="54"/>
        <v>2570.8641820700186</v>
      </c>
    </row>
    <row r="493" spans="6:13">
      <c r="F493">
        <v>492</v>
      </c>
      <c r="G493" s="5">
        <f t="shared" si="55"/>
        <v>2464.0140637998211</v>
      </c>
      <c r="H493" s="5">
        <f t="shared" si="49"/>
        <v>2517.5119913278895</v>
      </c>
      <c r="I493" s="5">
        <f t="shared" si="50"/>
        <v>2546.0206966923624</v>
      </c>
      <c r="J493" s="5">
        <f t="shared" si="51"/>
        <v>2565.7340345355851</v>
      </c>
      <c r="K493" s="5">
        <f t="shared" si="52"/>
        <v>2573.4736226765594</v>
      </c>
      <c r="L493" s="5">
        <f t="shared" si="53"/>
        <v>2575.4791951267639</v>
      </c>
      <c r="M493" s="5">
        <f t="shared" si="54"/>
        <v>2575.8129679584486</v>
      </c>
    </row>
    <row r="494" spans="6:13">
      <c r="F494">
        <v>493</v>
      </c>
      <c r="G494" s="5">
        <f t="shared" si="55"/>
        <v>2468.5345215152693</v>
      </c>
      <c r="H494" s="5">
        <f t="shared" si="49"/>
        <v>2522.2407074831422</v>
      </c>
      <c r="I494" s="5">
        <f t="shared" si="50"/>
        <v>2550.8613430789283</v>
      </c>
      <c r="J494" s="5">
        <f t="shared" si="51"/>
        <v>2570.6524603643984</v>
      </c>
      <c r="K494" s="5">
        <f t="shared" si="52"/>
        <v>2578.4226698573971</v>
      </c>
      <c r="L494" s="5">
        <f t="shared" si="53"/>
        <v>2580.4361850243367</v>
      </c>
      <c r="M494" s="5">
        <f t="shared" si="54"/>
        <v>2580.7712800139702</v>
      </c>
    </row>
    <row r="495" spans="6:13">
      <c r="F495">
        <v>494</v>
      </c>
      <c r="G495" s="5">
        <f t="shared" si="55"/>
        <v>2473.0632724211896</v>
      </c>
      <c r="H495" s="5">
        <f t="shared" si="49"/>
        <v>2526.9783057237846</v>
      </c>
      <c r="I495" s="5">
        <f t="shared" si="50"/>
        <v>2555.7111927910878</v>
      </c>
      <c r="J495" s="5">
        <f t="shared" si="51"/>
        <v>2575.5803146500625</v>
      </c>
      <c r="K495" s="5">
        <f t="shared" si="52"/>
        <v>2583.3812345509768</v>
      </c>
      <c r="L495" s="5">
        <f t="shared" si="53"/>
        <v>2585.4027155731774</v>
      </c>
      <c r="M495" s="5">
        <f t="shared" si="54"/>
        <v>2585.7391365739832</v>
      </c>
    </row>
    <row r="496" spans="6:13">
      <c r="F496">
        <v>495</v>
      </c>
      <c r="G496" s="5">
        <f t="shared" si="55"/>
        <v>2477.6003317321934</v>
      </c>
      <c r="H496" s="5">
        <f t="shared" si="49"/>
        <v>2531.7248027332976</v>
      </c>
      <c r="I496" s="5">
        <f t="shared" si="50"/>
        <v>2560.5702633267529</v>
      </c>
      <c r="J496" s="5">
        <f t="shared" si="51"/>
        <v>2580.5176154666115</v>
      </c>
      <c r="K496" s="5">
        <f t="shared" si="52"/>
        <v>2588.3493350604299</v>
      </c>
      <c r="L496" s="5">
        <f t="shared" si="53"/>
        <v>2590.3788051360461</v>
      </c>
      <c r="M496" s="5">
        <f t="shared" si="54"/>
        <v>2590.7165560111835</v>
      </c>
    </row>
    <row r="497" spans="6:13">
      <c r="F497">
        <v>496</v>
      </c>
      <c r="G497" s="5">
        <f t="shared" si="55"/>
        <v>2482.1457146908051</v>
      </c>
      <c r="H497" s="5">
        <f t="shared" si="49"/>
        <v>2536.4802152264965</v>
      </c>
      <c r="I497" s="5">
        <f t="shared" si="50"/>
        <v>2565.4385722171014</v>
      </c>
      <c r="J497" s="5">
        <f t="shared" si="51"/>
        <v>2585.4643809227264</v>
      </c>
      <c r="K497" s="5">
        <f t="shared" si="52"/>
        <v>2593.3269897240821</v>
      </c>
      <c r="L497" s="5">
        <f t="shared" si="53"/>
        <v>2595.3644721110481</v>
      </c>
      <c r="M497" s="5">
        <f t="shared" si="54"/>
        <v>2595.7035567336357</v>
      </c>
    </row>
    <row r="498" spans="6:13">
      <c r="F498">
        <v>497</v>
      </c>
      <c r="G498" s="5">
        <f t="shared" si="55"/>
        <v>2486.6994365675127</v>
      </c>
      <c r="H498" s="5">
        <f t="shared" si="49"/>
        <v>2541.2445599495954</v>
      </c>
      <c r="I498" s="5">
        <f t="shared" si="50"/>
        <v>2570.3161370266466</v>
      </c>
      <c r="J498" s="5">
        <f t="shared" si="51"/>
        <v>2590.4206291618038</v>
      </c>
      <c r="K498" s="5">
        <f t="shared" si="52"/>
        <v>2598.3142169155285</v>
      </c>
      <c r="L498" s="5">
        <f t="shared" si="53"/>
        <v>2600.3597349316992</v>
      </c>
      <c r="M498" s="5">
        <f t="shared" si="54"/>
        <v>2600.7001571848377</v>
      </c>
    </row>
    <row r="499" spans="6:13">
      <c r="F499">
        <v>498</v>
      </c>
      <c r="G499" s="5">
        <f t="shared" si="55"/>
        <v>2491.2615126608193</v>
      </c>
      <c r="H499" s="5">
        <f t="shared" si="49"/>
        <v>2546.0178536802614</v>
      </c>
      <c r="I499" s="5">
        <f t="shared" si="50"/>
        <v>2575.2029753532925</v>
      </c>
      <c r="J499" s="5">
        <f t="shared" si="51"/>
        <v>2595.3863783620195</v>
      </c>
      <c r="K499" s="5">
        <f t="shared" si="52"/>
        <v>2603.3110350436973</v>
      </c>
      <c r="L499" s="5">
        <f t="shared" si="53"/>
        <v>2605.3646120669923</v>
      </c>
      <c r="M499" s="5">
        <f t="shared" si="54"/>
        <v>2605.7063758437907</v>
      </c>
    </row>
    <row r="500" spans="6:13">
      <c r="F500">
        <v>499</v>
      </c>
      <c r="G500" s="5">
        <f t="shared" si="55"/>
        <v>2495.8319582972945</v>
      </c>
      <c r="H500" s="5">
        <f t="shared" si="49"/>
        <v>2550.8001132276772</v>
      </c>
      <c r="I500" s="5">
        <f t="shared" si="50"/>
        <v>2580.0991048284036</v>
      </c>
      <c r="J500" s="5">
        <f t="shared" si="51"/>
        <v>2600.3616467363968</v>
      </c>
      <c r="K500" s="5">
        <f t="shared" si="52"/>
        <v>2608.3174625529196</v>
      </c>
      <c r="L500" s="5">
        <f t="shared" si="53"/>
        <v>2610.3791220214694</v>
      </c>
      <c r="M500" s="5">
        <f t="shared" si="54"/>
        <v>2610.7222312250674</v>
      </c>
    </row>
    <row r="501" spans="6:13">
      <c r="F501">
        <v>500</v>
      </c>
      <c r="G501" s="5">
        <f t="shared" si="55"/>
        <v>2500.4107888316248</v>
      </c>
      <c r="H501" s="5">
        <f t="shared" si="49"/>
        <v>2555.5913554325966</v>
      </c>
      <c r="I501" s="5">
        <f t="shared" si="50"/>
        <v>2585.0045431168651</v>
      </c>
      <c r="J501" s="5">
        <f t="shared" si="51"/>
        <v>2605.3464525328709</v>
      </c>
      <c r="K501" s="5">
        <f t="shared" si="52"/>
        <v>2613.3335179229953</v>
      </c>
      <c r="L501" s="5">
        <f t="shared" si="53"/>
        <v>2615.4032833352871</v>
      </c>
      <c r="M501" s="5">
        <f t="shared" si="54"/>
        <v>2615.7477418788794</v>
      </c>
    </row>
    <row r="502" spans="6:13">
      <c r="F502">
        <v>501</v>
      </c>
      <c r="G502" s="5">
        <f t="shared" si="55"/>
        <v>2504.9980196466681</v>
      </c>
      <c r="H502" s="5">
        <f t="shared" ref="H502:H565" si="56">$C$2*(1+$C$1/$D$6)^(F502*$D$6*0.019231)</f>
        <v>2560.3915971674073</v>
      </c>
      <c r="I502" s="5">
        <f t="shared" ref="I502:I565" si="57">$C$2*(1+$C$1/$D$7)^(F502*$D$7*0.019231)</f>
        <v>2589.9193079171473</v>
      </c>
      <c r="J502" s="5">
        <f t="shared" ref="J502:J565" si="58">$C$2*(1+$C$1/$D$8)^(F502*$D$8*0.019231)</f>
        <v>2610.3408140343608</v>
      </c>
      <c r="K502" s="5">
        <f t="shared" ref="K502:K565" si="59">$C$2*(1+$C$1/$D$9)^(F502*$D$9*0.019231)</f>
        <v>2618.3592196692648</v>
      </c>
      <c r="L502" s="5">
        <f t="shared" ref="L502:L565" si="60">$C$2*(1+$C$1/$D$10)^(F502*$D$10*0.019231)</f>
        <v>2620.4371145842856</v>
      </c>
      <c r="M502" s="5">
        <f t="shared" ref="M502:M565" si="61">$C$2*EXP($C$1*F502*0.019231)</f>
        <v>2620.7829263911467</v>
      </c>
    </row>
    <row r="503" spans="6:13">
      <c r="F503">
        <v>502</v>
      </c>
      <c r="G503" s="5">
        <f t="shared" si="55"/>
        <v>2509.5936661535034</v>
      </c>
      <c r="H503" s="5">
        <f t="shared" si="56"/>
        <v>2565.2008553361884</v>
      </c>
      <c r="I503" s="5">
        <f t="shared" si="57"/>
        <v>2594.843416961372</v>
      </c>
      <c r="J503" s="5">
        <f t="shared" si="58"/>
        <v>2615.3447495588298</v>
      </c>
      <c r="K503" s="5">
        <f t="shared" si="59"/>
        <v>2623.3945863426738</v>
      </c>
      <c r="L503" s="5">
        <f t="shared" si="60"/>
        <v>2625.4806343800578</v>
      </c>
      <c r="M503" s="5">
        <f t="shared" si="61"/>
        <v>2625.8278033835672</v>
      </c>
    </row>
    <row r="504" spans="6:13">
      <c r="F504">
        <v>503</v>
      </c>
      <c r="G504" s="5">
        <f t="shared" si="55"/>
        <v>2514.1977437914811</v>
      </c>
      <c r="H504" s="5">
        <f t="shared" si="56"/>
        <v>2570.0191468747721</v>
      </c>
      <c r="I504" s="5">
        <f t="shared" si="57"/>
        <v>2599.7768880153731</v>
      </c>
      <c r="J504" s="5">
        <f t="shared" si="58"/>
        <v>2620.3582774593597</v>
      </c>
      <c r="K504" s="5">
        <f t="shared" si="59"/>
        <v>2628.4396365298444</v>
      </c>
      <c r="L504" s="5">
        <f t="shared" si="60"/>
        <v>2630.5338613700187</v>
      </c>
      <c r="M504" s="5">
        <f t="shared" si="61"/>
        <v>2630.8823915136836</v>
      </c>
    </row>
    <row r="505" spans="6:13">
      <c r="F505">
        <v>504</v>
      </c>
      <c r="G505" s="5">
        <f t="shared" si="55"/>
        <v>2518.8102680282782</v>
      </c>
      <c r="H505" s="5">
        <f t="shared" si="56"/>
        <v>2574.8464887507985</v>
      </c>
      <c r="I505" s="5">
        <f t="shared" si="57"/>
        <v>2604.7197388787613</v>
      </c>
      <c r="J505" s="5">
        <f t="shared" si="58"/>
        <v>2625.3814161242117</v>
      </c>
      <c r="K505" s="5">
        <f t="shared" si="59"/>
        <v>2633.4943888531416</v>
      </c>
      <c r="L505" s="5">
        <f t="shared" si="60"/>
        <v>2635.5968142374736</v>
      </c>
      <c r="M505" s="5">
        <f t="shared" si="61"/>
        <v>2635.9467094749525</v>
      </c>
    </row>
    <row r="506" spans="6:13">
      <c r="F506">
        <v>505</v>
      </c>
      <c r="G506" s="5">
        <f t="shared" si="55"/>
        <v>2523.4312543599463</v>
      </c>
      <c r="H506" s="5">
        <f t="shared" si="56"/>
        <v>2579.6828979637812</v>
      </c>
      <c r="I506" s="5">
        <f t="shared" si="57"/>
        <v>2609.6719873849888</v>
      </c>
      <c r="J506" s="5">
        <f t="shared" si="58"/>
        <v>2630.4141839768977</v>
      </c>
      <c r="K506" s="5">
        <f t="shared" si="59"/>
        <v>2638.5588619707437</v>
      </c>
      <c r="L506" s="5">
        <f t="shared" si="60"/>
        <v>2640.6695117016861</v>
      </c>
      <c r="M506" s="5">
        <f t="shared" si="61"/>
        <v>2641.0207759968171</v>
      </c>
    </row>
    <row r="507" spans="6:13">
      <c r="F507">
        <v>506</v>
      </c>
      <c r="G507" s="5">
        <f t="shared" si="55"/>
        <v>2528.0607183109687</v>
      </c>
      <c r="H507" s="5">
        <f t="shared" si="56"/>
        <v>2584.5283915451628</v>
      </c>
      <c r="I507" s="5">
        <f t="shared" si="57"/>
        <v>2614.633651401416</v>
      </c>
      <c r="J507" s="5">
        <f t="shared" si="58"/>
        <v>2635.456599476247</v>
      </c>
      <c r="K507" s="5">
        <f t="shared" si="59"/>
        <v>2643.6330745767109</v>
      </c>
      <c r="L507" s="5">
        <f t="shared" si="60"/>
        <v>2645.7519725179509</v>
      </c>
      <c r="M507" s="5">
        <f t="shared" si="61"/>
        <v>2646.1046098447723</v>
      </c>
    </row>
    <row r="508" spans="6:13">
      <c r="F508">
        <v>507</v>
      </c>
      <c r="G508" s="5">
        <f t="shared" si="55"/>
        <v>2532.6986754343093</v>
      </c>
      <c r="H508" s="5">
        <f t="shared" si="56"/>
        <v>2589.3829865583775</v>
      </c>
      <c r="I508" s="5">
        <f t="shared" si="57"/>
        <v>2619.6047488293725</v>
      </c>
      <c r="J508" s="5">
        <f t="shared" si="58"/>
        <v>2640.5086811164733</v>
      </c>
      <c r="K508" s="5">
        <f t="shared" si="59"/>
        <v>2648.7170454010529</v>
      </c>
      <c r="L508" s="5">
        <f t="shared" si="60"/>
        <v>2650.8442154776581</v>
      </c>
      <c r="M508" s="5">
        <f t="shared" si="61"/>
        <v>2651.1982298204357</v>
      </c>
    </row>
    <row r="509" spans="6:13">
      <c r="F509">
        <v>508</v>
      </c>
      <c r="G509" s="5">
        <f t="shared" si="55"/>
        <v>2537.3451413114626</v>
      </c>
      <c r="H509" s="5">
        <f t="shared" si="56"/>
        <v>2594.2467000989109</v>
      </c>
      <c r="I509" s="5">
        <f t="shared" si="57"/>
        <v>2624.5852976042215</v>
      </c>
      <c r="J509" s="5">
        <f t="shared" si="58"/>
        <v>2645.5704474272443</v>
      </c>
      <c r="K509" s="5">
        <f t="shared" si="59"/>
        <v>2653.8107932098001</v>
      </c>
      <c r="L509" s="5">
        <f t="shared" si="60"/>
        <v>2655.9462594083675</v>
      </c>
      <c r="M509" s="5">
        <f t="shared" si="61"/>
        <v>2656.3016547616171</v>
      </c>
    </row>
    <row r="510" spans="6:13">
      <c r="F510">
        <v>509</v>
      </c>
      <c r="G510" s="5">
        <f t="shared" si="55"/>
        <v>2542.0001315525119</v>
      </c>
      <c r="H510" s="5">
        <f t="shared" si="56"/>
        <v>2599.1195492943575</v>
      </c>
      <c r="I510" s="5">
        <f t="shared" si="57"/>
        <v>2629.5753156954279</v>
      </c>
      <c r="J510" s="5">
        <f t="shared" si="58"/>
        <v>2650.6419169737469</v>
      </c>
      <c r="K510" s="5">
        <f t="shared" si="59"/>
        <v>2658.9143368050713</v>
      </c>
      <c r="L510" s="5">
        <f t="shared" si="60"/>
        <v>2661.0581231738747</v>
      </c>
      <c r="M510" s="5">
        <f t="shared" si="61"/>
        <v>2661.4149035423875</v>
      </c>
    </row>
    <row r="511" spans="6:13">
      <c r="F511">
        <v>510</v>
      </c>
      <c r="G511" s="5">
        <f t="shared" si="55"/>
        <v>2546.6636617961767</v>
      </c>
      <c r="H511" s="5">
        <f t="shared" si="56"/>
        <v>2604.0015513044846</v>
      </c>
      <c r="I511" s="5">
        <f t="shared" si="57"/>
        <v>2634.5748211066216</v>
      </c>
      <c r="J511" s="5">
        <f t="shared" si="58"/>
        <v>2655.7231083567576</v>
      </c>
      <c r="K511" s="5">
        <f t="shared" si="59"/>
        <v>2664.0276950251437</v>
      </c>
      <c r="L511" s="5">
        <f t="shared" si="60"/>
        <v>2666.1798256742827</v>
      </c>
      <c r="M511" s="5">
        <f t="shared" si="61"/>
        <v>2666.5379950731513</v>
      </c>
    </row>
    <row r="512" spans="6:13">
      <c r="F512">
        <v>511</v>
      </c>
      <c r="G512" s="5">
        <f t="shared" si="55"/>
        <v>2551.3357477098689</v>
      </c>
      <c r="H512" s="5">
        <f t="shared" si="56"/>
        <v>2608.8927233212908</v>
      </c>
      <c r="I512" s="5">
        <f t="shared" si="57"/>
        <v>2639.583831875661</v>
      </c>
      <c r="J512" s="5">
        <f t="shared" si="58"/>
        <v>2660.8140402127106</v>
      </c>
      <c r="K512" s="5">
        <f t="shared" si="59"/>
        <v>2669.1508867445223</v>
      </c>
      <c r="L512" s="5">
        <f t="shared" si="60"/>
        <v>2671.3113858460715</v>
      </c>
      <c r="M512" s="5">
        <f t="shared" si="61"/>
        <v>2671.6709483007135</v>
      </c>
    </row>
    <row r="513" spans="6:13">
      <c r="F513">
        <v>512</v>
      </c>
      <c r="G513" s="5">
        <f t="shared" si="55"/>
        <v>2556.0164049897417</v>
      </c>
      <c r="H513" s="5">
        <f t="shared" si="56"/>
        <v>2613.7930825690669</v>
      </c>
      <c r="I513" s="5">
        <f t="shared" si="57"/>
        <v>2644.6023660746978</v>
      </c>
      <c r="J513" s="5">
        <f t="shared" si="58"/>
        <v>2665.9147312137648</v>
      </c>
      <c r="K513" s="5">
        <f t="shared" si="59"/>
        <v>2674.2839308740104</v>
      </c>
      <c r="L513" s="5">
        <f t="shared" si="60"/>
        <v>2676.4528226621665</v>
      </c>
      <c r="M513" s="5">
        <f t="shared" si="61"/>
        <v>2676.8137822083504</v>
      </c>
    </row>
    <row r="514" spans="6:13">
      <c r="F514">
        <v>513</v>
      </c>
      <c r="G514" s="5">
        <f t="shared" si="55"/>
        <v>2560.7056493607456</v>
      </c>
      <c r="H514" s="5">
        <f t="shared" si="56"/>
        <v>2618.7026463044567</v>
      </c>
      <c r="I514" s="5">
        <f t="shared" si="57"/>
        <v>2649.6304418102459</v>
      </c>
      <c r="J514" s="5">
        <f t="shared" si="58"/>
        <v>2671.0252000678715</v>
      </c>
      <c r="K514" s="5">
        <f t="shared" si="59"/>
        <v>2679.4268463607773</v>
      </c>
      <c r="L514" s="5">
        <f t="shared" si="60"/>
        <v>2681.6041551320127</v>
      </c>
      <c r="M514" s="5">
        <f t="shared" si="61"/>
        <v>2681.9665158158805</v>
      </c>
    </row>
    <row r="515" spans="6:13">
      <c r="F515">
        <v>514</v>
      </c>
      <c r="G515" s="5">
        <f t="shared" si="55"/>
        <v>2565.40349657668</v>
      </c>
      <c r="H515" s="5">
        <f t="shared" si="56"/>
        <v>2623.6214318165185</v>
      </c>
      <c r="I515" s="5">
        <f t="shared" si="57"/>
        <v>2654.6680772232448</v>
      </c>
      <c r="J515" s="5">
        <f t="shared" si="58"/>
        <v>2676.1454655188477</v>
      </c>
      <c r="K515" s="5">
        <f t="shared" si="59"/>
        <v>2684.5796521884313</v>
      </c>
      <c r="L515" s="5">
        <f t="shared" si="60"/>
        <v>2686.7654023016394</v>
      </c>
      <c r="M515" s="5">
        <f t="shared" si="61"/>
        <v>2687.1291681797338</v>
      </c>
    </row>
    <row r="516" spans="6:13">
      <c r="F516">
        <v>515</v>
      </c>
      <c r="G516" s="5">
        <f t="shared" ref="G516:G579" si="62">$C$2*(1+$C$1)^(F516*0.019231/$D$5)</f>
        <v>2570.1099624202448</v>
      </c>
      <c r="H516" s="5">
        <f t="shared" si="56"/>
        <v>2628.5494564267819</v>
      </c>
      <c r="I516" s="5">
        <f t="shared" si="57"/>
        <v>2659.7152904891213</v>
      </c>
      <c r="J516" s="5">
        <f t="shared" si="58"/>
        <v>2681.2755463464391</v>
      </c>
      <c r="K516" s="5">
        <f t="shared" si="59"/>
        <v>2689.7423673770863</v>
      </c>
      <c r="L516" s="5">
        <f t="shared" si="60"/>
        <v>2691.9365832537355</v>
      </c>
      <c r="M516" s="5">
        <f t="shared" si="61"/>
        <v>2692.301758393025</v>
      </c>
    </row>
    <row r="517" spans="6:13">
      <c r="F517">
        <v>516</v>
      </c>
      <c r="G517" s="5">
        <f t="shared" si="62"/>
        <v>2574.8250627030961</v>
      </c>
      <c r="H517" s="5">
        <f t="shared" si="56"/>
        <v>2633.4867374893165</v>
      </c>
      <c r="I517" s="5">
        <f t="shared" si="57"/>
        <v>2664.7720998178615</v>
      </c>
      <c r="J517" s="5">
        <f t="shared" si="58"/>
        <v>2686.4154613663936</v>
      </c>
      <c r="K517" s="5">
        <f t="shared" si="59"/>
        <v>2694.915010983435</v>
      </c>
      <c r="L517" s="5">
        <f t="shared" si="60"/>
        <v>2697.1177171077179</v>
      </c>
      <c r="M517" s="5">
        <f t="shared" si="61"/>
        <v>2697.4843055856195</v>
      </c>
    </row>
    <row r="518" spans="6:13">
      <c r="F518">
        <v>517</v>
      </c>
      <c r="G518" s="5">
        <f t="shared" si="62"/>
        <v>2579.5488132658975</v>
      </c>
      <c r="H518" s="5">
        <f t="shared" si="56"/>
        <v>2638.4332923907855</v>
      </c>
      <c r="I518" s="5">
        <f t="shared" si="57"/>
        <v>2669.8385234540724</v>
      </c>
      <c r="J518" s="5">
        <f t="shared" si="58"/>
        <v>2691.565229430526</v>
      </c>
      <c r="K518" s="5">
        <f t="shared" si="59"/>
        <v>2700.0976021008182</v>
      </c>
      <c r="L518" s="5">
        <f t="shared" si="60"/>
        <v>2702.3088230198014</v>
      </c>
      <c r="M518" s="5">
        <f t="shared" si="61"/>
        <v>2702.6768289242095</v>
      </c>
    </row>
    <row r="519" spans="6:13">
      <c r="F519">
        <v>518</v>
      </c>
      <c r="G519" s="5">
        <f t="shared" si="62"/>
        <v>2584.2812299783745</v>
      </c>
      <c r="H519" s="5">
        <f t="shared" si="56"/>
        <v>2643.3891385505117</v>
      </c>
      <c r="I519" s="5">
        <f t="shared" si="57"/>
        <v>2674.9145796770495</v>
      </c>
      <c r="J519" s="5">
        <f t="shared" si="58"/>
        <v>2696.724869426791</v>
      </c>
      <c r="K519" s="5">
        <f t="shared" si="59"/>
        <v>2705.2901598592939</v>
      </c>
      <c r="L519" s="5">
        <f t="shared" si="60"/>
        <v>2707.5099201830708</v>
      </c>
      <c r="M519" s="5">
        <f t="shared" si="61"/>
        <v>2707.8793476123801</v>
      </c>
    </row>
    <row r="520" spans="6:13">
      <c r="F520">
        <v>519</v>
      </c>
      <c r="G520" s="5">
        <f t="shared" si="62"/>
        <v>2589.0223287393646</v>
      </c>
      <c r="H520" s="5">
        <f t="shared" si="56"/>
        <v>2648.3542934205348</v>
      </c>
      <c r="I520" s="5">
        <f t="shared" si="57"/>
        <v>2680.0002868008396</v>
      </c>
      <c r="J520" s="5">
        <f t="shared" si="58"/>
        <v>2701.8944002793505</v>
      </c>
      <c r="K520" s="5">
        <f t="shared" si="59"/>
        <v>2710.4927034257107</v>
      </c>
      <c r="L520" s="5">
        <f t="shared" si="60"/>
        <v>2712.721027827552</v>
      </c>
      <c r="M520" s="5">
        <f t="shared" si="61"/>
        <v>2713.0918808906818</v>
      </c>
    </row>
    <row r="521" spans="6:13">
      <c r="F521">
        <v>520</v>
      </c>
      <c r="G521" s="5">
        <f t="shared" si="62"/>
        <v>2593.7721254768749</v>
      </c>
      <c r="H521" s="5">
        <f t="shared" si="56"/>
        <v>2653.328774485678</v>
      </c>
      <c r="I521" s="5">
        <f t="shared" si="57"/>
        <v>2685.0956631743124</v>
      </c>
      <c r="J521" s="5">
        <f t="shared" si="58"/>
        <v>2707.073840948643</v>
      </c>
      <c r="K521" s="5">
        <f t="shared" si="59"/>
        <v>2715.7052520037746</v>
      </c>
      <c r="L521" s="5">
        <f t="shared" si="60"/>
        <v>2717.9421652202832</v>
      </c>
      <c r="M521" s="5">
        <f t="shared" si="61"/>
        <v>2718.3144480367041</v>
      </c>
    </row>
    <row r="522" spans="6:13">
      <c r="F522">
        <v>521</v>
      </c>
      <c r="G522" s="5">
        <f t="shared" si="62"/>
        <v>2598.5306361481353</v>
      </c>
      <c r="H522" s="5">
        <f t="shared" si="56"/>
        <v>2658.3125992636046</v>
      </c>
      <c r="I522" s="5">
        <f t="shared" si="57"/>
        <v>2690.2007271812208</v>
      </c>
      <c r="J522" s="5">
        <f t="shared" si="58"/>
        <v>2712.2632104314534</v>
      </c>
      <c r="K522" s="5">
        <f t="shared" si="59"/>
        <v>2720.9278248341247</v>
      </c>
      <c r="L522" s="5">
        <f t="shared" si="60"/>
        <v>2723.173351665384</v>
      </c>
      <c r="M522" s="5">
        <f t="shared" si="61"/>
        <v>2723.5470683651447</v>
      </c>
    </row>
    <row r="523" spans="6:13">
      <c r="F523">
        <v>522</v>
      </c>
      <c r="G523" s="5">
        <f t="shared" si="62"/>
        <v>2603.297876739648</v>
      </c>
      <c r="H523" s="5">
        <f t="shared" si="56"/>
        <v>2663.3057853048831</v>
      </c>
      <c r="I523" s="5">
        <f t="shared" si="57"/>
        <v>2695.3154972402722</v>
      </c>
      <c r="J523" s="5">
        <f t="shared" si="58"/>
        <v>2717.4625277609839</v>
      </c>
      <c r="K523" s="5">
        <f t="shared" si="59"/>
        <v>2726.1604411944008</v>
      </c>
      <c r="L523" s="5">
        <f t="shared" si="60"/>
        <v>2728.41460650413</v>
      </c>
      <c r="M523" s="5">
        <f t="shared" si="61"/>
        <v>2728.7897612278794</v>
      </c>
    </row>
    <row r="524" spans="6:13">
      <c r="F524">
        <v>523</v>
      </c>
      <c r="G524" s="5">
        <f t="shared" si="62"/>
        <v>2608.0738632672446</v>
      </c>
      <c r="H524" s="5">
        <f t="shared" si="56"/>
        <v>2668.3083501930478</v>
      </c>
      <c r="I524" s="5">
        <f t="shared" si="57"/>
        <v>2700.4399918051913</v>
      </c>
      <c r="J524" s="5">
        <f t="shared" si="58"/>
        <v>2722.6718120069222</v>
      </c>
      <c r="K524" s="5">
        <f t="shared" si="59"/>
        <v>2731.4031203993163</v>
      </c>
      <c r="L524" s="5">
        <f t="shared" si="60"/>
        <v>2733.6659491150212</v>
      </c>
      <c r="M524" s="5">
        <f t="shared" si="61"/>
        <v>2734.0425460140382</v>
      </c>
    </row>
    <row r="525" spans="6:13">
      <c r="F525">
        <v>524</v>
      </c>
      <c r="G525" s="5">
        <f t="shared" si="62"/>
        <v>2612.8586117761406</v>
      </c>
      <c r="H525" s="5">
        <f t="shared" si="56"/>
        <v>2673.3203115446595</v>
      </c>
      <c r="I525" s="5">
        <f t="shared" si="57"/>
        <v>2705.5742293647882</v>
      </c>
      <c r="J525" s="5">
        <f t="shared" si="58"/>
        <v>2727.8910822755111</v>
      </c>
      <c r="K525" s="5">
        <f t="shared" si="59"/>
        <v>2736.6558818007256</v>
      </c>
      <c r="L525" s="5">
        <f t="shared" si="60"/>
        <v>2738.9273989138569</v>
      </c>
      <c r="M525" s="5">
        <f t="shared" si="61"/>
        <v>2739.3054421500706</v>
      </c>
    </row>
    <row r="526" spans="6:13">
      <c r="F526">
        <v>525</v>
      </c>
      <c r="G526" s="5">
        <f t="shared" si="62"/>
        <v>2617.6521383409863</v>
      </c>
      <c r="H526" s="5">
        <f t="shared" si="56"/>
        <v>2678.3416870093693</v>
      </c>
      <c r="I526" s="5">
        <f t="shared" si="57"/>
        <v>2710.7182284430264</v>
      </c>
      <c r="J526" s="5">
        <f t="shared" si="58"/>
        <v>2733.1203577096203</v>
      </c>
      <c r="K526" s="5">
        <f t="shared" si="59"/>
        <v>2741.918744787703</v>
      </c>
      <c r="L526" s="5">
        <f t="shared" si="60"/>
        <v>2744.1989753538037</v>
      </c>
      <c r="M526" s="5">
        <f t="shared" si="61"/>
        <v>2744.5784690998235</v>
      </c>
    </row>
    <row r="527" spans="6:13">
      <c r="F527">
        <v>526</v>
      </c>
      <c r="G527" s="5">
        <f t="shared" si="62"/>
        <v>2622.4544590659243</v>
      </c>
      <c r="H527" s="5">
        <f t="shared" si="56"/>
        <v>2683.372494269981</v>
      </c>
      <c r="I527" s="5">
        <f t="shared" si="57"/>
        <v>2715.8720075990868</v>
      </c>
      <c r="J527" s="5">
        <f t="shared" si="58"/>
        <v>2738.3596574888152</v>
      </c>
      <c r="K527" s="5">
        <f t="shared" si="59"/>
        <v>2747.1917287866081</v>
      </c>
      <c r="L527" s="5">
        <f t="shared" si="60"/>
        <v>2749.4806979254718</v>
      </c>
      <c r="M527" s="5">
        <f t="shared" si="61"/>
        <v>2749.8616463646113</v>
      </c>
    </row>
    <row r="528" spans="6:13">
      <c r="F528">
        <v>527</v>
      </c>
      <c r="G528" s="5">
        <f t="shared" si="62"/>
        <v>2627.2655900846385</v>
      </c>
      <c r="H528" s="5">
        <f t="shared" si="56"/>
        <v>2688.412751042511</v>
      </c>
      <c r="I528" s="5">
        <f t="shared" si="57"/>
        <v>2721.0355854274362</v>
      </c>
      <c r="J528" s="5">
        <f t="shared" si="58"/>
        <v>2743.6090008294286</v>
      </c>
      <c r="K528" s="5">
        <f t="shared" si="59"/>
        <v>2752.474853261157</v>
      </c>
      <c r="L528" s="5">
        <f t="shared" si="60"/>
        <v>2754.7725861569816</v>
      </c>
      <c r="M528" s="5">
        <f t="shared" si="61"/>
        <v>2755.1549934832856</v>
      </c>
    </row>
    <row r="529" spans="6:13">
      <c r="F529">
        <v>528</v>
      </c>
      <c r="G529" s="5">
        <f t="shared" si="62"/>
        <v>2632.0855475604144</v>
      </c>
      <c r="H529" s="5">
        <f t="shared" si="56"/>
        <v>2693.4624750762528</v>
      </c>
      <c r="I529" s="5">
        <f t="shared" si="57"/>
        <v>2726.2089805578953</v>
      </c>
      <c r="J529" s="5">
        <f t="shared" si="58"/>
        <v>2748.8684069846299</v>
      </c>
      <c r="K529" s="5">
        <f t="shared" si="59"/>
        <v>2757.7681377125009</v>
      </c>
      <c r="L529" s="5">
        <f t="shared" si="60"/>
        <v>2760.074659614042</v>
      </c>
      <c r="M529" s="5">
        <f t="shared" si="61"/>
        <v>2760.4585300323106</v>
      </c>
    </row>
    <row r="530" spans="6:13">
      <c r="F530">
        <v>529</v>
      </c>
      <c r="G530" s="5">
        <f t="shared" si="62"/>
        <v>2636.9143476861896</v>
      </c>
      <c r="H530" s="5">
        <f t="shared" si="56"/>
        <v>2698.5216841538399</v>
      </c>
      <c r="I530" s="5">
        <f t="shared" si="57"/>
        <v>2731.3922116557042</v>
      </c>
      <c r="J530" s="5">
        <f t="shared" si="58"/>
        <v>2754.1378952444957</v>
      </c>
      <c r="K530" s="5">
        <f t="shared" si="59"/>
        <v>2763.0716016792903</v>
      </c>
      <c r="L530" s="5">
        <f t="shared" si="60"/>
        <v>2765.3869379000184</v>
      </c>
      <c r="M530" s="5">
        <f t="shared" si="61"/>
        <v>2765.7722756258336</v>
      </c>
    </row>
    <row r="531" spans="6:13">
      <c r="F531">
        <v>530</v>
      </c>
      <c r="G531" s="5">
        <f t="shared" si="62"/>
        <v>2641.7520066846096</v>
      </c>
      <c r="H531" s="5">
        <f t="shared" si="56"/>
        <v>2703.5903960913065</v>
      </c>
      <c r="I531" s="5">
        <f t="shared" si="57"/>
        <v>2736.5852974215913</v>
      </c>
      <c r="J531" s="5">
        <f t="shared" si="58"/>
        <v>2759.4174849360811</v>
      </c>
      <c r="K531" s="5">
        <f t="shared" si="59"/>
        <v>2768.3852647377521</v>
      </c>
      <c r="L531" s="5">
        <f t="shared" si="60"/>
        <v>2770.7094406560063</v>
      </c>
      <c r="M531" s="5">
        <f t="shared" si="61"/>
        <v>2771.0962499157577</v>
      </c>
    </row>
    <row r="532" spans="6:13">
      <c r="F532">
        <v>531</v>
      </c>
      <c r="G532" s="5">
        <f t="shared" si="62"/>
        <v>2646.5985408080805</v>
      </c>
      <c r="H532" s="5">
        <f t="shared" si="56"/>
        <v>2708.6686287381513</v>
      </c>
      <c r="I532" s="5">
        <f t="shared" si="57"/>
        <v>2741.7882565918376</v>
      </c>
      <c r="J532" s="5">
        <f t="shared" si="58"/>
        <v>2764.7071954234921</v>
      </c>
      <c r="K532" s="5">
        <f t="shared" si="59"/>
        <v>2773.7091465017593</v>
      </c>
      <c r="L532" s="5">
        <f t="shared" si="60"/>
        <v>2776.0421875609059</v>
      </c>
      <c r="M532" s="5">
        <f t="shared" si="61"/>
        <v>2776.4304725918155</v>
      </c>
    </row>
    <row r="533" spans="6:13">
      <c r="F533">
        <v>532</v>
      </c>
      <c r="G533" s="5">
        <f t="shared" si="62"/>
        <v>2651.4539663388259</v>
      </c>
      <c r="H533" s="5">
        <f t="shared" si="56"/>
        <v>2713.7563999773993</v>
      </c>
      <c r="I533" s="5">
        <f t="shared" si="57"/>
        <v>2747.0011079383494</v>
      </c>
      <c r="J533" s="5">
        <f t="shared" si="58"/>
        <v>2770.0070461079536</v>
      </c>
      <c r="K533" s="5">
        <f t="shared" si="59"/>
        <v>2779.0432666229049</v>
      </c>
      <c r="L533" s="5">
        <f t="shared" si="60"/>
        <v>2781.3851983314903</v>
      </c>
      <c r="M533" s="5">
        <f t="shared" si="61"/>
        <v>2781.774963381642</v>
      </c>
    </row>
    <row r="534" spans="6:13">
      <c r="F534">
        <v>533</v>
      </c>
      <c r="G534" s="5">
        <f t="shared" si="62"/>
        <v>2656.3182995889406</v>
      </c>
      <c r="H534" s="5">
        <f t="shared" si="56"/>
        <v>2718.8537277256673</v>
      </c>
      <c r="I534" s="5">
        <f t="shared" si="57"/>
        <v>2752.2238702687223</v>
      </c>
      <c r="J534" s="5">
        <f t="shared" si="58"/>
        <v>2775.3170564278807</v>
      </c>
      <c r="K534" s="5">
        <f t="shared" si="59"/>
        <v>2784.3876447905732</v>
      </c>
      <c r="L534" s="5">
        <f t="shared" si="60"/>
        <v>2786.738492722483</v>
      </c>
      <c r="M534" s="5">
        <f t="shared" si="61"/>
        <v>2787.1297420508472</v>
      </c>
    </row>
    <row r="535" spans="6:13">
      <c r="F535">
        <v>534</v>
      </c>
      <c r="G535" s="5">
        <f t="shared" si="62"/>
        <v>2661.1915569004454</v>
      </c>
      <c r="H535" s="5">
        <f t="shared" si="56"/>
        <v>2723.9606299332254</v>
      </c>
      <c r="I535" s="5">
        <f t="shared" si="57"/>
        <v>2757.45656242631</v>
      </c>
      <c r="J535" s="5">
        <f t="shared" si="58"/>
        <v>2780.6372458589544</v>
      </c>
      <c r="K535" s="5">
        <f t="shared" si="59"/>
        <v>2789.7423007320158</v>
      </c>
      <c r="L535" s="5">
        <f t="shared" si="60"/>
        <v>2792.1020905266287</v>
      </c>
      <c r="M535" s="5">
        <f t="shared" si="61"/>
        <v>2792.4948284030861</v>
      </c>
    </row>
    <row r="536" spans="6:13">
      <c r="F536">
        <v>535</v>
      </c>
      <c r="G536" s="5">
        <f t="shared" si="62"/>
        <v>2666.0737546453415</v>
      </c>
      <c r="H536" s="5">
        <f t="shared" si="56"/>
        <v>2729.0771245840588</v>
      </c>
      <c r="I536" s="5">
        <f t="shared" si="57"/>
        <v>2762.6992032902908</v>
      </c>
      <c r="J536" s="5">
        <f t="shared" si="58"/>
        <v>2785.9676339141884</v>
      </c>
      <c r="K536" s="5">
        <f t="shared" si="59"/>
        <v>2795.1072542124166</v>
      </c>
      <c r="L536" s="5">
        <f t="shared" si="60"/>
        <v>2797.4760115747672</v>
      </c>
      <c r="M536" s="5">
        <f t="shared" si="61"/>
        <v>2797.8702422801375</v>
      </c>
    </row>
    <row r="537" spans="6:13">
      <c r="F537">
        <v>536</v>
      </c>
      <c r="G537" s="5">
        <f t="shared" si="62"/>
        <v>2670.9649092256668</v>
      </c>
      <c r="H537" s="5">
        <f t="shared" si="56"/>
        <v>2734.2032296959337</v>
      </c>
      <c r="I537" s="5">
        <f t="shared" si="57"/>
        <v>2767.9518117757402</v>
      </c>
      <c r="J537" s="5">
        <f t="shared" si="58"/>
        <v>2791.3082401440006</v>
      </c>
      <c r="K537" s="5">
        <f t="shared" si="59"/>
        <v>2800.482525034975</v>
      </c>
      <c r="L537" s="5">
        <f t="shared" si="60"/>
        <v>2802.8602757359063</v>
      </c>
      <c r="M537" s="5">
        <f t="shared" si="61"/>
        <v>2803.256003561974</v>
      </c>
    </row>
    <row r="538" spans="6:13">
      <c r="F538">
        <v>537</v>
      </c>
      <c r="G538" s="5">
        <f t="shared" si="62"/>
        <v>2675.8650370735495</v>
      </c>
      <c r="H538" s="5">
        <f t="shared" si="56"/>
        <v>2739.3389633204588</v>
      </c>
      <c r="I538" s="5">
        <f t="shared" si="57"/>
        <v>2773.2144068336938</v>
      </c>
      <c r="J538" s="5">
        <f t="shared" si="58"/>
        <v>2796.6590841362886</v>
      </c>
      <c r="K538" s="5">
        <f t="shared" si="59"/>
        <v>2805.8681330409713</v>
      </c>
      <c r="L538" s="5">
        <f t="shared" si="60"/>
        <v>2808.254902917296</v>
      </c>
      <c r="M538" s="5">
        <f t="shared" si="61"/>
        <v>2808.6521321668361</v>
      </c>
    </row>
    <row r="539" spans="6:13">
      <c r="F539">
        <v>538</v>
      </c>
      <c r="G539" s="5">
        <f t="shared" si="62"/>
        <v>2680.7741546512648</v>
      </c>
      <c r="H539" s="5">
        <f t="shared" si="56"/>
        <v>2744.4843435431508</v>
      </c>
      <c r="I539" s="5">
        <f t="shared" si="57"/>
        <v>2778.4870074512191</v>
      </c>
      <c r="J539" s="5">
        <f t="shared" si="58"/>
        <v>2802.0201855164996</v>
      </c>
      <c r="K539" s="5">
        <f t="shared" si="59"/>
        <v>2811.2640981098443</v>
      </c>
      <c r="L539" s="5">
        <f t="shared" si="60"/>
        <v>2813.6599130645</v>
      </c>
      <c r="M539" s="5">
        <f t="shared" si="61"/>
        <v>2814.0586480513061</v>
      </c>
    </row>
    <row r="540" spans="6:13">
      <c r="F540">
        <v>539</v>
      </c>
      <c r="G540" s="5">
        <f t="shared" si="62"/>
        <v>2685.6922784512885</v>
      </c>
      <c r="H540" s="5">
        <f t="shared" si="56"/>
        <v>2749.6393884834947</v>
      </c>
      <c r="I540" s="5">
        <f t="shared" si="57"/>
        <v>2783.7696326514824</v>
      </c>
      <c r="J540" s="5">
        <f t="shared" si="58"/>
        <v>2807.3915639477004</v>
      </c>
      <c r="K540" s="5">
        <f t="shared" si="59"/>
        <v>2816.6704401592606</v>
      </c>
      <c r="L540" s="5">
        <f t="shared" si="60"/>
        <v>2819.0753261614723</v>
      </c>
      <c r="M540" s="5">
        <f t="shared" si="61"/>
        <v>2819.4755712103806</v>
      </c>
    </row>
    <row r="541" spans="6:13">
      <c r="F541">
        <v>540</v>
      </c>
      <c r="G541" s="5">
        <f t="shared" si="62"/>
        <v>2690.6194249963542</v>
      </c>
      <c r="H541" s="5">
        <f t="shared" si="56"/>
        <v>2754.8041162950126</v>
      </c>
      <c r="I541" s="5">
        <f t="shared" si="57"/>
        <v>2789.0623014938183</v>
      </c>
      <c r="J541" s="5">
        <f t="shared" si="58"/>
        <v>2812.7732391306517</v>
      </c>
      <c r="K541" s="5">
        <f t="shared" si="59"/>
        <v>2822.0871791451909</v>
      </c>
      <c r="L541" s="5">
        <f t="shared" si="60"/>
        <v>2824.5011622306288</v>
      </c>
      <c r="M541" s="5">
        <f t="shared" si="61"/>
        <v>2824.9029216775466</v>
      </c>
    </row>
    <row r="542" spans="6:13">
      <c r="F542">
        <v>541</v>
      </c>
      <c r="G542" s="5">
        <f t="shared" si="62"/>
        <v>2695.5556108395076</v>
      </c>
      <c r="H542" s="5">
        <f t="shared" si="56"/>
        <v>2759.9785451653238</v>
      </c>
      <c r="I542" s="5">
        <f t="shared" si="57"/>
        <v>2794.3650330737983</v>
      </c>
      <c r="J542" s="5">
        <f t="shared" si="58"/>
        <v>2818.1652308038815</v>
      </c>
      <c r="K542" s="5">
        <f t="shared" si="59"/>
        <v>2827.5143350619865</v>
      </c>
      <c r="L542" s="5">
        <f t="shared" si="60"/>
        <v>2829.9374413329238</v>
      </c>
      <c r="M542" s="5">
        <f t="shared" si="61"/>
        <v>2830.3407195248546</v>
      </c>
    </row>
    <row r="543" spans="6:13">
      <c r="F543">
        <v>542</v>
      </c>
      <c r="G543" s="5">
        <f t="shared" si="62"/>
        <v>2700.5008525641624</v>
      </c>
      <c r="H543" s="5">
        <f t="shared" si="56"/>
        <v>2765.1626933162097</v>
      </c>
      <c r="I543" s="5">
        <f t="shared" si="57"/>
        <v>2799.6778465232996</v>
      </c>
      <c r="J543" s="5">
        <f t="shared" si="58"/>
        <v>2823.5675587437522</v>
      </c>
      <c r="K543" s="5">
        <f t="shared" si="59"/>
        <v>2832.9519279424458</v>
      </c>
      <c r="L543" s="5">
        <f t="shared" si="60"/>
        <v>2835.3841835679204</v>
      </c>
      <c r="M543" s="5">
        <f t="shared" si="61"/>
        <v>2835.7889848629925</v>
      </c>
    </row>
    <row r="544" spans="6:13">
      <c r="F544">
        <v>543</v>
      </c>
      <c r="G544" s="5">
        <f t="shared" si="62"/>
        <v>2705.4551667841561</v>
      </c>
      <c r="H544" s="5">
        <f t="shared" si="56"/>
        <v>2770.3565790036778</v>
      </c>
      <c r="I544" s="5">
        <f t="shared" si="57"/>
        <v>2805.0007610105731</v>
      </c>
      <c r="J544" s="5">
        <f t="shared" si="58"/>
        <v>2828.9802427645418</v>
      </c>
      <c r="K544" s="5">
        <f t="shared" si="59"/>
        <v>2838.3999778578927</v>
      </c>
      <c r="L544" s="5">
        <f t="shared" si="60"/>
        <v>2840.8414090738697</v>
      </c>
      <c r="M544" s="5">
        <f t="shared" si="61"/>
        <v>2841.247737841361</v>
      </c>
    </row>
    <row r="545" spans="6:13">
      <c r="F545">
        <v>544</v>
      </c>
      <c r="G545" s="5">
        <f t="shared" si="62"/>
        <v>2710.4185701438059</v>
      </c>
      <c r="H545" s="5">
        <f t="shared" si="56"/>
        <v>2775.5602205180271</v>
      </c>
      <c r="I545" s="5">
        <f t="shared" si="57"/>
        <v>2810.3337957403141</v>
      </c>
      <c r="J545" s="5">
        <f t="shared" si="58"/>
        <v>2834.4033027185083</v>
      </c>
      <c r="K545" s="5">
        <f t="shared" si="59"/>
        <v>2843.8585049182539</v>
      </c>
      <c r="L545" s="5">
        <f t="shared" si="60"/>
        <v>2846.3091380277797</v>
      </c>
      <c r="M545" s="5">
        <f t="shared" si="61"/>
        <v>2846.7169986481458</v>
      </c>
    </row>
    <row r="546" spans="6:13">
      <c r="F546">
        <v>545</v>
      </c>
      <c r="G546" s="5">
        <f t="shared" si="62"/>
        <v>2715.3910793179639</v>
      </c>
      <c r="H546" s="5">
        <f t="shared" si="56"/>
        <v>2780.7736361839111</v>
      </c>
      <c r="I546" s="5">
        <f t="shared" si="57"/>
        <v>2815.6769699537313</v>
      </c>
      <c r="J546" s="5">
        <f t="shared" si="58"/>
        <v>2839.8367584959647</v>
      </c>
      <c r="K546" s="5">
        <f t="shared" si="59"/>
        <v>2849.3275292721269</v>
      </c>
      <c r="L546" s="5">
        <f t="shared" si="60"/>
        <v>2851.7873906454956</v>
      </c>
      <c r="M546" s="5">
        <f t="shared" si="61"/>
        <v>2852.1967875103951</v>
      </c>
    </row>
    <row r="547" spans="6:13">
      <c r="F547">
        <v>546</v>
      </c>
      <c r="G547" s="5">
        <f t="shared" si="62"/>
        <v>2720.3727110120763</v>
      </c>
      <c r="H547" s="5">
        <f t="shared" si="56"/>
        <v>2785.9968443604057</v>
      </c>
      <c r="I547" s="5">
        <f t="shared" si="57"/>
        <v>2821.0303029286174</v>
      </c>
      <c r="J547" s="5">
        <f t="shared" si="58"/>
        <v>2845.2806300253565</v>
      </c>
      <c r="K547" s="5">
        <f t="shared" si="59"/>
        <v>2854.8070711068544</v>
      </c>
      <c r="L547" s="5">
        <f t="shared" si="60"/>
        <v>2857.2761871817697</v>
      </c>
      <c r="M547" s="5">
        <f t="shared" si="61"/>
        <v>2857.6871246940927</v>
      </c>
    </row>
    <row r="548" spans="6:13">
      <c r="F548">
        <v>547</v>
      </c>
      <c r="G548" s="5">
        <f t="shared" si="62"/>
        <v>2725.3634819622321</v>
      </c>
      <c r="H548" s="5">
        <f t="shared" si="56"/>
        <v>2791.2298634410663</v>
      </c>
      <c r="I548" s="5">
        <f t="shared" si="57"/>
        <v>2826.3938139794132</v>
      </c>
      <c r="J548" s="5">
        <f t="shared" si="58"/>
        <v>2850.7349372733306</v>
      </c>
      <c r="K548" s="5">
        <f t="shared" si="59"/>
        <v>2860.2971506486065</v>
      </c>
      <c r="L548" s="5">
        <f t="shared" si="60"/>
        <v>2862.7755479303396</v>
      </c>
      <c r="M548" s="5">
        <f t="shared" si="61"/>
        <v>2863.1880305042346</v>
      </c>
    </row>
    <row r="549" spans="6:13">
      <c r="F549">
        <v>548</v>
      </c>
      <c r="G549" s="5">
        <f t="shared" si="62"/>
        <v>2730.3634089352295</v>
      </c>
      <c r="H549" s="5">
        <f t="shared" si="56"/>
        <v>2796.4727118540009</v>
      </c>
      <c r="I549" s="5">
        <f t="shared" si="57"/>
        <v>2831.767522457284</v>
      </c>
      <c r="J549" s="5">
        <f t="shared" si="58"/>
        <v>2856.1997002448074</v>
      </c>
      <c r="K549" s="5">
        <f t="shared" si="59"/>
        <v>2865.797788162447</v>
      </c>
      <c r="L549" s="5">
        <f t="shared" si="60"/>
        <v>2868.2854932240007</v>
      </c>
      <c r="M549" s="5">
        <f t="shared" si="61"/>
        <v>2868.6995252849006</v>
      </c>
    </row>
    <row r="550" spans="6:13">
      <c r="F550">
        <v>549</v>
      </c>
      <c r="G550" s="5">
        <f t="shared" si="62"/>
        <v>2735.3725087286225</v>
      </c>
      <c r="H550" s="5">
        <f t="shared" si="56"/>
        <v>2801.7254080619314</v>
      </c>
      <c r="I550" s="5">
        <f t="shared" si="57"/>
        <v>2837.1514477501878</v>
      </c>
      <c r="J550" s="5">
        <f t="shared" si="58"/>
        <v>2861.6749389830566</v>
      </c>
      <c r="K550" s="5">
        <f t="shared" si="59"/>
        <v>2871.3090039524122</v>
      </c>
      <c r="L550" s="5">
        <f t="shared" si="60"/>
        <v>2873.8060434346844</v>
      </c>
      <c r="M550" s="5">
        <f t="shared" si="61"/>
        <v>2874.221629419334</v>
      </c>
    </row>
    <row r="551" spans="6:13">
      <c r="F551">
        <v>550</v>
      </c>
      <c r="G551" s="5">
        <f t="shared" si="62"/>
        <v>2740.3907981707862</v>
      </c>
      <c r="H551" s="5">
        <f t="shared" si="56"/>
        <v>2806.9879705622584</v>
      </c>
      <c r="I551" s="5">
        <f t="shared" si="57"/>
        <v>2842.5456092829413</v>
      </c>
      <c r="J551" s="5">
        <f t="shared" si="58"/>
        <v>2867.1606735697715</v>
      </c>
      <c r="K551" s="5">
        <f t="shared" si="59"/>
        <v>2876.8308183615854</v>
      </c>
      <c r="L551" s="5">
        <f t="shared" si="60"/>
        <v>2879.3372189735305</v>
      </c>
      <c r="M551" s="5">
        <f t="shared" si="61"/>
        <v>2879.7543633300133</v>
      </c>
    </row>
    <row r="552" spans="6:13">
      <c r="F552">
        <v>551</v>
      </c>
      <c r="G552" s="5">
        <f t="shared" si="62"/>
        <v>2745.4182941209629</v>
      </c>
      <c r="H552" s="5">
        <f t="shared" si="56"/>
        <v>2812.2604178871261</v>
      </c>
      <c r="I552" s="5">
        <f t="shared" si="57"/>
        <v>2847.9500265172946</v>
      </c>
      <c r="J552" s="5">
        <f t="shared" si="58"/>
        <v>2872.65692412514</v>
      </c>
      <c r="K552" s="5">
        <f t="shared" si="59"/>
        <v>2882.3632517721717</v>
      </c>
      <c r="L552" s="5">
        <f t="shared" si="60"/>
        <v>2884.879040290964</v>
      </c>
      <c r="M552" s="5">
        <f t="shared" si="61"/>
        <v>2885.2977474787303</v>
      </c>
    </row>
    <row r="553" spans="6:13">
      <c r="F553">
        <v>552</v>
      </c>
      <c r="G553" s="5">
        <f t="shared" si="62"/>
        <v>2750.4550134693309</v>
      </c>
      <c r="H553" s="5">
        <f t="shared" si="56"/>
        <v>2817.5427686034882</v>
      </c>
      <c r="I553" s="5">
        <f t="shared" si="57"/>
        <v>2853.3647189519988</v>
      </c>
      <c r="J553" s="5">
        <f t="shared" si="58"/>
        <v>2878.1637108079212</v>
      </c>
      <c r="K553" s="5">
        <f t="shared" si="59"/>
        <v>2887.9063246055721</v>
      </c>
      <c r="L553" s="5">
        <f t="shared" si="60"/>
        <v>2890.4315278767704</v>
      </c>
      <c r="M553" s="5">
        <f t="shared" si="61"/>
        <v>2890.8518023666652</v>
      </c>
    </row>
    <row r="554" spans="6:13">
      <c r="F554">
        <v>553</v>
      </c>
      <c r="G554" s="5">
        <f t="shared" si="62"/>
        <v>2755.5009731370519</v>
      </c>
      <c r="H554" s="5">
        <f t="shared" si="56"/>
        <v>2822.8350413131739</v>
      </c>
      <c r="I554" s="5">
        <f t="shared" si="57"/>
        <v>2858.7897061228782</v>
      </c>
      <c r="J554" s="5">
        <f t="shared" si="58"/>
        <v>2883.6810538155155</v>
      </c>
      <c r="K554" s="5">
        <f t="shared" si="59"/>
        <v>2893.460057322462</v>
      </c>
      <c r="L554" s="5">
        <f t="shared" si="60"/>
        <v>2895.9947022601723</v>
      </c>
      <c r="M554" s="5">
        <f t="shared" si="61"/>
        <v>2896.4165485344597</v>
      </c>
    </row>
    <row r="555" spans="6:13">
      <c r="F555">
        <v>554</v>
      </c>
      <c r="G555" s="5">
        <f t="shared" si="62"/>
        <v>2760.5561900763305</v>
      </c>
      <c r="H555" s="5">
        <f t="shared" si="56"/>
        <v>2828.1372546529519</v>
      </c>
      <c r="I555" s="5">
        <f t="shared" si="57"/>
        <v>2864.2250076028995</v>
      </c>
      <c r="J555" s="5">
        <f t="shared" si="58"/>
        <v>2889.208973384043</v>
      </c>
      <c r="K555" s="5">
        <f t="shared" si="59"/>
        <v>2899.0244704228621</v>
      </c>
      <c r="L555" s="5">
        <f t="shared" si="60"/>
        <v>2901.568584009904</v>
      </c>
      <c r="M555" s="5">
        <f t="shared" si="61"/>
        <v>2901.9920065622964</v>
      </c>
    </row>
    <row r="556" spans="6:13">
      <c r="F556">
        <v>555</v>
      </c>
      <c r="G556" s="5">
        <f t="shared" si="62"/>
        <v>2765.6206812704736</v>
      </c>
      <c r="H556" s="5">
        <f t="shared" si="56"/>
        <v>2833.449427294599</v>
      </c>
      <c r="I556" s="5">
        <f t="shared" si="57"/>
        <v>2869.6706430022414</v>
      </c>
      <c r="J556" s="5">
        <f t="shared" si="58"/>
        <v>2894.7474897884158</v>
      </c>
      <c r="K556" s="5">
        <f t="shared" si="59"/>
        <v>2904.5995844462195</v>
      </c>
      <c r="L556" s="5">
        <f t="shared" si="60"/>
        <v>2907.1531937342884</v>
      </c>
      <c r="M556" s="5">
        <f t="shared" si="61"/>
        <v>2907.5781970699754</v>
      </c>
    </row>
    <row r="557" spans="6:13">
      <c r="F557">
        <v>556</v>
      </c>
      <c r="G557" s="5">
        <f t="shared" si="62"/>
        <v>2770.6944637339438</v>
      </c>
      <c r="H557" s="5">
        <f t="shared" si="56"/>
        <v>2838.7715779449618</v>
      </c>
      <c r="I557" s="5">
        <f t="shared" si="57"/>
        <v>2875.1266319683677</v>
      </c>
      <c r="J557" s="5">
        <f t="shared" si="58"/>
        <v>2900.2966233424108</v>
      </c>
      <c r="K557" s="5">
        <f t="shared" si="59"/>
        <v>2910.185419971479</v>
      </c>
      <c r="L557" s="5">
        <f t="shared" si="60"/>
        <v>2912.7485520813129</v>
      </c>
      <c r="M557" s="5">
        <f t="shared" si="61"/>
        <v>2913.1751407169868</v>
      </c>
    </row>
    <row r="558" spans="6:13">
      <c r="F558">
        <v>557</v>
      </c>
      <c r="G558" s="5">
        <f t="shared" si="62"/>
        <v>2775.7775545124191</v>
      </c>
      <c r="H558" s="5">
        <f t="shared" si="56"/>
        <v>2844.1037253460231</v>
      </c>
      <c r="I558" s="5">
        <f t="shared" si="57"/>
        <v>2880.5929941860973</v>
      </c>
      <c r="J558" s="5">
        <f t="shared" si="58"/>
        <v>2905.8563943987479</v>
      </c>
      <c r="K558" s="5">
        <f t="shared" si="59"/>
        <v>2915.7819976171609</v>
      </c>
      <c r="L558" s="5">
        <f t="shared" si="60"/>
        <v>2918.3546797387053</v>
      </c>
      <c r="M558" s="5">
        <f t="shared" si="61"/>
        <v>2918.7828582025904</v>
      </c>
    </row>
    <row r="559" spans="6:13">
      <c r="F559">
        <v>558</v>
      </c>
      <c r="G559" s="5">
        <f t="shared" si="62"/>
        <v>2780.8699706828511</v>
      </c>
      <c r="H559" s="5">
        <f t="shared" si="56"/>
        <v>2849.4458882749727</v>
      </c>
      <c r="I559" s="5">
        <f t="shared" si="57"/>
        <v>2886.0697493776756</v>
      </c>
      <c r="J559" s="5">
        <f t="shared" si="58"/>
        <v>2911.4268233491598</v>
      </c>
      <c r="K559" s="5">
        <f t="shared" si="59"/>
        <v>2921.3893380414365</v>
      </c>
      <c r="L559" s="5">
        <f t="shared" si="60"/>
        <v>2923.971597434012</v>
      </c>
      <c r="M559" s="5">
        <f t="shared" si="61"/>
        <v>2924.401370265889</v>
      </c>
    </row>
    <row r="560" spans="6:13">
      <c r="F560">
        <v>559</v>
      </c>
      <c r="G560" s="5">
        <f t="shared" si="62"/>
        <v>2785.9717293535159</v>
      </c>
      <c r="H560" s="5">
        <f t="shared" si="56"/>
        <v>2854.7980855442688</v>
      </c>
      <c r="I560" s="5">
        <f t="shared" si="57"/>
        <v>2891.5569173028425</v>
      </c>
      <c r="J560" s="5">
        <f t="shared" si="58"/>
        <v>2917.007930624472</v>
      </c>
      <c r="K560" s="5">
        <f t="shared" si="59"/>
        <v>2927.0074619422066</v>
      </c>
      <c r="L560" s="5">
        <f t="shared" si="60"/>
        <v>2929.5993259346728</v>
      </c>
      <c r="M560" s="5">
        <f t="shared" si="61"/>
        <v>2930.0306976859101</v>
      </c>
    </row>
    <row r="561" spans="6:13">
      <c r="F561">
        <v>560</v>
      </c>
      <c r="G561" s="5">
        <f t="shared" si="62"/>
        <v>2791.0828476640804</v>
      </c>
      <c r="H561" s="5">
        <f t="shared" si="56"/>
        <v>2860.1603360017048</v>
      </c>
      <c r="I561" s="5">
        <f t="shared" si="57"/>
        <v>2897.0545177589092</v>
      </c>
      <c r="J561" s="5">
        <f t="shared" si="58"/>
        <v>2922.5997366946731</v>
      </c>
      <c r="K561" s="5">
        <f t="shared" si="59"/>
        <v>2932.636390057176</v>
      </c>
      <c r="L561" s="5">
        <f t="shared" si="60"/>
        <v>2935.2378860480972</v>
      </c>
      <c r="M561" s="5">
        <f t="shared" si="61"/>
        <v>2935.6708612816774</v>
      </c>
    </row>
    <row r="562" spans="6:13">
      <c r="F562">
        <v>561</v>
      </c>
      <c r="G562" s="5">
        <f t="shared" si="62"/>
        <v>2796.203342785655</v>
      </c>
      <c r="H562" s="5">
        <f t="shared" si="56"/>
        <v>2865.532658530477</v>
      </c>
      <c r="I562" s="5">
        <f t="shared" si="57"/>
        <v>2902.5625705808252</v>
      </c>
      <c r="J562" s="5">
        <f t="shared" si="58"/>
        <v>2928.2022620689932</v>
      </c>
      <c r="K562" s="5">
        <f t="shared" si="59"/>
        <v>2938.2761431639274</v>
      </c>
      <c r="L562" s="5">
        <f t="shared" si="60"/>
        <v>2940.8872986217448</v>
      </c>
      <c r="M562" s="5">
        <f t="shared" si="61"/>
        <v>2941.3218819122922</v>
      </c>
    </row>
    <row r="563" spans="6:13">
      <c r="F563">
        <v>562</v>
      </c>
      <c r="G563" s="5">
        <f t="shared" si="62"/>
        <v>2801.3332319208516</v>
      </c>
      <c r="H563" s="5">
        <f t="shared" si="56"/>
        <v>2870.9150720492507</v>
      </c>
      <c r="I563" s="5">
        <f t="shared" si="57"/>
        <v>2908.0810956412529</v>
      </c>
      <c r="J563" s="5">
        <f t="shared" si="58"/>
        <v>2933.8155272959789</v>
      </c>
      <c r="K563" s="5">
        <f t="shared" si="59"/>
        <v>2943.9267420800024</v>
      </c>
      <c r="L563" s="5">
        <f t="shared" si="60"/>
        <v>2946.547584543197</v>
      </c>
      <c r="M563" s="5">
        <f t="shared" si="61"/>
        <v>2946.9837804770063</v>
      </c>
    </row>
    <row r="564" spans="6:13">
      <c r="F564">
        <v>563</v>
      </c>
      <c r="G564" s="5">
        <f t="shared" si="62"/>
        <v>2806.472532303841</v>
      </c>
      <c r="H564" s="5">
        <f t="shared" si="56"/>
        <v>2876.3075955122263</v>
      </c>
      <c r="I564" s="5">
        <f t="shared" si="57"/>
        <v>2913.6101128506357</v>
      </c>
      <c r="J564" s="5">
        <f t="shared" si="58"/>
        <v>2939.4395529635649</v>
      </c>
      <c r="K564" s="5">
        <f t="shared" si="59"/>
        <v>2949.5882076629796</v>
      </c>
      <c r="L564" s="5">
        <f t="shared" si="60"/>
        <v>2952.2187647402416</v>
      </c>
      <c r="M564" s="5">
        <f t="shared" si="61"/>
        <v>2952.6565779153034</v>
      </c>
    </row>
    <row r="565" spans="6:13">
      <c r="F565">
        <v>564</v>
      </c>
      <c r="G565" s="5">
        <f t="shared" si="62"/>
        <v>2811.6212612004128</v>
      </c>
      <c r="H565" s="5">
        <f t="shared" si="56"/>
        <v>2881.7102479092068</v>
      </c>
      <c r="I565" s="5">
        <f t="shared" si="57"/>
        <v>2919.1496421572733</v>
      </c>
      <c r="J565" s="5">
        <f t="shared" si="58"/>
        <v>2945.0743596991547</v>
      </c>
      <c r="K565" s="5">
        <f t="shared" si="59"/>
        <v>2955.260560810545</v>
      </c>
      <c r="L565" s="5">
        <f t="shared" si="60"/>
        <v>2957.9008601809401</v>
      </c>
      <c r="M565" s="5">
        <f t="shared" si="61"/>
        <v>2958.3402952069732</v>
      </c>
    </row>
    <row r="566" spans="6:13">
      <c r="F566">
        <v>565</v>
      </c>
      <c r="G566" s="5">
        <f t="shared" si="62"/>
        <v>2816.7794359080317</v>
      </c>
      <c r="H566" s="5">
        <f t="shared" ref="H566:H629" si="63">$C$2*(1+$C$1/$D$6)^(F566*$D$6*0.019231)</f>
        <v>2887.1230482656647</v>
      </c>
      <c r="I566" s="5">
        <f t="shared" ref="I566:I629" si="64">$C$2*(1+$C$1/$D$7)^(F566*$D$7*0.019231)</f>
        <v>2924.699703547391</v>
      </c>
      <c r="J566" s="5">
        <f t="shared" ref="J566:J629" si="65">$C$2*(1+$C$1/$D$8)^(F566*$D$8*0.019231)</f>
        <v>2950.7199681696929</v>
      </c>
      <c r="K566" s="5">
        <f t="shared" ref="K566:K629" si="66">$C$2*(1+$C$1/$D$9)^(F566*$D$9*0.019231)</f>
        <v>2960.9438224605733</v>
      </c>
      <c r="L566" s="5">
        <f t="shared" ref="L566:L629" si="67">$C$2*(1+$C$1/$D$10)^(F566*$D$10*0.019231)</f>
        <v>2963.5938918737156</v>
      </c>
      <c r="M566" s="5">
        <f t="shared" ref="M566:M629" si="68">$C$2*EXP($C$1*F566*0.019231)</f>
        <v>2964.0349533721919</v>
      </c>
    </row>
    <row r="567" spans="6:13">
      <c r="F567">
        <v>566</v>
      </c>
      <c r="G567" s="5">
        <f t="shared" si="62"/>
        <v>2821.9470737558986</v>
      </c>
      <c r="H567" s="5">
        <f t="shared" si="63"/>
        <v>2892.5460156428076</v>
      </c>
      <c r="I567" s="5">
        <f t="shared" si="64"/>
        <v>2930.2603170452148</v>
      </c>
      <c r="J567" s="5">
        <f t="shared" si="65"/>
        <v>2956.3763990817406</v>
      </c>
      <c r="K567" s="5">
        <f t="shared" si="66"/>
        <v>2966.6380135912073</v>
      </c>
      <c r="L567" s="5">
        <f t="shared" si="67"/>
        <v>2969.2978808674247</v>
      </c>
      <c r="M567" s="5">
        <f t="shared" si="68"/>
        <v>2969.7405734715976</v>
      </c>
    </row>
    <row r="568" spans="6:13">
      <c r="F568">
        <v>567</v>
      </c>
      <c r="G568" s="5">
        <f t="shared" si="62"/>
        <v>2827.1241921050014</v>
      </c>
      <c r="H568" s="5">
        <f t="shared" si="63"/>
        <v>2897.9791691376467</v>
      </c>
      <c r="I568" s="5">
        <f t="shared" si="64"/>
        <v>2935.8315027130411</v>
      </c>
      <c r="J568" s="5">
        <f t="shared" si="65"/>
        <v>2962.0436731815566</v>
      </c>
      <c r="K568" s="5">
        <f t="shared" si="66"/>
        <v>2972.3431552209317</v>
      </c>
      <c r="L568" s="5">
        <f t="shared" si="67"/>
        <v>2975.0128482514351</v>
      </c>
      <c r="M568" s="5">
        <f t="shared" si="68"/>
        <v>2975.4571766063696</v>
      </c>
    </row>
    <row r="569" spans="6:13">
      <c r="F569">
        <v>568</v>
      </c>
      <c r="G569" s="5">
        <f t="shared" si="62"/>
        <v>2832.3108083481825</v>
      </c>
      <c r="H569" s="5">
        <f t="shared" si="63"/>
        <v>2903.4225278830645</v>
      </c>
      <c r="I569" s="5">
        <f t="shared" si="64"/>
        <v>2941.4132806513103</v>
      </c>
      <c r="J569" s="5">
        <f t="shared" si="65"/>
        <v>2967.721811255165</v>
      </c>
      <c r="K569" s="5">
        <f t="shared" si="66"/>
        <v>2978.0592684086496</v>
      </c>
      <c r="L569" s="5">
        <f t="shared" si="67"/>
        <v>2980.7388151557066</v>
      </c>
      <c r="M569" s="5">
        <f t="shared" si="68"/>
        <v>2981.1847839183047</v>
      </c>
    </row>
    <row r="570" spans="6:13">
      <c r="F570">
        <v>569</v>
      </c>
      <c r="G570" s="5">
        <f t="shared" si="62"/>
        <v>2837.5069399101912</v>
      </c>
      <c r="H570" s="5">
        <f t="shared" si="63"/>
        <v>2908.876111047879</v>
      </c>
      <c r="I570" s="5">
        <f t="shared" si="64"/>
        <v>2947.0056709986793</v>
      </c>
      <c r="J570" s="5">
        <f t="shared" si="65"/>
        <v>2973.4108341284395</v>
      </c>
      <c r="K570" s="5">
        <f t="shared" si="66"/>
        <v>2983.7863742537656</v>
      </c>
      <c r="L570" s="5">
        <f t="shared" si="67"/>
        <v>2986.4758027508651</v>
      </c>
      <c r="M570" s="5">
        <f t="shared" si="68"/>
        <v>2986.9234165898984</v>
      </c>
    </row>
    <row r="571" spans="6:13">
      <c r="F571">
        <v>570</v>
      </c>
      <c r="G571" s="5">
        <f t="shared" si="62"/>
        <v>2842.7126042477462</v>
      </c>
      <c r="H571" s="5">
        <f t="shared" si="63"/>
        <v>2914.3399378369177</v>
      </c>
      <c r="I571" s="5">
        <f t="shared" si="64"/>
        <v>2952.6086939320912</v>
      </c>
      <c r="J571" s="5">
        <f t="shared" si="65"/>
        <v>2979.1107626671746</v>
      </c>
      <c r="K571" s="5">
        <f t="shared" si="66"/>
        <v>2989.5244938962596</v>
      </c>
      <c r="L571" s="5">
        <f t="shared" si="67"/>
        <v>2992.2238322482876</v>
      </c>
      <c r="M571" s="5">
        <f t="shared" si="68"/>
        <v>2992.6730958444195</v>
      </c>
    </row>
    <row r="572" spans="6:13">
      <c r="F572">
        <v>571</v>
      </c>
      <c r="G572" s="5">
        <f t="shared" si="62"/>
        <v>2847.9278188495887</v>
      </c>
      <c r="H572" s="5">
        <f t="shared" si="63"/>
        <v>2919.8140274910756</v>
      </c>
      <c r="I572" s="5">
        <f t="shared" si="64"/>
        <v>2958.2223696668539</v>
      </c>
      <c r="J572" s="5">
        <f t="shared" si="65"/>
        <v>2984.8216177771628</v>
      </c>
      <c r="K572" s="5">
        <f t="shared" si="66"/>
        <v>2995.2736485167666</v>
      </c>
      <c r="L572" s="5">
        <f t="shared" si="67"/>
        <v>2997.9829249001709</v>
      </c>
      <c r="M572" s="5">
        <f t="shared" si="68"/>
        <v>2998.4338429459926</v>
      </c>
    </row>
    <row r="573" spans="6:13">
      <c r="F573">
        <v>572</v>
      </c>
      <c r="G573" s="5">
        <f t="shared" si="62"/>
        <v>2853.1526012365462</v>
      </c>
      <c r="H573" s="5">
        <f t="shared" si="63"/>
        <v>2925.2983992873942</v>
      </c>
      <c r="I573" s="5">
        <f t="shared" si="64"/>
        <v>2963.846718456708</v>
      </c>
      <c r="J573" s="5">
        <f t="shared" si="65"/>
        <v>2990.5434204042749</v>
      </c>
      <c r="K573" s="5">
        <f t="shared" si="66"/>
        <v>3001.03385933665</v>
      </c>
      <c r="L573" s="5">
        <f t="shared" si="67"/>
        <v>3003.75310199962</v>
      </c>
      <c r="M573" s="5">
        <f t="shared" si="68"/>
        <v>3004.2056791996743</v>
      </c>
    </row>
    <row r="574" spans="6:13">
      <c r="F574">
        <v>573</v>
      </c>
      <c r="G574" s="5">
        <f t="shared" si="62"/>
        <v>2858.3869689615908</v>
      </c>
      <c r="H574" s="5">
        <f t="shared" si="63"/>
        <v>2930.7930725391188</v>
      </c>
      <c r="I574" s="5">
        <f t="shared" si="64"/>
        <v>2969.4817605939029</v>
      </c>
      <c r="J574" s="5">
        <f t="shared" si="65"/>
        <v>2996.2761915345336</v>
      </c>
      <c r="K574" s="5">
        <f t="shared" si="66"/>
        <v>3006.8051476180894</v>
      </c>
      <c r="L574" s="5">
        <f t="shared" si="67"/>
        <v>3009.5343848807215</v>
      </c>
      <c r="M574" s="5">
        <f t="shared" si="68"/>
        <v>3009.9886259515297</v>
      </c>
    </row>
    <row r="575" spans="6:13">
      <c r="F575">
        <v>574</v>
      </c>
      <c r="G575" s="5">
        <f t="shared" si="62"/>
        <v>2863.6309396098968</v>
      </c>
      <c r="H575" s="5">
        <f t="shared" si="63"/>
        <v>2936.2980665957743</v>
      </c>
      <c r="I575" s="5">
        <f t="shared" si="64"/>
        <v>2975.127516409269</v>
      </c>
      <c r="J575" s="5">
        <f t="shared" si="65"/>
        <v>3002.0199521941877</v>
      </c>
      <c r="K575" s="5">
        <f t="shared" si="66"/>
        <v>3012.5875346641506</v>
      </c>
      <c r="L575" s="5">
        <f t="shared" si="67"/>
        <v>3015.3267949186211</v>
      </c>
      <c r="M575" s="5">
        <f t="shared" si="68"/>
        <v>3015.7827045887175</v>
      </c>
    </row>
    <row r="576" spans="6:13">
      <c r="F576">
        <v>575</v>
      </c>
      <c r="G576" s="5">
        <f t="shared" si="62"/>
        <v>2868.8845307988986</v>
      </c>
      <c r="H576" s="5">
        <f t="shared" si="63"/>
        <v>2941.8134008432294</v>
      </c>
      <c r="I576" s="5">
        <f t="shared" si="64"/>
        <v>2980.7840062722894</v>
      </c>
      <c r="J576" s="5">
        <f t="shared" si="65"/>
        <v>3007.7747234497983</v>
      </c>
      <c r="K576" s="5">
        <f t="shared" si="66"/>
        <v>3018.3810418188687</v>
      </c>
      <c r="L576" s="5">
        <f t="shared" si="67"/>
        <v>3021.1303535296083</v>
      </c>
      <c r="M576" s="5">
        <f t="shared" si="68"/>
        <v>3021.5879365395635</v>
      </c>
    </row>
    <row r="577" spans="6:13">
      <c r="F577">
        <v>576</v>
      </c>
      <c r="G577" s="5">
        <f t="shared" si="62"/>
        <v>2874.1477601783527</v>
      </c>
      <c r="H577" s="5">
        <f t="shared" si="63"/>
        <v>2947.3390947037656</v>
      </c>
      <c r="I577" s="5">
        <f t="shared" si="64"/>
        <v>2986.4512505911748</v>
      </c>
      <c r="J577" s="5">
        <f t="shared" si="65"/>
        <v>3013.5405264083056</v>
      </c>
      <c r="K577" s="5">
        <f t="shared" si="66"/>
        <v>3024.1856904673245</v>
      </c>
      <c r="L577" s="5">
        <f t="shared" si="67"/>
        <v>3026.9450821711889</v>
      </c>
      <c r="M577" s="5">
        <f t="shared" si="68"/>
        <v>3027.404343273643</v>
      </c>
    </row>
    <row r="578" spans="6:13">
      <c r="F578">
        <v>577</v>
      </c>
      <c r="G578" s="5">
        <f t="shared" si="62"/>
        <v>2879.4206454303953</v>
      </c>
      <c r="H578" s="5">
        <f t="shared" si="63"/>
        <v>2952.8751676361462</v>
      </c>
      <c r="I578" s="5">
        <f t="shared" si="64"/>
        <v>2992.1292698129391</v>
      </c>
      <c r="J578" s="5">
        <f t="shared" si="65"/>
        <v>3019.3173822171138</v>
      </c>
      <c r="K578" s="5">
        <f t="shared" si="66"/>
        <v>3030.0015020357246</v>
      </c>
      <c r="L578" s="5">
        <f t="shared" si="67"/>
        <v>3032.7710023421705</v>
      </c>
      <c r="M578" s="5">
        <f t="shared" si="68"/>
        <v>3033.2319463018598</v>
      </c>
    </row>
    <row r="579" spans="6:13">
      <c r="F579">
        <v>578</v>
      </c>
      <c r="G579" s="5">
        <f t="shared" si="62"/>
        <v>2884.7032042696032</v>
      </c>
      <c r="H579" s="5">
        <f t="shared" si="63"/>
        <v>2958.4216391356854</v>
      </c>
      <c r="I579" s="5">
        <f t="shared" si="64"/>
        <v>2997.8180844234707</v>
      </c>
      <c r="J579" s="5">
        <f t="shared" si="65"/>
        <v>3025.105312064165</v>
      </c>
      <c r="K579" s="5">
        <f t="shared" si="66"/>
        <v>3035.8284979914806</v>
      </c>
      <c r="L579" s="5">
        <f t="shared" si="67"/>
        <v>3038.6081355827382</v>
      </c>
      <c r="M579" s="5">
        <f t="shared" si="68"/>
        <v>3039.0707671765226</v>
      </c>
    </row>
    <row r="580" spans="6:13">
      <c r="F580">
        <v>579</v>
      </c>
      <c r="G580" s="5">
        <f t="shared" ref="G580:G643" si="69">$C$2*(1+$C$1)^(F580*0.019231/$D$5)</f>
        <v>2889.9954544430489</v>
      </c>
      <c r="H580" s="5">
        <f t="shared" si="63"/>
        <v>2963.9785287343129</v>
      </c>
      <c r="I580" s="5">
        <f t="shared" si="64"/>
        <v>3003.5177149476053</v>
      </c>
      <c r="J580" s="5">
        <f t="shared" si="65"/>
        <v>3030.9043371780176</v>
      </c>
      <c r="K580" s="5">
        <f t="shared" si="66"/>
        <v>3041.6666998432893</v>
      </c>
      <c r="L580" s="5">
        <f t="shared" si="67"/>
        <v>3044.4565034745342</v>
      </c>
      <c r="M580" s="5">
        <f t="shared" si="68"/>
        <v>3044.920827491429</v>
      </c>
    </row>
    <row r="581" spans="6:13">
      <c r="F581">
        <v>580</v>
      </c>
      <c r="G581" s="5">
        <f t="shared" si="69"/>
        <v>2895.2974137303677</v>
      </c>
      <c r="H581" s="5">
        <f t="shared" si="63"/>
        <v>2969.5458560006491</v>
      </c>
      <c r="I581" s="5">
        <f t="shared" si="64"/>
        <v>3009.2281819492036</v>
      </c>
      <c r="J581" s="5">
        <f t="shared" si="65"/>
        <v>3036.7144788279252</v>
      </c>
      <c r="K581" s="5">
        <f t="shared" si="66"/>
        <v>3047.5161291412078</v>
      </c>
      <c r="L581" s="5">
        <f t="shared" si="67"/>
        <v>3050.3161276407409</v>
      </c>
      <c r="M581" s="5">
        <f t="shared" si="68"/>
        <v>3050.7821488819436</v>
      </c>
    </row>
    <row r="582" spans="6:13">
      <c r="F582">
        <v>581</v>
      </c>
      <c r="G582" s="5">
        <f t="shared" si="69"/>
        <v>2900.6090999438097</v>
      </c>
      <c r="H582" s="5">
        <f t="shared" si="63"/>
        <v>2975.1236405400696</v>
      </c>
      <c r="I582" s="5">
        <f t="shared" si="64"/>
        <v>3014.9495060312224</v>
      </c>
      <c r="J582" s="5">
        <f t="shared" si="65"/>
        <v>3042.5357583239129</v>
      </c>
      <c r="K582" s="5">
        <f t="shared" si="66"/>
        <v>3053.376807476739</v>
      </c>
      <c r="L582" s="5">
        <f t="shared" si="67"/>
        <v>3056.1870297461555</v>
      </c>
      <c r="M582" s="5">
        <f t="shared" si="68"/>
        <v>3056.6547530250778</v>
      </c>
    </row>
    <row r="583" spans="6:13">
      <c r="F583">
        <v>582</v>
      </c>
      <c r="G583" s="5">
        <f t="shared" si="69"/>
        <v>2905.9305309283072</v>
      </c>
      <c r="H583" s="5">
        <f t="shared" si="63"/>
        <v>2980.711901994775</v>
      </c>
      <c r="I583" s="5">
        <f t="shared" si="64"/>
        <v>3020.6817078357913</v>
      </c>
      <c r="J583" s="5">
        <f t="shared" si="65"/>
        <v>3048.3681970168564</v>
      </c>
      <c r="K583" s="5">
        <f t="shared" si="66"/>
        <v>3059.2487564829075</v>
      </c>
      <c r="L583" s="5">
        <f t="shared" si="67"/>
        <v>3062.0692314972757</v>
      </c>
      <c r="M583" s="5">
        <f t="shared" si="68"/>
        <v>3062.5386616395713</v>
      </c>
    </row>
    <row r="584" spans="6:13">
      <c r="F584">
        <v>583</v>
      </c>
      <c r="G584" s="5">
        <f t="shared" si="69"/>
        <v>2911.2617245615261</v>
      </c>
      <c r="H584" s="5">
        <f t="shared" si="63"/>
        <v>2986.3106600438609</v>
      </c>
      <c r="I584" s="5">
        <f t="shared" si="64"/>
        <v>3026.424808044284</v>
      </c>
      <c r="J584" s="5">
        <f t="shared" si="65"/>
        <v>3054.211816298563</v>
      </c>
      <c r="K584" s="5">
        <f t="shared" si="66"/>
        <v>3065.1319978343399</v>
      </c>
      <c r="L584" s="5">
        <f t="shared" si="67"/>
        <v>3067.9627546423758</v>
      </c>
      <c r="M584" s="5">
        <f t="shared" si="68"/>
        <v>3068.433896485968</v>
      </c>
    </row>
    <row r="585" spans="6:13">
      <c r="F585">
        <v>584</v>
      </c>
      <c r="G585" s="5">
        <f t="shared" si="69"/>
        <v>2916.6026987539331</v>
      </c>
      <c r="H585" s="5">
        <f t="shared" si="63"/>
        <v>2991.9199344033859</v>
      </c>
      <c r="I585" s="5">
        <f t="shared" si="64"/>
        <v>3032.1788273773964</v>
      </c>
      <c r="J585" s="5">
        <f t="shared" si="65"/>
        <v>3060.0666376018435</v>
      </c>
      <c r="K585" s="5">
        <f t="shared" si="66"/>
        <v>3071.026553247345</v>
      </c>
      <c r="L585" s="5">
        <f t="shared" si="67"/>
        <v>3073.8676209715895</v>
      </c>
      <c r="M585" s="5">
        <f t="shared" si="68"/>
        <v>3074.3404793667028</v>
      </c>
    </row>
    <row r="586" spans="6:13">
      <c r="F586">
        <v>585</v>
      </c>
      <c r="G586" s="5">
        <f t="shared" si="69"/>
        <v>2921.9534714488523</v>
      </c>
      <c r="H586" s="5">
        <f t="shared" si="63"/>
        <v>2997.5397448264443</v>
      </c>
      <c r="I586" s="5">
        <f t="shared" si="64"/>
        <v>3037.94378659522</v>
      </c>
      <c r="J586" s="5">
        <f t="shared" si="65"/>
        <v>3065.9326824005971</v>
      </c>
      <c r="K586" s="5">
        <f t="shared" si="66"/>
        <v>3076.9324444799968</v>
      </c>
      <c r="L586" s="5">
        <f t="shared" si="67"/>
        <v>3079.7838523169899</v>
      </c>
      <c r="M586" s="5">
        <f t="shared" si="68"/>
        <v>3080.2584321261779</v>
      </c>
    </row>
    <row r="587" spans="6:13">
      <c r="F587">
        <v>586</v>
      </c>
      <c r="G587" s="5">
        <f t="shared" si="69"/>
        <v>2927.3140606225293</v>
      </c>
      <c r="H587" s="5">
        <f t="shared" si="63"/>
        <v>3003.1701111032289</v>
      </c>
      <c r="I587" s="5">
        <f t="shared" si="64"/>
        <v>3043.7197064973161</v>
      </c>
      <c r="J587" s="5">
        <f t="shared" si="65"/>
        <v>3071.8099722098868</v>
      </c>
      <c r="K587" s="5">
        <f t="shared" si="66"/>
        <v>3082.849693332209</v>
      </c>
      <c r="L587" s="5">
        <f t="shared" si="67"/>
        <v>3085.7114705526697</v>
      </c>
      <c r="M587" s="5">
        <f t="shared" si="68"/>
        <v>3086.187776650846</v>
      </c>
    </row>
    <row r="588" spans="6:13">
      <c r="F588">
        <v>587</v>
      </c>
      <c r="G588" s="5">
        <f t="shared" si="69"/>
        <v>2932.6844842841838</v>
      </c>
      <c r="H588" s="5">
        <f t="shared" si="63"/>
        <v>3008.8110530611079</v>
      </c>
      <c r="I588" s="5">
        <f t="shared" si="64"/>
        <v>3049.50660792279</v>
      </c>
      <c r="J588" s="5">
        <f t="shared" si="65"/>
        <v>3077.6985285860192</v>
      </c>
      <c r="K588" s="5">
        <f t="shared" si="66"/>
        <v>3088.7783216458192</v>
      </c>
      <c r="L588" s="5">
        <f t="shared" si="67"/>
        <v>3091.650497594821</v>
      </c>
      <c r="M588" s="5">
        <f t="shared" si="68"/>
        <v>3092.12853486929</v>
      </c>
    </row>
    <row r="589" spans="6:13">
      <c r="F589">
        <v>588</v>
      </c>
      <c r="G589" s="5">
        <f t="shared" si="69"/>
        <v>2938.0647604760793</v>
      </c>
      <c r="H589" s="5">
        <f t="shared" si="63"/>
        <v>3014.4625905646926</v>
      </c>
      <c r="I589" s="5">
        <f t="shared" si="64"/>
        <v>3055.3045117503698</v>
      </c>
      <c r="J589" s="5">
        <f t="shared" si="65"/>
        <v>3083.5983731266247</v>
      </c>
      <c r="K589" s="5">
        <f t="shared" si="66"/>
        <v>3094.7183513046712</v>
      </c>
      <c r="L589" s="5">
        <f t="shared" si="67"/>
        <v>3097.6009554018206</v>
      </c>
      <c r="M589" s="5">
        <f t="shared" si="68"/>
        <v>3098.0807287523021</v>
      </c>
    </row>
    <row r="590" spans="6:13">
      <c r="F590">
        <v>589</v>
      </c>
      <c r="G590" s="5">
        <f t="shared" si="69"/>
        <v>2943.4549072735767</v>
      </c>
      <c r="H590" s="5">
        <f t="shared" si="63"/>
        <v>3020.1247435159044</v>
      </c>
      <c r="I590" s="5">
        <f t="shared" si="64"/>
        <v>3061.1134388984783</v>
      </c>
      <c r="J590" s="5">
        <f t="shared" si="65"/>
        <v>3089.5095274707332</v>
      </c>
      <c r="K590" s="5">
        <f t="shared" si="66"/>
        <v>3100.6698042346916</v>
      </c>
      <c r="L590" s="5">
        <f t="shared" si="67"/>
        <v>3103.5628659743047</v>
      </c>
      <c r="M590" s="5">
        <f t="shared" si="68"/>
        <v>3104.0443803129697</v>
      </c>
    </row>
    <row r="591" spans="6:13">
      <c r="F591">
        <v>590</v>
      </c>
      <c r="G591" s="5">
        <f t="shared" si="69"/>
        <v>2948.8549427852008</v>
      </c>
      <c r="H591" s="5">
        <f t="shared" si="63"/>
        <v>3025.7975318540489</v>
      </c>
      <c r="I591" s="5">
        <f t="shared" si="64"/>
        <v>3066.9334103253109</v>
      </c>
      <c r="J591" s="5">
        <f t="shared" si="65"/>
        <v>3095.4320132988601</v>
      </c>
      <c r="K591" s="5">
        <f t="shared" si="66"/>
        <v>3106.6327024039742</v>
      </c>
      <c r="L591" s="5">
        <f t="shared" si="67"/>
        <v>3109.5362513552582</v>
      </c>
      <c r="M591" s="5">
        <f t="shared" si="68"/>
        <v>3110.0195116067525</v>
      </c>
    </row>
    <row r="592" spans="6:13">
      <c r="F592">
        <v>591</v>
      </c>
      <c r="G592" s="5">
        <f t="shared" si="69"/>
        <v>2954.2648851526942</v>
      </c>
      <c r="H592" s="5">
        <f t="shared" si="63"/>
        <v>3031.4809755558827</v>
      </c>
      <c r="I592" s="5">
        <f t="shared" si="64"/>
        <v>3072.7644470289069</v>
      </c>
      <c r="J592" s="5">
        <f t="shared" si="65"/>
        <v>3101.3658523330773</v>
      </c>
      <c r="K592" s="5">
        <f t="shared" si="66"/>
        <v>3112.6070678228575</v>
      </c>
      <c r="L592" s="5">
        <f t="shared" si="67"/>
        <v>3115.5211336300881</v>
      </c>
      <c r="M592" s="5">
        <f t="shared" si="68"/>
        <v>3116.006144731567</v>
      </c>
    </row>
    <row r="593" spans="6:13">
      <c r="F593">
        <v>592</v>
      </c>
      <c r="G593" s="5">
        <f t="shared" si="69"/>
        <v>2959.6847525510852</v>
      </c>
      <c r="H593" s="5">
        <f t="shared" si="63"/>
        <v>3037.1750946356851</v>
      </c>
      <c r="I593" s="5">
        <f t="shared" si="64"/>
        <v>3078.6065700472323</v>
      </c>
      <c r="J593" s="5">
        <f t="shared" si="65"/>
        <v>3107.3110663370985</v>
      </c>
      <c r="K593" s="5">
        <f t="shared" si="66"/>
        <v>3118.5929225440113</v>
      </c>
      <c r="L593" s="5">
        <f t="shared" si="67"/>
        <v>3121.5175349267101</v>
      </c>
      <c r="M593" s="5">
        <f t="shared" si="68"/>
        <v>3122.0043018278679</v>
      </c>
    </row>
    <row r="594" spans="6:13">
      <c r="F594">
        <v>593</v>
      </c>
      <c r="G594" s="5">
        <f t="shared" si="69"/>
        <v>2965.1145631887453</v>
      </c>
      <c r="H594" s="5">
        <f t="shared" si="63"/>
        <v>3042.8799091453311</v>
      </c>
      <c r="I594" s="5">
        <f t="shared" si="64"/>
        <v>3084.4598004582485</v>
      </c>
      <c r="J594" s="5">
        <f t="shared" si="65"/>
        <v>3113.2676771163597</v>
      </c>
      <c r="K594" s="5">
        <f t="shared" si="66"/>
        <v>3124.5902886625117</v>
      </c>
      <c r="L594" s="5">
        <f t="shared" si="67"/>
        <v>3127.5254774156301</v>
      </c>
      <c r="M594" s="5">
        <f t="shared" si="68"/>
        <v>3128.0140050787272</v>
      </c>
    </row>
    <row r="595" spans="6:13">
      <c r="F595">
        <v>594</v>
      </c>
      <c r="G595" s="5">
        <f t="shared" si="69"/>
        <v>2970.5543353074495</v>
      </c>
      <c r="H595" s="5">
        <f t="shared" si="63"/>
        <v>3048.5954391743589</v>
      </c>
      <c r="I595" s="5">
        <f t="shared" si="64"/>
        <v>3090.3241593799944</v>
      </c>
      <c r="J595" s="5">
        <f t="shared" si="65"/>
        <v>3119.235706518095</v>
      </c>
      <c r="K595" s="5">
        <f t="shared" si="66"/>
        <v>3130.5991883159272</v>
      </c>
      <c r="L595" s="5">
        <f t="shared" si="67"/>
        <v>3133.5449833100233</v>
      </c>
      <c r="M595" s="5">
        <f t="shared" si="68"/>
        <v>3134.0352767099184</v>
      </c>
    </row>
    <row r="596" spans="6:13">
      <c r="F596">
        <v>595</v>
      </c>
      <c r="G596" s="5">
        <f t="shared" si="69"/>
        <v>2976.0040871824408</v>
      </c>
      <c r="H596" s="5">
        <f t="shared" si="63"/>
        <v>3054.3217048500392</v>
      </c>
      <c r="I596" s="5">
        <f t="shared" si="64"/>
        <v>3096.1996679706563</v>
      </c>
      <c r="J596" s="5">
        <f t="shared" si="65"/>
        <v>3125.2151764314185</v>
      </c>
      <c r="K596" s="5">
        <f t="shared" si="66"/>
        <v>3136.6196436844007</v>
      </c>
      <c r="L596" s="5">
        <f t="shared" si="67"/>
        <v>3139.5760748658208</v>
      </c>
      <c r="M596" s="5">
        <f t="shared" si="68"/>
        <v>3140.0681389899996</v>
      </c>
    </row>
    <row r="597" spans="6:13">
      <c r="F597">
        <v>596</v>
      </c>
      <c r="G597" s="5">
        <f t="shared" si="69"/>
        <v>2981.4638371224887</v>
      </c>
      <c r="H597" s="5">
        <f t="shared" si="63"/>
        <v>3060.0587263374505</v>
      </c>
      <c r="I597" s="5">
        <f t="shared" si="64"/>
        <v>3102.0863474286516</v>
      </c>
      <c r="J597" s="5">
        <f t="shared" si="65"/>
        <v>3131.2061087874076</v>
      </c>
      <c r="K597" s="5">
        <f t="shared" si="66"/>
        <v>3142.6516769907257</v>
      </c>
      <c r="L597" s="5">
        <f t="shared" si="67"/>
        <v>3145.6187743817873</v>
      </c>
      <c r="M597" s="5">
        <f t="shared" si="68"/>
        <v>3146.1126142303951</v>
      </c>
    </row>
    <row r="598" spans="6:13">
      <c r="F598">
        <v>597</v>
      </c>
      <c r="G598" s="5">
        <f t="shared" si="69"/>
        <v>2986.9336034699527</v>
      </c>
      <c r="H598" s="5">
        <f t="shared" si="63"/>
        <v>3065.8065238395475</v>
      </c>
      <c r="I598" s="5">
        <f t="shared" si="64"/>
        <v>3107.9842189926976</v>
      </c>
      <c r="J598" s="5">
        <f t="shared" si="65"/>
        <v>3137.2085255591783</v>
      </c>
      <c r="K598" s="5">
        <f t="shared" si="66"/>
        <v>3148.6953105004359</v>
      </c>
      <c r="L598" s="5">
        <f t="shared" si="67"/>
        <v>3151.6731041996068</v>
      </c>
      <c r="M598" s="5">
        <f t="shared" si="68"/>
        <v>3152.1687247854766</v>
      </c>
    </row>
    <row r="599" spans="6:13">
      <c r="F599">
        <v>598</v>
      </c>
      <c r="G599" s="5">
        <f t="shared" si="69"/>
        <v>2992.4134046008421</v>
      </c>
      <c r="H599" s="5">
        <f t="shared" si="63"/>
        <v>3071.5651175972339</v>
      </c>
      <c r="I599" s="5">
        <f t="shared" si="64"/>
        <v>3113.8933039418962</v>
      </c>
      <c r="J599" s="5">
        <f t="shared" si="65"/>
        <v>3143.2224487619696</v>
      </c>
      <c r="K599" s="5">
        <f t="shared" si="66"/>
        <v>3154.7505665218832</v>
      </c>
      <c r="L599" s="5">
        <f t="shared" si="67"/>
        <v>3157.7390867039626</v>
      </c>
      <c r="M599" s="5">
        <f t="shared" si="68"/>
        <v>3158.2364930526464</v>
      </c>
    </row>
    <row r="600" spans="6:13">
      <c r="F600">
        <v>599</v>
      </c>
      <c r="G600" s="5">
        <f t="shared" si="69"/>
        <v>2997.9032589248791</v>
      </c>
      <c r="H600" s="5">
        <f t="shared" si="63"/>
        <v>3077.3345278894294</v>
      </c>
      <c r="I600" s="5">
        <f t="shared" si="64"/>
        <v>3119.8136235958013</v>
      </c>
      <c r="J600" s="5">
        <f t="shared" si="65"/>
        <v>3149.2479004532224</v>
      </c>
      <c r="K600" s="5">
        <f t="shared" si="66"/>
        <v>3160.8174674063193</v>
      </c>
      <c r="L600" s="5">
        <f t="shared" si="67"/>
        <v>3163.8167443226243</v>
      </c>
      <c r="M600" s="5">
        <f t="shared" si="68"/>
        <v>3164.3159414724219</v>
      </c>
    </row>
    <row r="601" spans="6:13">
      <c r="F601">
        <v>600</v>
      </c>
      <c r="G601" s="5">
        <f t="shared" si="69"/>
        <v>3003.4031848855589</v>
      </c>
      <c r="H601" s="5">
        <f t="shared" si="63"/>
        <v>3083.114775033147</v>
      </c>
      <c r="I601" s="5">
        <f t="shared" si="64"/>
        <v>3125.7451993145055</v>
      </c>
      <c r="J601" s="5">
        <f t="shared" si="65"/>
        <v>3155.2849027326615</v>
      </c>
      <c r="K601" s="5">
        <f t="shared" si="66"/>
        <v>3166.8960355479799</v>
      </c>
      <c r="L601" s="5">
        <f t="shared" si="67"/>
        <v>3169.906099526524</v>
      </c>
      <c r="M601" s="5">
        <f t="shared" si="68"/>
        <v>3170.4070925285164</v>
      </c>
    </row>
    <row r="602" spans="6:13">
      <c r="F602">
        <v>601</v>
      </c>
      <c r="G602" s="5">
        <f t="shared" si="69"/>
        <v>3008.9132009602158</v>
      </c>
      <c r="H602" s="5">
        <f t="shared" si="63"/>
        <v>3088.9058793835607</v>
      </c>
      <c r="I602" s="5">
        <f t="shared" si="64"/>
        <v>3131.6880524987096</v>
      </c>
      <c r="J602" s="5">
        <f t="shared" si="65"/>
        <v>3161.3334777423765</v>
      </c>
      <c r="K602" s="5">
        <f t="shared" si="66"/>
        <v>3172.98629338417</v>
      </c>
      <c r="L602" s="5">
        <f t="shared" si="67"/>
        <v>3176.0071748298478</v>
      </c>
      <c r="M602" s="5">
        <f t="shared" si="68"/>
        <v>3176.5099687479242</v>
      </c>
    </row>
    <row r="603" spans="6:13">
      <c r="F603">
        <v>602</v>
      </c>
      <c r="G603" s="5">
        <f t="shared" si="69"/>
        <v>3014.4333256600808</v>
      </c>
      <c r="H603" s="5">
        <f t="shared" si="63"/>
        <v>3094.7078613340791</v>
      </c>
      <c r="I603" s="5">
        <f t="shared" si="64"/>
        <v>3137.6422045898039</v>
      </c>
      <c r="J603" s="5">
        <f t="shared" si="65"/>
        <v>3167.3936476669014</v>
      </c>
      <c r="K603" s="5">
        <f t="shared" si="66"/>
        <v>3179.0882633953393</v>
      </c>
      <c r="L603" s="5">
        <f t="shared" si="67"/>
        <v>3182.1199927901089</v>
      </c>
      <c r="M603" s="5">
        <f t="shared" si="68"/>
        <v>3182.6245927010032</v>
      </c>
    </row>
    <row r="604" spans="6:13">
      <c r="F604">
        <v>603</v>
      </c>
      <c r="G604" s="5">
        <f t="shared" si="69"/>
        <v>3019.9635775303436</v>
      </c>
      <c r="H604" s="5">
        <f t="shared" si="63"/>
        <v>3100.5207413164144</v>
      </c>
      <c r="I604" s="5">
        <f t="shared" si="64"/>
        <v>3143.6076770699433</v>
      </c>
      <c r="J604" s="5">
        <f t="shared" si="65"/>
        <v>3173.4654347332971</v>
      </c>
      <c r="K604" s="5">
        <f t="shared" si="66"/>
        <v>3185.2019681051725</v>
      </c>
      <c r="L604" s="5">
        <f t="shared" si="67"/>
        <v>3188.2445760082437</v>
      </c>
      <c r="M604" s="5">
        <f t="shared" si="68"/>
        <v>3188.7509870015551</v>
      </c>
    </row>
    <row r="605" spans="6:13">
      <c r="F605">
        <v>604</v>
      </c>
      <c r="G605" s="5">
        <f t="shared" si="69"/>
        <v>3025.50397515022</v>
      </c>
      <c r="H605" s="5">
        <f t="shared" si="63"/>
        <v>3106.3445398006575</v>
      </c>
      <c r="I605" s="5">
        <f t="shared" si="64"/>
        <v>3149.5844914621275</v>
      </c>
      <c r="J605" s="5">
        <f t="shared" si="65"/>
        <v>3179.5488612112354</v>
      </c>
      <c r="K605" s="5">
        <f t="shared" si="66"/>
        <v>3191.3274300806684</v>
      </c>
      <c r="L605" s="5">
        <f t="shared" si="67"/>
        <v>3194.3809471286827</v>
      </c>
      <c r="M605" s="5">
        <f t="shared" si="68"/>
        <v>3194.8891743069162</v>
      </c>
    </row>
    <row r="606" spans="6:13">
      <c r="F606">
        <v>605</v>
      </c>
      <c r="G606" s="5">
        <f t="shared" si="69"/>
        <v>3031.0545371330095</v>
      </c>
      <c r="H606" s="5">
        <f t="shared" si="63"/>
        <v>3112.179277295349</v>
      </c>
      <c r="I606" s="5">
        <f t="shared" si="64"/>
        <v>3155.5726693302749</v>
      </c>
      <c r="J606" s="5">
        <f t="shared" si="65"/>
        <v>3185.6439494130746</v>
      </c>
      <c r="K606" s="5">
        <f t="shared" si="66"/>
        <v>3197.4646719322259</v>
      </c>
      <c r="L606" s="5">
        <f t="shared" si="67"/>
        <v>3200.5291288394424</v>
      </c>
      <c r="M606" s="5">
        <f t="shared" si="68"/>
        <v>3201.0391773180345</v>
      </c>
    </row>
    <row r="607" spans="6:13">
      <c r="F607">
        <v>606</v>
      </c>
      <c r="G607" s="5">
        <f t="shared" si="69"/>
        <v>3036.6152821261603</v>
      </c>
      <c r="H607" s="5">
        <f t="shared" si="63"/>
        <v>3118.024974347552</v>
      </c>
      <c r="I607" s="5">
        <f t="shared" si="64"/>
        <v>3161.5722322793063</v>
      </c>
      <c r="J607" s="5">
        <f t="shared" si="65"/>
        <v>3191.7507216939493</v>
      </c>
      <c r="K607" s="5">
        <f t="shared" si="66"/>
        <v>3203.6137163137241</v>
      </c>
      <c r="L607" s="5">
        <f t="shared" si="67"/>
        <v>3206.6891438722041</v>
      </c>
      <c r="M607" s="5">
        <f t="shared" si="68"/>
        <v>3207.2010187795568</v>
      </c>
    </row>
    <row r="608" spans="6:13">
      <c r="F608">
        <v>607</v>
      </c>
      <c r="G608" s="5">
        <f t="shared" si="69"/>
        <v>3042.1862288113289</v>
      </c>
      <c r="H608" s="5">
        <f t="shared" si="63"/>
        <v>3123.8816515429216</v>
      </c>
      <c r="I608" s="5">
        <f t="shared" si="64"/>
        <v>3167.5832019552131</v>
      </c>
      <c r="J608" s="5">
        <f t="shared" si="65"/>
        <v>3197.8692004518448</v>
      </c>
      <c r="K608" s="5">
        <f t="shared" si="66"/>
        <v>3209.7745859226075</v>
      </c>
      <c r="L608" s="5">
        <f t="shared" si="67"/>
        <v>3212.8610150024047</v>
      </c>
      <c r="M608" s="5">
        <f t="shared" si="68"/>
        <v>3213.3747214799137</v>
      </c>
    </row>
    <row r="609" spans="6:13">
      <c r="F609">
        <v>608</v>
      </c>
      <c r="G609" s="5">
        <f t="shared" si="69"/>
        <v>3047.7673959044473</v>
      </c>
      <c r="H609" s="5">
        <f t="shared" si="63"/>
        <v>3129.7493295057807</v>
      </c>
      <c r="I609" s="5">
        <f t="shared" si="64"/>
        <v>3173.6056000451467</v>
      </c>
      <c r="J609" s="5">
        <f t="shared" si="65"/>
        <v>3203.9994081276827</v>
      </c>
      <c r="K609" s="5">
        <f t="shared" si="66"/>
        <v>3215.9473034999737</v>
      </c>
      <c r="L609" s="5">
        <f t="shared" si="67"/>
        <v>3219.044765049312</v>
      </c>
      <c r="M609" s="5">
        <f t="shared" si="68"/>
        <v>3219.5603082513985</v>
      </c>
    </row>
    <row r="610" spans="6:13">
      <c r="F610">
        <v>609</v>
      </c>
      <c r="G610" s="5">
        <f t="shared" si="69"/>
        <v>3053.3588021557821</v>
      </c>
      <c r="H610" s="5">
        <f t="shared" si="63"/>
        <v>3135.6280288991925</v>
      </c>
      <c r="I610" s="5">
        <f t="shared" si="64"/>
        <v>3179.639448277489</v>
      </c>
      <c r="J610" s="5">
        <f t="shared" si="65"/>
        <v>3210.1413672054068</v>
      </c>
      <c r="K610" s="5">
        <f t="shared" si="66"/>
        <v>3222.1318918306497</v>
      </c>
      <c r="L610" s="5">
        <f t="shared" si="67"/>
        <v>3225.2404168761186</v>
      </c>
      <c r="M610" s="5">
        <f t="shared" si="68"/>
        <v>3225.7578019702592</v>
      </c>
    </row>
    <row r="611" spans="6:13">
      <c r="F611">
        <v>610</v>
      </c>
      <c r="G611" s="5">
        <f t="shared" si="69"/>
        <v>3058.9604663500004</v>
      </c>
      <c r="H611" s="5">
        <f t="shared" si="63"/>
        <v>3141.5177704250304</v>
      </c>
      <c r="I611" s="5">
        <f t="shared" si="64"/>
        <v>3185.6847684219338</v>
      </c>
      <c r="J611" s="5">
        <f t="shared" si="65"/>
        <v>3216.2951002120562</v>
      </c>
      <c r="K611" s="5">
        <f t="shared" si="66"/>
        <v>3228.3283737432807</v>
      </c>
      <c r="L611" s="5">
        <f t="shared" si="67"/>
        <v>3231.4479933900157</v>
      </c>
      <c r="M611" s="5">
        <f t="shared" si="68"/>
        <v>3231.967225556778</v>
      </c>
    </row>
    <row r="612" spans="6:13">
      <c r="F612">
        <v>611</v>
      </c>
      <c r="G612" s="5">
        <f t="shared" si="69"/>
        <v>3064.5724073062293</v>
      </c>
      <c r="H612" s="5">
        <f t="shared" si="63"/>
        <v>3147.4185748240543</v>
      </c>
      <c r="I612" s="5">
        <f t="shared" si="64"/>
        <v>3191.7415822895637</v>
      </c>
      <c r="J612" s="5">
        <f t="shared" si="65"/>
        <v>3222.4606297178584</v>
      </c>
      <c r="K612" s="5">
        <f t="shared" si="66"/>
        <v>3234.5367721104158</v>
      </c>
      <c r="L612" s="5">
        <f t="shared" si="67"/>
        <v>3237.6675175422902</v>
      </c>
      <c r="M612" s="5">
        <f t="shared" si="68"/>
        <v>3238.1886019753579</v>
      </c>
    </row>
    <row r="613" spans="6:13">
      <c r="F613">
        <v>612</v>
      </c>
      <c r="G613" s="5">
        <f t="shared" si="69"/>
        <v>3070.1946438781233</v>
      </c>
      <c r="H613" s="5">
        <f t="shared" si="63"/>
        <v>3153.3304628759811</v>
      </c>
      <c r="I613" s="5">
        <f t="shared" si="64"/>
        <v>3197.8099117329311</v>
      </c>
      <c r="J613" s="5">
        <f t="shared" si="65"/>
        <v>3228.6379783363054</v>
      </c>
      <c r="K613" s="5">
        <f t="shared" si="66"/>
        <v>3240.7571098485896</v>
      </c>
      <c r="L613" s="5">
        <f t="shared" si="67"/>
        <v>3243.899012328397</v>
      </c>
      <c r="M613" s="5">
        <f t="shared" si="68"/>
        <v>3244.4219542346082</v>
      </c>
    </row>
    <row r="614" spans="6:13">
      <c r="F614">
        <v>613</v>
      </c>
      <c r="G614" s="5">
        <f t="shared" si="69"/>
        <v>3075.8271949539248</v>
      </c>
      <c r="H614" s="5">
        <f t="shared" si="63"/>
        <v>3159.2534553995588</v>
      </c>
      <c r="I614" s="5">
        <f t="shared" si="64"/>
        <v>3203.8897786461362</v>
      </c>
      <c r="J614" s="5">
        <f t="shared" si="65"/>
        <v>3234.8271687242373</v>
      </c>
      <c r="K614" s="5">
        <f t="shared" si="66"/>
        <v>3246.9894099184039</v>
      </c>
      <c r="L614" s="5">
        <f t="shared" si="67"/>
        <v>3250.1425007880543</v>
      </c>
      <c r="M614" s="5">
        <f t="shared" si="68"/>
        <v>3250.6673053874256</v>
      </c>
    </row>
    <row r="615" spans="6:13">
      <c r="F615">
        <v>614</v>
      </c>
      <c r="G615" s="5">
        <f t="shared" si="69"/>
        <v>3081.4700794565288</v>
      </c>
      <c r="H615" s="5">
        <f t="shared" si="63"/>
        <v>3165.187573252641</v>
      </c>
      <c r="I615" s="5">
        <f t="shared" si="64"/>
        <v>3209.981204964904</v>
      </c>
      <c r="J615" s="5">
        <f t="shared" si="65"/>
        <v>3241.0282235819295</v>
      </c>
      <c r="K615" s="5">
        <f t="shared" si="66"/>
        <v>3253.2336953246213</v>
      </c>
      <c r="L615" s="5">
        <f t="shared" si="67"/>
        <v>3256.3980060053218</v>
      </c>
      <c r="M615" s="5">
        <f t="shared" si="68"/>
        <v>3256.9246785310847</v>
      </c>
    </row>
    <row r="616" spans="6:13">
      <c r="F616">
        <v>615</v>
      </c>
      <c r="G616" s="5">
        <f t="shared" si="69"/>
        <v>3087.1233163435459</v>
      </c>
      <c r="H616" s="5">
        <f t="shared" si="63"/>
        <v>3171.1328373322572</v>
      </c>
      <c r="I616" s="5">
        <f t="shared" si="64"/>
        <v>3216.0842126666657</v>
      </c>
      <c r="J616" s="5">
        <f t="shared" si="65"/>
        <v>3247.2411656531694</v>
      </c>
      <c r="K616" s="5">
        <f t="shared" si="66"/>
        <v>3259.4899891162418</v>
      </c>
      <c r="L616" s="5">
        <f t="shared" si="67"/>
        <v>3262.6655511086919</v>
      </c>
      <c r="M616" s="5">
        <f t="shared" si="68"/>
        <v>3263.1940968073222</v>
      </c>
    </row>
    <row r="617" spans="6:13">
      <c r="F617">
        <v>616</v>
      </c>
      <c r="G617" s="5">
        <f t="shared" si="69"/>
        <v>3092.7869246073656</v>
      </c>
      <c r="H617" s="5">
        <f t="shared" si="63"/>
        <v>3177.0892685746903</v>
      </c>
      <c r="I617" s="5">
        <f t="shared" si="64"/>
        <v>3222.1988237706373</v>
      </c>
      <c r="J617" s="5">
        <f t="shared" si="65"/>
        <v>3253.4660177253468</v>
      </c>
      <c r="K617" s="5">
        <f t="shared" si="66"/>
        <v>3265.7583143865918</v>
      </c>
      <c r="L617" s="5">
        <f t="shared" si="67"/>
        <v>3268.9451592711689</v>
      </c>
      <c r="M617" s="5">
        <f t="shared" si="68"/>
        <v>3269.4755834024186</v>
      </c>
    </row>
    <row r="618" spans="6:13">
      <c r="F618">
        <v>617</v>
      </c>
      <c r="G618" s="5">
        <f t="shared" si="69"/>
        <v>3098.4609232752214</v>
      </c>
      <c r="H618" s="5">
        <f t="shared" si="63"/>
        <v>3183.0568879555485</v>
      </c>
      <c r="I618" s="5">
        <f t="shared" si="64"/>
        <v>3228.3250603378992</v>
      </c>
      <c r="J618" s="5">
        <f t="shared" si="65"/>
        <v>3259.7028026295334</v>
      </c>
      <c r="K618" s="5">
        <f t="shared" si="66"/>
        <v>3272.0386942734081</v>
      </c>
      <c r="L618" s="5">
        <f t="shared" si="67"/>
        <v>3275.2368537103598</v>
      </c>
      <c r="M618" s="5">
        <f t="shared" si="68"/>
        <v>3275.76916154729</v>
      </c>
    </row>
    <row r="619" spans="6:13">
      <c r="F619">
        <v>618</v>
      </c>
      <c r="G619" s="5">
        <f t="shared" si="69"/>
        <v>3104.1453314092546</v>
      </c>
      <c r="H619" s="5">
        <f t="shared" si="63"/>
        <v>3189.0357164898373</v>
      </c>
      <c r="I619" s="5">
        <f t="shared" si="64"/>
        <v>3234.4629444714756</v>
      </c>
      <c r="J619" s="5">
        <f t="shared" si="65"/>
        <v>3265.9515432405647</v>
      </c>
      <c r="K619" s="5">
        <f t="shared" si="66"/>
        <v>3278.3311519589238</v>
      </c>
      <c r="L619" s="5">
        <f t="shared" si="67"/>
        <v>3281.5406576885562</v>
      </c>
      <c r="M619" s="5">
        <f t="shared" si="68"/>
        <v>3282.0748545175684</v>
      </c>
    </row>
    <row r="620" spans="6:13">
      <c r="F620">
        <v>619</v>
      </c>
      <c r="G620" s="5">
        <f t="shared" si="69"/>
        <v>3109.8401681065752</v>
      </c>
      <c r="H620" s="5">
        <f t="shared" si="63"/>
        <v>3195.0257752320358</v>
      </c>
      <c r="I620" s="5">
        <f t="shared" si="64"/>
        <v>3240.6124983164141</v>
      </c>
      <c r="J620" s="5">
        <f t="shared" si="65"/>
        <v>3272.2122624771314</v>
      </c>
      <c r="K620" s="5">
        <f t="shared" si="66"/>
        <v>3284.6357106699547</v>
      </c>
      <c r="L620" s="5">
        <f t="shared" si="67"/>
        <v>3287.8565945128253</v>
      </c>
      <c r="M620" s="5">
        <f t="shared" si="68"/>
        <v>3288.3926856336907</v>
      </c>
    </row>
    <row r="621" spans="6:13">
      <c r="F621">
        <v>620</v>
      </c>
      <c r="G621" s="5">
        <f t="shared" si="69"/>
        <v>3115.5454524993306</v>
      </c>
      <c r="H621" s="5">
        <f t="shared" si="63"/>
        <v>3201.0270852761719</v>
      </c>
      <c r="I621" s="5">
        <f t="shared" si="64"/>
        <v>3246.7737440598653</v>
      </c>
      <c r="J621" s="5">
        <f t="shared" si="65"/>
        <v>3278.4849833018529</v>
      </c>
      <c r="K621" s="5">
        <f t="shared" si="66"/>
        <v>3290.9523936779819</v>
      </c>
      <c r="L621" s="5">
        <f t="shared" si="67"/>
        <v>3294.1846875350907</v>
      </c>
      <c r="M621" s="5">
        <f t="shared" si="68"/>
        <v>3294.7226782609855</v>
      </c>
    </row>
    <row r="622" spans="6:13">
      <c r="F622">
        <v>621</v>
      </c>
      <c r="G622" s="5">
        <f t="shared" si="69"/>
        <v>3121.2612037547683</v>
      </c>
      <c r="H622" s="5">
        <f t="shared" si="63"/>
        <v>3207.0396677558938</v>
      </c>
      <c r="I622" s="5">
        <f t="shared" si="64"/>
        <v>3252.9467039311648</v>
      </c>
      <c r="J622" s="5">
        <f t="shared" si="65"/>
        <v>3284.7697287213709</v>
      </c>
      <c r="K622" s="5">
        <f t="shared" si="66"/>
        <v>3297.2812242992422</v>
      </c>
      <c r="L622" s="5">
        <f t="shared" si="67"/>
        <v>3300.5249601522223</v>
      </c>
      <c r="M622" s="5">
        <f t="shared" si="68"/>
        <v>3301.0648558097573</v>
      </c>
    </row>
    <row r="623" spans="6:13">
      <c r="F623">
        <v>622</v>
      </c>
      <c r="G623" s="5">
        <f t="shared" si="69"/>
        <v>3126.9874410752991</v>
      </c>
      <c r="H623" s="5">
        <f t="shared" si="63"/>
        <v>3213.0635438445456</v>
      </c>
      <c r="I623" s="5">
        <f t="shared" si="64"/>
        <v>3259.1314002019117</v>
      </c>
      <c r="J623" s="5">
        <f t="shared" si="65"/>
        <v>3291.0665217864303</v>
      </c>
      <c r="K623" s="5">
        <f t="shared" si="66"/>
        <v>3303.6222258948105</v>
      </c>
      <c r="L623" s="5">
        <f t="shared" si="67"/>
        <v>3306.87743580612</v>
      </c>
      <c r="M623" s="5">
        <f t="shared" si="68"/>
        <v>3307.419241735377</v>
      </c>
    </row>
    <row r="624" spans="6:13">
      <c r="F624">
        <v>623</v>
      </c>
      <c r="G624" s="5">
        <f t="shared" si="69"/>
        <v>3132.7241836985604</v>
      </c>
      <c r="H624" s="5">
        <f t="shared" si="63"/>
        <v>3219.0987347552423</v>
      </c>
      <c r="I624" s="5">
        <f t="shared" si="64"/>
        <v>3265.3278551860471</v>
      </c>
      <c r="J624" s="5">
        <f t="shared" si="65"/>
        <v>3297.3753855919608</v>
      </c>
      <c r="K624" s="5">
        <f t="shared" si="66"/>
        <v>3309.9754218706876</v>
      </c>
      <c r="L624" s="5">
        <f t="shared" si="67"/>
        <v>3313.2421379838056</v>
      </c>
      <c r="M624" s="5">
        <f t="shared" si="68"/>
        <v>3313.7858595383609</v>
      </c>
    </row>
    <row r="625" spans="6:13">
      <c r="F625">
        <v>624</v>
      </c>
      <c r="G625" s="5">
        <f t="shared" si="69"/>
        <v>3138.4714508974876</v>
      </c>
      <c r="H625" s="5">
        <f t="shared" si="63"/>
        <v>3225.1452617409441</v>
      </c>
      <c r="I625" s="5">
        <f t="shared" si="64"/>
        <v>3271.5360912399378</v>
      </c>
      <c r="J625" s="5">
        <f t="shared" si="65"/>
        <v>3303.6963432771659</v>
      </c>
      <c r="K625" s="5">
        <f t="shared" si="66"/>
        <v>3316.3408356778882</v>
      </c>
      <c r="L625" s="5">
        <f t="shared" si="67"/>
        <v>3319.6190902175013</v>
      </c>
      <c r="M625" s="5">
        <f t="shared" si="68"/>
        <v>3320.1647327644664</v>
      </c>
    </row>
    <row r="626" spans="6:13">
      <c r="F626">
        <v>625</v>
      </c>
      <c r="G626" s="5">
        <f t="shared" si="69"/>
        <v>3144.2292619803693</v>
      </c>
      <c r="H626" s="5">
        <f t="shared" si="63"/>
        <v>3231.20314609453</v>
      </c>
      <c r="I626" s="5">
        <f t="shared" si="64"/>
        <v>3277.7561307624578</v>
      </c>
      <c r="J626" s="5">
        <f t="shared" si="65"/>
        <v>3310.0294180256069</v>
      </c>
      <c r="K626" s="5">
        <f t="shared" si="66"/>
        <v>3322.7184908125214</v>
      </c>
      <c r="L626" s="5">
        <f t="shared" si="67"/>
        <v>3326.0083160847257</v>
      </c>
      <c r="M626" s="5">
        <f t="shared" si="68"/>
        <v>3326.5558850047755</v>
      </c>
    </row>
    <row r="627" spans="6:13">
      <c r="F627">
        <v>626</v>
      </c>
      <c r="G627" s="5">
        <f t="shared" si="69"/>
        <v>3149.9976362909192</v>
      </c>
      <c r="H627" s="5">
        <f t="shared" si="63"/>
        <v>3237.2724091488772</v>
      </c>
      <c r="I627" s="5">
        <f t="shared" si="64"/>
        <v>3283.9879961950651</v>
      </c>
      <c r="J627" s="5">
        <f t="shared" si="65"/>
        <v>3316.3746330652848</v>
      </c>
      <c r="K627" s="5">
        <f t="shared" si="66"/>
        <v>3329.1084108158848</v>
      </c>
      <c r="L627" s="5">
        <f t="shared" si="67"/>
        <v>3332.4098392083729</v>
      </c>
      <c r="M627" s="5">
        <f t="shared" si="68"/>
        <v>3332.95933989578</v>
      </c>
    </row>
    <row r="628" spans="6:13">
      <c r="F628">
        <v>627</v>
      </c>
      <c r="G628" s="5">
        <f t="shared" si="69"/>
        <v>3155.7765932083389</v>
      </c>
      <c r="H628" s="5">
        <f t="shared" si="63"/>
        <v>3243.3530722769297</v>
      </c>
      <c r="I628" s="5">
        <f t="shared" si="64"/>
        <v>3290.2317100218847</v>
      </c>
      <c r="J628" s="5">
        <f t="shared" si="65"/>
        <v>3322.7320116687315</v>
      </c>
      <c r="K628" s="5">
        <f t="shared" si="66"/>
        <v>3335.5106192745498</v>
      </c>
      <c r="L628" s="5">
        <f t="shared" si="67"/>
        <v>3338.8236832568077</v>
      </c>
      <c r="M628" s="5">
        <f t="shared" si="68"/>
        <v>3339.3751211194722</v>
      </c>
    </row>
    <row r="629" spans="6:13">
      <c r="F629">
        <v>628</v>
      </c>
      <c r="G629" s="5">
        <f t="shared" si="69"/>
        <v>3161.5661521473817</v>
      </c>
      <c r="H629" s="5">
        <f t="shared" si="63"/>
        <v>3249.445156891778</v>
      </c>
      <c r="I629" s="5">
        <f t="shared" si="64"/>
        <v>3296.4872947697913</v>
      </c>
      <c r="J629" s="5">
        <f t="shared" si="65"/>
        <v>3329.1015771530888</v>
      </c>
      <c r="K629" s="5">
        <f t="shared" si="66"/>
        <v>3341.9251398204428</v>
      </c>
      <c r="L629" s="5">
        <f t="shared" si="67"/>
        <v>3345.2498719439459</v>
      </c>
      <c r="M629" s="5">
        <f t="shared" si="68"/>
        <v>3345.8032524034293</v>
      </c>
    </row>
    <row r="630" spans="6:13">
      <c r="F630">
        <v>629</v>
      </c>
      <c r="G630" s="5">
        <f t="shared" si="69"/>
        <v>3167.3663325584193</v>
      </c>
      <c r="H630" s="5">
        <f t="shared" ref="H630:H693" si="70">$C$2*(1+$C$1/$D$6)^(F630*$D$6*0.019231)</f>
        <v>3255.5486844467341</v>
      </c>
      <c r="I630" s="5">
        <f t="shared" ref="I630:I693" si="71">$C$2*(1+$C$1/$D$7)^(F630*$D$7*0.019231)</f>
        <v>3302.7547730084866</v>
      </c>
      <c r="J630" s="5">
        <f t="shared" ref="J630:J693" si="72">$C$2*(1+$C$1/$D$8)^(F630*$D$8*0.019231)</f>
        <v>3335.4833528801964</v>
      </c>
      <c r="K630" s="5">
        <f t="shared" ref="K630:K693" si="73">$C$2*(1+$C$1/$D$9)^(F630*$D$9*0.019231)</f>
        <v>3348.3519961309394</v>
      </c>
      <c r="L630" s="5">
        <f t="shared" ref="L630:L693" si="74">$C$2*(1+$C$1/$D$10)^(F630*$D$10*0.019231)</f>
        <v>3351.6884290293474</v>
      </c>
      <c r="M630" s="5">
        <f t="shared" ref="M630:M693" si="75">$C$2*EXP($C$1*F630*0.019231)</f>
        <v>3352.2437575209046</v>
      </c>
    </row>
    <row r="631" spans="6:13">
      <c r="F631">
        <v>630</v>
      </c>
      <c r="G631" s="5">
        <f t="shared" si="69"/>
        <v>3173.1771539275092</v>
      </c>
      <c r="H631" s="5">
        <f t="shared" si="70"/>
        <v>3261.6636764354066</v>
      </c>
      <c r="I631" s="5">
        <f t="shared" si="71"/>
        <v>3309.0341673505854</v>
      </c>
      <c r="J631" s="5">
        <f t="shared" si="72"/>
        <v>3341.877362256681</v>
      </c>
      <c r="K631" s="5">
        <f t="shared" si="73"/>
        <v>3354.7912119289499</v>
      </c>
      <c r="L631" s="5">
        <f t="shared" si="74"/>
        <v>3358.1393783182989</v>
      </c>
      <c r="M631" s="5">
        <f t="shared" si="75"/>
        <v>3358.6966602909138</v>
      </c>
    </row>
    <row r="632" spans="6:13">
      <c r="F632">
        <v>631</v>
      </c>
      <c r="G632" s="5">
        <f t="shared" si="69"/>
        <v>3178.9986357764542</v>
      </c>
      <c r="H632" s="5">
        <f t="shared" si="70"/>
        <v>3267.7901543917742</v>
      </c>
      <c r="I632" s="5">
        <f t="shared" si="71"/>
        <v>3315.3255004516946</v>
      </c>
      <c r="J632" s="5">
        <f t="shared" si="72"/>
        <v>3348.2836287340338</v>
      </c>
      <c r="K632" s="5">
        <f t="shared" si="73"/>
        <v>3361.2428109830053</v>
      </c>
      <c r="L632" s="5">
        <f t="shared" si="74"/>
        <v>3364.6027436619083</v>
      </c>
      <c r="M632" s="5">
        <f t="shared" si="75"/>
        <v>3365.1619845783212</v>
      </c>
    </row>
    <row r="633" spans="6:13">
      <c r="F633">
        <v>632</v>
      </c>
      <c r="G633" s="5">
        <f t="shared" si="69"/>
        <v>3184.8307976628735</v>
      </c>
      <c r="H633" s="5">
        <f t="shared" si="70"/>
        <v>3273.9281398902654</v>
      </c>
      <c r="I633" s="5">
        <f t="shared" si="71"/>
        <v>3321.6287950104934</v>
      </c>
      <c r="J633" s="5">
        <f t="shared" si="72"/>
        <v>3354.7021758087076</v>
      </c>
      <c r="K633" s="5">
        <f t="shared" si="73"/>
        <v>3367.7068171073429</v>
      </c>
      <c r="L633" s="5">
        <f t="shared" si="74"/>
        <v>3371.0785489571863</v>
      </c>
      <c r="M633" s="5">
        <f t="shared" si="75"/>
        <v>3371.6397542939326</v>
      </c>
    </row>
    <row r="634" spans="6:13">
      <c r="F634">
        <v>633</v>
      </c>
      <c r="G634" s="5">
        <f t="shared" si="69"/>
        <v>3190.6736591802669</v>
      </c>
      <c r="H634" s="5">
        <f t="shared" si="70"/>
        <v>3280.077654545832</v>
      </c>
      <c r="I634" s="5">
        <f t="shared" si="71"/>
        <v>3327.9440737688196</v>
      </c>
      <c r="J634" s="5">
        <f t="shared" si="72"/>
        <v>3361.1330270221938</v>
      </c>
      <c r="K634" s="5">
        <f t="shared" si="73"/>
        <v>3374.183254162002</v>
      </c>
      <c r="L634" s="5">
        <f t="shared" si="74"/>
        <v>3377.5668181471406</v>
      </c>
      <c r="M634" s="5">
        <f t="shared" si="75"/>
        <v>3378.1299933945775</v>
      </c>
    </row>
    <row r="635" spans="6:13">
      <c r="F635">
        <v>634</v>
      </c>
      <c r="G635" s="5">
        <f t="shared" si="69"/>
        <v>3196.527239958079</v>
      </c>
      <c r="H635" s="5">
        <f t="shared" si="70"/>
        <v>3286.238720014027</v>
      </c>
      <c r="I635" s="5">
        <f t="shared" si="71"/>
        <v>3334.2713595117484</v>
      </c>
      <c r="J635" s="5">
        <f t="shared" si="72"/>
        <v>3367.576205961112</v>
      </c>
      <c r="K635" s="5">
        <f t="shared" si="73"/>
        <v>3380.6721460529052</v>
      </c>
      <c r="L635" s="5">
        <f t="shared" si="74"/>
        <v>3384.067575220859</v>
      </c>
      <c r="M635" s="5">
        <f t="shared" si="75"/>
        <v>3384.6327258832034</v>
      </c>
    </row>
    <row r="636" spans="6:13">
      <c r="F636">
        <v>635</v>
      </c>
      <c r="G636" s="5">
        <f t="shared" si="69"/>
        <v>3202.391559661768</v>
      </c>
      <c r="H636" s="5">
        <f t="shared" si="70"/>
        <v>3292.4113579910763</v>
      </c>
      <c r="I636" s="5">
        <f t="shared" si="71"/>
        <v>3340.6106750676745</v>
      </c>
      <c r="J636" s="5">
        <f t="shared" si="72"/>
        <v>3374.0317362572973</v>
      </c>
      <c r="K636" s="5">
        <f t="shared" si="73"/>
        <v>3387.173516731948</v>
      </c>
      <c r="L636" s="5">
        <f t="shared" si="74"/>
        <v>3390.5808442136035</v>
      </c>
      <c r="M636" s="5">
        <f t="shared" si="75"/>
        <v>3391.1479758089627</v>
      </c>
    </row>
    <row r="637" spans="6:13">
      <c r="F637">
        <v>636</v>
      </c>
      <c r="G637" s="5">
        <f t="shared" si="69"/>
        <v>3208.2666379928692</v>
      </c>
      <c r="H637" s="5">
        <f t="shared" si="70"/>
        <v>3298.5955902139617</v>
      </c>
      <c r="I637" s="5">
        <f t="shared" si="71"/>
        <v>3346.9620433083951</v>
      </c>
      <c r="J637" s="5">
        <f t="shared" si="72"/>
        <v>3380.4996415878863</v>
      </c>
      <c r="K637" s="5">
        <f t="shared" si="73"/>
        <v>3393.6873901970862</v>
      </c>
      <c r="L637" s="5">
        <f t="shared" si="74"/>
        <v>3397.1066492068935</v>
      </c>
      <c r="M637" s="5">
        <f t="shared" si="75"/>
        <v>3397.6757672672993</v>
      </c>
    </row>
    <row r="638" spans="6:13">
      <c r="F638">
        <v>637</v>
      </c>
      <c r="G638" s="5">
        <f t="shared" si="69"/>
        <v>3214.1524946890622</v>
      </c>
      <c r="H638" s="5">
        <f t="shared" si="70"/>
        <v>3304.7914384604933</v>
      </c>
      <c r="I638" s="5">
        <f t="shared" si="71"/>
        <v>3353.325487149194</v>
      </c>
      <c r="J638" s="5">
        <f t="shared" si="72"/>
        <v>3386.9799456754022</v>
      </c>
      <c r="K638" s="5">
        <f t="shared" si="73"/>
        <v>3400.2137904924307</v>
      </c>
      <c r="L638" s="5">
        <f t="shared" si="74"/>
        <v>3403.6450143286011</v>
      </c>
      <c r="M638" s="5">
        <f t="shared" si="75"/>
        <v>3404.2161244000417</v>
      </c>
    </row>
    <row r="639" spans="6:13">
      <c r="F639">
        <v>638</v>
      </c>
      <c r="G639" s="5">
        <f t="shared" si="69"/>
        <v>3220.0491495242372</v>
      </c>
      <c r="H639" s="5">
        <f t="shared" si="70"/>
        <v>3310.9989245493862</v>
      </c>
      <c r="I639" s="5">
        <f t="shared" si="71"/>
        <v>3359.7010295489231</v>
      </c>
      <c r="J639" s="5">
        <f t="shared" si="72"/>
        <v>3393.4726722878472</v>
      </c>
      <c r="K639" s="5">
        <f t="shared" si="73"/>
        <v>3406.7527417083274</v>
      </c>
      <c r="L639" s="5">
        <f t="shared" si="74"/>
        <v>3410.1959637530335</v>
      </c>
      <c r="M639" s="5">
        <f t="shared" si="75"/>
        <v>3410.769071395488</v>
      </c>
    </row>
    <row r="640" spans="6:13">
      <c r="F640">
        <v>639</v>
      </c>
      <c r="G640" s="5">
        <f t="shared" si="69"/>
        <v>3225.9566223085612</v>
      </c>
      <c r="H640" s="5">
        <f t="shared" si="70"/>
        <v>3317.2180703403392</v>
      </c>
      <c r="I640" s="5">
        <f t="shared" si="71"/>
        <v>3366.0886935100821</v>
      </c>
      <c r="J640" s="5">
        <f t="shared" si="72"/>
        <v>3399.9778452387818</v>
      </c>
      <c r="K640" s="5">
        <f t="shared" si="73"/>
        <v>3413.304267981453</v>
      </c>
      <c r="L640" s="5">
        <f t="shared" si="74"/>
        <v>3416.7595217010285</v>
      </c>
      <c r="M640" s="5">
        <f t="shared" si="75"/>
        <v>3417.3346324884988</v>
      </c>
    </row>
    <row r="641" spans="6:13">
      <c r="F641">
        <v>640</v>
      </c>
      <c r="G641" s="5">
        <f t="shared" si="69"/>
        <v>3231.8749328885451</v>
      </c>
      <c r="H641" s="5">
        <f t="shared" si="70"/>
        <v>3323.4488977341111</v>
      </c>
      <c r="I641" s="5">
        <f t="shared" si="71"/>
        <v>3372.4885020789079</v>
      </c>
      <c r="J641" s="5">
        <f t="shared" si="72"/>
        <v>3406.4954883874198</v>
      </c>
      <c r="K641" s="5">
        <f t="shared" si="73"/>
        <v>3419.8683934948999</v>
      </c>
      <c r="L641" s="5">
        <f t="shared" si="74"/>
        <v>3423.33571244004</v>
      </c>
      <c r="M641" s="5">
        <f t="shared" si="75"/>
        <v>3423.9128319605857</v>
      </c>
    </row>
    <row r="642" spans="6:13">
      <c r="F642">
        <v>641</v>
      </c>
      <c r="G642" s="5">
        <f t="shared" si="69"/>
        <v>3237.8041011471105</v>
      </c>
      <c r="H642" s="5">
        <f t="shared" si="70"/>
        <v>3329.6914286725973</v>
      </c>
      <c r="I642" s="5">
        <f t="shared" si="71"/>
        <v>3378.9004783454534</v>
      </c>
      <c r="J642" s="5">
        <f t="shared" si="72"/>
        <v>3413.0256256387097</v>
      </c>
      <c r="K642" s="5">
        <f t="shared" si="73"/>
        <v>3426.4451424782669</v>
      </c>
      <c r="L642" s="5">
        <f t="shared" si="74"/>
        <v>3429.9245602842311</v>
      </c>
      <c r="M642" s="5">
        <f t="shared" si="75"/>
        <v>3430.5036941400026</v>
      </c>
    </row>
    <row r="643" spans="6:13">
      <c r="F643">
        <v>642</v>
      </c>
      <c r="G643" s="5">
        <f t="shared" si="69"/>
        <v>3243.7441470036547</v>
      </c>
      <c r="H643" s="5">
        <f t="shared" si="70"/>
        <v>3335.9456851389059</v>
      </c>
      <c r="I643" s="5">
        <f t="shared" si="71"/>
        <v>3385.3246454436694</v>
      </c>
      <c r="J643" s="5">
        <f t="shared" si="72"/>
        <v>3419.5682809434252</v>
      </c>
      <c r="K643" s="5">
        <f t="shared" si="73"/>
        <v>3433.0345392077497</v>
      </c>
      <c r="L643" s="5">
        <f t="shared" si="74"/>
        <v>3436.5260895945585</v>
      </c>
      <c r="M643" s="5">
        <f t="shared" si="75"/>
        <v>3437.1072434018297</v>
      </c>
    </row>
    <row r="644" spans="6:13">
      <c r="F644">
        <v>643</v>
      </c>
      <c r="G644" s="5">
        <f t="shared" ref="G644:G707" si="76">$C$2*(1+$C$1)^(F644*0.019231/$D$5)</f>
        <v>3249.6950904141186</v>
      </c>
      <c r="H644" s="5">
        <f t="shared" si="70"/>
        <v>3342.2116891574374</v>
      </c>
      <c r="I644" s="5">
        <f t="shared" si="71"/>
        <v>3391.7610265514932</v>
      </c>
      <c r="J644" s="5">
        <f t="shared" si="72"/>
        <v>3426.1234782982551</v>
      </c>
      <c r="K644" s="5">
        <f t="shared" si="73"/>
        <v>3439.6366080062289</v>
      </c>
      <c r="L644" s="5">
        <f t="shared" si="74"/>
        <v>3443.1403247788703</v>
      </c>
      <c r="M644" s="5">
        <f t="shared" si="75"/>
        <v>3443.7235041680706</v>
      </c>
    </row>
    <row r="645" spans="6:13">
      <c r="F645">
        <v>644</v>
      </c>
      <c r="G645" s="5">
        <f t="shared" si="76"/>
        <v>3255.6569513710569</v>
      </c>
      <c r="H645" s="5">
        <f t="shared" si="70"/>
        <v>3348.489462793962</v>
      </c>
      <c r="I645" s="5">
        <f t="shared" si="71"/>
        <v>3398.2096448909283</v>
      </c>
      <c r="J645" s="5">
        <f t="shared" si="72"/>
        <v>3432.6912417458875</v>
      </c>
      <c r="K645" s="5">
        <f t="shared" si="73"/>
        <v>3446.2513732433613</v>
      </c>
      <c r="L645" s="5">
        <f t="shared" si="74"/>
        <v>3449.7672902919876</v>
      </c>
      <c r="M645" s="5">
        <f t="shared" si="75"/>
        <v>3450.352500907743</v>
      </c>
    </row>
    <row r="646" spans="6:13">
      <c r="F646">
        <v>645</v>
      </c>
      <c r="G646" s="5">
        <f t="shared" si="76"/>
        <v>3261.6297499037014</v>
      </c>
      <c r="H646" s="5">
        <f t="shared" si="70"/>
        <v>3354.7790281556977</v>
      </c>
      <c r="I646" s="5">
        <f t="shared" si="71"/>
        <v>3404.6705237281294</v>
      </c>
      <c r="J646" s="5">
        <f t="shared" si="72"/>
        <v>3439.2715953750981</v>
      </c>
      <c r="K646" s="5">
        <f t="shared" si="73"/>
        <v>3452.8788593356667</v>
      </c>
      <c r="L646" s="5">
        <f t="shared" si="74"/>
        <v>3456.4070106358045</v>
      </c>
      <c r="M646" s="5">
        <f t="shared" si="75"/>
        <v>3456.9942581369605</v>
      </c>
    </row>
    <row r="647" spans="6:13">
      <c r="F647">
        <v>646</v>
      </c>
      <c r="G647" s="5">
        <f t="shared" si="76"/>
        <v>3267.6135060780275</v>
      </c>
      <c r="H647" s="5">
        <f t="shared" si="70"/>
        <v>3361.0804073913832</v>
      </c>
      <c r="I647" s="5">
        <f t="shared" si="71"/>
        <v>3411.1436863734853</v>
      </c>
      <c r="J647" s="5">
        <f t="shared" si="72"/>
        <v>3445.8645633208421</v>
      </c>
      <c r="K647" s="5">
        <f t="shared" si="73"/>
        <v>3459.5190907466249</v>
      </c>
      <c r="L647" s="5">
        <f t="shared" si="74"/>
        <v>3463.0595103593673</v>
      </c>
      <c r="M647" s="5">
        <f t="shared" si="75"/>
        <v>3463.6488004190337</v>
      </c>
    </row>
    <row r="648" spans="6:13">
      <c r="F648">
        <v>647</v>
      </c>
      <c r="G648" s="5">
        <f t="shared" si="76"/>
        <v>3273.6082399968236</v>
      </c>
      <c r="H648" s="5">
        <f t="shared" si="70"/>
        <v>3367.3936226913638</v>
      </c>
      <c r="I648" s="5">
        <f t="shared" si="71"/>
        <v>3417.6291561817047</v>
      </c>
      <c r="J648" s="5">
        <f t="shared" si="72"/>
        <v>3452.4701697643404</v>
      </c>
      <c r="K648" s="5">
        <f t="shared" si="73"/>
        <v>3466.1720919867557</v>
      </c>
      <c r="L648" s="5">
        <f t="shared" si="74"/>
        <v>3469.7248140589782</v>
      </c>
      <c r="M648" s="5">
        <f t="shared" si="75"/>
        <v>3470.3161523645531</v>
      </c>
    </row>
    <row r="649" spans="6:13">
      <c r="F649">
        <v>648</v>
      </c>
      <c r="G649" s="5">
        <f t="shared" si="76"/>
        <v>3279.6139717997617</v>
      </c>
      <c r="H649" s="5">
        <f t="shared" si="70"/>
        <v>3373.7186962876631</v>
      </c>
      <c r="I649" s="5">
        <f t="shared" si="71"/>
        <v>3424.1269565519001</v>
      </c>
      <c r="J649" s="5">
        <f t="shared" si="72"/>
        <v>3459.0884389331673</v>
      </c>
      <c r="K649" s="5">
        <f t="shared" si="73"/>
        <v>3472.8378876137185</v>
      </c>
      <c r="L649" s="5">
        <f t="shared" si="74"/>
        <v>3476.402946378274</v>
      </c>
      <c r="M649" s="5">
        <f t="shared" si="75"/>
        <v>3476.9963386314839</v>
      </c>
    </row>
    <row r="650" spans="6:13">
      <c r="F650">
        <v>649</v>
      </c>
      <c r="G650" s="5">
        <f t="shared" si="76"/>
        <v>3285.6307216634582</v>
      </c>
      <c r="H650" s="5">
        <f t="shared" si="70"/>
        <v>3380.0556504540668</v>
      </c>
      <c r="I650" s="5">
        <f t="shared" si="71"/>
        <v>3430.6371109276724</v>
      </c>
      <c r="J650" s="5">
        <f t="shared" si="72"/>
        <v>3465.7193951013428</v>
      </c>
      <c r="K650" s="5">
        <f t="shared" si="73"/>
        <v>3479.5165022324004</v>
      </c>
      <c r="L650" s="5">
        <f t="shared" si="74"/>
        <v>3483.0939320083271</v>
      </c>
      <c r="M650" s="5">
        <f t="shared" si="75"/>
        <v>3483.6893839252612</v>
      </c>
    </row>
    <row r="651" spans="6:13">
      <c r="F651">
        <v>650</v>
      </c>
      <c r="G651" s="5">
        <f t="shared" si="76"/>
        <v>3291.6585098015471</v>
      </c>
      <c r="H651" s="5">
        <f t="shared" si="70"/>
        <v>3386.4045075061931</v>
      </c>
      <c r="I651" s="5">
        <f t="shared" si="71"/>
        <v>3437.1596427971908</v>
      </c>
      <c r="J651" s="5">
        <f t="shared" si="72"/>
        <v>3472.3630625894157</v>
      </c>
      <c r="K651" s="5">
        <f t="shared" si="73"/>
        <v>3486.2079604950036</v>
      </c>
      <c r="L651" s="5">
        <f t="shared" si="74"/>
        <v>3489.7977956877289</v>
      </c>
      <c r="M651" s="5">
        <f t="shared" si="75"/>
        <v>3490.3953129988695</v>
      </c>
    </row>
    <row r="652" spans="6:13">
      <c r="F652">
        <v>651</v>
      </c>
      <c r="G652" s="5">
        <f t="shared" si="76"/>
        <v>3297.697356464746</v>
      </c>
      <c r="H652" s="5">
        <f t="shared" si="70"/>
        <v>3392.7652898015817</v>
      </c>
      <c r="I652" s="5">
        <f t="shared" si="71"/>
        <v>3443.6945756932869</v>
      </c>
      <c r="J652" s="5">
        <f t="shared" si="72"/>
        <v>3479.0194657645602</v>
      </c>
      <c r="K652" s="5">
        <f t="shared" si="73"/>
        <v>3492.9122871011396</v>
      </c>
      <c r="L652" s="5">
        <f t="shared" si="74"/>
        <v>3496.514562202688</v>
      </c>
      <c r="M652" s="5">
        <f t="shared" si="75"/>
        <v>3497.114150652947</v>
      </c>
    </row>
    <row r="653" spans="6:13">
      <c r="F653">
        <v>652</v>
      </c>
      <c r="G653" s="5">
        <f t="shared" si="76"/>
        <v>3303.747281940924</v>
      </c>
      <c r="H653" s="5">
        <f t="shared" si="70"/>
        <v>3399.138019739763</v>
      </c>
      <c r="I653" s="5">
        <f t="shared" si="71"/>
        <v>3450.2419331935316</v>
      </c>
      <c r="J653" s="5">
        <f t="shared" si="72"/>
        <v>3485.6886290406587</v>
      </c>
      <c r="K653" s="5">
        <f t="shared" si="73"/>
        <v>3499.6295067979204</v>
      </c>
      <c r="L653" s="5">
        <f t="shared" si="74"/>
        <v>3503.2442563871136</v>
      </c>
      <c r="M653" s="5">
        <f t="shared" si="75"/>
        <v>3503.8459217358691</v>
      </c>
    </row>
    <row r="654" spans="6:13">
      <c r="F654">
        <v>653</v>
      </c>
      <c r="G654" s="5">
        <f t="shared" si="76"/>
        <v>3309.8083065551705</v>
      </c>
      <c r="H654" s="5">
        <f t="shared" si="70"/>
        <v>3405.522719762344</v>
      </c>
      <c r="I654" s="5">
        <f t="shared" si="71"/>
        <v>3456.8017389203233</v>
      </c>
      <c r="J654" s="5">
        <f t="shared" si="72"/>
        <v>3492.3705768783971</v>
      </c>
      <c r="K654" s="5">
        <f t="shared" si="73"/>
        <v>3506.3596443800488</v>
      </c>
      <c r="L654" s="5">
        <f t="shared" si="74"/>
        <v>3509.9869031227213</v>
      </c>
      <c r="M654" s="5">
        <f t="shared" si="75"/>
        <v>3510.5906511438438</v>
      </c>
    </row>
    <row r="655" spans="6:13">
      <c r="F655">
        <v>654</v>
      </c>
      <c r="G655" s="5">
        <f t="shared" si="76"/>
        <v>3315.880450669863</v>
      </c>
      <c r="H655" s="5">
        <f t="shared" si="70"/>
        <v>3411.9194123530815</v>
      </c>
      <c r="I655" s="5">
        <f t="shared" si="71"/>
        <v>3463.3740165409718</v>
      </c>
      <c r="J655" s="5">
        <f t="shared" si="72"/>
        <v>3499.0653337853491</v>
      </c>
      <c r="K655" s="5">
        <f t="shared" si="73"/>
        <v>3513.1027246899121</v>
      </c>
      <c r="L655" s="5">
        <f t="shared" si="74"/>
        <v>3516.7425273391059</v>
      </c>
      <c r="M655" s="5">
        <f t="shared" si="75"/>
        <v>3517.3483638210055</v>
      </c>
    </row>
    <row r="656" spans="6:13">
      <c r="F656">
        <v>655</v>
      </c>
      <c r="G656" s="5">
        <f t="shared" si="76"/>
        <v>3321.9637346847353</v>
      </c>
      <c r="H656" s="5">
        <f t="shared" si="70"/>
        <v>3418.3281200379674</v>
      </c>
      <c r="I656" s="5">
        <f t="shared" si="71"/>
        <v>3469.9587897677861</v>
      </c>
      <c r="J656" s="5">
        <f t="shared" si="72"/>
        <v>3505.7729243160684</v>
      </c>
      <c r="K656" s="5">
        <f t="shared" si="73"/>
        <v>3519.858772617667</v>
      </c>
      <c r="L656" s="5">
        <f t="shared" si="74"/>
        <v>3523.5111540138523</v>
      </c>
      <c r="M656" s="5">
        <f t="shared" si="75"/>
        <v>3524.1190847595003</v>
      </c>
    </row>
    <row r="657" spans="6:13">
      <c r="F657">
        <v>656</v>
      </c>
      <c r="G657" s="5">
        <f t="shared" si="76"/>
        <v>3328.0581790369465</v>
      </c>
      <c r="H657" s="5">
        <f t="shared" si="70"/>
        <v>3424.748865385302</v>
      </c>
      <c r="I657" s="5">
        <f t="shared" si="71"/>
        <v>3476.5560823581577</v>
      </c>
      <c r="J657" s="5">
        <f t="shared" si="72"/>
        <v>3512.4933730721823</v>
      </c>
      <c r="K657" s="5">
        <f t="shared" si="73"/>
        <v>3526.6278131013423</v>
      </c>
      <c r="L657" s="5">
        <f t="shared" si="74"/>
        <v>3530.2928081726136</v>
      </c>
      <c r="M657" s="5">
        <f t="shared" si="75"/>
        <v>3530.9028389995879</v>
      </c>
    </row>
    <row r="658" spans="6:13">
      <c r="F658">
        <v>657</v>
      </c>
      <c r="G658" s="5">
        <f t="shared" si="76"/>
        <v>3334.1638042011509</v>
      </c>
      <c r="H658" s="5">
        <f t="shared" si="70"/>
        <v>3431.1816710057792</v>
      </c>
      <c r="I658" s="5">
        <f t="shared" si="71"/>
        <v>3483.1659181146483</v>
      </c>
      <c r="J658" s="5">
        <f t="shared" si="72"/>
        <v>3519.2267047024748</v>
      </c>
      <c r="K658" s="5">
        <f t="shared" si="73"/>
        <v>3533.4098711269226</v>
      </c>
      <c r="L658" s="5">
        <f t="shared" si="74"/>
        <v>3537.0875148892133</v>
      </c>
      <c r="M658" s="5">
        <f t="shared" si="75"/>
        <v>3537.6996516297236</v>
      </c>
    </row>
    <row r="659" spans="6:13">
      <c r="F659">
        <v>658</v>
      </c>
      <c r="G659" s="5">
        <f t="shared" si="76"/>
        <v>3340.2806306895623</v>
      </c>
      <c r="H659" s="5">
        <f t="shared" si="70"/>
        <v>3437.6265595525601</v>
      </c>
      <c r="I659" s="5">
        <f t="shared" si="71"/>
        <v>3489.7883208850717</v>
      </c>
      <c r="J659" s="5">
        <f t="shared" si="72"/>
        <v>3525.9729439029816</v>
      </c>
      <c r="K659" s="5">
        <f t="shared" si="73"/>
        <v>3540.2049717284403</v>
      </c>
      <c r="L659" s="5">
        <f t="shared" si="74"/>
        <v>3543.8952992857303</v>
      </c>
      <c r="M659" s="5">
        <f t="shared" si="75"/>
        <v>3544.5095477866607</v>
      </c>
    </row>
    <row r="660" spans="6:13">
      <c r="F660">
        <v>659</v>
      </c>
      <c r="G660" s="5">
        <f t="shared" si="76"/>
        <v>3346.4086790520282</v>
      </c>
      <c r="H660" s="5">
        <f t="shared" si="70"/>
        <v>3444.0835537213579</v>
      </c>
      <c r="I660" s="5">
        <f t="shared" si="71"/>
        <v>3496.4233145625849</v>
      </c>
      <c r="J660" s="5">
        <f t="shared" si="72"/>
        <v>3532.7321154170822</v>
      </c>
      <c r="K660" s="5">
        <f t="shared" si="73"/>
        <v>3547.0131399880775</v>
      </c>
      <c r="L660" s="5">
        <f t="shared" si="74"/>
        <v>3550.7161865326007</v>
      </c>
      <c r="M660" s="5">
        <f t="shared" si="75"/>
        <v>3551.3325526555404</v>
      </c>
    </row>
    <row r="661" spans="6:13">
      <c r="F661">
        <v>660</v>
      </c>
      <c r="G661" s="5">
        <f t="shared" si="76"/>
        <v>3352.5479698760973</v>
      </c>
      <c r="H661" s="5">
        <f t="shared" si="70"/>
        <v>3450.5526762505151</v>
      </c>
      <c r="I661" s="5">
        <f t="shared" si="71"/>
        <v>3503.0709230857715</v>
      </c>
      <c r="J661" s="5">
        <f t="shared" si="72"/>
        <v>3539.5042440355855</v>
      </c>
      <c r="K661" s="5">
        <f t="shared" si="73"/>
        <v>3553.8344010362448</v>
      </c>
      <c r="L661" s="5">
        <f t="shared" si="74"/>
        <v>3557.5502018487005</v>
      </c>
      <c r="M661" s="5">
        <f t="shared" si="75"/>
        <v>3558.1686914699808</v>
      </c>
    </row>
    <row r="662" spans="6:13">
      <c r="F662">
        <v>661</v>
      </c>
      <c r="G662" s="5">
        <f t="shared" si="76"/>
        <v>3358.6985237870872</v>
      </c>
      <c r="H662" s="5">
        <f t="shared" si="70"/>
        <v>3457.0339499210854</v>
      </c>
      <c r="I662" s="5">
        <f t="shared" si="71"/>
        <v>3509.7311704387294</v>
      </c>
      <c r="J662" s="5">
        <f t="shared" si="72"/>
        <v>3546.2893545968259</v>
      </c>
      <c r="K662" s="5">
        <f t="shared" si="73"/>
        <v>3560.6687800516852</v>
      </c>
      <c r="L662" s="5">
        <f t="shared" si="74"/>
        <v>3564.3973705014487</v>
      </c>
      <c r="M662" s="5">
        <f t="shared" si="75"/>
        <v>3565.0179895121755</v>
      </c>
    </row>
    <row r="663" spans="6:13">
      <c r="F663">
        <v>662</v>
      </c>
      <c r="G663" s="5">
        <f t="shared" si="76"/>
        <v>3364.8603614481522</v>
      </c>
      <c r="H663" s="5">
        <f t="shared" si="70"/>
        <v>3463.5273975569107</v>
      </c>
      <c r="I663" s="5">
        <f t="shared" si="71"/>
        <v>3516.4040806511534</v>
      </c>
      <c r="J663" s="5">
        <f t="shared" si="72"/>
        <v>3553.0874719867506</v>
      </c>
      <c r="K663" s="5">
        <f t="shared" si="73"/>
        <v>3567.516302261562</v>
      </c>
      <c r="L663" s="5">
        <f t="shared" si="74"/>
        <v>3571.2577178068918</v>
      </c>
      <c r="M663" s="5">
        <f t="shared" si="75"/>
        <v>3571.8804721129836</v>
      </c>
    </row>
    <row r="664" spans="6:13">
      <c r="F664">
        <v>663</v>
      </c>
      <c r="G664" s="5">
        <f t="shared" si="76"/>
        <v>3371.0335035603593</v>
      </c>
      <c r="H664" s="5">
        <f t="shared" si="70"/>
        <v>3470.0330420247051</v>
      </c>
      <c r="I664" s="5">
        <f t="shared" si="71"/>
        <v>3523.0896777984281</v>
      </c>
      <c r="J664" s="5">
        <f t="shared" si="72"/>
        <v>3559.8986211390111</v>
      </c>
      <c r="K664" s="5">
        <f t="shared" si="73"/>
        <v>3574.3769929415521</v>
      </c>
      <c r="L664" s="5">
        <f t="shared" si="74"/>
        <v>3578.1312691298062</v>
      </c>
      <c r="M664" s="5">
        <f t="shared" si="75"/>
        <v>3578.7561646520253</v>
      </c>
    </row>
    <row r="665" spans="6:13">
      <c r="F665">
        <v>664</v>
      </c>
      <c r="G665" s="5">
        <f t="shared" si="76"/>
        <v>3377.2179708627509</v>
      </c>
      <c r="H665" s="5">
        <f t="shared" si="70"/>
        <v>3476.5509062341334</v>
      </c>
      <c r="I665" s="5">
        <f t="shared" si="71"/>
        <v>3529.787986001711</v>
      </c>
      <c r="J665" s="5">
        <f t="shared" si="72"/>
        <v>3566.7228270350588</v>
      </c>
      <c r="K665" s="5">
        <f t="shared" si="73"/>
        <v>3581.2508774159405</v>
      </c>
      <c r="L665" s="5">
        <f t="shared" si="74"/>
        <v>3585.0180498837826</v>
      </c>
      <c r="M665" s="5">
        <f t="shared" si="75"/>
        <v>3585.6450925577778</v>
      </c>
    </row>
    <row r="666" spans="6:13">
      <c r="F666">
        <v>665</v>
      </c>
      <c r="G666" s="5">
        <f t="shared" si="76"/>
        <v>3383.4137841324186</v>
      </c>
      <c r="H666" s="5">
        <f t="shared" si="70"/>
        <v>3483.0810131378935</v>
      </c>
      <c r="I666" s="5">
        <f t="shared" si="71"/>
        <v>3536.4990294280201</v>
      </c>
      <c r="J666" s="5">
        <f t="shared" si="72"/>
        <v>3573.5601147042316</v>
      </c>
      <c r="K666" s="5">
        <f t="shared" si="73"/>
        <v>3588.1379810577155</v>
      </c>
      <c r="L666" s="5">
        <f t="shared" si="74"/>
        <v>3591.9180855313316</v>
      </c>
      <c r="M666" s="5">
        <f t="shared" si="75"/>
        <v>3592.5472813076631</v>
      </c>
    </row>
    <row r="667" spans="6:13">
      <c r="F667">
        <v>666</v>
      </c>
      <c r="G667" s="5">
        <f t="shared" si="76"/>
        <v>3389.620964184568</v>
      </c>
      <c r="H667" s="5">
        <f t="shared" si="70"/>
        <v>3489.6233857317934</v>
      </c>
      <c r="I667" s="5">
        <f t="shared" si="71"/>
        <v>3543.2228322903197</v>
      </c>
      <c r="J667" s="5">
        <f t="shared" si="72"/>
        <v>3580.4105092238497</v>
      </c>
      <c r="K667" s="5">
        <f t="shared" si="73"/>
        <v>3595.0383292886559</v>
      </c>
      <c r="L667" s="5">
        <f t="shared" si="74"/>
        <v>3598.8314015839642</v>
      </c>
      <c r="M667" s="5">
        <f t="shared" si="75"/>
        <v>3599.4627564281495</v>
      </c>
    </row>
    <row r="668" spans="6:13">
      <c r="F668">
        <v>667</v>
      </c>
      <c r="G668" s="5">
        <f t="shared" si="76"/>
        <v>3395.8395318725961</v>
      </c>
      <c r="H668" s="5">
        <f t="shared" si="70"/>
        <v>3496.1780470548383</v>
      </c>
      <c r="I668" s="5">
        <f t="shared" si="71"/>
        <v>3549.9594188476112</v>
      </c>
      <c r="J668" s="5">
        <f t="shared" si="72"/>
        <v>3587.2740357193043</v>
      </c>
      <c r="K668" s="5">
        <f t="shared" si="73"/>
        <v>3601.9519475794327</v>
      </c>
      <c r="L668" s="5">
        <f t="shared" si="74"/>
        <v>3605.7580236022968</v>
      </c>
      <c r="M668" s="5">
        <f t="shared" si="75"/>
        <v>3606.3915434948381</v>
      </c>
    </row>
    <row r="669" spans="6:13">
      <c r="F669">
        <v>668</v>
      </c>
      <c r="G669" s="5">
        <f t="shared" si="76"/>
        <v>3402.0695080881555</v>
      </c>
      <c r="H669" s="5">
        <f t="shared" si="70"/>
        <v>3502.7450201893053</v>
      </c>
      <c r="I669" s="5">
        <f t="shared" si="71"/>
        <v>3556.7088134050182</v>
      </c>
      <c r="J669" s="5">
        <f t="shared" si="72"/>
        <v>3594.1507193641496</v>
      </c>
      <c r="K669" s="5">
        <f t="shared" si="73"/>
        <v>3608.8788614496966</v>
      </c>
      <c r="L669" s="5">
        <f t="shared" si="74"/>
        <v>3612.697977196141</v>
      </c>
      <c r="M669" s="5">
        <f t="shared" si="75"/>
        <v>3613.3336681325641</v>
      </c>
    </row>
    <row r="670" spans="6:13">
      <c r="F670">
        <v>669</v>
      </c>
      <c r="G670" s="5">
        <f t="shared" si="76"/>
        <v>3408.3109137612278</v>
      </c>
      <c r="H670" s="5">
        <f t="shared" si="70"/>
        <v>3509.3243282608296</v>
      </c>
      <c r="I670" s="5">
        <f t="shared" si="71"/>
        <v>3563.4710403138738</v>
      </c>
      <c r="J670" s="5">
        <f t="shared" si="72"/>
        <v>3601.0405853801999</v>
      </c>
      <c r="K670" s="5">
        <f t="shared" si="73"/>
        <v>3615.8190964681799</v>
      </c>
      <c r="L670" s="5">
        <f t="shared" si="74"/>
        <v>3619.6512880246009</v>
      </c>
      <c r="M670" s="5">
        <f t="shared" si="75"/>
        <v>3620.2891560154935</v>
      </c>
    </row>
    <row r="671" spans="6:13">
      <c r="F671">
        <v>670</v>
      </c>
      <c r="G671" s="5">
        <f t="shared" si="76"/>
        <v>3414.563769860189</v>
      </c>
      <c r="H671" s="5">
        <f t="shared" si="70"/>
        <v>3515.915994438481</v>
      </c>
      <c r="I671" s="5">
        <f t="shared" si="71"/>
        <v>3570.24612397181</v>
      </c>
      <c r="J671" s="5">
        <f t="shared" si="72"/>
        <v>3607.9436590376176</v>
      </c>
      <c r="K671" s="5">
        <f t="shared" si="73"/>
        <v>3622.7726782527802</v>
      </c>
      <c r="L671" s="5">
        <f t="shared" si="74"/>
        <v>3626.6179817961629</v>
      </c>
      <c r="M671" s="5">
        <f t="shared" si="75"/>
        <v>3627.2580328672061</v>
      </c>
    </row>
    <row r="672" spans="6:13">
      <c r="F672">
        <v>671</v>
      </c>
      <c r="G672" s="5">
        <f t="shared" si="76"/>
        <v>3420.8280973918882</v>
      </c>
      <c r="H672" s="5">
        <f t="shared" si="70"/>
        <v>3522.5200419348521</v>
      </c>
      <c r="I672" s="5">
        <f t="shared" si="71"/>
        <v>3577.0340888228448</v>
      </c>
      <c r="J672" s="5">
        <f t="shared" si="72"/>
        <v>3614.8599656550045</v>
      </c>
      <c r="K672" s="5">
        <f t="shared" si="73"/>
        <v>3629.7396324706638</v>
      </c>
      <c r="L672" s="5">
        <f t="shared" si="74"/>
        <v>3633.5980842687977</v>
      </c>
      <c r="M672" s="5">
        <f t="shared" si="75"/>
        <v>3634.2403244608035</v>
      </c>
    </row>
    <row r="673" spans="6:13">
      <c r="F673">
        <v>672</v>
      </c>
      <c r="G673" s="5">
        <f t="shared" si="76"/>
        <v>3427.1039174017096</v>
      </c>
      <c r="H673" s="5">
        <f t="shared" si="70"/>
        <v>3529.1364940061339</v>
      </c>
      <c r="I673" s="5">
        <f t="shared" si="71"/>
        <v>3583.8349593574708</v>
      </c>
      <c r="J673" s="5">
        <f t="shared" si="72"/>
        <v>3621.7895305995025</v>
      </c>
      <c r="K673" s="5">
        <f t="shared" si="73"/>
        <v>3636.7199848383598</v>
      </c>
      <c r="L673" s="5">
        <f t="shared" si="74"/>
        <v>3640.5916212500492</v>
      </c>
      <c r="M673" s="5">
        <f t="shared" si="75"/>
        <v>3641.2360566189964</v>
      </c>
    </row>
    <row r="674" spans="6:13">
      <c r="F674">
        <v>673</v>
      </c>
      <c r="G674" s="5">
        <f t="shared" si="76"/>
        <v>3433.3912509736492</v>
      </c>
      <c r="H674" s="5">
        <f t="shared" si="70"/>
        <v>3535.7653739522029</v>
      </c>
      <c r="I674" s="5">
        <f t="shared" si="71"/>
        <v>3590.6487601127442</v>
      </c>
      <c r="J674" s="5">
        <f t="shared" si="72"/>
        <v>3628.7323792868769</v>
      </c>
      <c r="K674" s="5">
        <f t="shared" si="73"/>
        <v>3643.7137611218482</v>
      </c>
      <c r="L674" s="5">
        <f t="shared" si="74"/>
        <v>3647.5986185971356</v>
      </c>
      <c r="M674" s="5">
        <f t="shared" si="75"/>
        <v>3648.245255214204</v>
      </c>
    </row>
    <row r="675" spans="6:13">
      <c r="F675">
        <v>674</v>
      </c>
      <c r="G675" s="5">
        <f t="shared" si="76"/>
        <v>3439.690119230384</v>
      </c>
      <c r="H675" s="5">
        <f t="shared" si="70"/>
        <v>3542.4067051166962</v>
      </c>
      <c r="I675" s="5">
        <f t="shared" si="71"/>
        <v>3597.47551567237</v>
      </c>
      <c r="J675" s="5">
        <f t="shared" si="72"/>
        <v>3635.688537181617</v>
      </c>
      <c r="K675" s="5">
        <f t="shared" si="73"/>
        <v>3650.7209871366613</v>
      </c>
      <c r="L675" s="5">
        <f t="shared" si="74"/>
        <v>3654.6191022170387</v>
      </c>
      <c r="M675" s="5">
        <f t="shared" si="75"/>
        <v>3655.2679461686521</v>
      </c>
    </row>
    <row r="676" spans="6:13">
      <c r="F676">
        <v>675</v>
      </c>
      <c r="G676" s="5">
        <f t="shared" si="76"/>
        <v>3446.0005433333399</v>
      </c>
      <c r="H676" s="5">
        <f t="shared" si="70"/>
        <v>3549.0605108871009</v>
      </c>
      <c r="I676" s="5">
        <f t="shared" si="71"/>
        <v>3604.3152506667957</v>
      </c>
      <c r="J676" s="5">
        <f t="shared" si="72"/>
        <v>3642.6580297970254</v>
      </c>
      <c r="K676" s="5">
        <f t="shared" si="73"/>
        <v>3657.7416887479803</v>
      </c>
      <c r="L676" s="5">
        <f t="shared" si="74"/>
        <v>3661.6530980666053</v>
      </c>
      <c r="M676" s="5">
        <f t="shared" si="75"/>
        <v>3662.3041554544584</v>
      </c>
    </row>
    <row r="677" spans="6:13">
      <c r="F677">
        <v>676</v>
      </c>
      <c r="G677" s="5">
        <f t="shared" si="76"/>
        <v>3452.3225444827681</v>
      </c>
      <c r="H677" s="5">
        <f t="shared" si="70"/>
        <v>3555.7268146948336</v>
      </c>
      <c r="I677" s="5">
        <f t="shared" si="71"/>
        <v>3611.1679897732961</v>
      </c>
      <c r="J677" s="5">
        <f t="shared" si="72"/>
        <v>3649.6408826953111</v>
      </c>
      <c r="K677" s="5">
        <f t="shared" si="73"/>
        <v>3664.7758918707241</v>
      </c>
      <c r="L677" s="5">
        <f t="shared" si="74"/>
        <v>3668.7006321526428</v>
      </c>
      <c r="M677" s="5">
        <f t="shared" si="75"/>
        <v>3669.3539090937425</v>
      </c>
    </row>
    <row r="678" spans="6:13">
      <c r="F678">
        <v>677</v>
      </c>
      <c r="G678" s="5">
        <f t="shared" si="76"/>
        <v>3458.6561439178122</v>
      </c>
      <c r="H678" s="5">
        <f t="shared" si="70"/>
        <v>3562.4056400153227</v>
      </c>
      <c r="I678" s="5">
        <f t="shared" si="71"/>
        <v>3618.0337577160662</v>
      </c>
      <c r="J678" s="5">
        <f t="shared" si="72"/>
        <v>3656.6371214876899</v>
      </c>
      <c r="K678" s="5">
        <f t="shared" si="73"/>
        <v>3671.8236224696475</v>
      </c>
      <c r="L678" s="5">
        <f t="shared" si="74"/>
        <v>3675.7617305320096</v>
      </c>
      <c r="M678" s="5">
        <f t="shared" si="75"/>
        <v>3676.4172331587097</v>
      </c>
    </row>
    <row r="679" spans="6:13">
      <c r="F679">
        <v>678</v>
      </c>
      <c r="G679" s="5">
        <f t="shared" si="76"/>
        <v>3465.001362916581</v>
      </c>
      <c r="H679" s="5">
        <f t="shared" si="70"/>
        <v>3569.0970103680888</v>
      </c>
      <c r="I679" s="5">
        <f t="shared" si="71"/>
        <v>3624.9125792663053</v>
      </c>
      <c r="J679" s="5">
        <f t="shared" si="72"/>
        <v>3663.6467718344693</v>
      </c>
      <c r="K679" s="5">
        <f t="shared" si="73"/>
        <v>3678.8849065594436</v>
      </c>
      <c r="L679" s="5">
        <f t="shared" si="74"/>
        <v>3682.8364193117186</v>
      </c>
      <c r="M679" s="5">
        <f t="shared" si="75"/>
        <v>3683.4941537717559</v>
      </c>
    </row>
    <row r="680" spans="6:13">
      <c r="F680">
        <v>679</v>
      </c>
      <c r="G680" s="5">
        <f t="shared" si="76"/>
        <v>3471.3582227962193</v>
      </c>
      <c r="H680" s="5">
        <f t="shared" si="70"/>
        <v>3575.8009493168324</v>
      </c>
      <c r="I680" s="5">
        <f t="shared" si="71"/>
        <v>3631.8044792423102</v>
      </c>
      <c r="J680" s="5">
        <f t="shared" si="72"/>
        <v>3670.6698594451464</v>
      </c>
      <c r="K680" s="5">
        <f t="shared" si="73"/>
        <v>3685.9597702048286</v>
      </c>
      <c r="L680" s="5">
        <f t="shared" si="74"/>
        <v>3689.9247246490272</v>
      </c>
      <c r="M680" s="5">
        <f t="shared" si="75"/>
        <v>3690.5846971055635</v>
      </c>
    </row>
    <row r="681" spans="6:13">
      <c r="F681">
        <v>680</v>
      </c>
      <c r="G681" s="5">
        <f t="shared" si="76"/>
        <v>3477.7267449129822</v>
      </c>
      <c r="H681" s="5">
        <f t="shared" si="70"/>
        <v>3582.5174804695139</v>
      </c>
      <c r="I681" s="5">
        <f t="shared" si="71"/>
        <v>3638.7094825095646</v>
      </c>
      <c r="J681" s="5">
        <f t="shared" si="72"/>
        <v>3677.7064100785055</v>
      </c>
      <c r="K681" s="5">
        <f t="shared" si="73"/>
        <v>3693.0482395206473</v>
      </c>
      <c r="L681" s="5">
        <f t="shared" si="74"/>
        <v>3697.0266727515409</v>
      </c>
      <c r="M681" s="5">
        <f t="shared" si="75"/>
        <v>3697.6888893831906</v>
      </c>
    </row>
    <row r="682" spans="6:13">
      <c r="F682">
        <v>681</v>
      </c>
      <c r="G682" s="5">
        <f t="shared" si="76"/>
        <v>3484.1069506623026</v>
      </c>
      <c r="H682" s="5">
        <f t="shared" si="70"/>
        <v>3589.2466274784374</v>
      </c>
      <c r="I682" s="5">
        <f t="shared" si="71"/>
        <v>3645.6276139808269</v>
      </c>
      <c r="J682" s="5">
        <f t="shared" si="72"/>
        <v>3684.7564495427077</v>
      </c>
      <c r="K682" s="5">
        <f t="shared" si="73"/>
        <v>3700.1503406719644</v>
      </c>
      <c r="L682" s="5">
        <f t="shared" si="74"/>
        <v>3704.142289877303</v>
      </c>
      <c r="M682" s="5">
        <f t="shared" si="75"/>
        <v>3704.8067568781785</v>
      </c>
    </row>
    <row r="683" spans="6:13">
      <c r="F683">
        <v>682</v>
      </c>
      <c r="G683" s="5">
        <f t="shared" si="76"/>
        <v>3490.4988614788663</v>
      </c>
      <c r="H683" s="5">
        <f t="shared" si="70"/>
        <v>3595.9884140403324</v>
      </c>
      <c r="I683" s="5">
        <f t="shared" si="71"/>
        <v>3652.5588986162225</v>
      </c>
      <c r="J683" s="5">
        <f t="shared" si="72"/>
        <v>3691.820003695389</v>
      </c>
      <c r="K683" s="5">
        <f t="shared" si="73"/>
        <v>3707.266099874163</v>
      </c>
      <c r="L683" s="5">
        <f t="shared" si="74"/>
        <v>3711.2716023349003</v>
      </c>
      <c r="M683" s="5">
        <f t="shared" si="75"/>
        <v>3711.9383259146398</v>
      </c>
    </row>
    <row r="684" spans="6:13">
      <c r="F684">
        <v>683</v>
      </c>
      <c r="G684" s="5">
        <f t="shared" si="76"/>
        <v>3496.9024988366832</v>
      </c>
      <c r="H684" s="5">
        <f t="shared" si="70"/>
        <v>3602.7428638964402</v>
      </c>
      <c r="I684" s="5">
        <f t="shared" si="71"/>
        <v>3659.5033614233294</v>
      </c>
      <c r="J684" s="5">
        <f t="shared" si="72"/>
        <v>3698.8970984437519</v>
      </c>
      <c r="K684" s="5">
        <f t="shared" si="73"/>
        <v>3714.3955433930419</v>
      </c>
      <c r="L684" s="5">
        <f t="shared" si="74"/>
        <v>3718.4146364835492</v>
      </c>
      <c r="M684" s="5">
        <f t="shared" si="75"/>
        <v>3719.0836228673611</v>
      </c>
    </row>
    <row r="685" spans="6:13">
      <c r="F685">
        <v>684</v>
      </c>
      <c r="G685" s="5">
        <f t="shared" si="76"/>
        <v>3503.3178842491584</v>
      </c>
      <c r="H685" s="5">
        <f t="shared" si="70"/>
        <v>3609.5100008325953</v>
      </c>
      <c r="I685" s="5">
        <f t="shared" si="71"/>
        <v>3666.4610274572751</v>
      </c>
      <c r="J685" s="5">
        <f t="shared" si="72"/>
        <v>3705.9877597446616</v>
      </c>
      <c r="K685" s="5">
        <f t="shared" si="73"/>
        <v>3721.5386975449082</v>
      </c>
      <c r="L685" s="5">
        <f t="shared" si="74"/>
        <v>3725.5714187332046</v>
      </c>
      <c r="M685" s="5">
        <f t="shared" si="75"/>
        <v>3726.2426741619024</v>
      </c>
    </row>
    <row r="686" spans="6:13">
      <c r="F686">
        <v>685</v>
      </c>
      <c r="G686" s="5">
        <f t="shared" si="76"/>
        <v>3509.7450392691671</v>
      </c>
      <c r="H686" s="5">
        <f t="shared" si="70"/>
        <v>3616.2898486793115</v>
      </c>
      <c r="I686" s="5">
        <f t="shared" si="71"/>
        <v>3673.4319218208216</v>
      </c>
      <c r="J686" s="5">
        <f t="shared" si="72"/>
        <v>3713.0920136047453</v>
      </c>
      <c r="K686" s="5">
        <f t="shared" si="73"/>
        <v>3728.6955886966834</v>
      </c>
      <c r="L686" s="5">
        <f t="shared" si="74"/>
        <v>3732.741975544649</v>
      </c>
      <c r="M686" s="5">
        <f t="shared" si="75"/>
        <v>3733.4155062746859</v>
      </c>
    </row>
    <row r="687" spans="6:13">
      <c r="F687">
        <v>686</v>
      </c>
      <c r="G687" s="5">
        <f t="shared" si="76"/>
        <v>3516.1839854891223</v>
      </c>
      <c r="H687" s="5">
        <f t="shared" si="70"/>
        <v>3623.0824313118601</v>
      </c>
      <c r="I687" s="5">
        <f t="shared" si="71"/>
        <v>3680.4160696644581</v>
      </c>
      <c r="J687" s="5">
        <f t="shared" si="72"/>
        <v>3720.2098860804795</v>
      </c>
      <c r="K687" s="5">
        <f t="shared" si="73"/>
        <v>3735.8662432659917</v>
      </c>
      <c r="L687" s="5">
        <f t="shared" si="74"/>
        <v>3739.9263334295956</v>
      </c>
      <c r="M687" s="5">
        <f t="shared" si="75"/>
        <v>3740.6021457331044</v>
      </c>
    </row>
    <row r="688" spans="6:13">
      <c r="F688">
        <v>687</v>
      </c>
      <c r="G688" s="5">
        <f t="shared" si="76"/>
        <v>3522.634744541052</v>
      </c>
      <c r="H688" s="5">
        <f t="shared" si="70"/>
        <v>3629.8877726503615</v>
      </c>
      <c r="I688" s="5">
        <f t="shared" si="71"/>
        <v>3687.4134961864916</v>
      </c>
      <c r="J688" s="5">
        <f t="shared" si="72"/>
        <v>3727.3414032782935</v>
      </c>
      <c r="K688" s="5">
        <f t="shared" si="73"/>
        <v>3743.0506877212606</v>
      </c>
      <c r="L688" s="5">
        <f t="shared" si="74"/>
        <v>3747.1245189507827</v>
      </c>
      <c r="M688" s="5">
        <f t="shared" si="75"/>
        <v>3747.8026191156105</v>
      </c>
    </row>
    <row r="689" spans="6:13">
      <c r="F689">
        <v>688</v>
      </c>
      <c r="G689" s="5">
        <f t="shared" si="76"/>
        <v>3529.0973380966702</v>
      </c>
      <c r="H689" s="5">
        <f t="shared" si="70"/>
        <v>3636.7058966598652</v>
      </c>
      <c r="I689" s="5">
        <f t="shared" si="71"/>
        <v>3694.4242266331366</v>
      </c>
      <c r="J689" s="5">
        <f t="shared" si="72"/>
        <v>3734.48659135466</v>
      </c>
      <c r="K689" s="5">
        <f t="shared" si="73"/>
        <v>3750.248948581821</v>
      </c>
      <c r="L689" s="5">
        <f t="shared" si="74"/>
        <v>3754.3365587220751</v>
      </c>
      <c r="M689" s="5">
        <f t="shared" si="75"/>
        <v>3755.0169530518215</v>
      </c>
    </row>
    <row r="690" spans="6:13">
      <c r="F690">
        <v>689</v>
      </c>
      <c r="G690" s="5">
        <f t="shared" si="76"/>
        <v>3535.5717878674509</v>
      </c>
      <c r="H690" s="5">
        <f t="shared" si="70"/>
        <v>3643.536827350435</v>
      </c>
      <c r="I690" s="5">
        <f t="shared" si="71"/>
        <v>3701.4482862986083</v>
      </c>
      <c r="J690" s="5">
        <f t="shared" si="72"/>
        <v>3741.645476516193</v>
      </c>
      <c r="K690" s="5">
        <f t="shared" si="73"/>
        <v>3757.4610524180021</v>
      </c>
      <c r="L690" s="5">
        <f t="shared" si="74"/>
        <v>3761.5624794085588</v>
      </c>
      <c r="M690" s="5">
        <f t="shared" si="75"/>
        <v>3762.2451742226172</v>
      </c>
    </row>
    <row r="691" spans="6:13">
      <c r="F691">
        <v>690</v>
      </c>
      <c r="G691" s="5">
        <f t="shared" si="76"/>
        <v>3542.0581156046956</v>
      </c>
      <c r="H691" s="5">
        <f t="shared" si="70"/>
        <v>3650.3805887772332</v>
      </c>
      <c r="I691" s="5">
        <f t="shared" si="71"/>
        <v>3708.4857005252125</v>
      </c>
      <c r="J691" s="5">
        <f t="shared" si="72"/>
        <v>3748.8180850197446</v>
      </c>
      <c r="K691" s="5">
        <f t="shared" si="73"/>
        <v>3764.6870258512295</v>
      </c>
      <c r="L691" s="5">
        <f t="shared" si="74"/>
        <v>3768.8023077266453</v>
      </c>
      <c r="M691" s="5">
        <f t="shared" si="75"/>
        <v>3769.4873093602323</v>
      </c>
    </row>
    <row r="692" spans="6:13">
      <c r="F692">
        <v>691</v>
      </c>
      <c r="G692" s="5">
        <f t="shared" si="76"/>
        <v>3548.556343099614</v>
      </c>
      <c r="H692" s="5">
        <f t="shared" si="70"/>
        <v>3657.2372050406052</v>
      </c>
      <c r="I692" s="5">
        <f t="shared" si="71"/>
        <v>3715.5364947034377</v>
      </c>
      <c r="J692" s="5">
        <f t="shared" si="72"/>
        <v>3756.0044431725</v>
      </c>
      <c r="K692" s="5">
        <f t="shared" si="73"/>
        <v>3771.9268955541284</v>
      </c>
      <c r="L692" s="5">
        <f t="shared" si="74"/>
        <v>3776.0560704441632</v>
      </c>
      <c r="M692" s="5">
        <f t="shared" si="75"/>
        <v>3776.7433852483637</v>
      </c>
    </row>
    <row r="693" spans="6:13">
      <c r="F693">
        <v>692</v>
      </c>
      <c r="G693" s="5">
        <f t="shared" si="76"/>
        <v>3555.0664921833936</v>
      </c>
      <c r="H693" s="5">
        <f t="shared" si="70"/>
        <v>3664.1067002861655</v>
      </c>
      <c r="I693" s="5">
        <f t="shared" si="71"/>
        <v>3722.6006942720446</v>
      </c>
      <c r="J693" s="5">
        <f t="shared" si="72"/>
        <v>3763.2045773320724</v>
      </c>
      <c r="K693" s="5">
        <f t="shared" si="73"/>
        <v>3779.1806882506125</v>
      </c>
      <c r="L693" s="5">
        <f t="shared" si="74"/>
        <v>3783.3237943804629</v>
      </c>
      <c r="M693" s="5">
        <f t="shared" si="75"/>
        <v>3784.0134287222618</v>
      </c>
    </row>
    <row r="694" spans="6:13">
      <c r="F694">
        <v>693</v>
      </c>
      <c r="G694" s="5">
        <f t="shared" si="76"/>
        <v>3561.588584727273</v>
      </c>
      <c r="H694" s="5">
        <f t="shared" ref="H694:H757" si="77">$C$2*(1+$C$1/$D$6)^(F694*$D$6*0.019231)</f>
        <v>3670.9890987048811</v>
      </c>
      <c r="I694" s="5">
        <f t="shared" ref="I694:I757" si="78">$C$2*(1+$C$1/$D$7)^(F694*$D$7*0.019231)</f>
        <v>3729.6783247181629</v>
      </c>
      <c r="J694" s="5">
        <f t="shared" ref="J694:J757" si="79">$C$2*(1+$C$1/$D$8)^(F694*$D$8*0.019231)</f>
        <v>3770.4185139066058</v>
      </c>
      <c r="K694" s="5">
        <f t="shared" ref="K694:K757" si="80">$C$2*(1+$C$1/$D$9)^(F694*$D$9*0.019231)</f>
        <v>3786.4484307159914</v>
      </c>
      <c r="L694" s="5">
        <f t="shared" ref="L694:L757" si="81">$C$2*(1+$C$1/$D$10)^(F694*$D$10*0.019231)</f>
        <v>3790.6055064065117</v>
      </c>
      <c r="M694" s="5">
        <f t="shared" ref="M694:M757" si="82">$C$2*EXP($C$1*F694*0.019231)</f>
        <v>3791.297466668836</v>
      </c>
    </row>
    <row r="695" spans="6:13">
      <c r="F695">
        <v>694</v>
      </c>
      <c r="G695" s="5">
        <f t="shared" si="76"/>
        <v>3568.1226426426133</v>
      </c>
      <c r="H695" s="5">
        <f t="shared" si="77"/>
        <v>3677.8844245331588</v>
      </c>
      <c r="I695" s="5">
        <f t="shared" si="78"/>
        <v>3736.7694115773761</v>
      </c>
      <c r="J695" s="5">
        <f t="shared" si="79"/>
        <v>3777.6462793548631</v>
      </c>
      <c r="K695" s="5">
        <f t="shared" si="80"/>
        <v>3793.7301497770673</v>
      </c>
      <c r="L695" s="5">
        <f t="shared" si="81"/>
        <v>3797.9012334449981</v>
      </c>
      <c r="M695" s="5">
        <f t="shared" si="82"/>
        <v>3798.5955260267542</v>
      </c>
    </row>
    <row r="696" spans="6:13">
      <c r="F696">
        <v>695</v>
      </c>
      <c r="G696" s="5">
        <f t="shared" si="76"/>
        <v>3574.6686878809774</v>
      </c>
      <c r="H696" s="5">
        <f t="shared" si="77"/>
        <v>3684.7927020529296</v>
      </c>
      <c r="I696" s="5">
        <f t="shared" si="78"/>
        <v>3743.8739804338197</v>
      </c>
      <c r="J696" s="5">
        <f t="shared" si="79"/>
        <v>3784.8879001863324</v>
      </c>
      <c r="K696" s="5">
        <f t="shared" si="80"/>
        <v>3801.025872312232</v>
      </c>
      <c r="L696" s="5">
        <f t="shared" si="81"/>
        <v>3805.2110024704252</v>
      </c>
      <c r="M696" s="5">
        <f t="shared" si="82"/>
        <v>3805.907633786534</v>
      </c>
    </row>
    <row r="697" spans="6:13">
      <c r="F697">
        <v>696</v>
      </c>
      <c r="G697" s="5">
        <f t="shared" si="76"/>
        <v>3581.2267424341976</v>
      </c>
      <c r="H697" s="5">
        <f t="shared" si="77"/>
        <v>3691.7139555917315</v>
      </c>
      <c r="I697" s="5">
        <f t="shared" si="78"/>
        <v>3750.9920569202714</v>
      </c>
      <c r="J697" s="5">
        <f t="shared" si="79"/>
        <v>3792.1434029613156</v>
      </c>
      <c r="K697" s="5">
        <f t="shared" si="80"/>
        <v>3808.3356252515637</v>
      </c>
      <c r="L697" s="5">
        <f t="shared" si="81"/>
        <v>3812.5348405092159</v>
      </c>
      <c r="M697" s="5">
        <f t="shared" si="82"/>
        <v>3813.2338169906525</v>
      </c>
    </row>
    <row r="698" spans="6:13">
      <c r="F698">
        <v>697</v>
      </c>
      <c r="G698" s="5">
        <f t="shared" si="76"/>
        <v>3587.7968283344553</v>
      </c>
      <c r="H698" s="5">
        <f t="shared" si="77"/>
        <v>3698.6482095228012</v>
      </c>
      <c r="I698" s="5">
        <f t="shared" si="78"/>
        <v>3758.1236667182434</v>
      </c>
      <c r="J698" s="5">
        <f t="shared" si="79"/>
        <v>3799.4128142910304</v>
      </c>
      <c r="K698" s="5">
        <f t="shared" si="80"/>
        <v>3815.6594355769371</v>
      </c>
      <c r="L698" s="5">
        <f t="shared" si="81"/>
        <v>3819.8727746398081</v>
      </c>
      <c r="M698" s="5">
        <f t="shared" si="82"/>
        <v>3820.5741027336398</v>
      </c>
    </row>
    <row r="699" spans="6:13">
      <c r="F699">
        <v>698</v>
      </c>
      <c r="G699" s="5">
        <f t="shared" si="76"/>
        <v>3594.3789676543474</v>
      </c>
      <c r="H699" s="5">
        <f t="shared" si="77"/>
        <v>3705.5954882651531</v>
      </c>
      <c r="I699" s="5">
        <f t="shared" si="78"/>
        <v>3765.2688355580722</v>
      </c>
      <c r="J699" s="5">
        <f t="shared" si="79"/>
        <v>3806.696160837711</v>
      </c>
      <c r="K699" s="5">
        <f t="shared" si="80"/>
        <v>3822.9973303221095</v>
      </c>
      <c r="L699" s="5">
        <f t="shared" si="81"/>
        <v>3827.2248319927608</v>
      </c>
      <c r="M699" s="5">
        <f t="shared" si="82"/>
        <v>3827.928518162184</v>
      </c>
    </row>
    <row r="700" spans="6:13">
      <c r="F700">
        <v>699</v>
      </c>
      <c r="G700" s="5">
        <f t="shared" si="76"/>
        <v>3600.9731825069694</v>
      </c>
      <c r="H700" s="5">
        <f t="shared" si="77"/>
        <v>3712.5558162836696</v>
      </c>
      <c r="I700" s="5">
        <f t="shared" si="78"/>
        <v>3772.4275892190194</v>
      </c>
      <c r="J700" s="5">
        <f t="shared" si="79"/>
        <v>3813.9934693146984</v>
      </c>
      <c r="K700" s="5">
        <f t="shared" si="80"/>
        <v>3830.3493365728282</v>
      </c>
      <c r="L700" s="5">
        <f t="shared" si="81"/>
        <v>3834.591039750846</v>
      </c>
      <c r="M700" s="5">
        <f t="shared" si="82"/>
        <v>3835.2970904752287</v>
      </c>
    </row>
    <row r="701" spans="6:13">
      <c r="F701">
        <v>700</v>
      </c>
      <c r="G701" s="5">
        <f t="shared" si="76"/>
        <v>3607.5794950459822</v>
      </c>
      <c r="H701" s="5">
        <f t="shared" si="77"/>
        <v>3719.5292180891875</v>
      </c>
      <c r="I701" s="5">
        <f t="shared" si="78"/>
        <v>3779.5999535293558</v>
      </c>
      <c r="J701" s="5">
        <f t="shared" si="79"/>
        <v>3821.3047664865417</v>
      </c>
      <c r="K701" s="5">
        <f t="shared" si="80"/>
        <v>3837.7154814669307</v>
      </c>
      <c r="L701" s="5">
        <f t="shared" si="81"/>
        <v>3841.9714251491591</v>
      </c>
      <c r="M701" s="5">
        <f t="shared" si="82"/>
        <v>3842.6798469240725</v>
      </c>
    </row>
    <row r="702" spans="6:13">
      <c r="F702">
        <v>701</v>
      </c>
      <c r="G702" s="5">
        <f t="shared" si="76"/>
        <v>3614.1979274656915</v>
      </c>
      <c r="H702" s="5">
        <f t="shared" si="77"/>
        <v>3726.5157182385819</v>
      </c>
      <c r="I702" s="5">
        <f t="shared" si="78"/>
        <v>3786.7859543664608</v>
      </c>
      <c r="J702" s="5">
        <f t="shared" si="79"/>
        <v>3828.6300791691015</v>
      </c>
      <c r="K702" s="5">
        <f t="shared" si="80"/>
        <v>3845.0957921944423</v>
      </c>
      <c r="L702" s="5">
        <f t="shared" si="81"/>
        <v>3849.3660154752092</v>
      </c>
      <c r="M702" s="5">
        <f t="shared" si="82"/>
        <v>3850.0768148124739</v>
      </c>
    </row>
    <row r="703" spans="6:13">
      <c r="F703">
        <v>702</v>
      </c>
      <c r="G703" s="5">
        <f t="shared" si="76"/>
        <v>3620.8285020011203</v>
      </c>
      <c r="H703" s="5">
        <f t="shared" si="77"/>
        <v>3733.5153413348535</v>
      </c>
      <c r="I703" s="5">
        <f t="shared" si="78"/>
        <v>3793.985617656911</v>
      </c>
      <c r="J703" s="5">
        <f t="shared" si="79"/>
        <v>3835.969434229637</v>
      </c>
      <c r="K703" s="5">
        <f t="shared" si="80"/>
        <v>3852.4902959976789</v>
      </c>
      <c r="L703" s="5">
        <f t="shared" si="81"/>
        <v>3856.7748380690323</v>
      </c>
      <c r="M703" s="5">
        <f t="shared" si="82"/>
        <v>3857.4880214967466</v>
      </c>
    </row>
    <row r="704" spans="6:13">
      <c r="F704">
        <v>703</v>
      </c>
      <c r="G704" s="5">
        <f t="shared" si="76"/>
        <v>3627.4712409280824</v>
      </c>
      <c r="H704" s="5">
        <f t="shared" si="77"/>
        <v>3740.5281120272152</v>
      </c>
      <c r="I704" s="5">
        <f t="shared" si="78"/>
        <v>3801.1989693765781</v>
      </c>
      <c r="J704" s="5">
        <f t="shared" si="79"/>
        <v>3843.3228585869169</v>
      </c>
      <c r="K704" s="5">
        <f t="shared" si="80"/>
        <v>3859.8990201713418</v>
      </c>
      <c r="L704" s="5">
        <f t="shared" si="81"/>
        <v>3864.1979203232777</v>
      </c>
      <c r="M704" s="5">
        <f t="shared" si="82"/>
        <v>3864.9134943858653</v>
      </c>
    </row>
    <row r="705" spans="6:13">
      <c r="F705">
        <v>704</v>
      </c>
      <c r="G705" s="5">
        <f t="shared" si="76"/>
        <v>3634.1261665632596</v>
      </c>
      <c r="H705" s="5">
        <f t="shared" si="77"/>
        <v>3747.5540550111814</v>
      </c>
      <c r="I705" s="5">
        <f t="shared" si="78"/>
        <v>3808.4260355507195</v>
      </c>
      <c r="J705" s="5">
        <f t="shared" si="79"/>
        <v>3850.6903792113089</v>
      </c>
      <c r="K705" s="5">
        <f t="shared" si="80"/>
        <v>3867.3219920626279</v>
      </c>
      <c r="L705" s="5">
        <f t="shared" si="81"/>
        <v>3871.6352896833228</v>
      </c>
      <c r="M705" s="5">
        <f t="shared" si="82"/>
        <v>3872.3532609415688</v>
      </c>
    </row>
    <row r="706" spans="6:13">
      <c r="F706">
        <v>705</v>
      </c>
      <c r="G706" s="5">
        <f t="shared" si="76"/>
        <v>3640.793301264277</v>
      </c>
      <c r="H706" s="5">
        <f t="shared" si="77"/>
        <v>3754.5931950286513</v>
      </c>
      <c r="I706" s="5">
        <f t="shared" si="78"/>
        <v>3815.6668422540761</v>
      </c>
      <c r="J706" s="5">
        <f t="shared" si="79"/>
        <v>3858.0720231248815</v>
      </c>
      <c r="K706" s="5">
        <f t="shared" si="80"/>
        <v>3874.7592390713235</v>
      </c>
      <c r="L706" s="5">
        <f t="shared" si="81"/>
        <v>3879.0869736473646</v>
      </c>
      <c r="M706" s="5">
        <f t="shared" si="82"/>
        <v>3879.8073486784529</v>
      </c>
    </row>
    <row r="707" spans="6:13">
      <c r="F707">
        <v>706</v>
      </c>
      <c r="G707" s="5">
        <f t="shared" si="76"/>
        <v>3647.4726674297731</v>
      </c>
      <c r="H707" s="5">
        <f t="shared" si="77"/>
        <v>3761.6455568679962</v>
      </c>
      <c r="I707" s="5">
        <f t="shared" si="78"/>
        <v>3822.9214156109588</v>
      </c>
      <c r="J707" s="5">
        <f t="shared" si="79"/>
        <v>3865.4678174015075</v>
      </c>
      <c r="K707" s="5">
        <f t="shared" si="80"/>
        <v>3882.2107886499057</v>
      </c>
      <c r="L707" s="5">
        <f t="shared" si="81"/>
        <v>3886.552999766529</v>
      </c>
      <c r="M707" s="5">
        <f t="shared" si="82"/>
        <v>3887.2757851640818</v>
      </c>
    </row>
    <row r="708" spans="6:13">
      <c r="F708">
        <v>707</v>
      </c>
      <c r="G708" s="5">
        <f t="shared" ref="G708:G771" si="83">$C$2*(1+$C$1)^(F708*0.019231/$D$5)</f>
        <v>3654.1642874994827</v>
      </c>
      <c r="H708" s="5">
        <f t="shared" si="77"/>
        <v>3768.7111653641505</v>
      </c>
      <c r="I708" s="5">
        <f t="shared" si="78"/>
        <v>3830.1897817953509</v>
      </c>
      <c r="J708" s="5">
        <f t="shared" si="79"/>
        <v>3872.8777891669552</v>
      </c>
      <c r="K708" s="5">
        <f t="shared" si="80"/>
        <v>3889.6766683036476</v>
      </c>
      <c r="L708" s="5">
        <f t="shared" si="81"/>
        <v>3894.0333956449658</v>
      </c>
      <c r="M708" s="5">
        <f t="shared" si="82"/>
        <v>3894.758598019082</v>
      </c>
    </row>
    <row r="709" spans="6:13">
      <c r="F709">
        <v>708</v>
      </c>
      <c r="G709" s="5">
        <f t="shared" si="83"/>
        <v>3660.868183954306</v>
      </c>
      <c r="H709" s="5">
        <f t="shared" si="77"/>
        <v>3775.7900453986958</v>
      </c>
      <c r="I709" s="5">
        <f t="shared" si="78"/>
        <v>3837.4719670309996</v>
      </c>
      <c r="J709" s="5">
        <f t="shared" si="79"/>
        <v>3880.3019655989929</v>
      </c>
      <c r="K709" s="5">
        <f t="shared" si="80"/>
        <v>3897.156905590718</v>
      </c>
      <c r="L709" s="5">
        <f t="shared" si="81"/>
        <v>3901.5281889399585</v>
      </c>
      <c r="M709" s="5">
        <f t="shared" si="82"/>
        <v>3902.2558149172519</v>
      </c>
    </row>
    <row r="710" spans="6:13">
      <c r="F710">
        <v>709</v>
      </c>
      <c r="G710" s="5">
        <f t="shared" si="83"/>
        <v>3667.5843793163872</v>
      </c>
      <c r="H710" s="5">
        <f t="shared" si="77"/>
        <v>3782.8822218999503</v>
      </c>
      <c r="I710" s="5">
        <f t="shared" si="78"/>
        <v>3844.7679975915098</v>
      </c>
      <c r="J710" s="5">
        <f t="shared" si="79"/>
        <v>3887.740373927491</v>
      </c>
      <c r="K710" s="5">
        <f t="shared" si="80"/>
        <v>3904.6515281222796</v>
      </c>
      <c r="L710" s="5">
        <f t="shared" si="81"/>
        <v>3909.0374073620164</v>
      </c>
      <c r="M710" s="5">
        <f t="shared" si="82"/>
        <v>3909.7674635856611</v>
      </c>
    </row>
    <row r="711" spans="6:13">
      <c r="F711">
        <v>710</v>
      </c>
      <c r="G711" s="5">
        <f t="shared" si="83"/>
        <v>3674.3128961491893</v>
      </c>
      <c r="H711" s="5">
        <f t="shared" si="77"/>
        <v>3789.9877198430527</v>
      </c>
      <c r="I711" s="5">
        <f t="shared" si="78"/>
        <v>3852.0778998004366</v>
      </c>
      <c r="J711" s="5">
        <f t="shared" si="79"/>
        <v>3895.1930414345138</v>
      </c>
      <c r="K711" s="5">
        <f t="shared" si="80"/>
        <v>3912.1605635625992</v>
      </c>
      <c r="L711" s="5">
        <f t="shared" si="81"/>
        <v>3916.5610786749889</v>
      </c>
      <c r="M711" s="5">
        <f t="shared" si="82"/>
        <v>3917.2935718047484</v>
      </c>
    </row>
    <row r="712" spans="6:13">
      <c r="F712">
        <v>711</v>
      </c>
      <c r="G712" s="5">
        <f t="shared" si="83"/>
        <v>3681.0537570575693</v>
      </c>
      <c r="H712" s="5">
        <f t="shared" si="77"/>
        <v>3797.1065642500575</v>
      </c>
      <c r="I712" s="5">
        <f t="shared" si="78"/>
        <v>3859.4017000313866</v>
      </c>
      <c r="J712" s="5">
        <f t="shared" si="79"/>
        <v>3902.6599954544286</v>
      </c>
      <c r="K712" s="5">
        <f t="shared" si="80"/>
        <v>3919.6840396291404</v>
      </c>
      <c r="L712" s="5">
        <f t="shared" si="81"/>
        <v>3924.0992306961571</v>
      </c>
      <c r="M712" s="5">
        <f t="shared" si="82"/>
        <v>3924.8341674084327</v>
      </c>
    </row>
    <row r="713" spans="6:13">
      <c r="F713">
        <v>712</v>
      </c>
      <c r="G713" s="5">
        <f t="shared" si="83"/>
        <v>3687.806984687857</v>
      </c>
      <c r="H713" s="5">
        <f t="shared" si="77"/>
        <v>3804.2387801900159</v>
      </c>
      <c r="I713" s="5">
        <f t="shared" si="78"/>
        <v>3866.7394247081083</v>
      </c>
      <c r="J713" s="5">
        <f t="shared" si="79"/>
        <v>3910.1412633739997</v>
      </c>
      <c r="K713" s="5">
        <f t="shared" si="80"/>
        <v>3927.2219840926709</v>
      </c>
      <c r="L713" s="5">
        <f t="shared" si="81"/>
        <v>3931.6518912963456</v>
      </c>
      <c r="M713" s="5">
        <f t="shared" si="82"/>
        <v>3932.3892782842072</v>
      </c>
    </row>
    <row r="714" spans="6:13">
      <c r="F714">
        <v>713</v>
      </c>
      <c r="G714" s="5">
        <f t="shared" si="83"/>
        <v>3694.5726017279267</v>
      </c>
      <c r="H714" s="5">
        <f t="shared" si="77"/>
        <v>3811.3843927790695</v>
      </c>
      <c r="I714" s="5">
        <f t="shared" si="78"/>
        <v>3874.0911003045881</v>
      </c>
      <c r="J714" s="5">
        <f t="shared" si="79"/>
        <v>3917.636872632489</v>
      </c>
      <c r="K714" s="5">
        <f t="shared" si="80"/>
        <v>3934.7744247773685</v>
      </c>
      <c r="L714" s="5">
        <f t="shared" si="81"/>
        <v>3939.219088400017</v>
      </c>
      <c r="M714" s="5">
        <f t="shared" si="82"/>
        <v>3939.9589323732512</v>
      </c>
    </row>
    <row r="715" spans="6:13">
      <c r="F715">
        <v>714</v>
      </c>
      <c r="G715" s="5">
        <f t="shared" si="83"/>
        <v>3701.3506309072768</v>
      </c>
      <c r="H715" s="5">
        <f t="shared" si="77"/>
        <v>3818.5434271805334</v>
      </c>
      <c r="I715" s="5">
        <f t="shared" si="78"/>
        <v>3881.4567533451464</v>
      </c>
      <c r="J715" s="5">
        <f t="shared" si="79"/>
        <v>3925.1468507217642</v>
      </c>
      <c r="K715" s="5">
        <f t="shared" si="80"/>
        <v>3942.3413895609128</v>
      </c>
      <c r="L715" s="5">
        <f t="shared" si="81"/>
        <v>3946.8008499853863</v>
      </c>
      <c r="M715" s="5">
        <f t="shared" si="82"/>
        <v>3947.54315767053</v>
      </c>
    </row>
    <row r="716" spans="6:13">
      <c r="F716">
        <v>715</v>
      </c>
      <c r="G716" s="5">
        <f t="shared" si="83"/>
        <v>3708.1410949971041</v>
      </c>
      <c r="H716" s="5">
        <f t="shared" si="77"/>
        <v>3825.7159086049883</v>
      </c>
      <c r="I716" s="5">
        <f t="shared" si="78"/>
        <v>3888.8364104045336</v>
      </c>
      <c r="J716" s="5">
        <f t="shared" si="79"/>
        <v>3932.6712251863878</v>
      </c>
      <c r="K716" s="5">
        <f t="shared" si="80"/>
        <v>3949.9229063746002</v>
      </c>
      <c r="L716" s="5">
        <f t="shared" si="81"/>
        <v>3954.397204084511</v>
      </c>
      <c r="M716" s="5">
        <f t="shared" si="82"/>
        <v>3955.1419822248931</v>
      </c>
    </row>
    <row r="717" spans="6:13">
      <c r="F717">
        <v>716</v>
      </c>
      <c r="G717" s="5">
        <f t="shared" si="83"/>
        <v>3714.9440168103833</v>
      </c>
      <c r="H717" s="5">
        <f t="shared" si="77"/>
        <v>3832.9018623103711</v>
      </c>
      <c r="I717" s="5">
        <f t="shared" si="78"/>
        <v>3896.2300981080252</v>
      </c>
      <c r="J717" s="5">
        <f t="shared" si="79"/>
        <v>3940.2100236237293</v>
      </c>
      <c r="K717" s="5">
        <f t="shared" si="80"/>
        <v>3957.5190032034398</v>
      </c>
      <c r="L717" s="5">
        <f t="shared" si="81"/>
        <v>3962.0081787834069</v>
      </c>
      <c r="M717" s="5">
        <f t="shared" si="82"/>
        <v>3962.7554341391883</v>
      </c>
    </row>
    <row r="718" spans="6:13">
      <c r="F718">
        <v>717</v>
      </c>
      <c r="G718" s="5">
        <f t="shared" si="83"/>
        <v>3721.7594192019401</v>
      </c>
      <c r="H718" s="5">
        <f t="shared" si="77"/>
        <v>3840.1013136020592</v>
      </c>
      <c r="I718" s="5">
        <f t="shared" si="78"/>
        <v>3903.6378431315202</v>
      </c>
      <c r="J718" s="5">
        <f t="shared" si="79"/>
        <v>3947.7632736840578</v>
      </c>
      <c r="K718" s="5">
        <f t="shared" si="80"/>
        <v>3965.129708086261</v>
      </c>
      <c r="L718" s="5">
        <f t="shared" si="81"/>
        <v>3969.6338022221421</v>
      </c>
      <c r="M718" s="5">
        <f t="shared" si="82"/>
        <v>3970.3835415703538</v>
      </c>
    </row>
    <row r="719" spans="6:13">
      <c r="F719">
        <v>718</v>
      </c>
      <c r="G719" s="5">
        <f t="shared" si="83"/>
        <v>3728.5873250685272</v>
      </c>
      <c r="H719" s="5">
        <f t="shared" si="77"/>
        <v>3847.3142878329622</v>
      </c>
      <c r="I719" s="5">
        <f t="shared" si="78"/>
        <v>3911.0596722016317</v>
      </c>
      <c r="J719" s="5">
        <f t="shared" si="79"/>
        <v>3955.3310030706475</v>
      </c>
      <c r="K719" s="5">
        <f t="shared" si="80"/>
        <v>3972.7550491158099</v>
      </c>
      <c r="L719" s="5">
        <f t="shared" si="81"/>
        <v>3977.274102594949</v>
      </c>
      <c r="M719" s="5">
        <f t="shared" si="82"/>
        <v>3978.0263327295324</v>
      </c>
    </row>
    <row r="720" spans="6:13">
      <c r="F720">
        <v>719</v>
      </c>
      <c r="G720" s="5">
        <f t="shared" si="83"/>
        <v>3735.4277573489076</v>
      </c>
      <c r="H720" s="5">
        <f t="shared" si="77"/>
        <v>3854.5408104036123</v>
      </c>
      <c r="I720" s="5">
        <f t="shared" si="78"/>
        <v>3918.4956120957891</v>
      </c>
      <c r="J720" s="5">
        <f t="shared" si="79"/>
        <v>3962.9132395398819</v>
      </c>
      <c r="K720" s="5">
        <f t="shared" si="80"/>
        <v>3980.3950544388613</v>
      </c>
      <c r="L720" s="5">
        <f t="shared" si="81"/>
        <v>3984.929108150322</v>
      </c>
      <c r="M720" s="5">
        <f t="shared" si="82"/>
        <v>3985.6838358821751</v>
      </c>
    </row>
    <row r="721" spans="6:13">
      <c r="F721">
        <v>720</v>
      </c>
      <c r="G721" s="5">
        <f t="shared" si="83"/>
        <v>3742.2807390239259</v>
      </c>
      <c r="H721" s="5">
        <f t="shared" si="77"/>
        <v>3861.7809067622488</v>
      </c>
      <c r="I721" s="5">
        <f t="shared" si="78"/>
        <v>3925.9456896423339</v>
      </c>
      <c r="J721" s="5">
        <f t="shared" si="79"/>
        <v>3970.5100109013492</v>
      </c>
      <c r="K721" s="5">
        <f t="shared" si="80"/>
        <v>3988.0497522563192</v>
      </c>
      <c r="L721" s="5">
        <f t="shared" si="81"/>
        <v>3992.5988471911292</v>
      </c>
      <c r="M721" s="5">
        <f t="shared" si="82"/>
        <v>3993.3560793481342</v>
      </c>
    </row>
    <row r="722" spans="6:13">
      <c r="F722">
        <v>721</v>
      </c>
      <c r="G722" s="5">
        <f t="shared" si="83"/>
        <v>3749.1462931165856</v>
      </c>
      <c r="H722" s="5">
        <f t="shared" si="77"/>
        <v>3869.0346024049145</v>
      </c>
      <c r="I722" s="5">
        <f t="shared" si="78"/>
        <v>3933.4099317206137</v>
      </c>
      <c r="J722" s="5">
        <f t="shared" si="79"/>
        <v>3978.1213450179484</v>
      </c>
      <c r="K722" s="5">
        <f t="shared" si="80"/>
        <v>3995.7191708233213</v>
      </c>
      <c r="L722" s="5">
        <f t="shared" si="81"/>
        <v>4000.2833480747081</v>
      </c>
      <c r="M722" s="5">
        <f t="shared" si="82"/>
        <v>4001.0430915017841</v>
      </c>
    </row>
    <row r="723" spans="6:13">
      <c r="F723">
        <v>722</v>
      </c>
      <c r="G723" s="5">
        <f t="shared" si="83"/>
        <v>3756.0244426921308</v>
      </c>
      <c r="H723" s="5">
        <f t="shared" si="77"/>
        <v>3876.3019228755406</v>
      </c>
      <c r="I723" s="5">
        <f t="shared" si="78"/>
        <v>3940.8883652610803</v>
      </c>
      <c r="J723" s="5">
        <f t="shared" si="79"/>
        <v>3985.7472698059923</v>
      </c>
      <c r="K723" s="5">
        <f t="shared" si="80"/>
        <v>4003.4033384493364</v>
      </c>
      <c r="L723" s="5">
        <f t="shared" si="81"/>
        <v>4007.9826392129785</v>
      </c>
      <c r="M723" s="5">
        <f t="shared" si="82"/>
        <v>4008.7449007721129</v>
      </c>
    </row>
    <row r="724" spans="6:13">
      <c r="F724">
        <v>723</v>
      </c>
      <c r="G724" s="5">
        <f t="shared" si="83"/>
        <v>3762.9152108581193</v>
      </c>
      <c r="H724" s="5">
        <f t="shared" si="77"/>
        <v>3883.582893766039</v>
      </c>
      <c r="I724" s="5">
        <f t="shared" si="78"/>
        <v>3948.3810172453877</v>
      </c>
      <c r="J724" s="5">
        <f t="shared" si="79"/>
        <v>3993.3878132353052</v>
      </c>
      <c r="K724" s="5">
        <f t="shared" si="80"/>
        <v>4011.1022834982864</v>
      </c>
      <c r="L724" s="5">
        <f t="shared" si="81"/>
        <v>4015.6967490725428</v>
      </c>
      <c r="M724" s="5">
        <f t="shared" si="82"/>
        <v>4016.4615356428353</v>
      </c>
    </row>
    <row r="725" spans="6:13">
      <c r="F725">
        <v>724</v>
      </c>
      <c r="G725" s="5">
        <f t="shared" si="83"/>
        <v>3769.8186207645012</v>
      </c>
      <c r="H725" s="5">
        <f t="shared" si="77"/>
        <v>3890.8775407163907</v>
      </c>
      <c r="I725" s="5">
        <f t="shared" si="78"/>
        <v>3955.8879147064899</v>
      </c>
      <c r="J725" s="5">
        <f t="shared" si="79"/>
        <v>4001.0430033293333</v>
      </c>
      <c r="K725" s="5">
        <f t="shared" si="80"/>
        <v>4018.8160343886289</v>
      </c>
      <c r="L725" s="5">
        <f t="shared" si="81"/>
        <v>4023.425706174793</v>
      </c>
      <c r="M725" s="5">
        <f t="shared" si="82"/>
        <v>4024.1930246524989</v>
      </c>
    </row>
    <row r="726" spans="6:13">
      <c r="F726">
        <v>725</v>
      </c>
      <c r="G726" s="5">
        <f t="shared" si="83"/>
        <v>3776.7346956036999</v>
      </c>
      <c r="H726" s="5">
        <f t="shared" si="77"/>
        <v>3898.1858894147399</v>
      </c>
      <c r="I726" s="5">
        <f t="shared" si="78"/>
        <v>3963.409084728738</v>
      </c>
      <c r="J726" s="5">
        <f t="shared" si="79"/>
        <v>4008.7128681652393</v>
      </c>
      <c r="K726" s="5">
        <f t="shared" si="80"/>
        <v>4026.544619593481</v>
      </c>
      <c r="L726" s="5">
        <f t="shared" si="81"/>
        <v>4031.1695390960153</v>
      </c>
      <c r="M726" s="5">
        <f t="shared" si="82"/>
        <v>4031.9393963945809</v>
      </c>
    </row>
    <row r="727" spans="6:13">
      <c r="F727">
        <v>726</v>
      </c>
      <c r="G727" s="5">
        <f t="shared" si="83"/>
        <v>3783.6634586106825</v>
      </c>
      <c r="H727" s="5">
        <f t="shared" si="77"/>
        <v>3905.507965597476</v>
      </c>
      <c r="I727" s="5">
        <f t="shared" si="78"/>
        <v>3970.9445544479745</v>
      </c>
      <c r="J727" s="5">
        <f t="shared" si="79"/>
        <v>4016.3974358740074</v>
      </c>
      <c r="K727" s="5">
        <f t="shared" si="80"/>
        <v>4034.2880676407117</v>
      </c>
      <c r="L727" s="5">
        <f t="shared" si="81"/>
        <v>4038.9282764674972</v>
      </c>
      <c r="M727" s="5">
        <f t="shared" si="82"/>
        <v>4039.7006795176039</v>
      </c>
    </row>
    <row r="728" spans="6:13">
      <c r="F728">
        <v>727</v>
      </c>
      <c r="G728" s="5">
        <f t="shared" si="83"/>
        <v>3790.6049330630476</v>
      </c>
      <c r="H728" s="5">
        <f t="shared" si="77"/>
        <v>3912.8437950493339</v>
      </c>
      <c r="I728" s="5">
        <f t="shared" si="78"/>
        <v>3978.4943510516368</v>
      </c>
      <c r="J728" s="5">
        <f t="shared" si="79"/>
        <v>4024.0967346405537</v>
      </c>
      <c r="K728" s="5">
        <f t="shared" si="80"/>
        <v>4042.0464071130536</v>
      </c>
      <c r="L728" s="5">
        <f t="shared" si="81"/>
        <v>4046.7019469756328</v>
      </c>
      <c r="M728" s="5">
        <f t="shared" si="82"/>
        <v>4047.4769027252328</v>
      </c>
    </row>
    <row r="729" spans="6:13">
      <c r="F729">
        <v>728</v>
      </c>
      <c r="G729" s="5">
        <f t="shared" si="83"/>
        <v>3797.5591422810971</v>
      </c>
      <c r="H729" s="5">
        <f t="shared" si="77"/>
        <v>3920.1934036034809</v>
      </c>
      <c r="I729" s="5">
        <f t="shared" si="78"/>
        <v>3986.0585017788517</v>
      </c>
      <c r="J729" s="5">
        <f t="shared" si="79"/>
        <v>4031.8107927038182</v>
      </c>
      <c r="K729" s="5">
        <f t="shared" si="80"/>
        <v>4049.8196666482063</v>
      </c>
      <c r="L729" s="5">
        <f t="shared" si="81"/>
        <v>4054.4905793620283</v>
      </c>
      <c r="M729" s="5">
        <f t="shared" si="82"/>
        <v>4055.2680947763902</v>
      </c>
    </row>
    <row r="730" spans="6:13">
      <c r="F730">
        <v>729</v>
      </c>
      <c r="G730" s="5">
        <f t="shared" si="83"/>
        <v>3804.5261096279164</v>
      </c>
      <c r="H730" s="5">
        <f t="shared" si="77"/>
        <v>3927.5568171416066</v>
      </c>
      <c r="I730" s="5">
        <f t="shared" si="78"/>
        <v>3993.6370339205369</v>
      </c>
      <c r="J730" s="5">
        <f t="shared" si="79"/>
        <v>4039.5396383568764</v>
      </c>
      <c r="K730" s="5">
        <f t="shared" si="80"/>
        <v>4057.6078749389444</v>
      </c>
      <c r="L730" s="5">
        <f t="shared" si="81"/>
        <v>4062.2942024236054</v>
      </c>
      <c r="M730" s="5">
        <f t="shared" si="82"/>
        <v>4063.0742844853589</v>
      </c>
    </row>
    <row r="731" spans="6:13">
      <c r="F731">
        <v>730</v>
      </c>
      <c r="G731" s="5">
        <f t="shared" si="83"/>
        <v>3811.5058585094507</v>
      </c>
      <c r="H731" s="5">
        <f t="shared" si="77"/>
        <v>3934.9340615940127</v>
      </c>
      <c r="I731" s="5">
        <f t="shared" si="78"/>
        <v>4001.2299748194923</v>
      </c>
      <c r="J731" s="5">
        <f t="shared" si="79"/>
        <v>4047.2832999470406</v>
      </c>
      <c r="K731" s="5">
        <f t="shared" si="80"/>
        <v>4065.4110607332186</v>
      </c>
      <c r="L731" s="5">
        <f t="shared" si="81"/>
        <v>4070.1128450127167</v>
      </c>
      <c r="M731" s="5">
        <f t="shared" si="82"/>
        <v>4070.8955007218829</v>
      </c>
    </row>
    <row r="732" spans="6:13">
      <c r="F732">
        <v>731</v>
      </c>
      <c r="G732" s="5">
        <f t="shared" si="83"/>
        <v>3818.4984123745871</v>
      </c>
      <c r="H732" s="5">
        <f t="shared" si="77"/>
        <v>3942.3251629397109</v>
      </c>
      <c r="I732" s="5">
        <f t="shared" si="78"/>
        <v>4008.8373518705075</v>
      </c>
      <c r="J732" s="5">
        <f t="shared" si="79"/>
        <v>4055.0418058759642</v>
      </c>
      <c r="K732" s="5">
        <f t="shared" si="80"/>
        <v>4073.2292528342668</v>
      </c>
      <c r="L732" s="5">
        <f t="shared" si="81"/>
        <v>4077.9465360372401</v>
      </c>
      <c r="M732" s="5">
        <f t="shared" si="82"/>
        <v>4078.7317724112818</v>
      </c>
    </row>
    <row r="733" spans="6:13">
      <c r="F733">
        <v>732</v>
      </c>
      <c r="G733" s="5">
        <f t="shared" si="83"/>
        <v>3825.5037947152318</v>
      </c>
      <c r="H733" s="5">
        <f t="shared" si="77"/>
        <v>3949.7301472065069</v>
      </c>
      <c r="I733" s="5">
        <f t="shared" si="78"/>
        <v>4016.4591925204577</v>
      </c>
      <c r="J733" s="5">
        <f t="shared" si="79"/>
        <v>4062.8151845997459</v>
      </c>
      <c r="K733" s="5">
        <f t="shared" si="80"/>
        <v>4081.0624801007175</v>
      </c>
      <c r="L733" s="5">
        <f t="shared" si="81"/>
        <v>4085.7953044606984</v>
      </c>
      <c r="M733" s="5">
        <f t="shared" si="82"/>
        <v>4086.5831285345548</v>
      </c>
    </row>
    <row r="734" spans="6:13">
      <c r="F734">
        <v>733</v>
      </c>
      <c r="G734" s="5">
        <f t="shared" si="83"/>
        <v>3832.5220290663906</v>
      </c>
      <c r="H734" s="5">
        <f t="shared" si="77"/>
        <v>3957.1490404710967</v>
      </c>
      <c r="I734" s="5">
        <f t="shared" si="78"/>
        <v>4024.0955242683976</v>
      </c>
      <c r="J734" s="5">
        <f t="shared" si="79"/>
        <v>4070.6034646290314</v>
      </c>
      <c r="K734" s="5">
        <f t="shared" si="80"/>
        <v>4088.9107714466986</v>
      </c>
      <c r="L734" s="5">
        <f t="shared" si="81"/>
        <v>4093.659179302354</v>
      </c>
      <c r="M734" s="5">
        <f t="shared" si="82"/>
        <v>4094.4495981284872</v>
      </c>
    </row>
    <row r="735" spans="6:13">
      <c r="F735">
        <v>734</v>
      </c>
      <c r="G735" s="5">
        <f t="shared" si="83"/>
        <v>3839.5531390062424</v>
      </c>
      <c r="H735" s="5">
        <f t="shared" si="77"/>
        <v>3964.5818688591548</v>
      </c>
      <c r="I735" s="5">
        <f t="shared" si="78"/>
        <v>4031.7463746656676</v>
      </c>
      <c r="J735" s="5">
        <f t="shared" si="79"/>
        <v>4078.4066745291225</v>
      </c>
      <c r="K735" s="5">
        <f t="shared" si="80"/>
        <v>4096.7741558419411</v>
      </c>
      <c r="L735" s="5">
        <f t="shared" si="81"/>
        <v>4101.5381896373274</v>
      </c>
      <c r="M735" s="5">
        <f t="shared" si="82"/>
        <v>4102.3312102857635</v>
      </c>
    </row>
    <row r="736" spans="6:13">
      <c r="F736">
        <v>735</v>
      </c>
      <c r="G736" s="5">
        <f t="shared" si="83"/>
        <v>3846.5971481562256</v>
      </c>
      <c r="H736" s="5">
        <f t="shared" si="77"/>
        <v>3972.0286585454305</v>
      </c>
      <c r="I736" s="5">
        <f t="shared" si="78"/>
        <v>4039.411771315989</v>
      </c>
      <c r="J736" s="5">
        <f t="shared" si="79"/>
        <v>4086.2248429200808</v>
      </c>
      <c r="K736" s="5">
        <f t="shared" si="80"/>
        <v>4104.652662311888</v>
      </c>
      <c r="L736" s="5">
        <f t="shared" si="81"/>
        <v>4109.4323645966961</v>
      </c>
      <c r="M736" s="5">
        <f t="shared" si="82"/>
        <v>4110.2279941550614</v>
      </c>
    </row>
    <row r="737" spans="6:13">
      <c r="F737">
        <v>736</v>
      </c>
      <c r="G737" s="5">
        <f t="shared" si="83"/>
        <v>3853.6540801811138</v>
      </c>
      <c r="H737" s="5">
        <f t="shared" si="77"/>
        <v>3979.4894357538374</v>
      </c>
      <c r="I737" s="5">
        <f t="shared" si="78"/>
        <v>4047.0917418755662</v>
      </c>
      <c r="J737" s="5">
        <f t="shared" si="79"/>
        <v>4094.0579984768278</v>
      </c>
      <c r="K737" s="5">
        <f t="shared" si="80"/>
        <v>4112.5463199378028</v>
      </c>
      <c r="L737" s="5">
        <f t="shared" si="81"/>
        <v>4117.341733367608</v>
      </c>
      <c r="M737" s="5">
        <f t="shared" si="82"/>
        <v>4118.1399789411762</v>
      </c>
    </row>
    <row r="738" spans="6:13">
      <c r="F738">
        <v>737</v>
      </c>
      <c r="G738" s="5">
        <f t="shared" si="83"/>
        <v>3860.7239587890954</v>
      </c>
      <c r="H738" s="5">
        <f t="shared" si="77"/>
        <v>3986.9642267575473</v>
      </c>
      <c r="I738" s="5">
        <f t="shared" si="78"/>
        <v>4054.7863140531863</v>
      </c>
      <c r="J738" s="5">
        <f t="shared" si="79"/>
        <v>4101.9061699292588</v>
      </c>
      <c r="K738" s="5">
        <f t="shared" si="80"/>
        <v>4120.4551578568726</v>
      </c>
      <c r="L738" s="5">
        <f t="shared" si="81"/>
        <v>4125.2663251933855</v>
      </c>
      <c r="M738" s="5">
        <f t="shared" si="82"/>
        <v>4126.0671939051163</v>
      </c>
    </row>
    <row r="739" spans="6:13">
      <c r="F739">
        <v>738</v>
      </c>
      <c r="G739" s="5">
        <f t="shared" si="83"/>
        <v>3867.806807731853</v>
      </c>
      <c r="H739" s="5">
        <f t="shared" si="77"/>
        <v>3994.4530578790786</v>
      </c>
      <c r="I739" s="5">
        <f t="shared" si="78"/>
        <v>4062.4955156103129</v>
      </c>
      <c r="J739" s="5">
        <f t="shared" si="79"/>
        <v>4109.7693860623376</v>
      </c>
      <c r="K739" s="5">
        <f t="shared" si="80"/>
        <v>4128.3792052623194</v>
      </c>
      <c r="L739" s="5">
        <f t="shared" si="81"/>
        <v>4133.2061693736368</v>
      </c>
      <c r="M739" s="5">
        <f t="shared" si="82"/>
        <v>4134.0096683642169</v>
      </c>
    </row>
    <row r="740" spans="6:13">
      <c r="F740">
        <v>739</v>
      </c>
      <c r="G740" s="5">
        <f t="shared" si="83"/>
        <v>3874.9026508046436</v>
      </c>
      <c r="H740" s="5">
        <f t="shared" si="77"/>
        <v>4001.955955490394</v>
      </c>
      <c r="I740" s="5">
        <f t="shared" si="78"/>
        <v>4070.219374361197</v>
      </c>
      <c r="J740" s="5">
        <f t="shared" si="79"/>
        <v>4117.6476757162127</v>
      </c>
      <c r="K740" s="5">
        <f t="shared" si="80"/>
        <v>4136.3184914035073</v>
      </c>
      <c r="L740" s="5">
        <f t="shared" si="81"/>
        <v>4141.16129526436</v>
      </c>
      <c r="M740" s="5">
        <f t="shared" si="82"/>
        <v>4141.967431692251</v>
      </c>
    </row>
    <row r="741" spans="6:13">
      <c r="F741">
        <v>740</v>
      </c>
      <c r="G741" s="5">
        <f t="shared" si="83"/>
        <v>3882.0115118463814</v>
      </c>
      <c r="H741" s="5">
        <f t="shared" si="77"/>
        <v>4009.4729460129911</v>
      </c>
      <c r="I741" s="5">
        <f t="shared" si="78"/>
        <v>4077.9579181729682</v>
      </c>
      <c r="J741" s="5">
        <f t="shared" si="79"/>
        <v>4125.5410677863165</v>
      </c>
      <c r="K741" s="5">
        <f t="shared" si="80"/>
        <v>4144.273045586051</v>
      </c>
      <c r="L741" s="5">
        <f t="shared" si="81"/>
        <v>4149.1317322780596</v>
      </c>
      <c r="M741" s="5">
        <f t="shared" si="82"/>
        <v>4149.9405133195305</v>
      </c>
    </row>
    <row r="742" spans="6:13">
      <c r="F742">
        <v>741</v>
      </c>
      <c r="G742" s="5">
        <f t="shared" si="83"/>
        <v>3889.133414739712</v>
      </c>
      <c r="H742" s="5">
        <f t="shared" si="77"/>
        <v>4017.0040559179984</v>
      </c>
      <c r="I742" s="5">
        <f t="shared" si="78"/>
        <v>4085.7111749657424</v>
      </c>
      <c r="J742" s="5">
        <f t="shared" si="79"/>
        <v>4133.4495912234725</v>
      </c>
      <c r="K742" s="5">
        <f t="shared" si="80"/>
        <v>4152.2428971719173</v>
      </c>
      <c r="L742" s="5">
        <f t="shared" si="81"/>
        <v>4157.1175098838421</v>
      </c>
      <c r="M742" s="5">
        <f t="shared" si="82"/>
        <v>4157.9289427330223</v>
      </c>
    </row>
    <row r="743" spans="6:13">
      <c r="F743">
        <v>742</v>
      </c>
      <c r="G743" s="5">
        <f t="shared" si="83"/>
        <v>3896.2683834110985</v>
      </c>
      <c r="H743" s="5">
        <f t="shared" si="77"/>
        <v>4024.5493117262604</v>
      </c>
      <c r="I743" s="5">
        <f t="shared" si="78"/>
        <v>4093.479172712714</v>
      </c>
      <c r="J743" s="5">
        <f t="shared" si="79"/>
        <v>4141.3732750340005</v>
      </c>
      <c r="K743" s="5">
        <f t="shared" si="80"/>
        <v>4160.2280755795464</v>
      </c>
      <c r="L743" s="5">
        <f t="shared" si="81"/>
        <v>4165.1186576075415</v>
      </c>
      <c r="M743" s="5">
        <f t="shared" si="82"/>
        <v>4165.9327494764511</v>
      </c>
    </row>
    <row r="744" spans="6:13">
      <c r="F744">
        <v>743</v>
      </c>
      <c r="G744" s="5">
        <f t="shared" si="83"/>
        <v>3903.4164418308974</v>
      </c>
      <c r="H744" s="5">
        <f t="shared" si="77"/>
        <v>4032.1087400084402</v>
      </c>
      <c r="I744" s="5">
        <f t="shared" si="78"/>
        <v>4101.2619394402655</v>
      </c>
      <c r="J744" s="5">
        <f t="shared" si="79"/>
        <v>4149.3121482798297</v>
      </c>
      <c r="K744" s="5">
        <f t="shared" si="80"/>
        <v>4168.2286102839489</v>
      </c>
      <c r="L744" s="5">
        <f t="shared" si="81"/>
        <v>4173.1352050318119</v>
      </c>
      <c r="M744" s="5">
        <f t="shared" si="82"/>
        <v>4173.9519631504136</v>
      </c>
    </row>
    <row r="745" spans="6:13">
      <c r="F745">
        <v>744</v>
      </c>
      <c r="G745" s="5">
        <f t="shared" si="83"/>
        <v>3910.5776140134412</v>
      </c>
      <c r="H745" s="5">
        <f t="shared" si="77"/>
        <v>4039.682367385109</v>
      </c>
      <c r="I745" s="5">
        <f t="shared" si="78"/>
        <v>4109.0595032280626</v>
      </c>
      <c r="J745" s="5">
        <f t="shared" si="79"/>
        <v>4157.266240078593</v>
      </c>
      <c r="K745" s="5">
        <f t="shared" si="80"/>
        <v>4176.244530816818</v>
      </c>
      <c r="L745" s="5">
        <f t="shared" si="81"/>
        <v>4181.1671817962506</v>
      </c>
      <c r="M745" s="5">
        <f t="shared" si="82"/>
        <v>4181.9866134124859</v>
      </c>
    </row>
    <row r="746" spans="6:13">
      <c r="F746">
        <v>745</v>
      </c>
      <c r="G746" s="5">
        <f t="shared" si="83"/>
        <v>3917.7519240171214</v>
      </c>
      <c r="H746" s="5">
        <f t="shared" si="77"/>
        <v>4047.2702205268406</v>
      </c>
      <c r="I746" s="5">
        <f t="shared" si="78"/>
        <v>4116.8718922091603</v>
      </c>
      <c r="J746" s="5">
        <f t="shared" si="79"/>
        <v>4165.2355796037482</v>
      </c>
      <c r="K746" s="5">
        <f t="shared" si="80"/>
        <v>4184.2758667666412</v>
      </c>
      <c r="L746" s="5">
        <f t="shared" si="81"/>
        <v>4189.2146175974976</v>
      </c>
      <c r="M746" s="5">
        <f t="shared" si="82"/>
        <v>4190.0367299773343</v>
      </c>
    </row>
    <row r="747" spans="6:13">
      <c r="F747">
        <v>746</v>
      </c>
      <c r="G747" s="5">
        <f t="shared" si="83"/>
        <v>3924.9393959444628</v>
      </c>
      <c r="H747" s="5">
        <f t="shared" si="77"/>
        <v>4054.8723261543032</v>
      </c>
      <c r="I747" s="5">
        <f t="shared" si="78"/>
        <v>4124.699134570099</v>
      </c>
      <c r="J747" s="5">
        <f t="shared" si="79"/>
        <v>4173.2201960846705</v>
      </c>
      <c r="K747" s="5">
        <f t="shared" si="80"/>
        <v>4192.3226477788085</v>
      </c>
      <c r="L747" s="5">
        <f t="shared" si="81"/>
        <v>4197.2775421893539</v>
      </c>
      <c r="M747" s="5">
        <f t="shared" si="82"/>
        <v>4198.102342616824</v>
      </c>
    </row>
    <row r="748" spans="6:13">
      <c r="F748">
        <v>747</v>
      </c>
      <c r="G748" s="5">
        <f t="shared" si="83"/>
        <v>3932.1400539422102</v>
      </c>
      <c r="H748" s="5">
        <f t="shared" si="77"/>
        <v>4062.488711038357</v>
      </c>
      <c r="I748" s="5">
        <f t="shared" si="78"/>
        <v>4132.5412585510103</v>
      </c>
      <c r="J748" s="5">
        <f t="shared" si="79"/>
        <v>4181.2201188067711</v>
      </c>
      <c r="K748" s="5">
        <f t="shared" si="80"/>
        <v>4200.3849035557187</v>
      </c>
      <c r="L748" s="5">
        <f t="shared" si="81"/>
        <v>4205.355985382881</v>
      </c>
      <c r="M748" s="5">
        <f t="shared" si="82"/>
        <v>4206.1834811601293</v>
      </c>
    </row>
    <row r="749" spans="6:13">
      <c r="F749">
        <v>748</v>
      </c>
      <c r="G749" s="5">
        <f t="shared" si="83"/>
        <v>3939.3539222014092</v>
      </c>
      <c r="H749" s="5">
        <f t="shared" si="77"/>
        <v>4070.1194020001462</v>
      </c>
      <c r="I749" s="5">
        <f t="shared" si="78"/>
        <v>4140.3982924457187</v>
      </c>
      <c r="J749" s="5">
        <f t="shared" si="79"/>
        <v>4189.2353771116013</v>
      </c>
      <c r="K749" s="5">
        <f t="shared" si="80"/>
        <v>4208.4626638568916</v>
      </c>
      <c r="L749" s="5">
        <f t="shared" si="81"/>
        <v>4213.4499770465254</v>
      </c>
      <c r="M749" s="5">
        <f t="shared" si="82"/>
        <v>4214.2801754938409</v>
      </c>
    </row>
    <row r="750" spans="6:13">
      <c r="F750">
        <v>749</v>
      </c>
      <c r="G750" s="5">
        <f t="shared" si="83"/>
        <v>3946.5810249574856</v>
      </c>
      <c r="H750" s="5">
        <f t="shared" si="77"/>
        <v>4077.7644259111917</v>
      </c>
      <c r="I750" s="5">
        <f t="shared" si="78"/>
        <v>4148.2702646018388</v>
      </c>
      <c r="J750" s="5">
        <f t="shared" si="79"/>
        <v>4197.266000396954</v>
      </c>
      <c r="K750" s="5">
        <f t="shared" si="80"/>
        <v>4216.5559584990788</v>
      </c>
      <c r="L750" s="5">
        <f t="shared" si="81"/>
        <v>4221.5595471062134</v>
      </c>
      <c r="M750" s="5">
        <f t="shared" si="82"/>
        <v>4222.392455562087</v>
      </c>
    </row>
    <row r="751" spans="6:13">
      <c r="F751">
        <v>750</v>
      </c>
      <c r="G751" s="5">
        <f t="shared" si="83"/>
        <v>3953.8213864903241</v>
      </c>
      <c r="H751" s="5">
        <f t="shared" si="77"/>
        <v>4085.4238096934914</v>
      </c>
      <c r="I751" s="5">
        <f t="shared" si="78"/>
        <v>4156.1572034208875</v>
      </c>
      <c r="J751" s="5">
        <f t="shared" si="79"/>
        <v>4205.3120181169834</v>
      </c>
      <c r="K751" s="5">
        <f t="shared" si="80"/>
        <v>4224.6648173563726</v>
      </c>
      <c r="L751" s="5">
        <f t="shared" si="81"/>
        <v>4229.6847255454768</v>
      </c>
      <c r="M751" s="5">
        <f t="shared" si="82"/>
        <v>4230.5203513666302</v>
      </c>
    </row>
    <row r="752" spans="6:13">
      <c r="F752">
        <v>751</v>
      </c>
      <c r="G752" s="5">
        <f t="shared" si="83"/>
        <v>3961.0750311243573</v>
      </c>
      <c r="H752" s="5">
        <f t="shared" si="77"/>
        <v>4093.0975803196093</v>
      </c>
      <c r="I752" s="5">
        <f t="shared" si="78"/>
        <v>4164.0591373583757</v>
      </c>
      <c r="J752" s="5">
        <f t="shared" si="79"/>
        <v>4213.3734597823022</v>
      </c>
      <c r="K752" s="5">
        <f t="shared" si="80"/>
        <v>4232.7892703603138</v>
      </c>
      <c r="L752" s="5">
        <f t="shared" si="81"/>
        <v>4237.825542405546</v>
      </c>
      <c r="M752" s="5">
        <f t="shared" si="82"/>
        <v>4238.6638929669889</v>
      </c>
    </row>
    <row r="753" spans="6:13">
      <c r="F753">
        <v>752</v>
      </c>
      <c r="G753" s="5">
        <f t="shared" si="83"/>
        <v>3968.3419832286399</v>
      </c>
      <c r="H753" s="5">
        <f t="shared" si="77"/>
        <v>4100.7857648127738</v>
      </c>
      <c r="I753" s="5">
        <f t="shared" si="78"/>
        <v>4171.9760949239153</v>
      </c>
      <c r="J753" s="5">
        <f t="shared" si="79"/>
        <v>4221.4503549600904</v>
      </c>
      <c r="K753" s="5">
        <f t="shared" si="80"/>
        <v>4240.9293475000077</v>
      </c>
      <c r="L753" s="5">
        <f t="shared" si="81"/>
        <v>4245.9820277854851</v>
      </c>
      <c r="M753" s="5">
        <f t="shared" si="82"/>
        <v>4246.8231104805418</v>
      </c>
    </row>
    <row r="754" spans="6:13">
      <c r="F754">
        <v>753</v>
      </c>
      <c r="G754" s="5">
        <f t="shared" si="83"/>
        <v>3975.6222672169388</v>
      </c>
      <c r="H754" s="5">
        <f t="shared" si="77"/>
        <v>4108.4883902469737</v>
      </c>
      <c r="I754" s="5">
        <f t="shared" si="78"/>
        <v>4179.9081046813271</v>
      </c>
      <c r="J754" s="5">
        <f t="shared" si="79"/>
        <v>4229.5427332742165</v>
      </c>
      <c r="K754" s="5">
        <f t="shared" si="80"/>
        <v>4249.0850788222297</v>
      </c>
      <c r="L754" s="5">
        <f t="shared" si="81"/>
        <v>4254.1542118422749</v>
      </c>
      <c r="M754" s="5">
        <f t="shared" si="82"/>
        <v>4254.9980340826442</v>
      </c>
    </row>
    <row r="755" spans="6:13">
      <c r="F755">
        <v>754</v>
      </c>
      <c r="G755" s="5">
        <f t="shared" si="83"/>
        <v>3982.9159075478033</v>
      </c>
      <c r="H755" s="5">
        <f t="shared" si="77"/>
        <v>4116.205483747045</v>
      </c>
      <c r="I755" s="5">
        <f t="shared" si="78"/>
        <v>4187.8551952487314</v>
      </c>
      <c r="J755" s="5">
        <f t="shared" si="79"/>
        <v>4237.6506244053317</v>
      </c>
      <c r="K755" s="5">
        <f t="shared" si="80"/>
        <v>4257.2564944315363</v>
      </c>
      <c r="L755" s="5">
        <f t="shared" si="81"/>
        <v>4262.3421247909509</v>
      </c>
      <c r="M755" s="5">
        <f t="shared" si="82"/>
        <v>4263.1886940067361</v>
      </c>
    </row>
    <row r="756" spans="6:13">
      <c r="F756">
        <v>755</v>
      </c>
      <c r="G756" s="5">
        <f t="shared" si="83"/>
        <v>3990.2229287246587</v>
      </c>
      <c r="H756" s="5">
        <f t="shared" si="77"/>
        <v>4123.9370724887813</v>
      </c>
      <c r="I756" s="5">
        <f t="shared" si="78"/>
        <v>4195.8173952986672</v>
      </c>
      <c r="J756" s="5">
        <f t="shared" si="79"/>
        <v>4245.7740580909804</v>
      </c>
      <c r="K756" s="5">
        <f t="shared" si="80"/>
        <v>4265.4436244903854</v>
      </c>
      <c r="L756" s="5">
        <f t="shared" si="81"/>
        <v>4270.5457969046965</v>
      </c>
      <c r="M756" s="5">
        <f t="shared" si="82"/>
        <v>4271.3951205444564</v>
      </c>
    </row>
    <row r="757" spans="6:13">
      <c r="F757">
        <v>756</v>
      </c>
      <c r="G757" s="5">
        <f t="shared" si="83"/>
        <v>3997.5433552958834</v>
      </c>
      <c r="H757" s="5">
        <f t="shared" si="77"/>
        <v>4131.683183699015</v>
      </c>
      <c r="I757" s="5">
        <f t="shared" si="78"/>
        <v>4203.794733558183</v>
      </c>
      <c r="J757" s="5">
        <f t="shared" si="79"/>
        <v>4253.9130641257207</v>
      </c>
      <c r="K757" s="5">
        <f t="shared" si="80"/>
        <v>4273.6464992192305</v>
      </c>
      <c r="L757" s="5">
        <f t="shared" si="81"/>
        <v>4278.7652585149626</v>
      </c>
      <c r="M757" s="5">
        <f t="shared" si="82"/>
        <v>4279.6173440457533</v>
      </c>
    </row>
    <row r="758" spans="6:13">
      <c r="F758">
        <v>757</v>
      </c>
      <c r="G758" s="5">
        <f t="shared" si="83"/>
        <v>4004.8772118548914</v>
      </c>
      <c r="H758" s="5">
        <f t="shared" ref="H758:H821" si="84">$C$2*(1+$C$1/$D$6)^(F758*$D$6*0.019231)</f>
        <v>4139.4438446557242</v>
      </c>
      <c r="I758" s="5">
        <f t="shared" ref="I758:I821" si="85">$C$2*(1+$C$1/$D$7)^(F758*$D$7*0.019231)</f>
        <v>4211.7872388089463</v>
      </c>
      <c r="J758" s="5">
        <f t="shared" ref="J758:J821" si="86">$C$2*(1+$C$1/$D$8)^(F758*$D$8*0.019231)</f>
        <v>4262.0676723612196</v>
      </c>
      <c r="K758" s="5">
        <f t="shared" ref="K758:K821" si="87">$C$2*(1+$C$1/$D$9)^(F758*$D$9*0.019231)</f>
        <v>4281.865148896648</v>
      </c>
      <c r="L758" s="5">
        <f t="shared" ref="L758:L821" si="88">$C$2*(1+$C$1/$D$10)^(F758*$D$10*0.019231)</f>
        <v>4287.0005400115788</v>
      </c>
      <c r="M758" s="5">
        <f t="shared" ref="M758:M821" si="89">$C$2*EXP($C$1*F758*0.019231)</f>
        <v>4287.8553949189973</v>
      </c>
    </row>
    <row r="759" spans="6:13">
      <c r="F759">
        <v>758</v>
      </c>
      <c r="G759" s="5">
        <f t="shared" si="83"/>
        <v>4012.2245230402154</v>
      </c>
      <c r="H759" s="5">
        <f t="shared" si="84"/>
        <v>4147.2190826881197</v>
      </c>
      <c r="I759" s="5">
        <f t="shared" si="85"/>
        <v>4219.7949398873434</v>
      </c>
      <c r="J759" s="5">
        <f t="shared" si="86"/>
        <v>4270.2379127063714</v>
      </c>
      <c r="K759" s="5">
        <f t="shared" si="87"/>
        <v>4290.099603859444</v>
      </c>
      <c r="L759" s="5">
        <f t="shared" si="88"/>
        <v>4295.2516718428669</v>
      </c>
      <c r="M759" s="5">
        <f t="shared" si="89"/>
        <v>4296.1093036310922</v>
      </c>
    </row>
    <row r="760" spans="6:13">
      <c r="F760">
        <v>759</v>
      </c>
      <c r="G760" s="5">
        <f t="shared" si="83"/>
        <v>4019.5853135355896</v>
      </c>
      <c r="H760" s="5">
        <f t="shared" si="84"/>
        <v>4155.0089251767495</v>
      </c>
      <c r="I760" s="5">
        <f t="shared" si="85"/>
        <v>4227.8178656845885</v>
      </c>
      <c r="J760" s="5">
        <f t="shared" si="86"/>
        <v>4278.4238151274067</v>
      </c>
      <c r="K760" s="5">
        <f t="shared" si="87"/>
        <v>4298.3498945027604</v>
      </c>
      <c r="L760" s="5">
        <f t="shared" si="88"/>
        <v>4303.5186845157505</v>
      </c>
      <c r="M760" s="5">
        <f t="shared" si="89"/>
        <v>4304.3791007075924</v>
      </c>
    </row>
    <row r="761" spans="6:13">
      <c r="F761">
        <v>760</v>
      </c>
      <c r="G761" s="5">
        <f t="shared" si="83"/>
        <v>4026.9596080700348</v>
      </c>
      <c r="H761" s="5">
        <f t="shared" si="84"/>
        <v>4162.8133995535882</v>
      </c>
      <c r="I761" s="5">
        <f t="shared" si="85"/>
        <v>4235.8560451468265</v>
      </c>
      <c r="J761" s="5">
        <f t="shared" si="86"/>
        <v>4286.6254096479943</v>
      </c>
      <c r="K761" s="5">
        <f t="shared" si="87"/>
        <v>4306.6160512801962</v>
      </c>
      <c r="L761" s="5">
        <f t="shared" si="88"/>
        <v>4311.8016085958707</v>
      </c>
      <c r="M761" s="5">
        <f t="shared" si="89"/>
        <v>4312.6648167328094</v>
      </c>
    </row>
    <row r="762" spans="6:13">
      <c r="F762">
        <v>761</v>
      </c>
      <c r="G762" s="5">
        <f t="shared" si="83"/>
        <v>4034.3474314179366</v>
      </c>
      <c r="H762" s="5">
        <f t="shared" si="84"/>
        <v>4170.6325333021396</v>
      </c>
      <c r="I762" s="5">
        <f t="shared" si="85"/>
        <v>4243.9095072752343</v>
      </c>
      <c r="J762" s="5">
        <f t="shared" si="86"/>
        <v>4294.842726349365</v>
      </c>
      <c r="K762" s="5">
        <f t="shared" si="87"/>
        <v>4314.8981047039142</v>
      </c>
      <c r="L762" s="5">
        <f t="shared" si="88"/>
        <v>4320.1004747076968</v>
      </c>
      <c r="M762" s="5">
        <f t="shared" si="89"/>
        <v>4320.9664823499288</v>
      </c>
    </row>
    <row r="763" spans="6:13">
      <c r="F763">
        <v>762</v>
      </c>
      <c r="G763" s="5">
        <f t="shared" si="83"/>
        <v>4041.7488083991316</v>
      </c>
      <c r="H763" s="5">
        <f t="shared" si="84"/>
        <v>4178.4663539575267</v>
      </c>
      <c r="I763" s="5">
        <f t="shared" si="85"/>
        <v>4251.9782811261284</v>
      </c>
      <c r="J763" s="5">
        <f t="shared" si="86"/>
        <v>4303.0757953704069</v>
      </c>
      <c r="K763" s="5">
        <f t="shared" si="87"/>
        <v>4323.1960853447554</v>
      </c>
      <c r="L763" s="5">
        <f t="shared" si="88"/>
        <v>4328.4153135346414</v>
      </c>
      <c r="M763" s="5">
        <f t="shared" si="89"/>
        <v>4329.2841282611234</v>
      </c>
    </row>
    <row r="764" spans="6:13">
      <c r="F764">
        <v>763</v>
      </c>
      <c r="G764" s="5">
        <f t="shared" si="83"/>
        <v>4049.1637638789948</v>
      </c>
      <c r="H764" s="5">
        <f t="shared" si="84"/>
        <v>4186.3148891065957</v>
      </c>
      <c r="I764" s="5">
        <f t="shared" si="85"/>
        <v>4260.0623958110673</v>
      </c>
      <c r="J764" s="5">
        <f t="shared" si="86"/>
        <v>4311.3246469077885</v>
      </c>
      <c r="K764" s="5">
        <f t="shared" si="87"/>
        <v>4331.5100238323512</v>
      </c>
      <c r="L764" s="5">
        <f t="shared" si="88"/>
        <v>4336.7461558191744</v>
      </c>
      <c r="M764" s="5">
        <f t="shared" si="89"/>
        <v>4337.617785227666</v>
      </c>
    </row>
    <row r="765" spans="6:13">
      <c r="F765">
        <v>764</v>
      </c>
      <c r="G765" s="5">
        <f t="shared" si="83"/>
        <v>4056.5923227685134</v>
      </c>
      <c r="H765" s="5">
        <f t="shared" si="84"/>
        <v>4194.1781663880083</v>
      </c>
      <c r="I765" s="5">
        <f t="shared" si="85"/>
        <v>4268.1618804969612</v>
      </c>
      <c r="J765" s="5">
        <f t="shared" si="86"/>
        <v>4319.5893112160638</v>
      </c>
      <c r="K765" s="5">
        <f t="shared" si="87"/>
        <v>4339.8399508552347</v>
      </c>
      <c r="L765" s="5">
        <f t="shared" si="88"/>
        <v>4345.09303236293</v>
      </c>
      <c r="M765" s="5">
        <f t="shared" si="89"/>
        <v>4345.9674840700418</v>
      </c>
    </row>
    <row r="766" spans="6:13">
      <c r="F766">
        <v>765</v>
      </c>
      <c r="G766" s="5">
        <f t="shared" si="83"/>
        <v>4064.0345100243803</v>
      </c>
      <c r="H766" s="5">
        <f t="shared" si="84"/>
        <v>4202.0562134923439</v>
      </c>
      <c r="I766" s="5">
        <f t="shared" si="85"/>
        <v>4276.2767644061714</v>
      </c>
      <c r="J766" s="5">
        <f t="shared" si="86"/>
        <v>4327.8698186077809</v>
      </c>
      <c r="K766" s="5">
        <f t="shared" si="87"/>
        <v>4348.1858971609627</v>
      </c>
      <c r="L766" s="5">
        <f t="shared" si="88"/>
        <v>4353.4559740268342</v>
      </c>
      <c r="M766" s="5">
        <f t="shared" si="89"/>
        <v>4354.3332556680671</v>
      </c>
    </row>
    <row r="767" spans="6:13">
      <c r="F767">
        <v>766</v>
      </c>
      <c r="G767" s="5">
        <f t="shared" si="83"/>
        <v>4071.4903506490705</v>
      </c>
      <c r="H767" s="5">
        <f t="shared" si="84"/>
        <v>4209.9490581621876</v>
      </c>
      <c r="I767" s="5">
        <f t="shared" si="85"/>
        <v>4284.4070768166202</v>
      </c>
      <c r="J767" s="5">
        <f t="shared" si="86"/>
        <v>4336.1661994535989</v>
      </c>
      <c r="K767" s="5">
        <f t="shared" si="87"/>
        <v>4356.5478935562169</v>
      </c>
      <c r="L767" s="5">
        <f t="shared" si="88"/>
        <v>4361.835011731202</v>
      </c>
      <c r="M767" s="5">
        <f t="shared" si="89"/>
        <v>4362.7151309609972</v>
      </c>
    </row>
    <row r="768" spans="6:13">
      <c r="F768">
        <v>767</v>
      </c>
      <c r="G768" s="5">
        <f t="shared" si="83"/>
        <v>4078.9598696909311</v>
      </c>
      <c r="H768" s="5">
        <f t="shared" si="84"/>
        <v>4217.8567281922406</v>
      </c>
      <c r="I768" s="5">
        <f t="shared" si="85"/>
        <v>4292.5528470618947</v>
      </c>
      <c r="J768" s="5">
        <f t="shared" si="86"/>
        <v>4344.4784841823957</v>
      </c>
      <c r="K768" s="5">
        <f t="shared" si="87"/>
        <v>4364.9259709069211</v>
      </c>
      <c r="L768" s="5">
        <f t="shared" si="88"/>
        <v>4370.2301764558661</v>
      </c>
      <c r="M768" s="5">
        <f t="shared" si="89"/>
        <v>4371.1131409476448</v>
      </c>
    </row>
    <row r="769" spans="6:13">
      <c r="F769">
        <v>768</v>
      </c>
      <c r="G769" s="5">
        <f t="shared" si="83"/>
        <v>4086.4430922442612</v>
      </c>
      <c r="H769" s="5">
        <f t="shared" si="84"/>
        <v>4225.7792514294106</v>
      </c>
      <c r="I769" s="5">
        <f t="shared" si="85"/>
        <v>4300.7141045313538</v>
      </c>
      <c r="J769" s="5">
        <f t="shared" si="86"/>
        <v>4352.8067032813769</v>
      </c>
      <c r="K769" s="5">
        <f t="shared" si="87"/>
        <v>4373.3201601383662</v>
      </c>
      <c r="L769" s="5">
        <f t="shared" si="88"/>
        <v>4378.6414992402833</v>
      </c>
      <c r="M769" s="5">
        <f t="shared" si="89"/>
        <v>4379.5273166864954</v>
      </c>
    </row>
    <row r="770" spans="6:13">
      <c r="F770">
        <v>769</v>
      </c>
      <c r="G770" s="5">
        <f t="shared" si="83"/>
        <v>4093.9400434493959</v>
      </c>
      <c r="H770" s="5">
        <f t="shared" si="84"/>
        <v>4233.7166557729051</v>
      </c>
      <c r="I770" s="5">
        <f t="shared" si="85"/>
        <v>4308.8908786702268</v>
      </c>
      <c r="J770" s="5">
        <f t="shared" si="86"/>
        <v>4361.1508872961986</v>
      </c>
      <c r="K770" s="5">
        <f t="shared" si="87"/>
        <v>4381.7304922353087</v>
      </c>
      <c r="L770" s="5">
        <f t="shared" si="88"/>
        <v>4387.0690111836548</v>
      </c>
      <c r="M770" s="5">
        <f t="shared" si="89"/>
        <v>4387.9576892958157</v>
      </c>
    </row>
    <row r="771" spans="6:13">
      <c r="F771">
        <v>770</v>
      </c>
      <c r="G771" s="5">
        <f t="shared" si="83"/>
        <v>4101.4507484927972</v>
      </c>
      <c r="H771" s="5">
        <f t="shared" si="84"/>
        <v>4241.6689691743422</v>
      </c>
      <c r="I771" s="5">
        <f t="shared" si="85"/>
        <v>4317.0831989797352</v>
      </c>
      <c r="J771" s="5">
        <f t="shared" si="86"/>
        <v>4369.5110668310635</v>
      </c>
      <c r="K771" s="5">
        <f t="shared" si="87"/>
        <v>4390.1569982420924</v>
      </c>
      <c r="L771" s="5">
        <f t="shared" si="88"/>
        <v>4395.5127434450296</v>
      </c>
      <c r="M771" s="5">
        <f t="shared" si="89"/>
        <v>4396.4042899537826</v>
      </c>
    </row>
    <row r="772" spans="6:13">
      <c r="F772">
        <v>771</v>
      </c>
      <c r="G772" s="5">
        <f t="shared" ref="G772:G835" si="90">$C$2*(1+$C$1)^(F772*0.019231/$D$5)</f>
        <v>4108.9752326071293</v>
      </c>
      <c r="H772" s="5">
        <f t="shared" si="84"/>
        <v>4249.6362196378414</v>
      </c>
      <c r="I772" s="5">
        <f t="shared" si="85"/>
        <v>4325.2910950171854</v>
      </c>
      <c r="J772" s="5">
        <f t="shared" si="86"/>
        <v>4377.8872725488482</v>
      </c>
      <c r="K772" s="5">
        <f t="shared" si="87"/>
        <v>4398.5997092627658</v>
      </c>
      <c r="L772" s="5">
        <f t="shared" si="88"/>
        <v>4403.9727272434411</v>
      </c>
      <c r="M772" s="5">
        <f t="shared" si="89"/>
        <v>4404.8671498985814</v>
      </c>
    </row>
    <row r="773" spans="6:13">
      <c r="F773">
        <v>772</v>
      </c>
      <c r="G773" s="5">
        <f t="shared" si="90"/>
        <v>4116.5135210713524</v>
      </c>
      <c r="H773" s="5">
        <f t="shared" si="84"/>
        <v>4257.618435220119</v>
      </c>
      <c r="I773" s="5">
        <f t="shared" si="85"/>
        <v>4333.5145963960795</v>
      </c>
      <c r="J773" s="5">
        <f t="shared" si="86"/>
        <v>4386.279535171203</v>
      </c>
      <c r="K773" s="5">
        <f t="shared" si="87"/>
        <v>4407.0586564611904</v>
      </c>
      <c r="L773" s="5">
        <f t="shared" si="88"/>
        <v>4412.4489938579964</v>
      </c>
      <c r="M773" s="5">
        <f t="shared" si="89"/>
        <v>4413.3463004285295</v>
      </c>
    </row>
    <row r="774" spans="6:13">
      <c r="F774">
        <v>773</v>
      </c>
      <c r="G774" s="5">
        <f t="shared" si="90"/>
        <v>4124.0656392107985</v>
      </c>
      <c r="H774" s="5">
        <f t="shared" si="84"/>
        <v>4265.6156440305958</v>
      </c>
      <c r="I774" s="5">
        <f t="shared" si="85"/>
        <v>4341.7537327862219</v>
      </c>
      <c r="J774" s="5">
        <f t="shared" si="86"/>
        <v>4394.6878854786773</v>
      </c>
      <c r="K774" s="5">
        <f t="shared" si="87"/>
        <v>4415.5338710611595</v>
      </c>
      <c r="L774" s="5">
        <f t="shared" si="88"/>
        <v>4420.9415746280138</v>
      </c>
      <c r="M774" s="5">
        <f t="shared" si="89"/>
        <v>4421.8417729021985</v>
      </c>
    </row>
    <row r="775" spans="6:13">
      <c r="F775">
        <v>774</v>
      </c>
      <c r="G775" s="5">
        <f t="shared" si="90"/>
        <v>4131.6316123972647</v>
      </c>
      <c r="H775" s="5">
        <f t="shared" si="84"/>
        <v>4273.6278742314871</v>
      </c>
      <c r="I775" s="5">
        <f t="shared" si="85"/>
        <v>4350.0085339138304</v>
      </c>
      <c r="J775" s="5">
        <f t="shared" si="86"/>
        <v>4403.1123543108197</v>
      </c>
      <c r="K775" s="5">
        <f t="shared" si="87"/>
        <v>4424.0253843465134</v>
      </c>
      <c r="L775" s="5">
        <f t="shared" si="88"/>
        <v>4429.4505009531258</v>
      </c>
      <c r="M775" s="5">
        <f t="shared" si="89"/>
        <v>4430.3535987385158</v>
      </c>
    </row>
    <row r="776" spans="6:13">
      <c r="F776">
        <v>775</v>
      </c>
      <c r="G776" s="5">
        <f t="shared" si="90"/>
        <v>4139.2114660490934</v>
      </c>
      <c r="H776" s="5">
        <f t="shared" si="84"/>
        <v>4281.6551540379123</v>
      </c>
      <c r="I776" s="5">
        <f t="shared" si="85"/>
        <v>4358.2790295616369</v>
      </c>
      <c r="J776" s="5">
        <f t="shared" si="86"/>
        <v>4411.5529725663027</v>
      </c>
      <c r="K776" s="5">
        <f t="shared" si="87"/>
        <v>4432.5332276612544</v>
      </c>
      <c r="L776" s="5">
        <f t="shared" si="88"/>
        <v>4437.9758042934045</v>
      </c>
      <c r="M776" s="5">
        <f t="shared" si="89"/>
        <v>4438.8818094168937</v>
      </c>
    </row>
    <row r="777" spans="6:13">
      <c r="F777">
        <v>776</v>
      </c>
      <c r="G777" s="5">
        <f t="shared" si="90"/>
        <v>4146.8052256312612</v>
      </c>
      <c r="H777" s="5">
        <f t="shared" si="84"/>
        <v>4289.6975117179809</v>
      </c>
      <c r="I777" s="5">
        <f t="shared" si="85"/>
        <v>4366.5652495690019</v>
      </c>
      <c r="J777" s="5">
        <f t="shared" si="86"/>
        <v>4420.0097712030238</v>
      </c>
      <c r="K777" s="5">
        <f t="shared" si="87"/>
        <v>4441.0574324096615</v>
      </c>
      <c r="L777" s="5">
        <f t="shared" si="88"/>
        <v>4446.5175161694615</v>
      </c>
      <c r="M777" s="5">
        <f t="shared" si="89"/>
        <v>4447.4264364773417</v>
      </c>
    </row>
    <row r="778" spans="6:13">
      <c r="F778">
        <v>777</v>
      </c>
      <c r="G778" s="5">
        <f t="shared" si="90"/>
        <v>4154.4129166554576</v>
      </c>
      <c r="H778" s="5">
        <f t="shared" si="84"/>
        <v>4297.754975592904</v>
      </c>
      <c r="I778" s="5">
        <f t="shared" si="85"/>
        <v>4374.8672238320105</v>
      </c>
      <c r="J778" s="5">
        <f t="shared" si="86"/>
        <v>4428.4827812382309</v>
      </c>
      <c r="K778" s="5">
        <f t="shared" si="87"/>
        <v>4449.5980300564124</v>
      </c>
      <c r="L778" s="5">
        <f t="shared" si="88"/>
        <v>4455.0756681625917</v>
      </c>
      <c r="M778" s="5">
        <f t="shared" si="89"/>
        <v>4455.9875115205778</v>
      </c>
    </row>
    <row r="779" spans="6:13">
      <c r="F779">
        <v>778</v>
      </c>
      <c r="G779" s="5">
        <f t="shared" si="90"/>
        <v>4162.0345646801816</v>
      </c>
      <c r="H779" s="5">
        <f t="shared" si="84"/>
        <v>4305.8275740370864</v>
      </c>
      <c r="I779" s="5">
        <f t="shared" si="85"/>
        <v>4383.1849823035973</v>
      </c>
      <c r="J779" s="5">
        <f t="shared" si="86"/>
        <v>4436.9720337486306</v>
      </c>
      <c r="K779" s="5">
        <f t="shared" si="87"/>
        <v>4458.1550521266845</v>
      </c>
      <c r="L779" s="5">
        <f t="shared" si="88"/>
        <v>4463.6502919148606</v>
      </c>
      <c r="M779" s="5">
        <f t="shared" si="89"/>
        <v>4464.5650662081534</v>
      </c>
    </row>
    <row r="780" spans="6:13">
      <c r="F780">
        <v>779</v>
      </c>
      <c r="G780" s="5">
        <f t="shared" si="90"/>
        <v>4169.6701953108186</v>
      </c>
      <c r="H780" s="5">
        <f t="shared" si="84"/>
        <v>4313.915335478232</v>
      </c>
      <c r="I780" s="5">
        <f t="shared" si="85"/>
        <v>4391.5185549936386</v>
      </c>
      <c r="J780" s="5">
        <f t="shared" si="86"/>
        <v>4445.4775598705</v>
      </c>
      <c r="K780" s="5">
        <f t="shared" si="87"/>
        <v>4466.728530206291</v>
      </c>
      <c r="L780" s="5">
        <f t="shared" si="88"/>
        <v>4472.2414191292419</v>
      </c>
      <c r="M780" s="5">
        <f t="shared" si="89"/>
        <v>4473.1591322625627</v>
      </c>
    </row>
    <row r="781" spans="6:13">
      <c r="F781">
        <v>780</v>
      </c>
      <c r="G781" s="5">
        <f t="shared" si="90"/>
        <v>4177.3198341997295</v>
      </c>
      <c r="H781" s="5">
        <f t="shared" si="84"/>
        <v>4322.0182883974394</v>
      </c>
      <c r="I781" s="5">
        <f t="shared" si="85"/>
        <v>4399.8679719690736</v>
      </c>
      <c r="J781" s="5">
        <f t="shared" si="86"/>
        <v>4453.999390799806</v>
      </c>
      <c r="K781" s="5">
        <f t="shared" si="87"/>
        <v>4475.3184959417813</v>
      </c>
      <c r="L781" s="5">
        <f t="shared" si="88"/>
        <v>4480.8490815697223</v>
      </c>
      <c r="M781" s="5">
        <f t="shared" si="89"/>
        <v>4481.7697414673694</v>
      </c>
    </row>
    <row r="782" spans="6:13">
      <c r="F782">
        <v>781</v>
      </c>
      <c r="G782" s="5">
        <f t="shared" si="90"/>
        <v>4184.9835070463369</v>
      </c>
      <c r="H782" s="5">
        <f t="shared" si="84"/>
        <v>4330.1364613293044</v>
      </c>
      <c r="I782" s="5">
        <f t="shared" si="85"/>
        <v>4408.2332633539972</v>
      </c>
      <c r="J782" s="5">
        <f t="shared" si="86"/>
        <v>4462.537557792316</v>
      </c>
      <c r="K782" s="5">
        <f t="shared" si="87"/>
        <v>4483.9249810405709</v>
      </c>
      <c r="L782" s="5">
        <f t="shared" si="88"/>
        <v>4489.4733110614316</v>
      </c>
      <c r="M782" s="5">
        <f t="shared" si="89"/>
        <v>4490.3969256673172</v>
      </c>
    </row>
    <row r="783" spans="6:13">
      <c r="F783">
        <v>782</v>
      </c>
      <c r="G783" s="5">
        <f t="shared" si="90"/>
        <v>4192.6612395972124</v>
      </c>
      <c r="H783" s="5">
        <f t="shared" si="84"/>
        <v>4338.2698828620205</v>
      </c>
      <c r="I783" s="5">
        <f t="shared" si="85"/>
        <v>4416.6144593297859</v>
      </c>
      <c r="J783" s="5">
        <f t="shared" si="86"/>
        <v>4471.0920921637126</v>
      </c>
      <c r="K783" s="5">
        <f t="shared" si="87"/>
        <v>4492.5480172710422</v>
      </c>
      <c r="L783" s="5">
        <f t="shared" si="88"/>
        <v>4498.1141394907454</v>
      </c>
      <c r="M783" s="5">
        <f t="shared" si="89"/>
        <v>4499.0407167684471</v>
      </c>
    </row>
    <row r="784" spans="6:13">
      <c r="F784">
        <v>783</v>
      </c>
      <c r="G784" s="5">
        <f t="shared" si="90"/>
        <v>4200.3530576461608</v>
      </c>
      <c r="H784" s="5">
        <f t="shared" si="84"/>
        <v>4346.4185816374793</v>
      </c>
      <c r="I784" s="5">
        <f t="shared" si="85"/>
        <v>4425.0115901351974</v>
      </c>
      <c r="J784" s="5">
        <f t="shared" si="86"/>
        <v>4479.6630252897121</v>
      </c>
      <c r="K784" s="5">
        <f t="shared" si="87"/>
        <v>4501.1876364626796</v>
      </c>
      <c r="L784" s="5">
        <f t="shared" si="88"/>
        <v>4506.771598805416</v>
      </c>
      <c r="M784" s="5">
        <f t="shared" si="89"/>
        <v>4507.7011467382208</v>
      </c>
    </row>
    <row r="785" spans="6:13">
      <c r="F785">
        <v>784</v>
      </c>
      <c r="G785" s="5">
        <f t="shared" si="90"/>
        <v>4208.0589870343083</v>
      </c>
      <c r="H785" s="5">
        <f t="shared" si="84"/>
        <v>4354.5825863513719</v>
      </c>
      <c r="I785" s="5">
        <f t="shared" si="85"/>
        <v>4433.4246860664789</v>
      </c>
      <c r="J785" s="5">
        <f t="shared" si="86"/>
        <v>4488.2503886061731</v>
      </c>
      <c r="K785" s="5">
        <f t="shared" si="87"/>
        <v>4509.8438705061762</v>
      </c>
      <c r="L785" s="5">
        <f t="shared" si="88"/>
        <v>4515.4457210146811</v>
      </c>
      <c r="M785" s="5">
        <f t="shared" si="89"/>
        <v>4516.3782476056322</v>
      </c>
    </row>
    <row r="786" spans="6:13">
      <c r="F786">
        <v>785</v>
      </c>
      <c r="G786" s="5">
        <f t="shared" si="90"/>
        <v>4215.7790536501889</v>
      </c>
      <c r="H786" s="5">
        <f t="shared" si="84"/>
        <v>4362.761925753287</v>
      </c>
      <c r="I786" s="5">
        <f t="shared" si="85"/>
        <v>4441.8537774774795</v>
      </c>
      <c r="J786" s="5">
        <f t="shared" si="86"/>
        <v>4496.8542136092192</v>
      </c>
      <c r="K786" s="5">
        <f t="shared" si="87"/>
        <v>4518.5167513535553</v>
      </c>
      <c r="L786" s="5">
        <f t="shared" si="88"/>
        <v>4524.1365381893902</v>
      </c>
      <c r="M786" s="5">
        <f t="shared" si="89"/>
        <v>4525.0720514613313</v>
      </c>
    </row>
    <row r="787" spans="6:13">
      <c r="F787">
        <v>786</v>
      </c>
      <c r="G787" s="5">
        <f t="shared" si="90"/>
        <v>4223.5132834298302</v>
      </c>
      <c r="H787" s="5">
        <f t="shared" si="84"/>
        <v>4370.9566286468171</v>
      </c>
      <c r="I787" s="5">
        <f t="shared" si="85"/>
        <v>4450.2988947797594</v>
      </c>
      <c r="J787" s="5">
        <f t="shared" si="86"/>
        <v>4505.4745318553496</v>
      </c>
      <c r="K787" s="5">
        <f t="shared" si="87"/>
        <v>4527.2063110182826</v>
      </c>
      <c r="L787" s="5">
        <f t="shared" si="88"/>
        <v>4532.8440824621148</v>
      </c>
      <c r="M787" s="5">
        <f t="shared" si="89"/>
        <v>4533.7825904577448</v>
      </c>
    </row>
    <row r="788" spans="6:13">
      <c r="F788">
        <v>787</v>
      </c>
      <c r="G788" s="5">
        <f t="shared" si="90"/>
        <v>4231.2617023568455</v>
      </c>
      <c r="H788" s="5">
        <f t="shared" si="84"/>
        <v>4379.1667238896562</v>
      </c>
      <c r="I788" s="5">
        <f t="shared" si="85"/>
        <v>4458.7600684426998</v>
      </c>
      <c r="J788" s="5">
        <f t="shared" si="86"/>
        <v>4514.1113749615579</v>
      </c>
      <c r="K788" s="5">
        <f t="shared" si="87"/>
        <v>4535.9125815753951</v>
      </c>
      <c r="L788" s="5">
        <f t="shared" si="88"/>
        <v>4541.5683860272766</v>
      </c>
      <c r="M788" s="5">
        <f t="shared" si="89"/>
        <v>4542.5098968091825</v>
      </c>
    </row>
    <row r="789" spans="6:13">
      <c r="F789">
        <v>788</v>
      </c>
      <c r="G789" s="5">
        <f t="shared" si="90"/>
        <v>4239.0243364625148</v>
      </c>
      <c r="H789" s="5">
        <f t="shared" si="84"/>
        <v>4387.392240393704</v>
      </c>
      <c r="I789" s="5">
        <f t="shared" si="85"/>
        <v>4467.2373289936113</v>
      </c>
      <c r="J789" s="5">
        <f t="shared" si="86"/>
        <v>4522.7647746054427</v>
      </c>
      <c r="K789" s="5">
        <f t="shared" si="87"/>
        <v>4544.6355951616088</v>
      </c>
      <c r="L789" s="5">
        <f t="shared" si="88"/>
        <v>4550.3094811412548</v>
      </c>
      <c r="M789" s="5">
        <f t="shared" si="89"/>
        <v>4551.2540027919749</v>
      </c>
    </row>
    <row r="790" spans="6:13">
      <c r="F790">
        <v>789</v>
      </c>
      <c r="G790" s="5">
        <f t="shared" si="90"/>
        <v>4246.801211825873</v>
      </c>
      <c r="H790" s="5">
        <f t="shared" si="84"/>
        <v>4395.6332071251627</v>
      </c>
      <c r="I790" s="5">
        <f t="shared" si="85"/>
        <v>4475.7307070178422</v>
      </c>
      <c r="J790" s="5">
        <f t="shared" si="86"/>
        <v>4531.4347625253304</v>
      </c>
      <c r="K790" s="5">
        <f t="shared" si="87"/>
        <v>4553.3753839754427</v>
      </c>
      <c r="L790" s="5">
        <f t="shared" si="88"/>
        <v>4559.0674001225188</v>
      </c>
      <c r="M790" s="5">
        <f t="shared" si="89"/>
        <v>4560.0149407445742</v>
      </c>
    </row>
    <row r="791" spans="6:13">
      <c r="F791">
        <v>790</v>
      </c>
      <c r="G791" s="5">
        <f t="shared" si="90"/>
        <v>4254.5923545738024</v>
      </c>
      <c r="H791" s="5">
        <f t="shared" si="84"/>
        <v>4403.8896531046448</v>
      </c>
      <c r="I791" s="5">
        <f t="shared" si="85"/>
        <v>4484.2402331588955</v>
      </c>
      <c r="J791" s="5">
        <f t="shared" si="86"/>
        <v>4540.1213705203882</v>
      </c>
      <c r="K791" s="5">
        <f t="shared" si="87"/>
        <v>4562.1319802773387</v>
      </c>
      <c r="L791" s="5">
        <f t="shared" si="88"/>
        <v>4567.8421753517368</v>
      </c>
      <c r="M791" s="5">
        <f t="shared" si="89"/>
        <v>4568.7927430676873</v>
      </c>
    </row>
    <row r="792" spans="6:13">
      <c r="F792">
        <v>791</v>
      </c>
      <c r="G792" s="5">
        <f t="shared" si="90"/>
        <v>4262.3977908811175</v>
      </c>
      <c r="H792" s="5">
        <f t="shared" si="84"/>
        <v>4412.1616074072754</v>
      </c>
      <c r="I792" s="5">
        <f t="shared" si="85"/>
        <v>4492.7659381185349</v>
      </c>
      <c r="J792" s="5">
        <f t="shared" si="86"/>
        <v>4548.8246304507402</v>
      </c>
      <c r="K792" s="5">
        <f t="shared" si="87"/>
        <v>4570.9054163897763</v>
      </c>
      <c r="L792" s="5">
        <f t="shared" si="88"/>
        <v>4576.6338392719008</v>
      </c>
      <c r="M792" s="5">
        <f t="shared" si="89"/>
        <v>4577.5874422243924</v>
      </c>
    </row>
    <row r="793" spans="6:13">
      <c r="F793">
        <v>792</v>
      </c>
      <c r="G793" s="5">
        <f t="shared" si="90"/>
        <v>4270.2175469706535</v>
      </c>
      <c r="H793" s="5">
        <f t="shared" si="84"/>
        <v>4420.4490991627881</v>
      </c>
      <c r="I793" s="5">
        <f t="shared" si="85"/>
        <v>4501.3078526568952</v>
      </c>
      <c r="J793" s="5">
        <f t="shared" si="86"/>
        <v>4557.5445742375887</v>
      </c>
      <c r="K793" s="5">
        <f t="shared" si="87"/>
        <v>4579.6957246973971</v>
      </c>
      <c r="L793" s="5">
        <f t="shared" si="88"/>
        <v>4585.4424243884459</v>
      </c>
      <c r="M793" s="5">
        <f t="shared" si="89"/>
        <v>4586.3990707402536</v>
      </c>
    </row>
    <row r="794" spans="6:13">
      <c r="F794">
        <v>793</v>
      </c>
      <c r="G794" s="5">
        <f t="shared" si="90"/>
        <v>4278.0516491133485</v>
      </c>
      <c r="H794" s="5">
        <f t="shared" si="84"/>
        <v>4428.7521575556329</v>
      </c>
      <c r="I794" s="5">
        <f t="shared" si="85"/>
        <v>4509.8660075925909</v>
      </c>
      <c r="J794" s="5">
        <f t="shared" si="86"/>
        <v>4566.2812338633239</v>
      </c>
      <c r="K794" s="5">
        <f t="shared" si="87"/>
        <v>4588.5029376471202</v>
      </c>
      <c r="L794" s="5">
        <f t="shared" si="88"/>
        <v>4594.2679632693698</v>
      </c>
      <c r="M794" s="5">
        <f t="shared" si="89"/>
        <v>4595.2276612034475</v>
      </c>
    </row>
    <row r="795" spans="6:13">
      <c r="F795">
        <v>794</v>
      </c>
      <c r="G795" s="5">
        <f t="shared" si="90"/>
        <v>4285.900123628343</v>
      </c>
      <c r="H795" s="5">
        <f t="shared" si="84"/>
        <v>4437.0708118250805</v>
      </c>
      <c r="I795" s="5">
        <f t="shared" si="85"/>
        <v>4518.440433802838</v>
      </c>
      <c r="J795" s="5">
        <f t="shared" si="86"/>
        <v>4575.0346413716452</v>
      </c>
      <c r="K795" s="5">
        <f t="shared" si="87"/>
        <v>4597.327087748261</v>
      </c>
      <c r="L795" s="5">
        <f t="shared" si="88"/>
        <v>4603.1104885453506</v>
      </c>
      <c r="M795" s="5">
        <f t="shared" si="89"/>
        <v>4604.0732462648775</v>
      </c>
    </row>
    <row r="796" spans="6:13">
      <c r="F796">
        <v>795</v>
      </c>
      <c r="G796" s="5">
        <f t="shared" si="90"/>
        <v>4293.7629968830588</v>
      </c>
      <c r="H796" s="5">
        <f t="shared" si="84"/>
        <v>4445.4050912653192</v>
      </c>
      <c r="I796" s="5">
        <f t="shared" si="85"/>
        <v>4527.0311622235522</v>
      </c>
      <c r="J796" s="5">
        <f t="shared" si="86"/>
        <v>4583.8048288676819</v>
      </c>
      <c r="K796" s="5">
        <f t="shared" si="87"/>
        <v>4606.1682075726567</v>
      </c>
      <c r="L796" s="5">
        <f t="shared" si="88"/>
        <v>4611.970032909876</v>
      </c>
      <c r="M796" s="5">
        <f t="shared" si="89"/>
        <v>4612.9358586383032</v>
      </c>
    </row>
    <row r="797" spans="6:13">
      <c r="F797">
        <v>796</v>
      </c>
      <c r="G797" s="5">
        <f t="shared" si="90"/>
        <v>4301.640295293294</v>
      </c>
      <c r="H797" s="5">
        <f t="shared" si="84"/>
        <v>4453.7550252255633</v>
      </c>
      <c r="I797" s="5">
        <f t="shared" si="85"/>
        <v>4535.638223849468</v>
      </c>
      <c r="J797" s="5">
        <f t="shared" si="86"/>
        <v>4592.591828518106</v>
      </c>
      <c r="K797" s="5">
        <f t="shared" si="87"/>
        <v>4615.0263297547835</v>
      </c>
      <c r="L797" s="5">
        <f t="shared" si="88"/>
        <v>4620.8466291193517</v>
      </c>
      <c r="M797" s="5">
        <f t="shared" si="89"/>
        <v>4621.8155311004557</v>
      </c>
    </row>
    <row r="798" spans="6:13">
      <c r="F798">
        <v>797</v>
      </c>
      <c r="G798" s="5">
        <f t="shared" si="90"/>
        <v>4309.5320453233053</v>
      </c>
      <c r="H798" s="5">
        <f t="shared" si="84"/>
        <v>4462.1206431101537</v>
      </c>
      <c r="I798" s="5">
        <f t="shared" si="85"/>
        <v>4544.2616497342497</v>
      </c>
      <c r="J798" s="5">
        <f t="shared" si="86"/>
        <v>4601.3956725512508</v>
      </c>
      <c r="K798" s="5">
        <f t="shared" si="87"/>
        <v>4623.9014869918756</v>
      </c>
      <c r="L798" s="5">
        <f t="shared" si="88"/>
        <v>4629.7403099932344</v>
      </c>
      <c r="M798" s="5">
        <f t="shared" si="89"/>
        <v>4630.7122964911578</v>
      </c>
    </row>
    <row r="799" spans="6:13">
      <c r="F799">
        <v>798</v>
      </c>
      <c r="G799" s="5">
        <f t="shared" si="90"/>
        <v>4317.4382734859037</v>
      </c>
      <c r="H799" s="5">
        <f t="shared" si="84"/>
        <v>4470.5019743786615</v>
      </c>
      <c r="I799" s="5">
        <f t="shared" si="85"/>
        <v>4552.9014709906023</v>
      </c>
      <c r="J799" s="5">
        <f t="shared" si="86"/>
        <v>4610.2163932572312</v>
      </c>
      <c r="K799" s="5">
        <f t="shared" si="87"/>
        <v>4632.7937120440465</v>
      </c>
      <c r="L799" s="5">
        <f t="shared" si="88"/>
        <v>4638.6511084141466</v>
      </c>
      <c r="M799" s="5">
        <f t="shared" si="89"/>
        <v>4639.6261877134484</v>
      </c>
    </row>
    <row r="800" spans="6:13">
      <c r="F800">
        <v>799</v>
      </c>
      <c r="G800" s="5">
        <f t="shared" si="90"/>
        <v>4325.359006342539</v>
      </c>
      <c r="H800" s="5">
        <f t="shared" si="84"/>
        <v>4478.8990485459972</v>
      </c>
      <c r="I800" s="5">
        <f t="shared" si="85"/>
        <v>4561.5577187903846</v>
      </c>
      <c r="J800" s="5">
        <f t="shared" si="86"/>
        <v>4619.0540229880626</v>
      </c>
      <c r="K800" s="5">
        <f t="shared" si="87"/>
        <v>4641.7030377344126</v>
      </c>
      <c r="L800" s="5">
        <f t="shared" si="88"/>
        <v>4647.5790573279974</v>
      </c>
      <c r="M800" s="5">
        <f t="shared" si="89"/>
        <v>4648.5572377337012</v>
      </c>
    </row>
    <row r="801" spans="6:13">
      <c r="F801">
        <v>800</v>
      </c>
      <c r="G801" s="5">
        <f t="shared" si="90"/>
        <v>4333.2942705033893</v>
      </c>
      <c r="H801" s="5">
        <f t="shared" si="84"/>
        <v>4487.3118951825027</v>
      </c>
      <c r="I801" s="5">
        <f t="shared" si="85"/>
        <v>4570.2304243647177</v>
      </c>
      <c r="J801" s="5">
        <f t="shared" si="86"/>
        <v>4627.908594157776</v>
      </c>
      <c r="K801" s="5">
        <f t="shared" si="87"/>
        <v>4650.629496949211</v>
      </c>
      <c r="L801" s="5">
        <f t="shared" si="88"/>
        <v>4656.5241897441083</v>
      </c>
      <c r="M801" s="5">
        <f t="shared" si="89"/>
        <v>4657.5054795817514</v>
      </c>
    </row>
    <row r="802" spans="6:13">
      <c r="F802">
        <v>801</v>
      </c>
      <c r="G802" s="5">
        <f t="shared" si="90"/>
        <v>4341.2440926274548</v>
      </c>
      <c r="H802" s="5">
        <f t="shared" si="84"/>
        <v>4495.7405439140684</v>
      </c>
      <c r="I802" s="5">
        <f t="shared" si="85"/>
        <v>4578.9196190041084</v>
      </c>
      <c r="J802" s="5">
        <f t="shared" si="86"/>
        <v>4636.780139242539</v>
      </c>
      <c r="K802" s="5">
        <f t="shared" si="87"/>
        <v>4659.5731226379239</v>
      </c>
      <c r="L802" s="5">
        <f t="shared" si="88"/>
        <v>4665.4865387353348</v>
      </c>
      <c r="M802" s="5">
        <f t="shared" si="89"/>
        <v>4666.4709463510153</v>
      </c>
    </row>
    <row r="803" spans="6:13">
      <c r="F803">
        <v>802</v>
      </c>
      <c r="G803" s="5">
        <f t="shared" si="90"/>
        <v>4349.2084994226407</v>
      </c>
      <c r="H803" s="5">
        <f t="shared" si="84"/>
        <v>4504.1850244222305</v>
      </c>
      <c r="I803" s="5">
        <f t="shared" si="85"/>
        <v>4587.6253340585472</v>
      </c>
      <c r="J803" s="5">
        <f t="shared" si="86"/>
        <v>4645.6686907807771</v>
      </c>
      <c r="K803" s="5">
        <f t="shared" si="87"/>
        <v>4668.5339478133956</v>
      </c>
      <c r="L803" s="5">
        <f t="shared" si="88"/>
        <v>4674.4661374381849</v>
      </c>
      <c r="M803" s="5">
        <f t="shared" si="89"/>
        <v>4675.4536711986093</v>
      </c>
    </row>
    <row r="804" spans="6:13">
      <c r="F804">
        <v>803</v>
      </c>
      <c r="G804" s="5">
        <f t="shared" si="90"/>
        <v>4357.1875176458525</v>
      </c>
      <c r="H804" s="5">
        <f t="shared" si="84"/>
        <v>4512.6453664442752</v>
      </c>
      <c r="I804" s="5">
        <f t="shared" si="85"/>
        <v>4596.3476009376336</v>
      </c>
      <c r="J804" s="5">
        <f t="shared" si="86"/>
        <v>4654.5742813732895</v>
      </c>
      <c r="K804" s="5">
        <f t="shared" si="87"/>
        <v>4677.5120055519637</v>
      </c>
      <c r="L804" s="5">
        <f t="shared" si="88"/>
        <v>4683.4630190529451</v>
      </c>
      <c r="M804" s="5">
        <f t="shared" si="89"/>
        <v>4684.453687345479</v>
      </c>
    </row>
    <row r="805" spans="6:13">
      <c r="F805">
        <v>804</v>
      </c>
      <c r="G805" s="5">
        <f t="shared" si="90"/>
        <v>4365.1811741030815</v>
      </c>
      <c r="H805" s="5">
        <f t="shared" si="84"/>
        <v>4521.121599773347</v>
      </c>
      <c r="I805" s="5">
        <f t="shared" si="85"/>
        <v>4605.0864511106838</v>
      </c>
      <c r="J805" s="5">
        <f t="shared" si="86"/>
        <v>4663.496943683369</v>
      </c>
      <c r="K805" s="5">
        <f t="shared" si="87"/>
        <v>4686.5073289935663</v>
      </c>
      <c r="L805" s="5">
        <f t="shared" si="88"/>
        <v>4692.4772168438003</v>
      </c>
      <c r="M805" s="5">
        <f t="shared" si="89"/>
        <v>4693.471028076513</v>
      </c>
    </row>
    <row r="806" spans="6:13">
      <c r="F806">
        <v>805</v>
      </c>
      <c r="G806" s="5">
        <f t="shared" si="90"/>
        <v>4373.189495649498</v>
      </c>
      <c r="H806" s="5">
        <f t="shared" si="84"/>
        <v>4529.613754258552</v>
      </c>
      <c r="I806" s="5">
        <f t="shared" si="85"/>
        <v>4613.841916106845</v>
      </c>
      <c r="J806" s="5">
        <f t="shared" si="86"/>
        <v>4672.4367104369239</v>
      </c>
      <c r="K806" s="5">
        <f t="shared" si="87"/>
        <v>4695.5199513418775</v>
      </c>
      <c r="L806" s="5">
        <f t="shared" si="88"/>
        <v>4701.5087641389619</v>
      </c>
      <c r="M806" s="5">
        <f t="shared" si="89"/>
        <v>4702.5057267406773</v>
      </c>
    </row>
    <row r="807" spans="6:13">
      <c r="F807">
        <v>806</v>
      </c>
      <c r="G807" s="5">
        <f t="shared" si="90"/>
        <v>4381.2125091895423</v>
      </c>
      <c r="H807" s="5">
        <f t="shared" si="84"/>
        <v>4538.12185980506</v>
      </c>
      <c r="I807" s="5">
        <f t="shared" si="85"/>
        <v>4622.6140275152111</v>
      </c>
      <c r="J807" s="5">
        <f t="shared" si="86"/>
        <v>4681.3936144225981</v>
      </c>
      <c r="K807" s="5">
        <f t="shared" si="87"/>
        <v>4704.5499058644282</v>
      </c>
      <c r="L807" s="5">
        <f t="shared" si="88"/>
        <v>4710.5576943307824</v>
      </c>
      <c r="M807" s="5">
        <f t="shared" si="89"/>
        <v>4711.5578167511339</v>
      </c>
    </row>
    <row r="808" spans="6:13">
      <c r="F808">
        <v>807</v>
      </c>
      <c r="G808" s="5">
        <f t="shared" si="90"/>
        <v>4389.2502416770112</v>
      </c>
      <c r="H808" s="5">
        <f t="shared" si="84"/>
        <v>4546.6459463742149</v>
      </c>
      <c r="I808" s="5">
        <f t="shared" si="85"/>
        <v>4631.4028169849316</v>
      </c>
      <c r="J808" s="5">
        <f t="shared" si="86"/>
        <v>4690.3676884918877</v>
      </c>
      <c r="K808" s="5">
        <f t="shared" si="87"/>
        <v>4713.5972258927222</v>
      </c>
      <c r="L808" s="5">
        <f t="shared" si="88"/>
        <v>4719.6240408758913</v>
      </c>
      <c r="M808" s="5">
        <f t="shared" si="89"/>
        <v>4720.6273315853578</v>
      </c>
    </row>
    <row r="809" spans="6:13">
      <c r="F809">
        <v>808</v>
      </c>
      <c r="G809" s="5">
        <f t="shared" si="90"/>
        <v>4397.3027201151526</v>
      </c>
      <c r="H809" s="5">
        <f t="shared" si="84"/>
        <v>4555.18604398364</v>
      </c>
      <c r="I809" s="5">
        <f t="shared" si="85"/>
        <v>4640.2083162253311</v>
      </c>
      <c r="J809" s="5">
        <f t="shared" si="86"/>
        <v>4699.3589655592668</v>
      </c>
      <c r="K809" s="5">
        <f t="shared" si="87"/>
        <v>4722.6619448223619</v>
      </c>
      <c r="L809" s="5">
        <f t="shared" si="88"/>
        <v>4728.7078372953047</v>
      </c>
      <c r="M809" s="5">
        <f t="shared" si="89"/>
        <v>4729.7143047852715</v>
      </c>
    </row>
    <row r="810" spans="6:13">
      <c r="F810">
        <v>809</v>
      </c>
      <c r="G810" s="5">
        <f t="shared" si="90"/>
        <v>4405.3699715567491</v>
      </c>
      <c r="H810" s="5">
        <f t="shared" si="84"/>
        <v>4563.7421827073349</v>
      </c>
      <c r="I810" s="5">
        <f t="shared" si="85"/>
        <v>4649.0305570060254</v>
      </c>
      <c r="J810" s="5">
        <f t="shared" si="86"/>
        <v>4708.367478602303</v>
      </c>
      <c r="K810" s="5">
        <f t="shared" si="87"/>
        <v>4731.744096113177</v>
      </c>
      <c r="L810" s="5">
        <f t="shared" si="88"/>
        <v>4737.8091171745618</v>
      </c>
      <c r="M810" s="5">
        <f t="shared" si="89"/>
        <v>4738.8187699573591</v>
      </c>
    </row>
    <row r="811" spans="6:13">
      <c r="F811">
        <v>810</v>
      </c>
      <c r="G811" s="5">
        <f t="shared" si="90"/>
        <v>4413.4520231042206</v>
      </c>
      <c r="H811" s="5">
        <f t="shared" si="84"/>
        <v>4572.3143926757948</v>
      </c>
      <c r="I811" s="5">
        <f t="shared" si="85"/>
        <v>4657.8695711570263</v>
      </c>
      <c r="J811" s="5">
        <f t="shared" si="86"/>
        <v>4717.3932606617809</v>
      </c>
      <c r="K811" s="5">
        <f t="shared" si="87"/>
        <v>4740.8437132893405</v>
      </c>
      <c r="L811" s="5">
        <f t="shared" si="88"/>
        <v>4746.9279141638381</v>
      </c>
      <c r="M811" s="5">
        <f t="shared" si="89"/>
        <v>4747.9407607727999</v>
      </c>
    </row>
    <row r="812" spans="6:13">
      <c r="F812">
        <v>811</v>
      </c>
      <c r="G812" s="5">
        <f t="shared" si="90"/>
        <v>4421.5489019097067</v>
      </c>
      <c r="H812" s="5">
        <f t="shared" si="84"/>
        <v>4580.9027040761057</v>
      </c>
      <c r="I812" s="5">
        <f t="shared" si="85"/>
        <v>4666.7253905688667</v>
      </c>
      <c r="J812" s="5">
        <f t="shared" si="86"/>
        <v>4726.4363448418253</v>
      </c>
      <c r="K812" s="5">
        <f t="shared" si="87"/>
        <v>4749.9608299394986</v>
      </c>
      <c r="L812" s="5">
        <f t="shared" si="88"/>
        <v>4756.0642619780801</v>
      </c>
      <c r="M812" s="5">
        <f t="shared" si="89"/>
        <v>4757.080310967589</v>
      </c>
    </row>
    <row r="813" spans="6:13">
      <c r="F813">
        <v>812</v>
      </c>
      <c r="G813" s="5">
        <f t="shared" si="90"/>
        <v>4429.6606351751607</v>
      </c>
      <c r="H813" s="5">
        <f t="shared" si="84"/>
        <v>4589.5071471520578</v>
      </c>
      <c r="I813" s="5">
        <f t="shared" si="85"/>
        <v>4675.5980471927123</v>
      </c>
      <c r="J813" s="5">
        <f t="shared" si="86"/>
        <v>4735.4967643100172</v>
      </c>
      <c r="K813" s="5">
        <f t="shared" si="87"/>
        <v>4759.0954797168861</v>
      </c>
      <c r="L813" s="5">
        <f t="shared" si="88"/>
        <v>4765.2181943971209</v>
      </c>
      <c r="M813" s="5">
        <f t="shared" si="89"/>
        <v>4766.2374543426567</v>
      </c>
    </row>
    <row r="814" spans="6:13">
      <c r="F814">
        <v>813</v>
      </c>
      <c r="G814" s="5">
        <f t="shared" si="90"/>
        <v>4437.7872501524371</v>
      </c>
      <c r="H814" s="5">
        <f t="shared" si="84"/>
        <v>4598.1277522042465</v>
      </c>
      <c r="I814" s="5">
        <f t="shared" si="85"/>
        <v>4684.4875730404719</v>
      </c>
      <c r="J814" s="5">
        <f t="shared" si="86"/>
        <v>4744.5745522975258</v>
      </c>
      <c r="K814" s="5">
        <f t="shared" si="87"/>
        <v>4768.2476963394647</v>
      </c>
      <c r="L814" s="5">
        <f t="shared" si="88"/>
        <v>4774.3897452658121</v>
      </c>
      <c r="M814" s="5">
        <f t="shared" si="89"/>
        <v>4775.4122247640053</v>
      </c>
    </row>
    <row r="815" spans="6:13">
      <c r="F815">
        <v>814</v>
      </c>
      <c r="G815" s="5">
        <f t="shared" si="90"/>
        <v>4445.9287741433882</v>
      </c>
      <c r="H815" s="5">
        <f t="shared" si="84"/>
        <v>4606.7645495901834</v>
      </c>
      <c r="I815" s="5">
        <f t="shared" si="85"/>
        <v>4693.3940001849214</v>
      </c>
      <c r="J815" s="5">
        <f t="shared" si="86"/>
        <v>4753.6697420992141</v>
      </c>
      <c r="K815" s="5">
        <f t="shared" si="87"/>
        <v>4777.4175135900332</v>
      </c>
      <c r="L815" s="5">
        <f t="shared" si="88"/>
        <v>4783.5789484941442</v>
      </c>
      <c r="M815" s="5">
        <f t="shared" si="89"/>
        <v>4784.6046561628191</v>
      </c>
    </row>
    <row r="816" spans="6:13">
      <c r="F816">
        <v>815</v>
      </c>
      <c r="G816" s="5">
        <f t="shared" si="90"/>
        <v>4454.0852344999566</v>
      </c>
      <c r="H816" s="5">
        <f t="shared" si="84"/>
        <v>4615.4175697244</v>
      </c>
      <c r="I816" s="5">
        <f t="shared" si="85"/>
        <v>4702.3173607598137</v>
      </c>
      <c r="J816" s="5">
        <f t="shared" si="86"/>
        <v>4762.7823670737753</v>
      </c>
      <c r="K816" s="5">
        <f t="shared" si="87"/>
        <v>4786.6049653163591</v>
      </c>
      <c r="L816" s="5">
        <f t="shared" si="88"/>
        <v>4792.7858380573762</v>
      </c>
      <c r="M816" s="5">
        <f t="shared" si="89"/>
        <v>4793.8147825356036</v>
      </c>
    </row>
    <row r="817" spans="6:13">
      <c r="F817">
        <v>816</v>
      </c>
      <c r="G817" s="5">
        <f t="shared" si="90"/>
        <v>4462.256658624261</v>
      </c>
      <c r="H817" s="5">
        <f t="shared" si="84"/>
        <v>4624.0868430785604</v>
      </c>
      <c r="I817" s="5">
        <f t="shared" si="85"/>
        <v>4711.257686959998</v>
      </c>
      <c r="J817" s="5">
        <f t="shared" si="86"/>
        <v>4771.9124606438509</v>
      </c>
      <c r="K817" s="5">
        <f t="shared" si="87"/>
        <v>4795.8100854313034</v>
      </c>
      <c r="L817" s="5">
        <f t="shared" si="88"/>
        <v>4802.0104479961547</v>
      </c>
      <c r="M817" s="5">
        <f t="shared" si="89"/>
        <v>4803.0426379443088</v>
      </c>
    </row>
    <row r="818" spans="6:13">
      <c r="F818">
        <v>817</v>
      </c>
      <c r="G818" s="5">
        <f t="shared" si="90"/>
        <v>4470.4430739686932</v>
      </c>
      <c r="H818" s="5">
        <f t="shared" si="84"/>
        <v>4632.7724001815568</v>
      </c>
      <c r="I818" s="5">
        <f t="shared" si="85"/>
        <v>4720.2150110415305</v>
      </c>
      <c r="J818" s="5">
        <f t="shared" si="86"/>
        <v>4781.0600562961481</v>
      </c>
      <c r="K818" s="5">
        <f t="shared" si="87"/>
        <v>4805.0329079129451</v>
      </c>
      <c r="L818" s="5">
        <f t="shared" si="88"/>
        <v>4811.2528124166483</v>
      </c>
      <c r="M818" s="5">
        <f t="shared" si="89"/>
        <v>4812.2882565164446</v>
      </c>
    </row>
    <row r="819" spans="6:13">
      <c r="F819">
        <v>818</v>
      </c>
      <c r="G819" s="5">
        <f t="shared" si="90"/>
        <v>4478.644508036009</v>
      </c>
      <c r="H819" s="5">
        <f t="shared" si="84"/>
        <v>4641.4742716196315</v>
      </c>
      <c r="I819" s="5">
        <f t="shared" si="85"/>
        <v>4729.1893653217985</v>
      </c>
      <c r="J819" s="5">
        <f t="shared" si="86"/>
        <v>4790.22518758157</v>
      </c>
      <c r="K819" s="5">
        <f t="shared" si="87"/>
        <v>4814.2734668047069</v>
      </c>
      <c r="L819" s="5">
        <f t="shared" si="88"/>
        <v>4820.5129654906659</v>
      </c>
      <c r="M819" s="5">
        <f t="shared" si="89"/>
        <v>4821.5516724452209</v>
      </c>
    </row>
    <row r="820" spans="6:13">
      <c r="F820">
        <v>819</v>
      </c>
      <c r="G820" s="5">
        <f t="shared" si="90"/>
        <v>4486.8609883794197</v>
      </c>
      <c r="H820" s="5">
        <f t="shared" si="84"/>
        <v>4650.1924880364759</v>
      </c>
      <c r="I820" s="5">
        <f t="shared" si="85"/>
        <v>4738.180782179631</v>
      </c>
      <c r="J820" s="5">
        <f t="shared" si="86"/>
        <v>4799.4078881153382</v>
      </c>
      <c r="K820" s="5">
        <f t="shared" si="87"/>
        <v>4823.5317962154777</v>
      </c>
      <c r="L820" s="5">
        <f t="shared" si="88"/>
        <v>4829.7909414557898</v>
      </c>
      <c r="M820" s="5">
        <f t="shared" si="89"/>
        <v>4830.8329199896625</v>
      </c>
    </row>
    <row r="821" spans="6:13">
      <c r="F821">
        <v>820</v>
      </c>
      <c r="G821" s="5">
        <f t="shared" si="90"/>
        <v>4495.0925426026879</v>
      </c>
      <c r="H821" s="5">
        <f t="shared" si="84"/>
        <v>4658.9270801333414</v>
      </c>
      <c r="I821" s="5">
        <f t="shared" si="85"/>
        <v>4747.1892940554199</v>
      </c>
      <c r="J821" s="5">
        <f t="shared" si="86"/>
        <v>4808.6081915771074</v>
      </c>
      <c r="K821" s="5">
        <f t="shared" si="87"/>
        <v>4832.8079303197428</v>
      </c>
      <c r="L821" s="5">
        <f t="shared" si="88"/>
        <v>4839.0867746154945</v>
      </c>
      <c r="M821" s="5">
        <f t="shared" si="89"/>
        <v>4840.1320334747452</v>
      </c>
    </row>
    <row r="822" spans="6:13">
      <c r="F822">
        <v>821</v>
      </c>
      <c r="G822" s="5">
        <f t="shared" si="90"/>
        <v>4503.3391983602151</v>
      </c>
      <c r="H822" s="5">
        <f t="shared" ref="H822:H885" si="91">$C$2*(1+$C$1/$D$6)^(F822*$D$6*0.019231)</f>
        <v>4667.6780786691415</v>
      </c>
      <c r="I822" s="5">
        <f t="shared" ref="I822:I885" si="92">$C$2*(1+$C$1/$D$7)^(F822*$D$7*0.019231)</f>
        <v>4756.2149334512287</v>
      </c>
      <c r="J822" s="5">
        <f t="shared" ref="J822:J885" si="93">$C$2*(1+$C$1/$D$8)^(F822*$D$8*0.019231)</f>
        <v>4817.8261317111019</v>
      </c>
      <c r="K822" s="5">
        <f t="shared" ref="K822:K885" si="94">$C$2*(1+$C$1/$D$9)^(F822*$D$9*0.019231)</f>
        <v>4842.1019033577095</v>
      </c>
      <c r="L822" s="5">
        <f t="shared" ref="L822:L885" si="95">$C$2*(1+$C$1/$D$10)^(F822*$D$10*0.019231)</f>
        <v>4848.4004993392819</v>
      </c>
      <c r="M822" s="5">
        <f t="shared" ref="M822:M885" si="96">$C$2*EXP($C$1*F822*0.019231)</f>
        <v>4849.4490472915204</v>
      </c>
    </row>
    <row r="823" spans="6:13">
      <c r="F823">
        <v>822</v>
      </c>
      <c r="G823" s="5">
        <f t="shared" si="90"/>
        <v>4511.600983357137</v>
      </c>
      <c r="H823" s="5">
        <f t="shared" si="91"/>
        <v>4676.4455144605718</v>
      </c>
      <c r="I823" s="5">
        <f t="shared" si="92"/>
        <v>4765.2577329309233</v>
      </c>
      <c r="J823" s="5">
        <f t="shared" si="93"/>
        <v>4827.0617423262256</v>
      </c>
      <c r="K823" s="5">
        <f t="shared" si="94"/>
        <v>4851.4137496354324</v>
      </c>
      <c r="L823" s="5">
        <f t="shared" si="95"/>
        <v>4857.7321500628013</v>
      </c>
      <c r="M823" s="5">
        <f t="shared" si="96"/>
        <v>4858.7839958972345</v>
      </c>
    </row>
    <row r="824" spans="6:13">
      <c r="F824">
        <v>823</v>
      </c>
      <c r="G824" s="5">
        <f t="shared" si="90"/>
        <v>4519.8779253494195</v>
      </c>
      <c r="H824" s="5">
        <f t="shared" si="91"/>
        <v>4685.2294183822078</v>
      </c>
      <c r="I824" s="5">
        <f t="shared" si="92"/>
        <v>4774.3177251202778</v>
      </c>
      <c r="J824" s="5">
        <f t="shared" si="93"/>
        <v>4836.3150572961977</v>
      </c>
      <c r="K824" s="5">
        <f t="shared" si="94"/>
        <v>4860.7435035249391</v>
      </c>
      <c r="L824" s="5">
        <f t="shared" si="95"/>
        <v>4867.0817612879846</v>
      </c>
      <c r="M824" s="5">
        <f t="shared" si="96"/>
        <v>4868.1369138154687</v>
      </c>
    </row>
    <row r="825" spans="6:13">
      <c r="F825">
        <v>824</v>
      </c>
      <c r="G825" s="5">
        <f t="shared" si="90"/>
        <v>4528.1700521439489</v>
      </c>
      <c r="H825" s="5">
        <f t="shared" si="91"/>
        <v>4694.0298213666183</v>
      </c>
      <c r="I825" s="5">
        <f t="shared" si="92"/>
        <v>4783.3949427070975</v>
      </c>
      <c r="J825" s="5">
        <f t="shared" si="93"/>
        <v>4845.5861105596723</v>
      </c>
      <c r="K825" s="5">
        <f t="shared" si="94"/>
        <v>4870.0911994643557</v>
      </c>
      <c r="L825" s="5">
        <f t="shared" si="95"/>
        <v>4876.4493675831618</v>
      </c>
      <c r="M825" s="5">
        <f t="shared" si="96"/>
        <v>4877.5078356362528</v>
      </c>
    </row>
    <row r="826" spans="6:13">
      <c r="F826">
        <v>825</v>
      </c>
      <c r="G826" s="5">
        <f t="shared" si="90"/>
        <v>4536.4773915986225</v>
      </c>
      <c r="H826" s="5">
        <f t="shared" si="91"/>
        <v>4702.8467544044734</v>
      </c>
      <c r="I826" s="5">
        <f t="shared" si="92"/>
        <v>4792.4894184413342</v>
      </c>
      <c r="J826" s="5">
        <f t="shared" si="93"/>
        <v>4854.87493612036</v>
      </c>
      <c r="K826" s="5">
        <f t="shared" si="94"/>
        <v>4879.456871958042</v>
      </c>
      <c r="L826" s="5">
        <f t="shared" si="95"/>
        <v>4885.8350035832054</v>
      </c>
      <c r="M826" s="5">
        <f t="shared" si="96"/>
        <v>4886.8967960162072</v>
      </c>
    </row>
    <row r="827" spans="6:13">
      <c r="F827">
        <v>826</v>
      </c>
      <c r="G827" s="5">
        <f t="shared" si="90"/>
        <v>4544.7999716224485</v>
      </c>
      <c r="H827" s="5">
        <f t="shared" si="91"/>
        <v>4711.6802485446542</v>
      </c>
      <c r="I827" s="5">
        <f t="shared" si="92"/>
        <v>4801.6011851352068</v>
      </c>
      <c r="J827" s="5">
        <f t="shared" si="93"/>
        <v>4864.1815680471545</v>
      </c>
      <c r="K827" s="5">
        <f t="shared" si="94"/>
        <v>4888.8405555767094</v>
      </c>
      <c r="L827" s="5">
        <f t="shared" si="95"/>
        <v>4895.2387039896366</v>
      </c>
      <c r="M827" s="5">
        <f t="shared" si="96"/>
        <v>4896.3038296786654</v>
      </c>
    </row>
    <row r="828" spans="6:13">
      <c r="F828">
        <v>827</v>
      </c>
      <c r="G828" s="5">
        <f t="shared" si="90"/>
        <v>4553.137820175637</v>
      </c>
      <c r="H828" s="5">
        <f t="shared" si="91"/>
        <v>4720.5303348943635</v>
      </c>
      <c r="I828" s="5">
        <f t="shared" si="92"/>
        <v>4810.7302756633198</v>
      </c>
      <c r="J828" s="5">
        <f t="shared" si="93"/>
        <v>4873.5060404742635</v>
      </c>
      <c r="K828" s="5">
        <f t="shared" si="94"/>
        <v>4898.2422849575514</v>
      </c>
      <c r="L828" s="5">
        <f t="shared" si="95"/>
        <v>4904.6605035707807</v>
      </c>
      <c r="M828" s="5">
        <f t="shared" si="96"/>
        <v>4905.7289714137942</v>
      </c>
    </row>
    <row r="829" spans="6:13">
      <c r="F829">
        <v>828</v>
      </c>
      <c r="G829" s="5">
        <f t="shared" si="90"/>
        <v>4561.4909652696924</v>
      </c>
      <c r="H829" s="5">
        <f t="shared" si="91"/>
        <v>4729.3970446192297</v>
      </c>
      <c r="I829" s="5">
        <f t="shared" si="92"/>
        <v>4819.876722962782</v>
      </c>
      <c r="J829" s="5">
        <f t="shared" si="93"/>
        <v>4882.8483876013242</v>
      </c>
      <c r="K829" s="5">
        <f t="shared" si="94"/>
        <v>4907.6620948043728</v>
      </c>
      <c r="L829" s="5">
        <f t="shared" si="95"/>
        <v>4914.1004371618701</v>
      </c>
      <c r="M829" s="5">
        <f t="shared" si="96"/>
        <v>4915.1722560787384</v>
      </c>
    </row>
    <row r="830" spans="6:13">
      <c r="F830">
        <v>829</v>
      </c>
      <c r="G830" s="5">
        <f t="shared" si="90"/>
        <v>4569.8594349675077</v>
      </c>
      <c r="H830" s="5">
        <f t="shared" si="91"/>
        <v>4738.2804089434258</v>
      </c>
      <c r="I830" s="5">
        <f t="shared" si="92"/>
        <v>4829.0405600333188</v>
      </c>
      <c r="J830" s="5">
        <f t="shared" si="93"/>
        <v>4892.2086436935379</v>
      </c>
      <c r="K830" s="5">
        <f t="shared" si="94"/>
        <v>4917.1000198877209</v>
      </c>
      <c r="L830" s="5">
        <f t="shared" si="95"/>
        <v>4923.5585396651886</v>
      </c>
      <c r="M830" s="5">
        <f t="shared" si="96"/>
        <v>4924.6337185977345</v>
      </c>
    </row>
    <row r="831" spans="6:13">
      <c r="F831">
        <v>830</v>
      </c>
      <c r="G831" s="5">
        <f t="shared" si="90"/>
        <v>4578.2432573834622</v>
      </c>
      <c r="H831" s="5">
        <f t="shared" si="91"/>
        <v>4747.1804591497685</v>
      </c>
      <c r="I831" s="5">
        <f t="shared" si="92"/>
        <v>4838.2218199374001</v>
      </c>
      <c r="J831" s="5">
        <f t="shared" si="93"/>
        <v>4901.5868430817864</v>
      </c>
      <c r="K831" s="5">
        <f t="shared" si="94"/>
        <v>4926.5560950450063</v>
      </c>
      <c r="L831" s="5">
        <f t="shared" si="95"/>
        <v>4933.0348460501955</v>
      </c>
      <c r="M831" s="5">
        <f t="shared" si="96"/>
        <v>4934.1133939622478</v>
      </c>
    </row>
    <row r="832" spans="6:13">
      <c r="F832">
        <v>831</v>
      </c>
      <c r="G832" s="5">
        <f t="shared" si="90"/>
        <v>4586.6424606835117</v>
      </c>
      <c r="H832" s="5">
        <f t="shared" si="91"/>
        <v>4756.0972265798382</v>
      </c>
      <c r="I832" s="5">
        <f t="shared" si="92"/>
        <v>4847.4205358003583</v>
      </c>
      <c r="J832" s="5">
        <f t="shared" si="93"/>
        <v>4910.9830201627628</v>
      </c>
      <c r="K832" s="5">
        <f t="shared" si="94"/>
        <v>4936.0303551806346</v>
      </c>
      <c r="L832" s="5">
        <f t="shared" si="95"/>
        <v>4942.5293913536561</v>
      </c>
      <c r="M832" s="5">
        <f t="shared" si="96"/>
        <v>4943.6113172311052</v>
      </c>
    </row>
    <row r="833" spans="6:13">
      <c r="F833">
        <v>832</v>
      </c>
      <c r="G833" s="5">
        <f t="shared" si="90"/>
        <v>4595.0570730852878</v>
      </c>
      <c r="H833" s="5">
        <f t="shared" si="91"/>
        <v>4765.0307426340833</v>
      </c>
      <c r="I833" s="5">
        <f t="shared" si="92"/>
        <v>4856.6367408105034</v>
      </c>
      <c r="J833" s="5">
        <f t="shared" si="93"/>
        <v>4920.3972093991033</v>
      </c>
      <c r="K833" s="5">
        <f t="shared" si="94"/>
        <v>4945.5228352661416</v>
      </c>
      <c r="L833" s="5">
        <f t="shared" si="95"/>
        <v>4952.0422106797687</v>
      </c>
      <c r="M833" s="5">
        <f t="shared" si="96"/>
        <v>4953.127523530613</v>
      </c>
    </row>
    <row r="834" spans="6:13">
      <c r="F834">
        <v>833</v>
      </c>
      <c r="G834" s="5">
        <f t="shared" si="90"/>
        <v>4603.4871228581842</v>
      </c>
      <c r="H834" s="5">
        <f t="shared" si="91"/>
        <v>4773.9810387719317</v>
      </c>
      <c r="I834" s="5">
        <f t="shared" si="92"/>
        <v>4865.870468219242</v>
      </c>
      <c r="J834" s="5">
        <f t="shared" si="93"/>
        <v>4929.8294453194994</v>
      </c>
      <c r="K834" s="5">
        <f t="shared" si="94"/>
        <v>4955.0335703403116</v>
      </c>
      <c r="L834" s="5">
        <f t="shared" si="95"/>
        <v>4961.5733392002958</v>
      </c>
      <c r="M834" s="5">
        <f t="shared" si="96"/>
        <v>4962.6620480546999</v>
      </c>
    </row>
    <row r="835" spans="6:13">
      <c r="F835">
        <v>834</v>
      </c>
      <c r="G835" s="5">
        <f t="shared" si="90"/>
        <v>4611.9326383234657</v>
      </c>
      <c r="H835" s="5">
        <f t="shared" si="91"/>
        <v>4782.9481465119052</v>
      </c>
      <c r="I835" s="5">
        <f t="shared" si="92"/>
        <v>4875.1217513412075</v>
      </c>
      <c r="J835" s="5">
        <f t="shared" si="93"/>
        <v>4939.2797625188414</v>
      </c>
      <c r="K835" s="5">
        <f t="shared" si="94"/>
        <v>4964.562595509311</v>
      </c>
      <c r="L835" s="5">
        <f t="shared" si="95"/>
        <v>4971.1228121546974</v>
      </c>
      <c r="M835" s="5">
        <f t="shared" si="96"/>
        <v>4972.2149260650367</v>
      </c>
    </row>
    <row r="836" spans="6:13">
      <c r="F836">
        <v>835</v>
      </c>
      <c r="G836" s="5">
        <f t="shared" ref="G836:G899" si="97">$C$2*(1+$C$1)^(F836*0.019231/$D$5)</f>
        <v>4620.3936478543483</v>
      </c>
      <c r="H836" s="5">
        <f t="shared" si="91"/>
        <v>4791.9320974317261</v>
      </c>
      <c r="I836" s="5">
        <f t="shared" si="92"/>
        <v>4884.3906235543682</v>
      </c>
      <c r="J836" s="5">
        <f t="shared" si="93"/>
        <v>4948.7481956583297</v>
      </c>
      <c r="K836" s="5">
        <f t="shared" si="94"/>
        <v>4974.1099459468269</v>
      </c>
      <c r="L836" s="5">
        <f t="shared" si="95"/>
        <v>4980.6906648502563</v>
      </c>
      <c r="M836" s="5">
        <f t="shared" si="96"/>
        <v>4981.7861928911716</v>
      </c>
    </row>
    <row r="837" spans="6:13">
      <c r="F837">
        <v>836</v>
      </c>
      <c r="G837" s="5">
        <f t="shared" si="97"/>
        <v>4628.8701798761003</v>
      </c>
      <c r="H837" s="5">
        <f t="shared" si="91"/>
        <v>4800.9329231684278</v>
      </c>
      <c r="I837" s="5">
        <f t="shared" si="92"/>
        <v>4893.6771183001474</v>
      </c>
      <c r="J837" s="5">
        <f t="shared" si="93"/>
        <v>4958.2347794656125</v>
      </c>
      <c r="K837" s="5">
        <f t="shared" si="94"/>
        <v>4983.6756568941801</v>
      </c>
      <c r="L837" s="5">
        <f t="shared" si="95"/>
        <v>4990.276932662211</v>
      </c>
      <c r="M837" s="5">
        <f t="shared" si="96"/>
        <v>4991.3758839306674</v>
      </c>
    </row>
    <row r="838" spans="6:13">
      <c r="F838">
        <v>837</v>
      </c>
      <c r="G838" s="5">
        <f t="shared" si="97"/>
        <v>4637.3622628661478</v>
      </c>
      <c r="H838" s="5">
        <f t="shared" si="91"/>
        <v>4809.9506554184727</v>
      </c>
      <c r="I838" s="5">
        <f t="shared" si="92"/>
        <v>4902.9812690835633</v>
      </c>
      <c r="J838" s="5">
        <f t="shared" si="93"/>
        <v>4967.7395487349113</v>
      </c>
      <c r="K838" s="5">
        <f t="shared" si="94"/>
        <v>4993.2597636604687</v>
      </c>
      <c r="L838" s="5">
        <f t="shared" si="95"/>
        <v>4999.8816510338875</v>
      </c>
      <c r="M838" s="5">
        <f t="shared" si="96"/>
        <v>5000.9840346492147</v>
      </c>
    </row>
    <row r="839" spans="6:13">
      <c r="F839">
        <v>838</v>
      </c>
      <c r="G839" s="5">
        <f t="shared" si="97"/>
        <v>4645.8699253541499</v>
      </c>
      <c r="H839" s="5">
        <f t="shared" si="91"/>
        <v>4818.9853259378579</v>
      </c>
      <c r="I839" s="5">
        <f t="shared" si="92"/>
        <v>4912.3031094733233</v>
      </c>
      <c r="J839" s="5">
        <f t="shared" si="93"/>
        <v>4977.2625383271434</v>
      </c>
      <c r="K839" s="5">
        <f t="shared" si="94"/>
        <v>5002.8623016226911</v>
      </c>
      <c r="L839" s="5">
        <f t="shared" si="95"/>
        <v>5009.5048554768246</v>
      </c>
      <c r="M839" s="5">
        <f t="shared" si="96"/>
        <v>5010.6106805807831</v>
      </c>
    </row>
    <row r="840" spans="6:13">
      <c r="F840">
        <v>839</v>
      </c>
      <c r="G840" s="5">
        <f t="shared" si="97"/>
        <v>4654.3931959221145</v>
      </c>
      <c r="H840" s="5">
        <f t="shared" si="91"/>
        <v>4828.0369665422259</v>
      </c>
      <c r="I840" s="5">
        <f t="shared" si="92"/>
        <v>4921.6426731019601</v>
      </c>
      <c r="J840" s="5">
        <f t="shared" si="93"/>
        <v>4986.803783170054</v>
      </c>
      <c r="K840" s="5">
        <f t="shared" si="94"/>
        <v>5012.4833062258822</v>
      </c>
      <c r="L840" s="5">
        <f t="shared" si="95"/>
        <v>5019.1465815709171</v>
      </c>
      <c r="M840" s="5">
        <f t="shared" si="96"/>
        <v>5020.2558573277347</v>
      </c>
    </row>
    <row r="841" spans="6:13">
      <c r="F841">
        <v>840</v>
      </c>
      <c r="G841" s="5">
        <f t="shared" si="97"/>
        <v>4662.9321032044818</v>
      </c>
      <c r="H841" s="5">
        <f t="shared" si="91"/>
        <v>4837.1056091069859</v>
      </c>
      <c r="I841" s="5">
        <f t="shared" si="92"/>
        <v>4930.9999936659578</v>
      </c>
      <c r="J841" s="5">
        <f t="shared" si="93"/>
        <v>4996.3633182583471</v>
      </c>
      <c r="K841" s="5">
        <f t="shared" si="94"/>
        <v>5022.122812983238</v>
      </c>
      <c r="L841" s="5">
        <f t="shared" si="95"/>
        <v>5028.8068649645329</v>
      </c>
      <c r="M841" s="5">
        <f t="shared" si="96"/>
        <v>5029.9196005609701</v>
      </c>
    </row>
    <row r="842" spans="6:13">
      <c r="F842">
        <v>841</v>
      </c>
      <c r="G842" s="5">
        <f t="shared" si="97"/>
        <v>4671.4866758882245</v>
      </c>
      <c r="H842" s="5">
        <f t="shared" si="91"/>
        <v>4846.19128556741</v>
      </c>
      <c r="I842" s="5">
        <f t="shared" si="92"/>
        <v>4940.3751049258553</v>
      </c>
      <c r="J842" s="5">
        <f t="shared" si="93"/>
        <v>5005.9411786538067</v>
      </c>
      <c r="K842" s="5">
        <f t="shared" si="94"/>
        <v>5031.7808574762548</v>
      </c>
      <c r="L842" s="5">
        <f t="shared" si="95"/>
        <v>5038.4857413746586</v>
      </c>
      <c r="M842" s="5">
        <f t="shared" si="96"/>
        <v>5039.6019460200569</v>
      </c>
    </row>
    <row r="843" spans="6:13">
      <c r="F843">
        <v>842</v>
      </c>
      <c r="G843" s="5">
        <f t="shared" si="97"/>
        <v>4680.0569427129467</v>
      </c>
      <c r="H843" s="5">
        <f t="shared" si="91"/>
        <v>4855.2940279187678</v>
      </c>
      <c r="I843" s="5">
        <f t="shared" si="92"/>
        <v>4949.768040706389</v>
      </c>
      <c r="J843" s="5">
        <f t="shared" si="93"/>
        <v>5015.537399485429</v>
      </c>
      <c r="K843" s="5">
        <f t="shared" si="94"/>
        <v>5041.4574753548495</v>
      </c>
      <c r="L843" s="5">
        <f t="shared" si="95"/>
        <v>5048.1832465870166</v>
      </c>
      <c r="M843" s="5">
        <f t="shared" si="96"/>
        <v>5049.3029295133538</v>
      </c>
    </row>
    <row r="844" spans="6:13">
      <c r="F844">
        <v>843</v>
      </c>
      <c r="G844" s="5">
        <f t="shared" si="97"/>
        <v>4688.6429324709761</v>
      </c>
      <c r="H844" s="5">
        <f t="shared" si="91"/>
        <v>4864.4138682164157</v>
      </c>
      <c r="I844" s="5">
        <f t="shared" si="92"/>
        <v>4959.1788348965983</v>
      </c>
      <c r="J844" s="5">
        <f t="shared" si="93"/>
        <v>5025.152015949554</v>
      </c>
      <c r="K844" s="5">
        <f t="shared" si="94"/>
        <v>5051.1527023375002</v>
      </c>
      <c r="L844" s="5">
        <f t="shared" si="95"/>
        <v>5057.8994164562127</v>
      </c>
      <c r="M844" s="5">
        <f t="shared" si="96"/>
        <v>5059.0225869181504</v>
      </c>
    </row>
    <row r="845" spans="6:13">
      <c r="F845">
        <v>844</v>
      </c>
      <c r="G845" s="5">
        <f t="shared" si="97"/>
        <v>4697.2446740074602</v>
      </c>
      <c r="H845" s="5">
        <f t="shared" si="91"/>
        <v>4873.5508385759231</v>
      </c>
      <c r="I845" s="5">
        <f t="shared" si="92"/>
        <v>4968.6075214499569</v>
      </c>
      <c r="J845" s="5">
        <f t="shared" si="93"/>
        <v>5034.7850633099879</v>
      </c>
      <c r="K845" s="5">
        <f t="shared" si="94"/>
        <v>5060.8665742113772</v>
      </c>
      <c r="L845" s="5">
        <f t="shared" si="95"/>
        <v>5067.634286905859</v>
      </c>
      <c r="M845" s="5">
        <f t="shared" si="96"/>
        <v>5068.7609541807997</v>
      </c>
    </row>
    <row r="846" spans="6:13">
      <c r="F846">
        <v>845</v>
      </c>
      <c r="G846" s="5">
        <f t="shared" si="97"/>
        <v>4705.8621962204707</v>
      </c>
      <c r="H846" s="5">
        <f t="shared" si="91"/>
        <v>4882.7049711731897</v>
      </c>
      <c r="I846" s="5">
        <f t="shared" si="92"/>
        <v>4978.0541343844934</v>
      </c>
      <c r="J846" s="5">
        <f t="shared" si="93"/>
        <v>5044.4365768981415</v>
      </c>
      <c r="K846" s="5">
        <f t="shared" si="94"/>
        <v>5070.5991268324697</v>
      </c>
      <c r="L846" s="5">
        <f t="shared" si="95"/>
        <v>5077.3878939287079</v>
      </c>
      <c r="M846" s="5">
        <f t="shared" si="96"/>
        <v>5078.518067316847</v>
      </c>
    </row>
    <row r="847" spans="6:13">
      <c r="F847">
        <v>846</v>
      </c>
      <c r="G847" s="5">
        <f t="shared" si="97"/>
        <v>4714.495528061092</v>
      </c>
      <c r="H847" s="5">
        <f t="shared" si="91"/>
        <v>4891.8762982445423</v>
      </c>
      <c r="I847" s="5">
        <f t="shared" si="92"/>
        <v>4987.5187077829132</v>
      </c>
      <c r="J847" s="5">
        <f t="shared" si="93"/>
        <v>5054.1065921131521</v>
      </c>
      <c r="K847" s="5">
        <f t="shared" si="94"/>
        <v>5080.3503961257238</v>
      </c>
      <c r="L847" s="5">
        <f t="shared" si="95"/>
        <v>5087.1602735867891</v>
      </c>
      <c r="M847" s="5">
        <f t="shared" si="96"/>
        <v>5088.2939624111723</v>
      </c>
    </row>
    <row r="848" spans="6:13">
      <c r="F848">
        <v>847</v>
      </c>
      <c r="G848" s="5">
        <f t="shared" si="97"/>
        <v>4723.1446985335215</v>
      </c>
      <c r="H848" s="5">
        <f t="shared" si="91"/>
        <v>4901.0648520868644</v>
      </c>
      <c r="I848" s="5">
        <f t="shared" si="92"/>
        <v>4997.0012757927179</v>
      </c>
      <c r="J848" s="5">
        <f t="shared" si="93"/>
        <v>5063.7951444220143</v>
      </c>
      <c r="K848" s="5">
        <f t="shared" si="94"/>
        <v>5090.120418085171</v>
      </c>
      <c r="L848" s="5">
        <f t="shared" si="95"/>
        <v>5096.9514620115378</v>
      </c>
      <c r="M848" s="5">
        <f t="shared" si="96"/>
        <v>5098.0886756181098</v>
      </c>
    </row>
    <row r="849" spans="6:13">
      <c r="F849">
        <v>848</v>
      </c>
      <c r="G849" s="5">
        <f t="shared" si="97"/>
        <v>4731.8097366951688</v>
      </c>
      <c r="H849" s="5">
        <f t="shared" si="91"/>
        <v>4910.270665057702</v>
      </c>
      <c r="I849" s="5">
        <f t="shared" si="92"/>
        <v>5006.5018726263397</v>
      </c>
      <c r="J849" s="5">
        <f t="shared" si="93"/>
        <v>5073.5022693597166</v>
      </c>
      <c r="K849" s="5">
        <f t="shared" si="94"/>
        <v>5099.9092287740677</v>
      </c>
      <c r="L849" s="5">
        <f t="shared" si="95"/>
        <v>5106.7614954039354</v>
      </c>
      <c r="M849" s="5">
        <f t="shared" si="96"/>
        <v>5107.9022431615922</v>
      </c>
    </row>
    <row r="850" spans="6:13">
      <c r="F850">
        <v>849</v>
      </c>
      <c r="G850" s="5">
        <f t="shared" si="97"/>
        <v>4740.4906716567539</v>
      </c>
      <c r="H850" s="5">
        <f t="shared" si="91"/>
        <v>4919.4937695753779</v>
      </c>
      <c r="I850" s="5">
        <f t="shared" si="92"/>
        <v>5016.0205325612524</v>
      </c>
      <c r="J850" s="5">
        <f t="shared" si="93"/>
        <v>5083.2280025293585</v>
      </c>
      <c r="K850" s="5">
        <f t="shared" si="94"/>
        <v>5109.7168643250152</v>
      </c>
      <c r="L850" s="5">
        <f t="shared" si="95"/>
        <v>5116.5904100346297</v>
      </c>
      <c r="M850" s="5">
        <f t="shared" si="96"/>
        <v>5117.734701335281</v>
      </c>
    </row>
    <row r="851" spans="6:13">
      <c r="F851">
        <v>850</v>
      </c>
      <c r="G851" s="5">
        <f t="shared" si="97"/>
        <v>4749.1875325823985</v>
      </c>
      <c r="H851" s="5">
        <f t="shared" si="91"/>
        <v>4928.734198119113</v>
      </c>
      <c r="I851" s="5">
        <f t="shared" si="92"/>
        <v>5025.5572899401022</v>
      </c>
      <c r="J851" s="5">
        <f t="shared" si="93"/>
        <v>5092.9723796022981</v>
      </c>
      <c r="K851" s="5">
        <f t="shared" si="94"/>
        <v>5119.543360940107</v>
      </c>
      <c r="L851" s="5">
        <f t="shared" si="95"/>
        <v>5126.4382422440913</v>
      </c>
      <c r="M851" s="5">
        <f t="shared" si="96"/>
        <v>5127.5860865026989</v>
      </c>
    </row>
    <row r="852" spans="6:13">
      <c r="F852">
        <v>851</v>
      </c>
      <c r="G852" s="5">
        <f t="shared" si="97"/>
        <v>4757.9003486897336</v>
      </c>
      <c r="H852" s="5">
        <f t="shared" si="91"/>
        <v>4937.9919832291253</v>
      </c>
      <c r="I852" s="5">
        <f t="shared" si="92"/>
        <v>5035.1121791708274</v>
      </c>
      <c r="J852" s="5">
        <f t="shared" si="93"/>
        <v>5102.7354363182712</v>
      </c>
      <c r="K852" s="5">
        <f t="shared" si="94"/>
        <v>5129.3887548910598</v>
      </c>
      <c r="L852" s="5">
        <f t="shared" si="95"/>
        <v>5136.3050284427218</v>
      </c>
      <c r="M852" s="5">
        <f t="shared" si="96"/>
        <v>5137.4564350973742</v>
      </c>
    </row>
    <row r="853" spans="6:13">
      <c r="F853">
        <v>852</v>
      </c>
      <c r="G853" s="5">
        <f t="shared" si="97"/>
        <v>4766.6291492499859</v>
      </c>
      <c r="H853" s="5">
        <f t="shared" si="91"/>
        <v>4947.2671575067607</v>
      </c>
      <c r="I853" s="5">
        <f t="shared" si="92"/>
        <v>5044.685234726785</v>
      </c>
      <c r="J853" s="5">
        <f t="shared" si="93"/>
        <v>5112.517208485523</v>
      </c>
      <c r="K853" s="5">
        <f t="shared" si="94"/>
        <v>5139.253082519338</v>
      </c>
      <c r="L853" s="5">
        <f t="shared" si="95"/>
        <v>5146.1908051110113</v>
      </c>
      <c r="M853" s="5">
        <f t="shared" si="96"/>
        <v>5147.3457836229591</v>
      </c>
    </row>
    <row r="854" spans="6:13">
      <c r="F854">
        <v>853</v>
      </c>
      <c r="G854" s="5">
        <f t="shared" si="97"/>
        <v>4775.3739635880902</v>
      </c>
      <c r="H854" s="5">
        <f t="shared" si="91"/>
        <v>4956.5597536146015</v>
      </c>
      <c r="I854" s="5">
        <f t="shared" si="92"/>
        <v>5054.2764911468803</v>
      </c>
      <c r="J854" s="5">
        <f t="shared" si="93"/>
        <v>5122.3177319809447</v>
      </c>
      <c r="K854" s="5">
        <f t="shared" si="94"/>
        <v>5149.1363802362948</v>
      </c>
      <c r="L854" s="5">
        <f t="shared" si="95"/>
        <v>5156.0956087996574</v>
      </c>
      <c r="M854" s="5">
        <f t="shared" si="96"/>
        <v>5157.2541686533787</v>
      </c>
    </row>
    <row r="855" spans="6:13">
      <c r="F855">
        <v>854</v>
      </c>
      <c r="G855" s="5">
        <f t="shared" si="97"/>
        <v>4784.1348210827773</v>
      </c>
      <c r="H855" s="5">
        <f t="shared" si="91"/>
        <v>4965.8698042765773</v>
      </c>
      <c r="I855" s="5">
        <f t="shared" si="92"/>
        <v>5063.8859830356778</v>
      </c>
      <c r="J855" s="5">
        <f t="shared" si="93"/>
        <v>5132.1370427502015</v>
      </c>
      <c r="K855" s="5">
        <f t="shared" si="94"/>
        <v>5159.0386845233115</v>
      </c>
      <c r="L855" s="5">
        <f t="shared" si="95"/>
        <v>5166.0194761297089</v>
      </c>
      <c r="M855" s="5">
        <f t="shared" si="96"/>
        <v>5167.1816268329576</v>
      </c>
    </row>
    <row r="856" spans="6:13">
      <c r="F856">
        <v>855</v>
      </c>
      <c r="G856" s="5">
        <f t="shared" si="97"/>
        <v>4792.9117511666718</v>
      </c>
      <c r="H856" s="5">
        <f t="shared" si="91"/>
        <v>4975.1973422780857</v>
      </c>
      <c r="I856" s="5">
        <f t="shared" si="92"/>
        <v>5073.5137450635384</v>
      </c>
      <c r="J856" s="5">
        <f t="shared" si="93"/>
        <v>5141.9751768078677</v>
      </c>
      <c r="K856" s="5">
        <f t="shared" si="94"/>
        <v>5168.9600319319225</v>
      </c>
      <c r="L856" s="5">
        <f t="shared" si="95"/>
        <v>5175.9624437926959</v>
      </c>
      <c r="M856" s="5">
        <f t="shared" si="96"/>
        <v>5177.12819487656</v>
      </c>
    </row>
    <row r="857" spans="6:13">
      <c r="F857">
        <v>856</v>
      </c>
      <c r="G857" s="5">
        <f t="shared" si="97"/>
        <v>4801.704783326405</v>
      </c>
      <c r="H857" s="5">
        <f t="shared" si="91"/>
        <v>4984.5424004661072</v>
      </c>
      <c r="I857" s="5">
        <f t="shared" si="92"/>
        <v>5083.1598119667424</v>
      </c>
      <c r="J857" s="5">
        <f t="shared" si="93"/>
        <v>5151.8321702375506</v>
      </c>
      <c r="K857" s="5">
        <f t="shared" si="94"/>
        <v>5178.9004590839531</v>
      </c>
      <c r="L857" s="5">
        <f t="shared" si="95"/>
        <v>5185.9245485507745</v>
      </c>
      <c r="M857" s="5">
        <f t="shared" si="96"/>
        <v>5187.0939095697295</v>
      </c>
    </row>
    <row r="858" spans="6:13">
      <c r="F858">
        <v>857</v>
      </c>
      <c r="G858" s="5">
        <f t="shared" si="97"/>
        <v>4810.5139471026923</v>
      </c>
      <c r="H858" s="5">
        <f t="shared" si="91"/>
        <v>4993.9050117493189</v>
      </c>
      <c r="I858" s="5">
        <f t="shared" si="92"/>
        <v>5092.8242185476056</v>
      </c>
      <c r="J858" s="5">
        <f t="shared" si="93"/>
        <v>5161.7080591920321</v>
      </c>
      <c r="K858" s="5">
        <f t="shared" si="94"/>
        <v>5188.8600026716631</v>
      </c>
      <c r="L858" s="5">
        <f t="shared" si="95"/>
        <v>5195.9058272368475</v>
      </c>
      <c r="M858" s="5">
        <f t="shared" si="96"/>
        <v>5197.078807768813</v>
      </c>
    </row>
    <row r="859" spans="6:13">
      <c r="F859">
        <v>858</v>
      </c>
      <c r="G859" s="5">
        <f t="shared" si="97"/>
        <v>4819.3392720904558</v>
      </c>
      <c r="H859" s="5">
        <f t="shared" si="91"/>
        <v>5003.2852090982105</v>
      </c>
      <c r="I859" s="5">
        <f t="shared" si="92"/>
        <v>5102.5069996746242</v>
      </c>
      <c r="J859" s="5">
        <f t="shared" si="93"/>
        <v>5171.6028798934012</v>
      </c>
      <c r="K859" s="5">
        <f t="shared" si="94"/>
        <v>5198.838699457865</v>
      </c>
      <c r="L859" s="5">
        <f t="shared" si="95"/>
        <v>5205.9063167547192</v>
      </c>
      <c r="M859" s="5">
        <f t="shared" si="96"/>
        <v>5207.0829264011072</v>
      </c>
    </row>
    <row r="860" spans="6:13">
      <c r="F860">
        <v>859</v>
      </c>
      <c r="G860" s="5">
        <f t="shared" si="97"/>
        <v>4828.1807879389034</v>
      </c>
      <c r="H860" s="5">
        <f t="shared" si="91"/>
        <v>5012.6830255452032</v>
      </c>
      <c r="I860" s="5">
        <f t="shared" si="92"/>
        <v>5112.2081902825757</v>
      </c>
      <c r="J860" s="5">
        <f t="shared" si="93"/>
        <v>5181.5166686331759</v>
      </c>
      <c r="K860" s="5">
        <f t="shared" si="94"/>
        <v>5208.8365862760811</v>
      </c>
      <c r="L860" s="5">
        <f t="shared" si="95"/>
        <v>5215.926054079212</v>
      </c>
      <c r="M860" s="5">
        <f t="shared" si="96"/>
        <v>5217.106302464992</v>
      </c>
    </row>
    <row r="861" spans="6:13">
      <c r="F861">
        <v>860</v>
      </c>
      <c r="G861" s="5">
        <f t="shared" si="97"/>
        <v>4837.0385243516412</v>
      </c>
      <c r="H861" s="5">
        <f t="shared" si="91"/>
        <v>5022.0984941847591</v>
      </c>
      <c r="I861" s="5">
        <f t="shared" si="92"/>
        <v>5121.9278253726652</v>
      </c>
      <c r="J861" s="5">
        <f t="shared" si="93"/>
        <v>5191.4494617724486</v>
      </c>
      <c r="K861" s="5">
        <f t="shared" si="94"/>
        <v>5218.8537000306551</v>
      </c>
      <c r="L861" s="5">
        <f t="shared" si="95"/>
        <v>5225.9650762563224</v>
      </c>
      <c r="M861" s="5">
        <f t="shared" si="96"/>
        <v>5227.1489730300646</v>
      </c>
    </row>
    <row r="862" spans="6:13">
      <c r="F862">
        <v>861</v>
      </c>
      <c r="G862" s="5">
        <f t="shared" si="97"/>
        <v>4845.9125110867672</v>
      </c>
      <c r="H862" s="5">
        <f t="shared" si="91"/>
        <v>5031.5316481735117</v>
      </c>
      <c r="I862" s="5">
        <f t="shared" si="92"/>
        <v>5131.6659400126409</v>
      </c>
      <c r="J862" s="5">
        <f t="shared" si="93"/>
        <v>5201.4012957420136</v>
      </c>
      <c r="K862" s="5">
        <f t="shared" si="94"/>
        <v>5228.8900776969149</v>
      </c>
      <c r="L862" s="5">
        <f t="shared" si="95"/>
        <v>5236.0234204033422</v>
      </c>
      <c r="M862" s="5">
        <f t="shared" si="96"/>
        <v>5237.2109752372844</v>
      </c>
    </row>
    <row r="863" spans="6:13">
      <c r="F863">
        <v>862</v>
      </c>
      <c r="G863" s="5">
        <f t="shared" si="97"/>
        <v>4854.8027779569775</v>
      </c>
      <c r="H863" s="5">
        <f t="shared" si="91"/>
        <v>5040.9825207303629</v>
      </c>
      <c r="I863" s="5">
        <f t="shared" si="92"/>
        <v>5141.4225693369262</v>
      </c>
      <c r="J863" s="5">
        <f t="shared" si="93"/>
        <v>5211.3722070425029</v>
      </c>
      <c r="K863" s="5">
        <f t="shared" si="94"/>
        <v>5238.9457563212854</v>
      </c>
      <c r="L863" s="5">
        <f t="shared" si="95"/>
        <v>5246.1011237090061</v>
      </c>
      <c r="M863" s="5">
        <f t="shared" si="96"/>
        <v>5247.2923462991021</v>
      </c>
    </row>
    <row r="864" spans="6:13">
      <c r="F864">
        <v>863</v>
      </c>
      <c r="G864" s="5">
        <f t="shared" si="97"/>
        <v>4863.7093548296543</v>
      </c>
      <c r="H864" s="5">
        <f t="shared" si="91"/>
        <v>5050.4511451366161</v>
      </c>
      <c r="I864" s="5">
        <f t="shared" si="92"/>
        <v>5151.1977485467423</v>
      </c>
      <c r="J864" s="5">
        <f t="shared" si="93"/>
        <v>5221.3622322445199</v>
      </c>
      <c r="K864" s="5">
        <f t="shared" si="94"/>
        <v>5249.0207730214433</v>
      </c>
      <c r="L864" s="5">
        <f t="shared" si="95"/>
        <v>5256.1982234336238</v>
      </c>
      <c r="M864" s="5">
        <f t="shared" si="96"/>
        <v>5257.3931234996016</v>
      </c>
    </row>
    <row r="865" spans="6:13">
      <c r="F865">
        <v>864</v>
      </c>
      <c r="G865" s="5">
        <f t="shared" si="97"/>
        <v>4872.6322716269851</v>
      </c>
      <c r="H865" s="5">
        <f t="shared" si="91"/>
        <v>5059.9375547360914</v>
      </c>
      <c r="I865" s="5">
        <f t="shared" si="92"/>
        <v>5160.9915129102383</v>
      </c>
      <c r="J865" s="5">
        <f t="shared" si="93"/>
        <v>5231.3714079887677</v>
      </c>
      <c r="K865" s="5">
        <f t="shared" si="94"/>
        <v>5259.1151649864405</v>
      </c>
      <c r="L865" s="5">
        <f t="shared" si="95"/>
        <v>5266.3147569092225</v>
      </c>
      <c r="M865" s="5">
        <f t="shared" si="96"/>
        <v>5267.5133441946336</v>
      </c>
    </row>
    <row r="866" spans="6:13">
      <c r="F866">
        <v>865</v>
      </c>
      <c r="G866" s="5">
        <f t="shared" si="97"/>
        <v>4881.5715583260426</v>
      </c>
      <c r="H866" s="5">
        <f t="shared" si="91"/>
        <v>5069.4417829352296</v>
      </c>
      <c r="I866" s="5">
        <f t="shared" si="92"/>
        <v>5170.8038977626165</v>
      </c>
      <c r="J866" s="5">
        <f t="shared" si="93"/>
        <v>5241.3997709861915</v>
      </c>
      <c r="K866" s="5">
        <f t="shared" si="94"/>
        <v>5269.2289694768479</v>
      </c>
      <c r="L866" s="5">
        <f t="shared" si="95"/>
        <v>5276.450761539676</v>
      </c>
      <c r="M866" s="5">
        <f t="shared" si="96"/>
        <v>5277.6530458119605</v>
      </c>
    </row>
    <row r="867" spans="6:13">
      <c r="F867">
        <v>866</v>
      </c>
      <c r="G867" s="5">
        <f t="shared" si="97"/>
        <v>4890.527244958902</v>
      </c>
      <c r="H867" s="5">
        <f t="shared" si="91"/>
        <v>5078.9638632032311</v>
      </c>
      <c r="I867" s="5">
        <f t="shared" si="92"/>
        <v>5180.6349385062622</v>
      </c>
      <c r="J867" s="5">
        <f t="shared" si="93"/>
        <v>5251.4473580181129</v>
      </c>
      <c r="K867" s="5">
        <f t="shared" si="94"/>
        <v>5279.3622238248954</v>
      </c>
      <c r="L867" s="5">
        <f t="shared" si="95"/>
        <v>5286.6062748008553</v>
      </c>
      <c r="M867" s="5">
        <f t="shared" si="96"/>
        <v>5287.812265851393</v>
      </c>
    </row>
    <row r="868" spans="6:13">
      <c r="F868">
        <v>867</v>
      </c>
      <c r="G868" s="5">
        <f t="shared" si="97"/>
        <v>4899.4993616127285</v>
      </c>
      <c r="H868" s="5">
        <f t="shared" si="91"/>
        <v>5088.5038290721568</v>
      </c>
      <c r="I868" s="5">
        <f t="shared" si="92"/>
        <v>5190.4846706108665</v>
      </c>
      <c r="J868" s="5">
        <f t="shared" si="93"/>
        <v>5261.514205936357</v>
      </c>
      <c r="K868" s="5">
        <f t="shared" si="94"/>
        <v>5289.514965434606</v>
      </c>
      <c r="L868" s="5">
        <f t="shared" si="95"/>
        <v>5296.7813342407526</v>
      </c>
      <c r="M868" s="5">
        <f t="shared" si="96"/>
        <v>5297.9910418849213</v>
      </c>
    </row>
    <row r="869" spans="6:13">
      <c r="F869">
        <v>868</v>
      </c>
      <c r="G869" s="5">
        <f t="shared" si="97"/>
        <v>4908.487938429892</v>
      </c>
      <c r="H869" s="5">
        <f t="shared" si="91"/>
        <v>5098.0617141370476</v>
      </c>
      <c r="I869" s="5">
        <f t="shared" si="92"/>
        <v>5200.3531296135598</v>
      </c>
      <c r="J869" s="5">
        <f t="shared" si="93"/>
        <v>5271.6003516633946</v>
      </c>
      <c r="K869" s="5">
        <f t="shared" si="94"/>
        <v>5299.6872317819298</v>
      </c>
      <c r="L869" s="5">
        <f t="shared" si="95"/>
        <v>5306.9759774796394</v>
      </c>
      <c r="M869" s="5">
        <f t="shared" si="96"/>
        <v>5308.1894115568648</v>
      </c>
    </row>
    <row r="870" spans="6:13">
      <c r="F870">
        <v>869</v>
      </c>
      <c r="G870" s="5">
        <f t="shared" si="97"/>
        <v>4917.4930056080566</v>
      </c>
      <c r="H870" s="5">
        <f t="shared" si="91"/>
        <v>5107.6375520560568</v>
      </c>
      <c r="I870" s="5">
        <f t="shared" si="92"/>
        <v>5210.2403511190378</v>
      </c>
      <c r="J870" s="5">
        <f t="shared" si="93"/>
        <v>5281.7058321924778</v>
      </c>
      <c r="K870" s="5">
        <f t="shared" si="94"/>
        <v>5309.8790604148926</v>
      </c>
      <c r="L870" s="5">
        <f t="shared" si="95"/>
        <v>5317.1902422101821</v>
      </c>
      <c r="M870" s="5">
        <f t="shared" si="96"/>
        <v>5318.4074125840034</v>
      </c>
    </row>
    <row r="871" spans="6:13">
      <c r="F871">
        <v>870</v>
      </c>
      <c r="G871" s="5">
        <f t="shared" si="97"/>
        <v>4926.5145934002894</v>
      </c>
      <c r="H871" s="5">
        <f t="shared" si="91"/>
        <v>5117.2313765505523</v>
      </c>
      <c r="I871" s="5">
        <f t="shared" si="92"/>
        <v>5220.1463707996918</v>
      </c>
      <c r="J871" s="5">
        <f t="shared" si="93"/>
        <v>5291.8306845877705</v>
      </c>
      <c r="K871" s="5">
        <f t="shared" si="94"/>
        <v>5320.0904889537242</v>
      </c>
      <c r="L871" s="5">
        <f t="shared" si="95"/>
        <v>5327.4241661976048</v>
      </c>
      <c r="M871" s="5">
        <f t="shared" si="96"/>
        <v>5328.6450827557192</v>
      </c>
    </row>
    <row r="872" spans="6:13">
      <c r="F872">
        <v>871</v>
      </c>
      <c r="G872" s="5">
        <f t="shared" si="97"/>
        <v>4935.552732115154</v>
      </c>
      <c r="H872" s="5">
        <f t="shared" si="91"/>
        <v>5126.8432214052391</v>
      </c>
      <c r="I872" s="5">
        <f t="shared" si="92"/>
        <v>5230.0712243957296</v>
      </c>
      <c r="J872" s="5">
        <f t="shared" si="93"/>
        <v>5301.9749459844898</v>
      </c>
      <c r="K872" s="5">
        <f t="shared" si="94"/>
        <v>5330.3215550910072</v>
      </c>
      <c r="L872" s="5">
        <f t="shared" si="95"/>
        <v>5337.6777872798084</v>
      </c>
      <c r="M872" s="5">
        <f t="shared" si="96"/>
        <v>5338.9024599341437</v>
      </c>
    </row>
    <row r="873" spans="6:13">
      <c r="F873">
        <v>872</v>
      </c>
      <c r="G873" s="5">
        <f t="shared" si="97"/>
        <v>4944.6074521168266</v>
      </c>
      <c r="H873" s="5">
        <f t="shared" si="91"/>
        <v>5136.4731204682912</v>
      </c>
      <c r="I873" s="5">
        <f t="shared" si="92"/>
        <v>5240.0149477153182</v>
      </c>
      <c r="J873" s="5">
        <f t="shared" si="93"/>
        <v>5312.138653589036</v>
      </c>
      <c r="K873" s="5">
        <f t="shared" si="94"/>
        <v>5340.5722965918039</v>
      </c>
      <c r="L873" s="5">
        <f t="shared" si="95"/>
        <v>5347.9511433675289</v>
      </c>
      <c r="M873" s="5">
        <f t="shared" si="96"/>
        <v>5349.1795820542829</v>
      </c>
    </row>
    <row r="874" spans="6:13">
      <c r="F874">
        <v>873</v>
      </c>
      <c r="G874" s="5">
        <f t="shared" si="97"/>
        <v>4953.6787838251821</v>
      </c>
      <c r="H874" s="5">
        <f t="shared" si="91"/>
        <v>5146.1211076514483</v>
      </c>
      <c r="I874" s="5">
        <f t="shared" si="92"/>
        <v>5249.9775766346984</v>
      </c>
      <c r="J874" s="5">
        <f t="shared" si="93"/>
        <v>5322.321844679137</v>
      </c>
      <c r="K874" s="5">
        <f t="shared" si="94"/>
        <v>5350.8427512938097</v>
      </c>
      <c r="L874" s="5">
        <f t="shared" si="95"/>
        <v>5358.24427244446</v>
      </c>
      <c r="M874" s="5">
        <f t="shared" si="96"/>
        <v>5359.4764871241714</v>
      </c>
    </row>
    <row r="875" spans="6:13">
      <c r="F875">
        <v>874</v>
      </c>
      <c r="G875" s="5">
        <f t="shared" si="97"/>
        <v>4962.76675771591</v>
      </c>
      <c r="H875" s="5">
        <f t="shared" si="91"/>
        <v>5155.78721693016</v>
      </c>
      <c r="I875" s="5">
        <f t="shared" si="92"/>
        <v>5259.959147098326</v>
      </c>
      <c r="J875" s="5">
        <f t="shared" si="93"/>
        <v>5332.5245566039803</v>
      </c>
      <c r="K875" s="5">
        <f t="shared" si="94"/>
        <v>5361.1329571074812</v>
      </c>
      <c r="L875" s="5">
        <f t="shared" si="95"/>
        <v>5368.557212567408</v>
      </c>
      <c r="M875" s="5">
        <f t="shared" si="96"/>
        <v>5369.7932132250007</v>
      </c>
    </row>
    <row r="876" spans="6:13">
      <c r="F876">
        <v>875</v>
      </c>
      <c r="G876" s="5">
        <f t="shared" si="97"/>
        <v>4971.8714043206019</v>
      </c>
      <c r="H876" s="5">
        <f t="shared" si="91"/>
        <v>5165.4714823436834</v>
      </c>
      <c r="I876" s="5">
        <f t="shared" si="92"/>
        <v>5269.9596951189951</v>
      </c>
      <c r="J876" s="5">
        <f t="shared" si="93"/>
        <v>5342.746826784346</v>
      </c>
      <c r="K876" s="5">
        <f t="shared" si="94"/>
        <v>5371.4429520161793</v>
      </c>
      <c r="L876" s="5">
        <f t="shared" si="95"/>
        <v>5378.8900018664217</v>
      </c>
      <c r="M876" s="5">
        <f t="shared" si="96"/>
        <v>5380.1297985112733</v>
      </c>
    </row>
    <row r="877" spans="6:13">
      <c r="F877">
        <v>876</v>
      </c>
      <c r="G877" s="5">
        <f t="shared" si="97"/>
        <v>4980.9927542268651</v>
      </c>
      <c r="H877" s="5">
        <f t="shared" si="91"/>
        <v>5175.1739379952132</v>
      </c>
      <c r="I877" s="5">
        <f t="shared" si="92"/>
        <v>5279.9792567779641</v>
      </c>
      <c r="J877" s="5">
        <f t="shared" si="93"/>
        <v>5352.9886927127545</v>
      </c>
      <c r="K877" s="5">
        <f t="shared" si="94"/>
        <v>5381.7727740763148</v>
      </c>
      <c r="L877" s="5">
        <f t="shared" si="95"/>
        <v>5389.242678544947</v>
      </c>
      <c r="M877" s="5">
        <f t="shared" si="96"/>
        <v>5390.4862812109386</v>
      </c>
    </row>
    <row r="878" spans="6:13">
      <c r="F878">
        <v>877</v>
      </c>
      <c r="G878" s="5">
        <f t="shared" si="97"/>
        <v>4990.1308380784303</v>
      </c>
      <c r="H878" s="5">
        <f t="shared" si="91"/>
        <v>5184.8946180520088</v>
      </c>
      <c r="I878" s="5">
        <f t="shared" si="92"/>
        <v>5290.0178682251035</v>
      </c>
      <c r="J878" s="5">
        <f t="shared" si="93"/>
        <v>5363.2501919535953</v>
      </c>
      <c r="K878" s="5">
        <f t="shared" si="94"/>
        <v>5392.1224614174835</v>
      </c>
      <c r="L878" s="5">
        <f t="shared" si="95"/>
        <v>5399.6152808799479</v>
      </c>
      <c r="M878" s="5">
        <f t="shared" si="96"/>
        <v>5400.8626996255234</v>
      </c>
    </row>
    <row r="879" spans="6:13">
      <c r="F879">
        <v>878</v>
      </c>
      <c r="G879" s="5">
        <f t="shared" si="97"/>
        <v>4999.2856865752374</v>
      </c>
      <c r="H879" s="5">
        <f t="shared" si="91"/>
        <v>5194.6335567454971</v>
      </c>
      <c r="I879" s="5">
        <f t="shared" si="92"/>
        <v>5300.0755656790016</v>
      </c>
      <c r="J879" s="5">
        <f t="shared" si="93"/>
        <v>5373.531362143267</v>
      </c>
      <c r="K879" s="5">
        <f t="shared" si="94"/>
        <v>5402.4920522426091</v>
      </c>
      <c r="L879" s="5">
        <f t="shared" si="95"/>
        <v>5410.0078472220694</v>
      </c>
      <c r="M879" s="5">
        <f t="shared" si="96"/>
        <v>5411.2590921302944</v>
      </c>
    </row>
    <row r="880" spans="6:13">
      <c r="F880">
        <v>879</v>
      </c>
      <c r="G880" s="5">
        <f t="shared" si="97"/>
        <v>5008.4573304735495</v>
      </c>
      <c r="H880" s="5">
        <f t="shared" si="91"/>
        <v>5204.390788371411</v>
      </c>
      <c r="I880" s="5">
        <f t="shared" si="92"/>
        <v>5310.1523854271118</v>
      </c>
      <c r="J880" s="5">
        <f t="shared" si="93"/>
        <v>5383.8322409903185</v>
      </c>
      <c r="K880" s="5">
        <f t="shared" si="94"/>
        <v>5412.8815848280783</v>
      </c>
      <c r="L880" s="5">
        <f t="shared" si="95"/>
        <v>5420.4204159957626</v>
      </c>
      <c r="M880" s="5">
        <f t="shared" si="96"/>
        <v>5421.6754971743794</v>
      </c>
    </row>
    <row r="881" spans="6:13">
      <c r="F881">
        <v>880</v>
      </c>
      <c r="G881" s="5">
        <f t="shared" si="97"/>
        <v>5017.6458005860613</v>
      </c>
      <c r="H881" s="5">
        <f t="shared" si="91"/>
        <v>5214.1663472898972</v>
      </c>
      <c r="I881" s="5">
        <f t="shared" si="92"/>
        <v>5320.2483638258846</v>
      </c>
      <c r="J881" s="5">
        <f t="shared" si="93"/>
        <v>5394.1528662755818</v>
      </c>
      <c r="K881" s="5">
        <f t="shared" si="94"/>
        <v>5423.2910975238938</v>
      </c>
      <c r="L881" s="5">
        <f t="shared" si="95"/>
        <v>5430.8530256994381</v>
      </c>
      <c r="M881" s="5">
        <f t="shared" si="96"/>
        <v>5432.1119532809225</v>
      </c>
    </row>
    <row r="882" spans="6:13">
      <c r="F882">
        <v>881</v>
      </c>
      <c r="G882" s="5">
        <f t="shared" si="97"/>
        <v>5026.8511277819871</v>
      </c>
      <c r="H882" s="5">
        <f t="shared" si="91"/>
        <v>5223.9602679256432</v>
      </c>
      <c r="I882" s="5">
        <f t="shared" si="92"/>
        <v>5330.3635373008838</v>
      </c>
      <c r="J882" s="5">
        <f t="shared" si="93"/>
        <v>5404.4932758523128</v>
      </c>
      <c r="K882" s="5">
        <f t="shared" si="94"/>
        <v>5433.7206287538056</v>
      </c>
      <c r="L882" s="5">
        <f t="shared" si="95"/>
        <v>5441.3057149056012</v>
      </c>
      <c r="M882" s="5">
        <f t="shared" si="96"/>
        <v>5442.5684990472282</v>
      </c>
    </row>
    <row r="883" spans="6:13">
      <c r="F883">
        <v>882</v>
      </c>
      <c r="G883" s="5">
        <f t="shared" si="97"/>
        <v>5036.0733429871843</v>
      </c>
      <c r="H883" s="5">
        <f t="shared" si="91"/>
        <v>5233.7725847680003</v>
      </c>
      <c r="I883" s="5">
        <f t="shared" si="92"/>
        <v>5340.4979423469404</v>
      </c>
      <c r="J883" s="5">
        <f t="shared" si="93"/>
        <v>5414.8535076463368</v>
      </c>
      <c r="K883" s="5">
        <f t="shared" si="94"/>
        <v>5444.1702170154576</v>
      </c>
      <c r="L883" s="5">
        <f t="shared" si="95"/>
        <v>5451.778522261</v>
      </c>
      <c r="M883" s="5">
        <f t="shared" si="96"/>
        <v>5453.0451731448893</v>
      </c>
    </row>
    <row r="884" spans="6:13">
      <c r="F884">
        <v>883</v>
      </c>
      <c r="G884" s="5">
        <f t="shared" si="97"/>
        <v>5045.3124771842367</v>
      </c>
      <c r="H884" s="5">
        <f t="shared" si="91"/>
        <v>5243.6033323710963</v>
      </c>
      <c r="I884" s="5">
        <f t="shared" si="92"/>
        <v>5350.6516155282579</v>
      </c>
      <c r="J884" s="5">
        <f t="shared" si="93"/>
        <v>5425.2335996561733</v>
      </c>
      <c r="K884" s="5">
        <f t="shared" si="94"/>
        <v>5454.6399008805265</v>
      </c>
      <c r="L884" s="5">
        <f t="shared" si="95"/>
        <v>5462.2714864867603</v>
      </c>
      <c r="M884" s="5">
        <f t="shared" si="96"/>
        <v>5463.5420143199453</v>
      </c>
    </row>
    <row r="885" spans="6:13">
      <c r="F885">
        <v>884</v>
      </c>
      <c r="G885" s="5">
        <f t="shared" si="97"/>
        <v>5054.5685614125714</v>
      </c>
      <c r="H885" s="5">
        <f t="shared" si="91"/>
        <v>5253.4525453539673</v>
      </c>
      <c r="I885" s="5">
        <f t="shared" si="92"/>
        <v>5360.8245934785646</v>
      </c>
      <c r="J885" s="5">
        <f t="shared" si="93"/>
        <v>5435.6335899531914</v>
      </c>
      <c r="K885" s="5">
        <f t="shared" si="94"/>
        <v>5465.1297189948691</v>
      </c>
      <c r="L885" s="5">
        <f t="shared" si="95"/>
        <v>5472.7846463785409</v>
      </c>
      <c r="M885" s="5">
        <f t="shared" si="96"/>
        <v>5474.059061393019</v>
      </c>
    </row>
    <row r="886" spans="6:13">
      <c r="F886">
        <v>885</v>
      </c>
      <c r="G886" s="5">
        <f t="shared" si="97"/>
        <v>5063.8416267685643</v>
      </c>
      <c r="H886" s="5">
        <f t="shared" ref="H886:H949" si="98">$C$2*(1+$C$1/$D$6)^(F886*$D$6*0.019231)</f>
        <v>5263.320258400674</v>
      </c>
      <c r="I886" s="5">
        <f t="shared" ref="I886:I949" si="99">$C$2*(1+$C$1/$D$7)^(F886*$D$7*0.019231)</f>
        <v>5371.0169129012438</v>
      </c>
      <c r="J886" s="5">
        <f t="shared" ref="J886:J949" si="100">$C$2*(1+$C$1/$D$8)^(F886*$D$8*0.019231)</f>
        <v>5446.0535166817363</v>
      </c>
      <c r="K886" s="5">
        <f t="shared" ref="K886:K949" si="101">$C$2*(1+$C$1/$D$9)^(F886*$D$9*0.019231)</f>
        <v>5475.639710078658</v>
      </c>
      <c r="L886" s="5">
        <f t="shared" ref="L886:L949" si="102">$C$2*(1+$C$1/$D$10)^(F886*$D$10*0.019231)</f>
        <v>5483.3180408066637</v>
      </c>
      <c r="M886" s="5">
        <f t="shared" ref="M886:M949" si="103">$C$2*EXP($C$1*F886*0.019231)</f>
        <v>5484.5963532594596</v>
      </c>
    </row>
    <row r="887" spans="6:13">
      <c r="F887">
        <v>886</v>
      </c>
      <c r="G887" s="5">
        <f t="shared" si="97"/>
        <v>5073.131704405635</v>
      </c>
      <c r="H887" s="5">
        <f t="shared" si="98"/>
        <v>5273.2065062604288</v>
      </c>
      <c r="I887" s="5">
        <f t="shared" si="99"/>
        <v>5381.2286105694511</v>
      </c>
      <c r="J887" s="5">
        <f t="shared" si="100"/>
        <v>5456.4934180592754</v>
      </c>
      <c r="K887" s="5">
        <f t="shared" si="101"/>
        <v>5486.1699129265362</v>
      </c>
      <c r="L887" s="5">
        <f t="shared" si="102"/>
        <v>5493.8717087162686</v>
      </c>
      <c r="M887" s="5">
        <f t="shared" si="103"/>
        <v>5495.1539288894928</v>
      </c>
    </row>
    <row r="888" spans="6:13">
      <c r="F888">
        <v>887</v>
      </c>
      <c r="G888" s="5">
        <f t="shared" si="97"/>
        <v>5082.4388255343583</v>
      </c>
      <c r="H888" s="5">
        <f t="shared" si="98"/>
        <v>5283.1113237477066</v>
      </c>
      <c r="I888" s="5">
        <f t="shared" si="99"/>
        <v>5391.4597233262621</v>
      </c>
      <c r="J888" s="5">
        <f t="shared" si="100"/>
        <v>5466.9533323765418</v>
      </c>
      <c r="K888" s="5">
        <f t="shared" si="101"/>
        <v>5496.7203664077433</v>
      </c>
      <c r="L888" s="5">
        <f t="shared" si="102"/>
        <v>5504.4456891274458</v>
      </c>
      <c r="M888" s="5">
        <f t="shared" si="103"/>
        <v>5505.7318273283518</v>
      </c>
    </row>
    <row r="889" spans="6:13">
      <c r="F889">
        <v>888</v>
      </c>
      <c r="G889" s="5">
        <f t="shared" si="97"/>
        <v>5091.763021422571</v>
      </c>
      <c r="H889" s="5">
        <f t="shared" si="98"/>
        <v>5293.0347457423841</v>
      </c>
      <c r="I889" s="5">
        <f t="shared" si="99"/>
        <v>5401.7102880848051</v>
      </c>
      <c r="J889" s="5">
        <f t="shared" si="100"/>
        <v>5477.4332979976662</v>
      </c>
      <c r="K889" s="5">
        <f t="shared" si="101"/>
        <v>5507.2911094662732</v>
      </c>
      <c r="L889" s="5">
        <f t="shared" si="102"/>
        <v>5515.0400211353999</v>
      </c>
      <c r="M889" s="5">
        <f t="shared" si="103"/>
        <v>5516.3300876964377</v>
      </c>
    </row>
    <row r="890" spans="6:13">
      <c r="F890">
        <v>889</v>
      </c>
      <c r="G890" s="5">
        <f t="shared" si="97"/>
        <v>5101.1043233954688</v>
      </c>
      <c r="H890" s="5">
        <f t="shared" si="98"/>
        <v>5302.9768071898461</v>
      </c>
      <c r="I890" s="5">
        <f t="shared" si="99"/>
        <v>5411.9803418283827</v>
      </c>
      <c r="J890" s="5">
        <f t="shared" si="100"/>
        <v>5487.9333533603221</v>
      </c>
      <c r="K890" s="5">
        <f t="shared" si="101"/>
        <v>5517.8821811210155</v>
      </c>
      <c r="L890" s="5">
        <f t="shared" si="102"/>
        <v>5525.654743910567</v>
      </c>
      <c r="M890" s="5">
        <f t="shared" si="103"/>
        <v>5526.9487491894497</v>
      </c>
    </row>
    <row r="891" spans="6:13">
      <c r="F891">
        <v>890</v>
      </c>
      <c r="G891" s="5">
        <f t="shared" si="97"/>
        <v>5110.4627628357202</v>
      </c>
      <c r="H891" s="5">
        <f t="shared" si="98"/>
        <v>5312.937543101124</v>
      </c>
      <c r="I891" s="5">
        <f t="shared" si="99"/>
        <v>5422.2699216106193</v>
      </c>
      <c r="J891" s="5">
        <f t="shared" si="100"/>
        <v>5498.4535369758714</v>
      </c>
      <c r="K891" s="5">
        <f t="shared" si="101"/>
        <v>5528.4936204658907</v>
      </c>
      <c r="L891" s="5">
        <f t="shared" si="102"/>
        <v>5536.289896698785</v>
      </c>
      <c r="M891" s="5">
        <f t="shared" si="103"/>
        <v>5537.5878510785415</v>
      </c>
    </row>
    <row r="892" spans="6:13">
      <c r="F892">
        <v>891</v>
      </c>
      <c r="G892" s="5">
        <f t="shared" si="97"/>
        <v>5119.8383711835668</v>
      </c>
      <c r="H892" s="5">
        <f t="shared" si="98"/>
        <v>5322.9169885530055</v>
      </c>
      <c r="I892" s="5">
        <f t="shared" si="99"/>
        <v>5432.5790645555799</v>
      </c>
      <c r="J892" s="5">
        <f t="shared" si="100"/>
        <v>5508.993887429494</v>
      </c>
      <c r="K892" s="5">
        <f t="shared" si="101"/>
        <v>5539.1254666700042</v>
      </c>
      <c r="L892" s="5">
        <f t="shared" si="102"/>
        <v>5546.9455188214179</v>
      </c>
      <c r="M892" s="5">
        <f t="shared" si="103"/>
        <v>5548.2474327104637</v>
      </c>
    </row>
    <row r="893" spans="6:13">
      <c r="F893">
        <v>892</v>
      </c>
      <c r="G893" s="5">
        <f t="shared" si="97"/>
        <v>5129.2311799369263</v>
      </c>
      <c r="H893" s="5">
        <f t="shared" si="98"/>
        <v>5332.9151786881639</v>
      </c>
      <c r="I893" s="5">
        <f t="shared" si="99"/>
        <v>5442.9078078579169</v>
      </c>
      <c r="J893" s="5">
        <f t="shared" si="100"/>
        <v>5519.5544433803434</v>
      </c>
      <c r="K893" s="5">
        <f t="shared" si="101"/>
        <v>5549.7777589777888</v>
      </c>
      <c r="L893" s="5">
        <f t="shared" si="102"/>
        <v>5557.6216496755196</v>
      </c>
      <c r="M893" s="5">
        <f t="shared" si="103"/>
        <v>5558.9275335077009</v>
      </c>
    </row>
    <row r="894" spans="6:13">
      <c r="F894">
        <v>893</v>
      </c>
      <c r="G894" s="5">
        <f t="shared" si="97"/>
        <v>5138.6412206515115</v>
      </c>
      <c r="H894" s="5">
        <f t="shared" si="98"/>
        <v>5342.9321487152883</v>
      </c>
      <c r="I894" s="5">
        <f t="shared" si="99"/>
        <v>5453.2561887830007</v>
      </c>
      <c r="J894" s="5">
        <f t="shared" si="100"/>
        <v>5530.1352435616755</v>
      </c>
      <c r="K894" s="5">
        <f t="shared" si="101"/>
        <v>5560.4505367091488</v>
      </c>
      <c r="L894" s="5">
        <f t="shared" si="102"/>
        <v>5568.3183287339671</v>
      </c>
      <c r="M894" s="5">
        <f t="shared" si="103"/>
        <v>5569.6281929686293</v>
      </c>
    </row>
    <row r="895" spans="6:13">
      <c r="F895">
        <v>894</v>
      </c>
      <c r="G895" s="5">
        <f t="shared" si="97"/>
        <v>5148.0685249409171</v>
      </c>
      <c r="H895" s="5">
        <f t="shared" si="98"/>
        <v>5352.9679339091954</v>
      </c>
      <c r="I895" s="5">
        <f t="shared" si="99"/>
        <v>5463.6242446670503</v>
      </c>
      <c r="J895" s="5">
        <f t="shared" si="100"/>
        <v>5540.7363267810006</v>
      </c>
      <c r="K895" s="5">
        <f t="shared" si="101"/>
        <v>5571.1438392596001</v>
      </c>
      <c r="L895" s="5">
        <f t="shared" si="102"/>
        <v>5579.0355955456107</v>
      </c>
      <c r="M895" s="5">
        <f t="shared" si="103"/>
        <v>5580.3494506676525</v>
      </c>
    </row>
    <row r="896" spans="6:13">
      <c r="F896">
        <v>895</v>
      </c>
      <c r="G896" s="5">
        <f t="shared" si="97"/>
        <v>5157.513124476739</v>
      </c>
      <c r="H896" s="5">
        <f t="shared" si="98"/>
        <v>5363.0225696109592</v>
      </c>
      <c r="I896" s="5">
        <f t="shared" si="99"/>
        <v>5474.0120129172683</v>
      </c>
      <c r="J896" s="5">
        <f t="shared" si="100"/>
        <v>5551.3577319202195</v>
      </c>
      <c r="K896" s="5">
        <f t="shared" si="101"/>
        <v>5581.8577061004207</v>
      </c>
      <c r="L896" s="5">
        <f t="shared" si="102"/>
        <v>5589.7734897354176</v>
      </c>
      <c r="M896" s="5">
        <f t="shared" si="103"/>
        <v>5591.0913462553581</v>
      </c>
    </row>
    <row r="897" spans="6:13">
      <c r="F897">
        <v>896</v>
      </c>
      <c r="G897" s="5">
        <f t="shared" si="97"/>
        <v>5166.9750509886817</v>
      </c>
      <c r="H897" s="5">
        <f t="shared" si="98"/>
        <v>5373.0960912280434</v>
      </c>
      <c r="I897" s="5">
        <f t="shared" si="99"/>
        <v>5484.4195310119849</v>
      </c>
      <c r="J897" s="5">
        <f t="shared" si="100"/>
        <v>5561.9994979357698</v>
      </c>
      <c r="K897" s="5">
        <f t="shared" si="101"/>
        <v>5592.5921767788022</v>
      </c>
      <c r="L897" s="5">
        <f t="shared" si="102"/>
        <v>5600.5320510046276</v>
      </c>
      <c r="M897" s="5">
        <f t="shared" si="103"/>
        <v>5601.8539194586583</v>
      </c>
    </row>
    <row r="898" spans="6:13">
      <c r="F898">
        <v>897</v>
      </c>
      <c r="G898" s="5">
        <f t="shared" si="97"/>
        <v>5176.4543362646555</v>
      </c>
      <c r="H898" s="5">
        <f t="shared" si="98"/>
        <v>5383.1885342344085</v>
      </c>
      <c r="I898" s="5">
        <f t="shared" si="99"/>
        <v>5494.8468365007793</v>
      </c>
      <c r="J898" s="5">
        <f t="shared" si="100"/>
        <v>5572.6616638587666</v>
      </c>
      <c r="K898" s="5">
        <f t="shared" si="101"/>
        <v>5603.3472909179854</v>
      </c>
      <c r="L898" s="5">
        <f t="shared" si="102"/>
        <v>5611.3113191308839</v>
      </c>
      <c r="M898" s="5">
        <f t="shared" si="103"/>
        <v>5612.6372100809349</v>
      </c>
    </row>
    <row r="899" spans="6:13">
      <c r="F899">
        <v>898</v>
      </c>
      <c r="G899" s="5">
        <f t="shared" si="97"/>
        <v>5185.9510121508902</v>
      </c>
      <c r="H899" s="5">
        <f t="shared" si="98"/>
        <v>5393.2999341706509</v>
      </c>
      <c r="I899" s="5">
        <f t="shared" si="99"/>
        <v>5505.2939670046253</v>
      </c>
      <c r="J899" s="5">
        <f t="shared" si="100"/>
        <v>5583.3442687951447</v>
      </c>
      <c r="K899" s="5">
        <f t="shared" si="101"/>
        <v>5614.1230882174041</v>
      </c>
      <c r="L899" s="5">
        <f t="shared" si="102"/>
        <v>5622.1113339683961</v>
      </c>
      <c r="M899" s="5">
        <f t="shared" si="103"/>
        <v>5623.4412580021917</v>
      </c>
    </row>
    <row r="900" spans="6:13">
      <c r="F900">
        <v>899</v>
      </c>
      <c r="G900" s="5">
        <f t="shared" ref="G900:G963" si="104">$C$2*(1+$C$1)^(F900*0.019231/$D$5)</f>
        <v>5195.4651105520416</v>
      </c>
      <c r="H900" s="5">
        <f t="shared" si="98"/>
        <v>5403.4303266441293</v>
      </c>
      <c r="I900" s="5">
        <f t="shared" si="99"/>
        <v>5515.7609602160273</v>
      </c>
      <c r="J900" s="5">
        <f t="shared" si="100"/>
        <v>5594.0473519258057</v>
      </c>
      <c r="K900" s="5">
        <f t="shared" si="101"/>
        <v>5624.9196084528512</v>
      </c>
      <c r="L900" s="5">
        <f t="shared" si="102"/>
        <v>5632.9321354480762</v>
      </c>
      <c r="M900" s="5">
        <f t="shared" si="103"/>
        <v>5634.2661031791968</v>
      </c>
    </row>
    <row r="901" spans="6:13">
      <c r="F901">
        <v>900</v>
      </c>
      <c r="G901" s="5">
        <f t="shared" si="104"/>
        <v>5204.9966634312959</v>
      </c>
      <c r="H901" s="5">
        <f t="shared" si="98"/>
        <v>5413.5797473290759</v>
      </c>
      <c r="I901" s="5">
        <f t="shared" si="99"/>
        <v>5526.2478538991436</v>
      </c>
      <c r="J901" s="5">
        <f t="shared" si="100"/>
        <v>5604.7709525067603</v>
      </c>
      <c r="K901" s="5">
        <f t="shared" si="101"/>
        <v>5635.7368914766012</v>
      </c>
      <c r="L901" s="5">
        <f t="shared" si="102"/>
        <v>5643.7737635776957</v>
      </c>
      <c r="M901" s="5">
        <f t="shared" si="103"/>
        <v>5645.111785645634</v>
      </c>
    </row>
    <row r="902" spans="6:13">
      <c r="F902">
        <v>901</v>
      </c>
      <c r="G902" s="5">
        <f t="shared" si="104"/>
        <v>5214.545702810482</v>
      </c>
      <c r="H902" s="5">
        <f t="shared" si="98"/>
        <v>5423.748231966737</v>
      </c>
      <c r="I902" s="5">
        <f t="shared" si="99"/>
        <v>5536.7546858899441</v>
      </c>
      <c r="J902" s="5">
        <f t="shared" si="100"/>
        <v>5615.5151098692695</v>
      </c>
      <c r="K902" s="5">
        <f t="shared" si="101"/>
        <v>5646.574977217575</v>
      </c>
      <c r="L902" s="5">
        <f t="shared" si="102"/>
        <v>5654.6362584420222</v>
      </c>
      <c r="M902" s="5">
        <f t="shared" si="103"/>
        <v>5655.9783455122533</v>
      </c>
    </row>
    <row r="903" spans="6:13">
      <c r="F903">
        <v>902</v>
      </c>
      <c r="G903" s="5">
        <f t="shared" si="104"/>
        <v>5224.1122607701709</v>
      </c>
      <c r="H903" s="5">
        <f t="shared" si="98"/>
        <v>5433.9358163654906</v>
      </c>
      <c r="I903" s="5">
        <f t="shared" si="99"/>
        <v>5547.2814940963244</v>
      </c>
      <c r="J903" s="5">
        <f t="shared" si="100"/>
        <v>5626.2798634199908</v>
      </c>
      <c r="K903" s="5">
        <f t="shared" si="101"/>
        <v>5657.4339056814779</v>
      </c>
      <c r="L903" s="5">
        <f t="shared" si="102"/>
        <v>5665.519660202981</v>
      </c>
      <c r="M903" s="5">
        <f t="shared" si="103"/>
        <v>5666.8658229670136</v>
      </c>
    </row>
    <row r="904" spans="6:13">
      <c r="F904">
        <v>903</v>
      </c>
      <c r="G904" s="5">
        <f t="shared" si="104"/>
        <v>5233.6963694497872</v>
      </c>
      <c r="H904" s="5">
        <f t="shared" si="98"/>
        <v>5444.1425364009729</v>
      </c>
      <c r="I904" s="5">
        <f t="shared" si="99"/>
        <v>5557.8283164982568</v>
      </c>
      <c r="J904" s="5">
        <f t="shared" si="100"/>
        <v>5637.0652526411268</v>
      </c>
      <c r="K904" s="5">
        <f t="shared" si="101"/>
        <v>5668.3137169509491</v>
      </c>
      <c r="L904" s="5">
        <f t="shared" si="102"/>
        <v>5676.4240090997873</v>
      </c>
      <c r="M904" s="5">
        <f t="shared" si="103"/>
        <v>5677.7742582752317</v>
      </c>
    </row>
    <row r="905" spans="6:13">
      <c r="F905">
        <v>904</v>
      </c>
      <c r="G905" s="5">
        <f t="shared" si="104"/>
        <v>5243.298061047728</v>
      </c>
      <c r="H905" s="5">
        <f t="shared" si="98"/>
        <v>5454.3684280162106</v>
      </c>
      <c r="I905" s="5">
        <f t="shared" si="99"/>
        <v>5568.3951911479262</v>
      </c>
      <c r="J905" s="5">
        <f t="shared" si="100"/>
        <v>5647.8713170905594</v>
      </c>
      <c r="K905" s="5">
        <f t="shared" si="101"/>
        <v>5679.214451185715</v>
      </c>
      <c r="L905" s="5">
        <f t="shared" si="102"/>
        <v>5687.3493454491145</v>
      </c>
      <c r="M905" s="5">
        <f t="shared" si="103"/>
        <v>5688.7036917797341</v>
      </c>
    </row>
    <row r="906" spans="6:13">
      <c r="F906">
        <v>905</v>
      </c>
      <c r="G906" s="5">
        <f t="shared" si="104"/>
        <v>5252.917367821452</v>
      </c>
      <c r="H906" s="5">
        <f t="shared" si="98"/>
        <v>5464.6135272217389</v>
      </c>
      <c r="I906" s="5">
        <f t="shared" si="99"/>
        <v>5578.9821561698618</v>
      </c>
      <c r="J906" s="5">
        <f t="shared" si="100"/>
        <v>5658.6980964020113</v>
      </c>
      <c r="K906" s="5">
        <f t="shared" si="101"/>
        <v>5690.1361486227288</v>
      </c>
      <c r="L906" s="5">
        <f t="shared" si="102"/>
        <v>5698.2957096452255</v>
      </c>
      <c r="M906" s="5">
        <f t="shared" si="103"/>
        <v>5699.6541639010065</v>
      </c>
    </row>
    <row r="907" spans="6:13">
      <c r="F907">
        <v>906</v>
      </c>
      <c r="G907" s="5">
        <f t="shared" si="104"/>
        <v>5262.5543220875961</v>
      </c>
      <c r="H907" s="5">
        <f t="shared" si="98"/>
        <v>5474.8778700957355</v>
      </c>
      <c r="I907" s="5">
        <f t="shared" si="99"/>
        <v>5589.5892497610721</v>
      </c>
      <c r="J907" s="5">
        <f t="shared" si="100"/>
        <v>5669.5456302851717</v>
      </c>
      <c r="K907" s="5">
        <f t="shared" si="101"/>
        <v>5701.0788495763263</v>
      </c>
      <c r="L907" s="5">
        <f t="shared" si="102"/>
        <v>5709.2631421601327</v>
      </c>
      <c r="M907" s="5">
        <f t="shared" si="103"/>
        <v>5710.6257151373438</v>
      </c>
    </row>
    <row r="908" spans="6:13">
      <c r="F908">
        <v>907</v>
      </c>
      <c r="G908" s="5">
        <f t="shared" si="104"/>
        <v>5272.2089562220945</v>
      </c>
      <c r="H908" s="5">
        <f t="shared" si="98"/>
        <v>5485.1614927841429</v>
      </c>
      <c r="I908" s="5">
        <f t="shared" si="99"/>
        <v>5600.2165101912005</v>
      </c>
      <c r="J908" s="5">
        <f t="shared" si="100"/>
        <v>5680.4139585258572</v>
      </c>
      <c r="K908" s="5">
        <f t="shared" si="101"/>
        <v>5712.0425944383696</v>
      </c>
      <c r="L908" s="5">
        <f t="shared" si="102"/>
        <v>5720.2516835437427</v>
      </c>
      <c r="M908" s="5">
        <f t="shared" si="103"/>
        <v>5721.6183860649926</v>
      </c>
    </row>
    <row r="909" spans="6:13">
      <c r="F909">
        <v>908</v>
      </c>
      <c r="G909" s="5">
        <f t="shared" si="104"/>
        <v>5281.8813026602702</v>
      </c>
      <c r="H909" s="5">
        <f t="shared" si="98"/>
        <v>5495.4644315007999</v>
      </c>
      <c r="I909" s="5">
        <f t="shared" si="99"/>
        <v>5610.8639758026384</v>
      </c>
      <c r="J909" s="5">
        <f t="shared" si="100"/>
        <v>5691.3031209861538</v>
      </c>
      <c r="K909" s="5">
        <f t="shared" si="101"/>
        <v>5723.0274236784016</v>
      </c>
      <c r="L909" s="5">
        <f t="shared" si="102"/>
        <v>5731.2613744240107</v>
      </c>
      <c r="M909" s="5">
        <f t="shared" si="103"/>
        <v>5732.6322173383123</v>
      </c>
    </row>
    <row r="910" spans="6:13">
      <c r="F910">
        <v>909</v>
      </c>
      <c r="G910" s="5">
        <f t="shared" si="104"/>
        <v>5291.5713938969539</v>
      </c>
      <c r="H910" s="5">
        <f t="shared" si="98"/>
        <v>5505.7867225275641</v>
      </c>
      <c r="I910" s="5">
        <f t="shared" si="99"/>
        <v>5621.5316850106856</v>
      </c>
      <c r="J910" s="5">
        <f t="shared" si="100"/>
        <v>5702.2131576045576</v>
      </c>
      <c r="K910" s="5">
        <f t="shared" si="101"/>
        <v>5734.033377843788</v>
      </c>
      <c r="L910" s="5">
        <f t="shared" si="102"/>
        <v>5742.2922555070836</v>
      </c>
      <c r="M910" s="5">
        <f t="shared" si="103"/>
        <v>5743.6672496899164</v>
      </c>
    </row>
    <row r="911" spans="6:13">
      <c r="F911">
        <v>910</v>
      </c>
      <c r="G911" s="5">
        <f t="shared" si="104"/>
        <v>5301.2792624865915</v>
      </c>
      <c r="H911" s="5">
        <f t="shared" si="98"/>
        <v>5516.1284022144446</v>
      </c>
      <c r="I911" s="5">
        <f t="shared" si="99"/>
        <v>5632.2196763036736</v>
      </c>
      <c r="J911" s="5">
        <f t="shared" si="100"/>
        <v>5713.1441083961254</v>
      </c>
      <c r="K911" s="5">
        <f t="shared" si="101"/>
        <v>5745.0604975598735</v>
      </c>
      <c r="L911" s="5">
        <f t="shared" si="102"/>
        <v>5753.3443675774615</v>
      </c>
      <c r="M911" s="5">
        <f t="shared" si="103"/>
        <v>5754.7235239308256</v>
      </c>
    </row>
    <row r="912" spans="6:13">
      <c r="F912">
        <v>911</v>
      </c>
      <c r="G912" s="5">
        <f t="shared" si="104"/>
        <v>5311.0049410433503</v>
      </c>
      <c r="H912" s="5">
        <f t="shared" si="98"/>
        <v>5526.4895069797267</v>
      </c>
      <c r="I912" s="5">
        <f t="shared" si="99"/>
        <v>5642.9279882431092</v>
      </c>
      <c r="J912" s="5">
        <f t="shared" si="100"/>
        <v>5724.0960134526285</v>
      </c>
      <c r="K912" s="5">
        <f t="shared" si="101"/>
        <v>5756.1088235301286</v>
      </c>
      <c r="L912" s="5">
        <f t="shared" si="102"/>
        <v>5764.4177514981338</v>
      </c>
      <c r="M912" s="5">
        <f t="shared" si="103"/>
        <v>5765.8010809506277</v>
      </c>
    </row>
    <row r="913" spans="6:13">
      <c r="F913">
        <v>912</v>
      </c>
      <c r="G913" s="5">
        <f t="shared" si="104"/>
        <v>5320.7484622412376</v>
      </c>
      <c r="H913" s="5">
        <f t="shared" si="98"/>
        <v>5536.8700733100995</v>
      </c>
      <c r="I913" s="5">
        <f t="shared" si="99"/>
        <v>5653.6566594638216</v>
      </c>
      <c r="J913" s="5">
        <f t="shared" si="100"/>
        <v>5735.0689129426846</v>
      </c>
      <c r="K913" s="5">
        <f t="shared" si="101"/>
        <v>5767.1783965363056</v>
      </c>
      <c r="L913" s="5">
        <f t="shared" si="102"/>
        <v>5775.512448210744</v>
      </c>
      <c r="M913" s="5">
        <f t="shared" si="103"/>
        <v>5776.8999617176096</v>
      </c>
    </row>
    <row r="914" spans="6:13">
      <c r="F914">
        <v>913</v>
      </c>
      <c r="G914" s="5">
        <f t="shared" si="104"/>
        <v>5330.5098588141964</v>
      </c>
      <c r="H914" s="5">
        <f t="shared" si="98"/>
        <v>5547.2701377607918</v>
      </c>
      <c r="I914" s="5">
        <f t="shared" si="99"/>
        <v>5664.4057286740881</v>
      </c>
      <c r="J914" s="5">
        <f t="shared" si="100"/>
        <v>5746.0628471119171</v>
      </c>
      <c r="K914" s="5">
        <f t="shared" si="101"/>
        <v>5778.2692574385737</v>
      </c>
      <c r="L914" s="5">
        <f t="shared" si="102"/>
        <v>5786.6284987357349</v>
      </c>
      <c r="M914" s="5">
        <f t="shared" si="103"/>
        <v>5788.0202072789298</v>
      </c>
    </row>
    <row r="915" spans="6:13">
      <c r="F915">
        <v>914</v>
      </c>
      <c r="G915" s="5">
        <f t="shared" si="104"/>
        <v>5340.2891635562264</v>
      </c>
      <c r="H915" s="5">
        <f t="shared" si="98"/>
        <v>5557.6897369556864</v>
      </c>
      <c r="I915" s="5">
        <f t="shared" si="99"/>
        <v>5675.1752346557842</v>
      </c>
      <c r="J915" s="5">
        <f t="shared" si="100"/>
        <v>5757.0778562830992</v>
      </c>
      <c r="K915" s="5">
        <f t="shared" si="101"/>
        <v>5789.3814471756878</v>
      </c>
      <c r="L915" s="5">
        <f t="shared" si="102"/>
        <v>5797.7659441724991</v>
      </c>
      <c r="M915" s="5">
        <f t="shared" si="103"/>
        <v>5799.1618587607536</v>
      </c>
    </row>
    <row r="916" spans="6:13">
      <c r="F916">
        <v>915</v>
      </c>
      <c r="G916" s="5">
        <f t="shared" si="104"/>
        <v>5350.0864093214941</v>
      </c>
      <c r="H916" s="5">
        <f t="shared" si="98"/>
        <v>5568.1289075874683</v>
      </c>
      <c r="I916" s="5">
        <f t="shared" si="99"/>
        <v>5685.9652162645189</v>
      </c>
      <c r="J916" s="5">
        <f t="shared" si="100"/>
        <v>5768.1139808562984</v>
      </c>
      <c r="K916" s="5">
        <f t="shared" si="101"/>
        <v>5800.515006765133</v>
      </c>
      <c r="L916" s="5">
        <f t="shared" si="102"/>
        <v>5808.9248256995334</v>
      </c>
      <c r="M916" s="5">
        <f t="shared" si="103"/>
        <v>5810.3249573684143</v>
      </c>
    </row>
    <row r="917" spans="6:13">
      <c r="F917">
        <v>916</v>
      </c>
      <c r="G917" s="5">
        <f t="shared" si="104"/>
        <v>5359.9016290244344</v>
      </c>
      <c r="H917" s="5">
        <f t="shared" si="98"/>
        <v>5578.5876864177326</v>
      </c>
      <c r="I917" s="5">
        <f t="shared" si="99"/>
        <v>5696.7757124297705</v>
      </c>
      <c r="J917" s="5">
        <f t="shared" si="100"/>
        <v>5779.171261309034</v>
      </c>
      <c r="K917" s="5">
        <f t="shared" si="101"/>
        <v>5811.6699773032742</v>
      </c>
      <c r="L917" s="5">
        <f t="shared" si="102"/>
        <v>5820.1051845745897</v>
      </c>
      <c r="M917" s="5">
        <f t="shared" si="103"/>
        <v>5821.5095443865694</v>
      </c>
    </row>
    <row r="918" spans="6:13">
      <c r="F918">
        <v>917</v>
      </c>
      <c r="G918" s="5">
        <f t="shared" si="104"/>
        <v>5369.7348556398711</v>
      </c>
      <c r="H918" s="5">
        <f t="shared" si="98"/>
        <v>5589.0661102771337</v>
      </c>
      <c r="I918" s="5">
        <f t="shared" si="99"/>
        <v>5707.6067621550446</v>
      </c>
      <c r="J918" s="5">
        <f t="shared" si="100"/>
        <v>5790.2497381964113</v>
      </c>
      <c r="K918" s="5">
        <f t="shared" si="101"/>
        <v>5822.8463999654996</v>
      </c>
      <c r="L918" s="5">
        <f t="shared" si="102"/>
        <v>5831.3070621348279</v>
      </c>
      <c r="M918" s="5">
        <f t="shared" si="103"/>
        <v>5832.7156611793362</v>
      </c>
    </row>
    <row r="919" spans="6:13">
      <c r="F919">
        <v>918</v>
      </c>
      <c r="G919" s="5">
        <f t="shared" si="104"/>
        <v>5379.5861222031208</v>
      </c>
      <c r="H919" s="5">
        <f t="shared" si="98"/>
        <v>5599.5642160655034</v>
      </c>
      <c r="I919" s="5">
        <f t="shared" si="99"/>
        <v>5718.4584045179918</v>
      </c>
      <c r="J919" s="5">
        <f t="shared" si="100"/>
        <v>5801.3494521512848</v>
      </c>
      <c r="K919" s="5">
        <f t="shared" si="101"/>
        <v>5834.0443160063987</v>
      </c>
      <c r="L919" s="5">
        <f t="shared" si="102"/>
        <v>5842.5304997969724</v>
      </c>
      <c r="M919" s="5">
        <f t="shared" si="103"/>
        <v>5843.9433491904665</v>
      </c>
    </row>
    <row r="920" spans="6:13">
      <c r="F920">
        <v>919</v>
      </c>
      <c r="G920" s="5">
        <f t="shared" si="104"/>
        <v>5389.4554618101056</v>
      </c>
      <c r="H920" s="5">
        <f t="shared" si="98"/>
        <v>5610.0820407519759</v>
      </c>
      <c r="I920" s="5">
        <f t="shared" si="99"/>
        <v>5729.3306786705616</v>
      </c>
      <c r="J920" s="5">
        <f t="shared" si="100"/>
        <v>5812.4704438843974</v>
      </c>
      <c r="K920" s="5">
        <f t="shared" si="101"/>
        <v>5845.2637667598829</v>
      </c>
      <c r="L920" s="5">
        <f t="shared" si="102"/>
        <v>5853.7755390574557</v>
      </c>
      <c r="M920" s="5">
        <f t="shared" si="103"/>
        <v>5855.1926499434803</v>
      </c>
    </row>
    <row r="921" spans="6:13">
      <c r="F921">
        <v>920</v>
      </c>
      <c r="G921" s="5">
        <f t="shared" si="104"/>
        <v>5399.3429076174707</v>
      </c>
      <c r="H921" s="5">
        <f t="shared" si="98"/>
        <v>5620.61962137514</v>
      </c>
      <c r="I921" s="5">
        <f t="shared" si="99"/>
        <v>5740.2236238391461</v>
      </c>
      <c r="J921" s="5">
        <f t="shared" si="100"/>
        <v>5823.6127541845335</v>
      </c>
      <c r="K921" s="5">
        <f t="shared" si="101"/>
        <v>5856.5047936393594</v>
      </c>
      <c r="L921" s="5">
        <f t="shared" si="102"/>
        <v>5865.0422214925838</v>
      </c>
      <c r="M921" s="5">
        <f t="shared" si="103"/>
        <v>5866.4636050418321</v>
      </c>
    </row>
    <row r="922" spans="6:13">
      <c r="F922">
        <v>921</v>
      </c>
      <c r="G922" s="5">
        <f t="shared" si="104"/>
        <v>5409.2484928426838</v>
      </c>
      <c r="H922" s="5">
        <f t="shared" si="98"/>
        <v>5631.1769950431444</v>
      </c>
      <c r="I922" s="5">
        <f t="shared" si="99"/>
        <v>5751.1372793247101</v>
      </c>
      <c r="J922" s="5">
        <f t="shared" si="100"/>
        <v>5834.7764239186718</v>
      </c>
      <c r="K922" s="5">
        <f t="shared" si="101"/>
        <v>5867.7674381378774</v>
      </c>
      <c r="L922" s="5">
        <f t="shared" si="102"/>
        <v>5876.3305887586803</v>
      </c>
      <c r="M922" s="5">
        <f t="shared" si="103"/>
        <v>5877.7562561690675</v>
      </c>
    </row>
    <row r="923" spans="6:13">
      <c r="F923">
        <v>922</v>
      </c>
      <c r="G923" s="5">
        <f t="shared" si="104"/>
        <v>5419.1722507641525</v>
      </c>
      <c r="H923" s="5">
        <f t="shared" si="98"/>
        <v>5641.7541989338406</v>
      </c>
      <c r="I923" s="5">
        <f t="shared" si="99"/>
        <v>5762.0716845029447</v>
      </c>
      <c r="J923" s="5">
        <f t="shared" si="100"/>
        <v>5845.9614940321253</v>
      </c>
      <c r="K923" s="5">
        <f t="shared" si="101"/>
        <v>5879.0517418282807</v>
      </c>
      <c r="L923" s="5">
        <f t="shared" si="102"/>
        <v>5887.6406825922468</v>
      </c>
      <c r="M923" s="5">
        <f t="shared" si="103"/>
        <v>5889.0706450889584</v>
      </c>
    </row>
    <row r="924" spans="6:13">
      <c r="F924">
        <v>923</v>
      </c>
      <c r="G924" s="5">
        <f t="shared" si="104"/>
        <v>5429.1142147213441</v>
      </c>
      <c r="H924" s="5">
        <f t="shared" si="98"/>
        <v>5652.3512702949165</v>
      </c>
      <c r="I924" s="5">
        <f t="shared" si="99"/>
        <v>5773.0268788244039</v>
      </c>
      <c r="J924" s="5">
        <f t="shared" si="100"/>
        <v>5857.1680055487022</v>
      </c>
      <c r="K924" s="5">
        <f t="shared" si="101"/>
        <v>5890.3577463633619</v>
      </c>
      <c r="L924" s="5">
        <f t="shared" si="102"/>
        <v>5898.9725448101117</v>
      </c>
      <c r="M924" s="5">
        <f t="shared" si="103"/>
        <v>5900.4068136456808</v>
      </c>
    </row>
    <row r="925" spans="6:13">
      <c r="F925">
        <v>924</v>
      </c>
      <c r="G925" s="5">
        <f t="shared" si="104"/>
        <v>5439.0744181148812</v>
      </c>
      <c r="H925" s="5">
        <f t="shared" si="98"/>
        <v>5662.9682464440175</v>
      </c>
      <c r="I925" s="5">
        <f t="shared" si="99"/>
        <v>5784.002901814647</v>
      </c>
      <c r="J925" s="5">
        <f t="shared" si="100"/>
        <v>5868.3959995708528</v>
      </c>
      <c r="K925" s="5">
        <f t="shared" si="101"/>
        <v>5901.6854934760131</v>
      </c>
      <c r="L925" s="5">
        <f t="shared" si="102"/>
        <v>5910.32621730959</v>
      </c>
      <c r="M925" s="5">
        <f t="shared" si="103"/>
        <v>5911.7648037639501</v>
      </c>
    </row>
    <row r="926" spans="6:13">
      <c r="F926">
        <v>925</v>
      </c>
      <c r="G926" s="5">
        <f t="shared" si="104"/>
        <v>5449.0528944066718</v>
      </c>
      <c r="H926" s="5">
        <f t="shared" si="98"/>
        <v>5673.6051647688919</v>
      </c>
      <c r="I926" s="5">
        <f t="shared" si="99"/>
        <v>5794.9997930743812</v>
      </c>
      <c r="J926" s="5">
        <f t="shared" si="100"/>
        <v>5879.6455172798151</v>
      </c>
      <c r="K926" s="5">
        <f t="shared" si="101"/>
        <v>5913.0350249793892</v>
      </c>
      <c r="L926" s="5">
        <f t="shared" si="102"/>
        <v>5921.7017420686325</v>
      </c>
      <c r="M926" s="5">
        <f t="shared" si="103"/>
        <v>5923.1446574491893</v>
      </c>
    </row>
    <row r="927" spans="6:13">
      <c r="F927">
        <v>926</v>
      </c>
      <c r="G927" s="5">
        <f t="shared" si="104"/>
        <v>5459.0496771200069</v>
      </c>
      <c r="H927" s="5">
        <f t="shared" si="98"/>
        <v>5684.2620627275073</v>
      </c>
      <c r="I927" s="5">
        <f t="shared" si="99"/>
        <v>5806.0175922796025</v>
      </c>
      <c r="J927" s="5">
        <f t="shared" si="100"/>
        <v>5890.9165999357738</v>
      </c>
      <c r="K927" s="5">
        <f t="shared" si="101"/>
        <v>5924.4063827670516</v>
      </c>
      <c r="L927" s="5">
        <f t="shared" si="102"/>
        <v>5933.0991611459931</v>
      </c>
      <c r="M927" s="5">
        <f t="shared" si="103"/>
        <v>5934.5464167876826</v>
      </c>
    </row>
    <row r="928" spans="6:13">
      <c r="F928">
        <v>927</v>
      </c>
      <c r="G928" s="5">
        <f t="shared" si="104"/>
        <v>5469.0647998396771</v>
      </c>
      <c r="H928" s="5">
        <f t="shared" si="98"/>
        <v>5694.93897784819</v>
      </c>
      <c r="I928" s="5">
        <f t="shared" si="99"/>
        <v>5817.0563391817459</v>
      </c>
      <c r="J928" s="5">
        <f t="shared" si="100"/>
        <v>5902.209288878008</v>
      </c>
      <c r="K928" s="5">
        <f t="shared" si="101"/>
        <v>5935.7996088131267</v>
      </c>
      <c r="L928" s="5">
        <f t="shared" si="102"/>
        <v>5944.5185166813626</v>
      </c>
      <c r="M928" s="5">
        <f t="shared" si="103"/>
        <v>5945.9701239467213</v>
      </c>
    </row>
    <row r="929" spans="6:13">
      <c r="F929">
        <v>928</v>
      </c>
      <c r="G929" s="5">
        <f t="shared" si="104"/>
        <v>5479.0982962120943</v>
      </c>
      <c r="H929" s="5">
        <f t="shared" si="98"/>
        <v>5705.6359477297619</v>
      </c>
      <c r="I929" s="5">
        <f t="shared" si="99"/>
        <v>5828.1160736078218</v>
      </c>
      <c r="J929" s="5">
        <f t="shared" si="100"/>
        <v>5913.5236255250384</v>
      </c>
      <c r="K929" s="5">
        <f t="shared" si="101"/>
        <v>5947.2147451724641</v>
      </c>
      <c r="L929" s="5">
        <f t="shared" si="102"/>
        <v>5955.9598508955496</v>
      </c>
      <c r="M929" s="5">
        <f t="shared" si="103"/>
        <v>5957.4158211747726</v>
      </c>
    </row>
    <row r="930" spans="6:13">
      <c r="F930">
        <v>929</v>
      </c>
      <c r="G930" s="5">
        <f t="shared" si="104"/>
        <v>5489.1501999453949</v>
      </c>
      <c r="H930" s="5">
        <f t="shared" si="98"/>
        <v>5716.3530100416647</v>
      </c>
      <c r="I930" s="5">
        <f t="shared" si="99"/>
        <v>5839.1968354605633</v>
      </c>
      <c r="J930" s="5">
        <f t="shared" si="100"/>
        <v>5924.8596513747907</v>
      </c>
      <c r="K930" s="5">
        <f t="shared" si="101"/>
        <v>5958.6518339807872</v>
      </c>
      <c r="L930" s="5">
        <f t="shared" si="102"/>
        <v>5967.4232060906179</v>
      </c>
      <c r="M930" s="5">
        <f t="shared" si="103"/>
        <v>5968.8835508016255</v>
      </c>
    </row>
    <row r="931" spans="6:13">
      <c r="F931">
        <v>930</v>
      </c>
      <c r="G931" s="5">
        <f t="shared" si="104"/>
        <v>5499.220544809551</v>
      </c>
      <c r="H931" s="5">
        <f t="shared" si="98"/>
        <v>5727.0902025240939</v>
      </c>
      <c r="I931" s="5">
        <f t="shared" si="99"/>
        <v>5850.2986647185644</v>
      </c>
      <c r="J931" s="5">
        <f t="shared" si="100"/>
        <v>5936.2174080047334</v>
      </c>
      <c r="K931" s="5">
        <f t="shared" si="101"/>
        <v>5970.110917454851</v>
      </c>
      <c r="L931" s="5">
        <f t="shared" si="102"/>
        <v>5978.9086246500474</v>
      </c>
      <c r="M931" s="5">
        <f t="shared" si="103"/>
        <v>5980.373355238552</v>
      </c>
    </row>
    <row r="932" spans="6:13">
      <c r="F932">
        <v>931</v>
      </c>
      <c r="G932" s="5">
        <f t="shared" si="104"/>
        <v>5509.309364636496</v>
      </c>
      <c r="H932" s="5">
        <f t="shared" si="98"/>
        <v>5737.8475629881386</v>
      </c>
      <c r="I932" s="5">
        <f t="shared" si="99"/>
        <v>5861.4216014364374</v>
      </c>
      <c r="J932" s="5">
        <f t="shared" si="100"/>
        <v>5947.5969370720441</v>
      </c>
      <c r="K932" s="5">
        <f t="shared" si="101"/>
        <v>5981.5920378925985</v>
      </c>
      <c r="L932" s="5">
        <f t="shared" si="102"/>
        <v>5990.4161490389024</v>
      </c>
      <c r="M932" s="5">
        <f t="shared" si="103"/>
        <v>5991.8852769784698</v>
      </c>
    </row>
    <row r="933" spans="6:13">
      <c r="F933">
        <v>932</v>
      </c>
      <c r="G933" s="5">
        <f t="shared" si="104"/>
        <v>5519.4166933202268</v>
      </c>
      <c r="H933" s="5">
        <f t="shared" si="98"/>
        <v>5748.6251293159021</v>
      </c>
      <c r="I933" s="5">
        <f t="shared" si="99"/>
        <v>5872.5656857449394</v>
      </c>
      <c r="J933" s="5">
        <f t="shared" si="100"/>
        <v>5958.9982803137509</v>
      </c>
      <c r="K933" s="5">
        <f t="shared" si="101"/>
        <v>5993.095237673313</v>
      </c>
      <c r="L933" s="5">
        <f t="shared" si="102"/>
        <v>6001.945821803969</v>
      </c>
      <c r="M933" s="5">
        <f t="shared" si="103"/>
        <v>6003.4193585960857</v>
      </c>
    </row>
    <row r="934" spans="6:13">
      <c r="F934">
        <v>933</v>
      </c>
      <c r="G934" s="5">
        <f t="shared" si="104"/>
        <v>5529.5425648169248</v>
      </c>
      <c r="H934" s="5">
        <f t="shared" si="98"/>
        <v>5759.4229394606518</v>
      </c>
      <c r="I934" s="5">
        <f t="shared" si="99"/>
        <v>5883.7309578511331</v>
      </c>
      <c r="J934" s="5">
        <f t="shared" si="100"/>
        <v>5970.4214795468915</v>
      </c>
      <c r="K934" s="5">
        <f t="shared" si="101"/>
        <v>6004.6205592577817</v>
      </c>
      <c r="L934" s="5">
        <f t="shared" si="102"/>
        <v>6013.4976855739287</v>
      </c>
      <c r="M934" s="5">
        <f t="shared" si="103"/>
        <v>6014.9756427480661</v>
      </c>
    </row>
    <row r="935" spans="6:13">
      <c r="F935">
        <v>934</v>
      </c>
      <c r="G935" s="5">
        <f t="shared" si="104"/>
        <v>5539.6870131450651</v>
      </c>
      <c r="H935" s="5">
        <f t="shared" si="98"/>
        <v>5770.241031446938</v>
      </c>
      <c r="I935" s="5">
        <f t="shared" si="99"/>
        <v>5894.9174580385252</v>
      </c>
      <c r="J935" s="5">
        <f t="shared" si="100"/>
        <v>5981.866576668669</v>
      </c>
      <c r="K935" s="5">
        <f t="shared" si="101"/>
        <v>6016.1680451884458</v>
      </c>
      <c r="L935" s="5">
        <f t="shared" si="102"/>
        <v>6025.0717830595049</v>
      </c>
      <c r="M935" s="5">
        <f t="shared" si="103"/>
        <v>6026.5541721731843</v>
      </c>
    </row>
    <row r="936" spans="6:13">
      <c r="F936">
        <v>935</v>
      </c>
      <c r="G936" s="5">
        <f t="shared" si="104"/>
        <v>5549.8500723855295</v>
      </c>
      <c r="H936" s="5">
        <f t="shared" si="98"/>
        <v>5781.0794433707333</v>
      </c>
      <c r="I936" s="5">
        <f t="shared" si="99"/>
        <v>5906.1252266672027</v>
      </c>
      <c r="J936" s="5">
        <f t="shared" si="100"/>
        <v>5993.3336136565986</v>
      </c>
      <c r="K936" s="5">
        <f t="shared" si="101"/>
        <v>6027.7377380895596</v>
      </c>
      <c r="L936" s="5">
        <f t="shared" si="102"/>
        <v>6036.6681570536321</v>
      </c>
      <c r="M936" s="5">
        <f t="shared" si="103"/>
        <v>6038.1549896924862</v>
      </c>
    </row>
    <row r="937" spans="6:13">
      <c r="F937">
        <v>936</v>
      </c>
      <c r="G937" s="5">
        <f t="shared" si="104"/>
        <v>5560.0317766817334</v>
      </c>
      <c r="H937" s="5">
        <f t="shared" si="98"/>
        <v>5791.9382133995696</v>
      </c>
      <c r="I937" s="5">
        <f t="shared" si="99"/>
        <v>5917.3543041740031</v>
      </c>
      <c r="J937" s="5">
        <f t="shared" si="100"/>
        <v>6004.822632568661</v>
      </c>
      <c r="K937" s="5">
        <f t="shared" si="101"/>
        <v>6039.3296806673452</v>
      </c>
      <c r="L937" s="5">
        <f t="shared" si="102"/>
        <v>6048.2868504316011</v>
      </c>
      <c r="M937" s="5">
        <f t="shared" si="103"/>
        <v>6049.7781382094508</v>
      </c>
    </row>
    <row r="938" spans="6:13">
      <c r="F938">
        <v>937</v>
      </c>
      <c r="G938" s="5">
        <f t="shared" si="104"/>
        <v>5570.2321602397224</v>
      </c>
      <c r="H938" s="5">
        <f t="shared" si="98"/>
        <v>5802.8173797726695</v>
      </c>
      <c r="I938" s="5">
        <f t="shared" si="99"/>
        <v>5928.6047310726317</v>
      </c>
      <c r="J938" s="5">
        <f t="shared" si="100"/>
        <v>6016.3336755434721</v>
      </c>
      <c r="K938" s="5">
        <f t="shared" si="101"/>
        <v>6050.9439157101615</v>
      </c>
      <c r="L938" s="5">
        <f t="shared" si="102"/>
        <v>6059.9279061512316</v>
      </c>
      <c r="M938" s="5">
        <f t="shared" si="103"/>
        <v>6061.4236607101357</v>
      </c>
    </row>
    <row r="939" spans="6:13">
      <c r="F939">
        <v>938</v>
      </c>
      <c r="G939" s="5">
        <f t="shared" si="104"/>
        <v>5580.4512573283</v>
      </c>
      <c r="H939" s="5">
        <f t="shared" si="98"/>
        <v>5813.7169808010785</v>
      </c>
      <c r="I939" s="5">
        <f t="shared" si="99"/>
        <v>5939.8765479538224</v>
      </c>
      <c r="J939" s="5">
        <f t="shared" si="100"/>
        <v>6027.8667848004134</v>
      </c>
      <c r="K939" s="5">
        <f t="shared" si="101"/>
        <v>6062.5804860886474</v>
      </c>
      <c r="L939" s="5">
        <f t="shared" si="102"/>
        <v>6071.5913672530151</v>
      </c>
      <c r="M939" s="5">
        <f t="shared" si="103"/>
        <v>6073.0916002633512</v>
      </c>
    </row>
    <row r="940" spans="6:13">
      <c r="F940">
        <v>939</v>
      </c>
      <c r="G940" s="5">
        <f t="shared" si="104"/>
        <v>5590.6891022791406</v>
      </c>
      <c r="H940" s="5">
        <f t="shared" si="98"/>
        <v>5824.6370548678096</v>
      </c>
      <c r="I940" s="5">
        <f t="shared" si="99"/>
        <v>5951.1697954854935</v>
      </c>
      <c r="J940" s="5">
        <f t="shared" si="100"/>
        <v>6039.4220026398107</v>
      </c>
      <c r="K940" s="5">
        <f t="shared" si="101"/>
        <v>6074.2394347558838</v>
      </c>
      <c r="L940" s="5">
        <f t="shared" si="102"/>
        <v>6083.2772768602908</v>
      </c>
      <c r="M940" s="5">
        <f t="shared" si="103"/>
        <v>6084.7820000208067</v>
      </c>
    </row>
    <row r="941" spans="6:13">
      <c r="F941">
        <v>940</v>
      </c>
      <c r="G941" s="5">
        <f t="shared" si="104"/>
        <v>5600.945729486898</v>
      </c>
      <c r="H941" s="5">
        <f t="shared" si="98"/>
        <v>5835.577640427965</v>
      </c>
      <c r="I941" s="5">
        <f t="shared" si="99"/>
        <v>5962.4845144128685</v>
      </c>
      <c r="J941" s="5">
        <f t="shared" si="100"/>
        <v>6050.9993714430693</v>
      </c>
      <c r="K941" s="5">
        <f t="shared" si="101"/>
        <v>6085.9208047475604</v>
      </c>
      <c r="L941" s="5">
        <f t="shared" si="102"/>
        <v>6094.9856781793906</v>
      </c>
      <c r="M941" s="5">
        <f t="shared" si="103"/>
        <v>6096.4949032172817</v>
      </c>
    </row>
    <row r="942" spans="6:13">
      <c r="F942">
        <v>941</v>
      </c>
      <c r="G942" s="5">
        <f t="shared" si="104"/>
        <v>5611.2211734093335</v>
      </c>
      <c r="H942" s="5">
        <f t="shared" si="98"/>
        <v>5846.5387760088788</v>
      </c>
      <c r="I942" s="5">
        <f t="shared" si="99"/>
        <v>5973.8207455586498</v>
      </c>
      <c r="J942" s="5">
        <f t="shared" si="100"/>
        <v>6062.5989336728408</v>
      </c>
      <c r="K942" s="5">
        <f t="shared" si="101"/>
        <v>6097.6246391821287</v>
      </c>
      <c r="L942" s="5">
        <f t="shared" si="102"/>
        <v>6106.7166144998091</v>
      </c>
      <c r="M942" s="5">
        <f t="shared" si="103"/>
        <v>6108.2303531707821</v>
      </c>
    </row>
    <row r="943" spans="6:13">
      <c r="F943">
        <v>942</v>
      </c>
      <c r="G943" s="5">
        <f t="shared" si="104"/>
        <v>5621.5154685674179</v>
      </c>
      <c r="H943" s="5">
        <f t="shared" si="98"/>
        <v>5857.5205002102593</v>
      </c>
      <c r="I943" s="5">
        <f t="shared" si="99"/>
        <v>5985.1785298231507</v>
      </c>
      <c r="J943" s="5">
        <f t="shared" si="100"/>
        <v>6074.2207318731807</v>
      </c>
      <c r="K943" s="5">
        <f t="shared" si="101"/>
        <v>6109.3509812609582</v>
      </c>
      <c r="L943" s="5">
        <f t="shared" si="102"/>
        <v>6118.4701291943538</v>
      </c>
      <c r="M943" s="5">
        <f t="shared" si="103"/>
        <v>6119.9883932826915</v>
      </c>
    </row>
    <row r="944" spans="6:13">
      <c r="F944">
        <v>943</v>
      </c>
      <c r="G944" s="5">
        <f t="shared" si="104"/>
        <v>5631.828649545454</v>
      </c>
      <c r="H944" s="5">
        <f t="shared" si="98"/>
        <v>5868.5228517043051</v>
      </c>
      <c r="I944" s="5">
        <f t="shared" si="99"/>
        <v>5996.5579081844398</v>
      </c>
      <c r="J944" s="5">
        <f t="shared" si="100"/>
        <v>6085.864808669694</v>
      </c>
      <c r="K944" s="5">
        <f t="shared" si="101"/>
        <v>6121.0998742684978</v>
      </c>
      <c r="L944" s="5">
        <f t="shared" si="102"/>
        <v>6130.2462657193219</v>
      </c>
      <c r="M944" s="5">
        <f t="shared" si="103"/>
        <v>6131.7690670379443</v>
      </c>
    </row>
    <row r="945" spans="6:13">
      <c r="F945">
        <v>944</v>
      </c>
      <c r="G945" s="5">
        <f t="shared" si="104"/>
        <v>5642.1607509911992</v>
      </c>
      <c r="H945" s="5">
        <f t="shared" si="98"/>
        <v>5879.5458692358688</v>
      </c>
      <c r="I945" s="5">
        <f t="shared" si="99"/>
        <v>6007.9589216985087</v>
      </c>
      <c r="J945" s="5">
        <f t="shared" si="100"/>
        <v>6097.5312067697005</v>
      </c>
      <c r="K945" s="5">
        <f t="shared" si="101"/>
        <v>6132.8713615724409</v>
      </c>
      <c r="L945" s="5">
        <f t="shared" si="102"/>
        <v>6142.0450676146374</v>
      </c>
      <c r="M945" s="5">
        <f t="shared" si="103"/>
        <v>6143.5724180051793</v>
      </c>
    </row>
    <row r="946" spans="6:13">
      <c r="F946">
        <v>945</v>
      </c>
      <c r="G946" s="5">
        <f t="shared" si="104"/>
        <v>5652.511807615967</v>
      </c>
      <c r="H946" s="5">
        <f t="shared" si="98"/>
        <v>5890.5895916225663</v>
      </c>
      <c r="I946" s="5">
        <f t="shared" si="99"/>
        <v>6019.3816114993979</v>
      </c>
      <c r="J946" s="5">
        <f t="shared" si="100"/>
        <v>6109.2199689623894</v>
      </c>
      <c r="K946" s="5">
        <f t="shared" si="101"/>
        <v>6144.6654866238814</v>
      </c>
      <c r="L946" s="5">
        <f t="shared" si="102"/>
        <v>6153.8665785040366</v>
      </c>
      <c r="M946" s="5">
        <f t="shared" si="103"/>
        <v>6155.3984898369044</v>
      </c>
    </row>
    <row r="947" spans="6:13">
      <c r="F947">
        <v>946</v>
      </c>
      <c r="G947" s="5">
        <f t="shared" si="104"/>
        <v>5662.8818541947576</v>
      </c>
      <c r="H947" s="5">
        <f t="shared" si="98"/>
        <v>5901.6540577549295</v>
      </c>
      <c r="I947" s="5">
        <f t="shared" si="99"/>
        <v>6030.8260187993528</v>
      </c>
      <c r="J947" s="5">
        <f t="shared" si="100"/>
        <v>6120.9311381189718</v>
      </c>
      <c r="K947" s="5">
        <f t="shared" si="101"/>
        <v>6156.4822929574666</v>
      </c>
      <c r="L947" s="5">
        <f t="shared" si="102"/>
        <v>6165.7108420952072</v>
      </c>
      <c r="M947" s="5">
        <f t="shared" si="103"/>
        <v>6167.2473262696567</v>
      </c>
    </row>
    <row r="948" spans="6:13">
      <c r="F948">
        <v>947</v>
      </c>
      <c r="G948" s="5">
        <f t="shared" si="104"/>
        <v>5673.2709255663658</v>
      </c>
      <c r="H948" s="5">
        <f t="shared" si="98"/>
        <v>5912.7393065965452</v>
      </c>
      <c r="I948" s="5">
        <f t="shared" si="99"/>
        <v>6042.2921848889828</v>
      </c>
      <c r="J948" s="5">
        <f t="shared" si="100"/>
        <v>6132.664757192847</v>
      </c>
      <c r="K948" s="5">
        <f t="shared" si="101"/>
        <v>6168.3218241915756</v>
      </c>
      <c r="L948" s="5">
        <f t="shared" si="102"/>
        <v>6177.5779021799717</v>
      </c>
      <c r="M948" s="5">
        <f t="shared" si="103"/>
        <v>6179.1189711241595</v>
      </c>
    </row>
    <row r="949" spans="6:13">
      <c r="F949">
        <v>948</v>
      </c>
      <c r="G949" s="5">
        <f t="shared" si="104"/>
        <v>5683.6790566335067</v>
      </c>
      <c r="H949" s="5">
        <f t="shared" si="98"/>
        <v>5923.8453771841778</v>
      </c>
      <c r="I949" s="5">
        <f t="shared" si="99"/>
        <v>6053.7801511373918</v>
      </c>
      <c r="J949" s="5">
        <f t="shared" si="100"/>
        <v>6144.420869219749</v>
      </c>
      <c r="K949" s="5">
        <f t="shared" si="101"/>
        <v>6180.1841240284639</v>
      </c>
      <c r="L949" s="5">
        <f t="shared" si="102"/>
        <v>6189.4678026344263</v>
      </c>
      <c r="M949" s="5">
        <f t="shared" si="103"/>
        <v>6191.0134683054966</v>
      </c>
    </row>
    <row r="950" spans="6:13">
      <c r="F950">
        <v>949</v>
      </c>
      <c r="G950" s="5">
        <f t="shared" si="104"/>
        <v>5694.106282362919</v>
      </c>
      <c r="H950" s="5">
        <f t="shared" ref="H950:H1013" si="105">$C$2*(1+$C$1/$D$6)^(F950*$D$6*0.019231)</f>
        <v>5934.9723086279246</v>
      </c>
      <c r="I950" s="5">
        <f t="shared" ref="I950:I1013" si="106">$C$2*(1+$C$1/$D$7)^(F950*$D$7*0.019231)</f>
        <v>6065.2899589923481</v>
      </c>
      <c r="J950" s="5">
        <f t="shared" ref="J950:J1013" si="107">$C$2*(1+$C$1/$D$8)^(F950*$D$8*0.019231)</f>
        <v>6156.1995173179102</v>
      </c>
      <c r="K950" s="5">
        <f t="shared" ref="K950:K1013" si="108">$C$2*(1+$C$1/$D$9)^(F950*$D$9*0.019231)</f>
        <v>6192.0692362544314</v>
      </c>
      <c r="L950" s="5">
        <f t="shared" ref="L950:L1013" si="109">$C$2*(1+$C$1/$D$10)^(F950*$D$10*0.019231)</f>
        <v>6201.3805874191266</v>
      </c>
      <c r="M950" s="5">
        <f t="shared" ref="M950:M1013" si="110">$C$2*EXP($C$1*F950*0.019231)</f>
        <v>6202.9308618032574</v>
      </c>
    </row>
    <row r="951" spans="6:13">
      <c r="F951">
        <v>950</v>
      </c>
      <c r="G951" s="5">
        <f t="shared" si="104"/>
        <v>5704.5526377855003</v>
      </c>
      <c r="H951" s="5">
        <f t="shared" si="105"/>
        <v>5946.1201401113358</v>
      </c>
      <c r="I951" s="5">
        <f t="shared" si="106"/>
        <v>6076.821649980413</v>
      </c>
      <c r="J951" s="5">
        <f t="shared" si="107"/>
        <v>6168.0007446882246</v>
      </c>
      <c r="K951" s="5">
        <f t="shared" si="108"/>
        <v>6203.9772047399829</v>
      </c>
      <c r="L951" s="5">
        <f t="shared" si="109"/>
        <v>6213.3163005792285</v>
      </c>
      <c r="M951" s="5">
        <f t="shared" si="110"/>
        <v>6214.8711956917159</v>
      </c>
    </row>
    <row r="952" spans="6:13">
      <c r="F952">
        <v>951</v>
      </c>
      <c r="G952" s="5">
        <f t="shared" si="104"/>
        <v>5715.0181579964064</v>
      </c>
      <c r="H952" s="5">
        <f t="shared" si="105"/>
        <v>5957.2889108915633</v>
      </c>
      <c r="I952" s="5">
        <f t="shared" si="106"/>
        <v>6088.3752657071018</v>
      </c>
      <c r="J952" s="5">
        <f t="shared" si="107"/>
        <v>6179.8245946143943</v>
      </c>
      <c r="K952" s="5">
        <f t="shared" si="108"/>
        <v>6215.908073439994</v>
      </c>
      <c r="L952" s="5">
        <f t="shared" si="109"/>
        <v>6225.2749862446699</v>
      </c>
      <c r="M952" s="5">
        <f t="shared" si="110"/>
        <v>6226.8345141299878</v>
      </c>
    </row>
    <row r="953" spans="6:13">
      <c r="F953">
        <v>952</v>
      </c>
      <c r="G953" s="5">
        <f t="shared" si="104"/>
        <v>5725.5028781551882</v>
      </c>
      <c r="H953" s="5">
        <f t="shared" si="105"/>
        <v>5968.4786602995036</v>
      </c>
      <c r="I953" s="5">
        <f t="shared" si="106"/>
        <v>6099.9508478570397</v>
      </c>
      <c r="J953" s="5">
        <f t="shared" si="107"/>
        <v>6191.6711104631013</v>
      </c>
      <c r="K953" s="5">
        <f t="shared" si="108"/>
        <v>6227.8618863938655</v>
      </c>
      <c r="L953" s="5">
        <f t="shared" si="109"/>
        <v>6237.2566886303157</v>
      </c>
      <c r="M953" s="5">
        <f t="shared" si="110"/>
        <v>6238.8208613621855</v>
      </c>
    </row>
    <row r="954" spans="6:13">
      <c r="F954">
        <v>953</v>
      </c>
      <c r="G954" s="5">
        <f t="shared" si="104"/>
        <v>5736.0068334858925</v>
      </c>
      <c r="H954" s="5">
        <f t="shared" si="105"/>
        <v>5979.6894277399224</v>
      </c>
      <c r="I954" s="5">
        <f t="shared" si="106"/>
        <v>6111.5484381940987</v>
      </c>
      <c r="J954" s="5">
        <f t="shared" si="107"/>
        <v>6203.5403356841534</v>
      </c>
      <c r="K954" s="5">
        <f t="shared" si="108"/>
        <v>6239.8386877256962</v>
      </c>
      <c r="L954" s="5">
        <f t="shared" si="109"/>
        <v>6249.2614520361385</v>
      </c>
      <c r="M954" s="5">
        <f t="shared" si="110"/>
        <v>6250.8302817175982</v>
      </c>
    </row>
    <row r="955" spans="6:13">
      <c r="F955">
        <v>954</v>
      </c>
      <c r="G955" s="5">
        <f t="shared" si="104"/>
        <v>5746.5300592771864</v>
      </c>
      <c r="H955" s="5">
        <f t="shared" si="105"/>
        <v>5990.9212526915999</v>
      </c>
      <c r="I955" s="5">
        <f t="shared" si="106"/>
        <v>6123.1680785615536</v>
      </c>
      <c r="J955" s="5">
        <f t="shared" si="107"/>
        <v>6215.4323138106547</v>
      </c>
      <c r="K955" s="5">
        <f t="shared" si="108"/>
        <v>6251.8385216444331</v>
      </c>
      <c r="L955" s="5">
        <f t="shared" si="109"/>
        <v>6261.2893208473697</v>
      </c>
      <c r="M955" s="5">
        <f t="shared" si="110"/>
        <v>6262.8628196108402</v>
      </c>
    </row>
    <row r="956" spans="6:13">
      <c r="F956">
        <v>955</v>
      </c>
      <c r="G956" s="5">
        <f t="shared" si="104"/>
        <v>5757.0725908824879</v>
      </c>
      <c r="H956" s="5">
        <f t="shared" si="105"/>
        <v>6002.1741747074793</v>
      </c>
      <c r="I956" s="5">
        <f t="shared" si="106"/>
        <v>6134.8098108822433</v>
      </c>
      <c r="J956" s="5">
        <f t="shared" si="107"/>
        <v>6227.3470884591597</v>
      </c>
      <c r="K956" s="5">
        <f t="shared" si="108"/>
        <v>6263.8614324440441</v>
      </c>
      <c r="L956" s="5">
        <f t="shared" si="109"/>
        <v>6273.3403395346713</v>
      </c>
      <c r="M956" s="5">
        <f t="shared" si="110"/>
        <v>6274.9185195420205</v>
      </c>
    </row>
    <row r="957" spans="6:13">
      <c r="F957">
        <v>956</v>
      </c>
      <c r="G957" s="5">
        <f t="shared" si="104"/>
        <v>5767.6344637200618</v>
      </c>
      <c r="H957" s="5">
        <f t="shared" si="105"/>
        <v>6013.448233414786</v>
      </c>
      <c r="I957" s="5">
        <f t="shared" si="106"/>
        <v>6146.4736771587004</v>
      </c>
      <c r="J957" s="5">
        <f t="shared" si="107"/>
        <v>6239.284703329834</v>
      </c>
      <c r="K957" s="5">
        <f t="shared" si="108"/>
        <v>6275.9074645036799</v>
      </c>
      <c r="L957" s="5">
        <f t="shared" si="109"/>
        <v>6285.4145526542934</v>
      </c>
      <c r="M957" s="5">
        <f t="shared" si="110"/>
        <v>6286.9974260969193</v>
      </c>
    </row>
    <row r="958" spans="6:13">
      <c r="F958">
        <v>957</v>
      </c>
      <c r="G958" s="5">
        <f t="shared" si="104"/>
        <v>5778.2157132731591</v>
      </c>
      <c r="H958" s="5">
        <f t="shared" si="105"/>
        <v>6024.7434685151866</v>
      </c>
      <c r="I958" s="5">
        <f t="shared" si="106"/>
        <v>6158.1597194733276</v>
      </c>
      <c r="J958" s="5">
        <f t="shared" si="107"/>
        <v>6251.2452022066136</v>
      </c>
      <c r="K958" s="5">
        <f t="shared" si="108"/>
        <v>6287.9766622878396</v>
      </c>
      <c r="L958" s="5">
        <f t="shared" si="109"/>
        <v>6297.5120048482495</v>
      </c>
      <c r="M958" s="5">
        <f t="shared" si="110"/>
        <v>6299.0995839471288</v>
      </c>
    </row>
    <row r="959" spans="6:13">
      <c r="F959">
        <v>958</v>
      </c>
      <c r="G959" s="5">
        <f t="shared" si="104"/>
        <v>5788.8163750901258</v>
      </c>
      <c r="H959" s="5">
        <f t="shared" si="105"/>
        <v>6036.0599197849178</v>
      </c>
      <c r="I959" s="5">
        <f t="shared" si="106"/>
        <v>6169.8679799885285</v>
      </c>
      <c r="J959" s="5">
        <f t="shared" si="107"/>
        <v>6263.2286289573713</v>
      </c>
      <c r="K959" s="5">
        <f t="shared" si="108"/>
        <v>6300.0690703465234</v>
      </c>
      <c r="L959" s="5">
        <f t="shared" si="109"/>
        <v>6309.6327408444658</v>
      </c>
      <c r="M959" s="5">
        <f t="shared" si="110"/>
        <v>6311.2250378502413</v>
      </c>
    </row>
    <row r="960" spans="6:13">
      <c r="F960">
        <v>959</v>
      </c>
      <c r="G960" s="5">
        <f t="shared" si="104"/>
        <v>5799.43648478452</v>
      </c>
      <c r="H960" s="5">
        <f t="shared" si="105"/>
        <v>6047.3976270749245</v>
      </c>
      <c r="I960" s="5">
        <f t="shared" si="106"/>
        <v>6181.5985009468677</v>
      </c>
      <c r="J960" s="5">
        <f t="shared" si="107"/>
        <v>6275.235027534065</v>
      </c>
      <c r="K960" s="5">
        <f t="shared" si="108"/>
        <v>6312.1847333154119</v>
      </c>
      <c r="L960" s="5">
        <f t="shared" si="109"/>
        <v>6321.776805456966</v>
      </c>
      <c r="M960" s="5">
        <f t="shared" si="110"/>
        <v>6323.3738326499997</v>
      </c>
    </row>
    <row r="961" spans="6:13">
      <c r="F961">
        <v>960</v>
      </c>
      <c r="G961" s="5">
        <f t="shared" si="104"/>
        <v>5810.0760780352466</v>
      </c>
      <c r="H961" s="5">
        <f t="shared" si="105"/>
        <v>6058.7566303110143</v>
      </c>
      <c r="I961" s="5">
        <f t="shared" si="106"/>
        <v>6193.3513246712337</v>
      </c>
      <c r="J961" s="5">
        <f t="shared" si="107"/>
        <v>6287.2644419729195</v>
      </c>
      <c r="K961" s="5">
        <f t="shared" si="108"/>
        <v>6324.3236959160276</v>
      </c>
      <c r="L961" s="5">
        <f t="shared" si="109"/>
        <v>6333.9442435860174</v>
      </c>
      <c r="M961" s="5">
        <f t="shared" si="110"/>
        <v>6335.546013276472</v>
      </c>
    </row>
    <row r="962" spans="6:13">
      <c r="F962">
        <v>961</v>
      </c>
      <c r="G962" s="5">
        <f t="shared" si="104"/>
        <v>5820.7351905866553</v>
      </c>
      <c r="H962" s="5">
        <f t="shared" si="105"/>
        <v>6070.1369694939822</v>
      </c>
      <c r="I962" s="5">
        <f t="shared" si="106"/>
        <v>6205.1264935649715</v>
      </c>
      <c r="J962" s="5">
        <f t="shared" si="107"/>
        <v>6299.316916394564</v>
      </c>
      <c r="K962" s="5">
        <f t="shared" si="108"/>
        <v>6336.4860029558877</v>
      </c>
      <c r="L962" s="5">
        <f t="shared" si="109"/>
        <v>6346.1351002183137</v>
      </c>
      <c r="M962" s="5">
        <f t="shared" si="110"/>
        <v>6347.7416247462133</v>
      </c>
    </row>
    <row r="963" spans="6:13">
      <c r="F963">
        <v>962</v>
      </c>
      <c r="G963" s="5">
        <f t="shared" si="104"/>
        <v>5831.4138582486758</v>
      </c>
      <c r="H963" s="5">
        <f t="shared" si="105"/>
        <v>6081.5386846997562</v>
      </c>
      <c r="I963" s="5">
        <f t="shared" si="106"/>
        <v>6216.9240501120485</v>
      </c>
      <c r="J963" s="5">
        <f t="shared" si="107"/>
        <v>6311.3924950042101</v>
      </c>
      <c r="K963" s="5">
        <f t="shared" si="108"/>
        <v>6348.6716993286855</v>
      </c>
      <c r="L963" s="5">
        <f t="shared" si="109"/>
        <v>6358.3494204271274</v>
      </c>
      <c r="M963" s="5">
        <f t="shared" si="110"/>
        <v>6359.9607121624331</v>
      </c>
    </row>
    <row r="964" spans="6:13">
      <c r="F964">
        <v>963</v>
      </c>
      <c r="G964" s="5">
        <f t="shared" ref="G964:G1027" si="111">$C$2*(1+$C$1)^(F964*0.019231/$D$5)</f>
        <v>5842.1121168969421</v>
      </c>
      <c r="H964" s="5">
        <f t="shared" si="105"/>
        <v>6092.9618160795462</v>
      </c>
      <c r="I964" s="5">
        <f t="shared" si="106"/>
        <v>6228.7440368772104</v>
      </c>
      <c r="J964" s="5">
        <f t="shared" si="107"/>
        <v>6323.4912220918086</v>
      </c>
      <c r="K964" s="5">
        <f t="shared" si="108"/>
        <v>6360.8808300144492</v>
      </c>
      <c r="L964" s="5">
        <f t="shared" si="109"/>
        <v>6370.5872493724901</v>
      </c>
      <c r="M964" s="5">
        <f t="shared" si="110"/>
        <v>6372.2033207151635</v>
      </c>
    </row>
    <row r="965" spans="6:13">
      <c r="F965">
        <v>964</v>
      </c>
      <c r="G965" s="5">
        <f t="shared" si="111"/>
        <v>5852.8300024728915</v>
      </c>
      <c r="H965" s="5">
        <f t="shared" si="105"/>
        <v>6104.4064038599745</v>
      </c>
      <c r="I965" s="5">
        <f t="shared" si="106"/>
        <v>6240.586496506121</v>
      </c>
      <c r="J965" s="5">
        <f t="shared" si="107"/>
        <v>6335.6131420322145</v>
      </c>
      <c r="K965" s="5">
        <f t="shared" si="108"/>
        <v>6373.1134400797064</v>
      </c>
      <c r="L965" s="5">
        <f t="shared" si="109"/>
        <v>6382.8486323013458</v>
      </c>
      <c r="M965" s="5">
        <f t="shared" si="110"/>
        <v>6384.4694956814228</v>
      </c>
    </row>
    <row r="966" spans="6:13">
      <c r="F966">
        <v>965</v>
      </c>
      <c r="G966" s="5">
        <f t="shared" si="111"/>
        <v>5863.5675509839111</v>
      </c>
      <c r="H966" s="5">
        <f t="shared" si="105"/>
        <v>6115.8724883432251</v>
      </c>
      <c r="I966" s="5">
        <f t="shared" si="106"/>
        <v>6252.4514717255342</v>
      </c>
      <c r="J966" s="5">
        <f t="shared" si="107"/>
        <v>6347.7582992853449</v>
      </c>
      <c r="K966" s="5">
        <f t="shared" si="108"/>
        <v>6385.3695746776484</v>
      </c>
      <c r="L966" s="5">
        <f t="shared" si="109"/>
        <v>6395.1336145477298</v>
      </c>
      <c r="M966" s="5">
        <f t="shared" si="110"/>
        <v>6396.7592824253879</v>
      </c>
    </row>
    <row r="967" spans="6:13">
      <c r="F967">
        <v>966</v>
      </c>
      <c r="G967" s="5">
        <f t="shared" si="111"/>
        <v>5874.3247985034404</v>
      </c>
      <c r="H967" s="5">
        <f t="shared" si="105"/>
        <v>6127.3601099071811</v>
      </c>
      <c r="I967" s="5">
        <f t="shared" si="106"/>
        <v>6264.3390053434305</v>
      </c>
      <c r="J967" s="5">
        <f t="shared" si="107"/>
        <v>6359.926738396347</v>
      </c>
      <c r="K967" s="5">
        <f t="shared" si="108"/>
        <v>6397.6492790483089</v>
      </c>
      <c r="L967" s="5">
        <f t="shared" si="109"/>
        <v>6407.4422415329245</v>
      </c>
      <c r="M967" s="5">
        <f t="shared" si="110"/>
        <v>6409.0727263985573</v>
      </c>
    </row>
    <row r="968" spans="6:13">
      <c r="F968">
        <v>967</v>
      </c>
      <c r="G968" s="5">
        <f t="shared" si="111"/>
        <v>5885.1017811711017</v>
      </c>
      <c r="H968" s="5">
        <f t="shared" si="105"/>
        <v>6138.8693090055676</v>
      </c>
      <c r="I968" s="5">
        <f t="shared" si="106"/>
        <v>6276.2491402491796</v>
      </c>
      <c r="J968" s="5">
        <f t="shared" si="107"/>
        <v>6372.1185039957581</v>
      </c>
      <c r="K968" s="5">
        <f t="shared" si="108"/>
        <v>6409.9525985187165</v>
      </c>
      <c r="L968" s="5">
        <f t="shared" si="109"/>
        <v>6419.7745587656418</v>
      </c>
      <c r="M968" s="5">
        <f t="shared" si="110"/>
        <v>6421.4098731399245</v>
      </c>
    </row>
    <row r="969" spans="6:13">
      <c r="F969">
        <v>968</v>
      </c>
      <c r="G969" s="5">
        <f t="shared" si="111"/>
        <v>5895.8985351928159</v>
      </c>
      <c r="H969" s="5">
        <f t="shared" si="105"/>
        <v>6150.4001261680996</v>
      </c>
      <c r="I969" s="5">
        <f t="shared" si="106"/>
        <v>6288.1819194137033</v>
      </c>
      <c r="J969" s="5">
        <f t="shared" si="107"/>
        <v>6384.3336407996758</v>
      </c>
      <c r="K969" s="5">
        <f t="shared" si="108"/>
        <v>6422.2795785030721</v>
      </c>
      <c r="L969" s="5">
        <f t="shared" si="109"/>
        <v>6432.130611842179</v>
      </c>
      <c r="M969" s="5">
        <f t="shared" si="110"/>
        <v>6433.7707682761402</v>
      </c>
    </row>
    <row r="970" spans="6:13">
      <c r="F970">
        <v>969</v>
      </c>
      <c r="G970" s="5">
        <f t="shared" si="111"/>
        <v>5906.7150968409314</v>
      </c>
      <c r="H970" s="5">
        <f t="shared" si="105"/>
        <v>6161.9526020006151</v>
      </c>
      <c r="I970" s="5">
        <f t="shared" si="106"/>
        <v>6300.1373858896141</v>
      </c>
      <c r="J970" s="5">
        <f t="shared" si="107"/>
        <v>6396.572193609908</v>
      </c>
      <c r="K970" s="5">
        <f t="shared" si="108"/>
        <v>6434.6302645029082</v>
      </c>
      <c r="L970" s="5">
        <f t="shared" si="109"/>
        <v>6444.5104464465931</v>
      </c>
      <c r="M970" s="5">
        <f t="shared" si="110"/>
        <v>6446.1554575216833</v>
      </c>
    </row>
    <row r="971" spans="6:13">
      <c r="F971">
        <v>970</v>
      </c>
      <c r="G971" s="5">
        <f t="shared" si="111"/>
        <v>5917.5515024543347</v>
      </c>
      <c r="H971" s="5">
        <f t="shared" si="105"/>
        <v>6173.5267771852223</v>
      </c>
      <c r="I971" s="5">
        <f t="shared" si="106"/>
        <v>6312.1155828113797</v>
      </c>
      <c r="J971" s="5">
        <f t="shared" si="107"/>
        <v>6408.8342073141521</v>
      </c>
      <c r="K971" s="5">
        <f t="shared" si="108"/>
        <v>6447.0047021072633</v>
      </c>
      <c r="L971" s="5">
        <f t="shared" si="109"/>
        <v>6456.9141083508657</v>
      </c>
      <c r="M971" s="5">
        <f t="shared" si="110"/>
        <v>6458.5639866790361</v>
      </c>
    </row>
    <row r="972" spans="6:13">
      <c r="F972">
        <v>971</v>
      </c>
      <c r="G972" s="5">
        <f t="shared" si="111"/>
        <v>5928.4077884385879</v>
      </c>
      <c r="H972" s="5">
        <f t="shared" si="105"/>
        <v>6185.1226924804532</v>
      </c>
      <c r="I972" s="5">
        <f t="shared" si="106"/>
        <v>6324.1165533954836</v>
      </c>
      <c r="J972" s="5">
        <f t="shared" si="107"/>
        <v>6421.1197268861551</v>
      </c>
      <c r="K972" s="5">
        <f t="shared" si="108"/>
        <v>6459.4029369928512</v>
      </c>
      <c r="L972" s="5">
        <f t="shared" si="109"/>
        <v>6469.3416434150831</v>
      </c>
      <c r="M972" s="5">
        <f t="shared" si="110"/>
        <v>6470.9964016388421</v>
      </c>
    </row>
    <row r="973" spans="6:13">
      <c r="F973">
        <v>972</v>
      </c>
      <c r="G973" s="5">
        <f t="shared" si="111"/>
        <v>5939.2839912660338</v>
      </c>
      <c r="H973" s="5">
        <f t="shared" si="105"/>
        <v>6196.7403887213841</v>
      </c>
      <c r="I973" s="5">
        <f t="shared" si="106"/>
        <v>6336.1403409405657</v>
      </c>
      <c r="J973" s="5">
        <f t="shared" si="107"/>
        <v>6433.4287973858718</v>
      </c>
      <c r="K973" s="5">
        <f t="shared" si="108"/>
        <v>6471.8250149242222</v>
      </c>
      <c r="L973" s="5">
        <f t="shared" si="109"/>
        <v>6481.7930975875879</v>
      </c>
      <c r="M973" s="5">
        <f t="shared" si="110"/>
        <v>6483.4527483800866</v>
      </c>
    </row>
    <row r="974" spans="6:13">
      <c r="F974">
        <v>973</v>
      </c>
      <c r="G974" s="5">
        <f t="shared" si="111"/>
        <v>5950.1801474759368</v>
      </c>
      <c r="H974" s="5">
        <f t="shared" si="105"/>
        <v>6208.3799068198077</v>
      </c>
      <c r="I974" s="5">
        <f t="shared" si="106"/>
        <v>6348.1869888275987</v>
      </c>
      <c r="J974" s="5">
        <f t="shared" si="107"/>
        <v>6445.7614639596404</v>
      </c>
      <c r="K974" s="5">
        <f t="shared" si="108"/>
        <v>6484.270981753938</v>
      </c>
      <c r="L974" s="5">
        <f t="shared" si="109"/>
        <v>6494.2685169051665</v>
      </c>
      <c r="M974" s="5">
        <f t="shared" si="110"/>
        <v>6495.9330729702606</v>
      </c>
    </row>
    <row r="975" spans="6:13">
      <c r="F975">
        <v>974</v>
      </c>
      <c r="G975" s="5">
        <f t="shared" si="111"/>
        <v>5961.0962936745855</v>
      </c>
      <c r="H975" s="5">
        <f t="shared" si="105"/>
        <v>6220.0412877643503</v>
      </c>
      <c r="I975" s="5">
        <f t="shared" si="106"/>
        <v>6360.2565405200248</v>
      </c>
      <c r="J975" s="5">
        <f t="shared" si="107"/>
        <v>6458.1177718403405</v>
      </c>
      <c r="K975" s="5">
        <f t="shared" si="108"/>
        <v>6496.7408834227408</v>
      </c>
      <c r="L975" s="5">
        <f t="shared" si="109"/>
        <v>6506.7679474932047</v>
      </c>
      <c r="M975" s="5">
        <f t="shared" si="110"/>
        <v>6508.4374215655316</v>
      </c>
    </row>
    <row r="976" spans="6:13">
      <c r="F976">
        <v>975</v>
      </c>
      <c r="G976" s="5">
        <f t="shared" si="111"/>
        <v>5972.0324665354301</v>
      </c>
      <c r="H976" s="5">
        <f t="shared" si="105"/>
        <v>6231.724572620632</v>
      </c>
      <c r="I976" s="5">
        <f t="shared" si="106"/>
        <v>6372.3490395639228</v>
      </c>
      <c r="J976" s="5">
        <f t="shared" si="107"/>
        <v>6470.4977663475593</v>
      </c>
      <c r="K976" s="5">
        <f t="shared" si="108"/>
        <v>6509.234765959719</v>
      </c>
      <c r="L976" s="5">
        <f t="shared" si="109"/>
        <v>6519.2914355658759</v>
      </c>
      <c r="M976" s="5">
        <f t="shared" si="110"/>
        <v>6520.9658404109159</v>
      </c>
    </row>
    <row r="977" spans="6:13">
      <c r="F977">
        <v>976</v>
      </c>
      <c r="G977" s="5">
        <f t="shared" si="111"/>
        <v>5982.9887027992054</v>
      </c>
      <c r="H977" s="5">
        <f t="shared" si="105"/>
        <v>6243.429802531412</v>
      </c>
      <c r="I977" s="5">
        <f t="shared" si="106"/>
        <v>6384.464529588171</v>
      </c>
      <c r="J977" s="5">
        <f t="shared" si="107"/>
        <v>6482.9014928877687</v>
      </c>
      <c r="K977" s="5">
        <f t="shared" si="108"/>
        <v>6521.7526754824812</v>
      </c>
      <c r="L977" s="5">
        <f t="shared" si="109"/>
        <v>6531.8390274262892</v>
      </c>
      <c r="M977" s="5">
        <f t="shared" si="110"/>
        <v>6533.5183758404519</v>
      </c>
    </row>
    <row r="978" spans="6:13">
      <c r="F978">
        <v>977</v>
      </c>
      <c r="G978" s="5">
        <f t="shared" si="111"/>
        <v>5993.9650392740477</v>
      </c>
      <c r="H978" s="5">
        <f t="shared" si="105"/>
        <v>6255.1570187167254</v>
      </c>
      <c r="I978" s="5">
        <f t="shared" si="106"/>
        <v>6396.6030543045872</v>
      </c>
      <c r="J978" s="5">
        <f t="shared" si="107"/>
        <v>6495.328996954474</v>
      </c>
      <c r="K978" s="5">
        <f t="shared" si="108"/>
        <v>6534.2946581973247</v>
      </c>
      <c r="L978" s="5">
        <f t="shared" si="109"/>
        <v>6544.4107694666827</v>
      </c>
      <c r="M978" s="5">
        <f t="shared" si="110"/>
        <v>6546.0950742773648</v>
      </c>
    </row>
    <row r="979" spans="6:13">
      <c r="F979">
        <v>978</v>
      </c>
      <c r="G979" s="5">
        <f t="shared" si="111"/>
        <v>6004.9615128356163</v>
      </c>
      <c r="H979" s="5">
        <f t="shared" si="105"/>
        <v>6266.9062624740291</v>
      </c>
      <c r="I979" s="5">
        <f t="shared" si="106"/>
        <v>6408.7646575081044</v>
      </c>
      <c r="J979" s="5">
        <f t="shared" si="107"/>
        <v>6507.7803241283937</v>
      </c>
      <c r="K979" s="5">
        <f t="shared" si="108"/>
        <v>6546.8607603994024</v>
      </c>
      <c r="L979" s="5">
        <f t="shared" si="109"/>
        <v>6557.0067081685756</v>
      </c>
      <c r="M979" s="5">
        <f t="shared" si="110"/>
        <v>6558.6959822342451</v>
      </c>
    </row>
    <row r="980" spans="6:13">
      <c r="F980">
        <v>979</v>
      </c>
      <c r="G980" s="5">
        <f t="shared" si="111"/>
        <v>6015.978160427233</v>
      </c>
      <c r="H980" s="5">
        <f t="shared" si="105"/>
        <v>6278.677575178358</v>
      </c>
      <c r="I980" s="5">
        <f t="shared" si="106"/>
        <v>6420.9493830769197</v>
      </c>
      <c r="J980" s="5">
        <f t="shared" si="107"/>
        <v>6520.2555200776233</v>
      </c>
      <c r="K980" s="5">
        <f t="shared" si="108"/>
        <v>6559.4510284729067</v>
      </c>
      <c r="L980" s="5">
        <f t="shared" si="109"/>
        <v>6569.626890102958</v>
      </c>
      <c r="M980" s="5">
        <f t="shared" si="110"/>
        <v>6571.3211463132156</v>
      </c>
    </row>
    <row r="981" spans="6:13">
      <c r="F981">
        <v>980</v>
      </c>
      <c r="G981" s="5">
        <f t="shared" si="111"/>
        <v>6027.0150190599834</v>
      </c>
      <c r="H981" s="5">
        <f t="shared" si="105"/>
        <v>6290.4709982824543</v>
      </c>
      <c r="I981" s="5">
        <f t="shared" si="106"/>
        <v>6433.1572749726492</v>
      </c>
      <c r="J981" s="5">
        <f t="shared" si="107"/>
        <v>6532.7546305578026</v>
      </c>
      <c r="K981" s="5">
        <f t="shared" si="108"/>
        <v>6572.0655088912217</v>
      </c>
      <c r="L981" s="5">
        <f t="shared" si="109"/>
        <v>6582.2713619304486</v>
      </c>
      <c r="M981" s="5">
        <f t="shared" si="110"/>
        <v>6583.9706132061074</v>
      </c>
    </row>
    <row r="982" spans="6:13">
      <c r="F982">
        <v>981</v>
      </c>
      <c r="G982" s="5">
        <f t="shared" si="111"/>
        <v>6038.0721258128642</v>
      </c>
      <c r="H982" s="5">
        <f t="shared" si="105"/>
        <v>6302.286573316931</v>
      </c>
      <c r="I982" s="5">
        <f t="shared" si="106"/>
        <v>6445.3883772405006</v>
      </c>
      <c r="J982" s="5">
        <f t="shared" si="107"/>
        <v>6545.2777014122812</v>
      </c>
      <c r="K982" s="5">
        <f t="shared" si="108"/>
        <v>6584.7042482171073</v>
      </c>
      <c r="L982" s="5">
        <f t="shared" si="109"/>
        <v>6594.9401704014772</v>
      </c>
      <c r="M982" s="5">
        <f t="shared" si="110"/>
        <v>6596.6444296946283</v>
      </c>
    </row>
    <row r="983" spans="6:13">
      <c r="F983">
        <v>982</v>
      </c>
      <c r="G983" s="5">
        <f t="shared" si="111"/>
        <v>6049.1495178328896</v>
      </c>
      <c r="H983" s="5">
        <f t="shared" si="105"/>
        <v>6314.1243418904032</v>
      </c>
      <c r="I983" s="5">
        <f t="shared" si="106"/>
        <v>6457.6427340094124</v>
      </c>
      <c r="J983" s="5">
        <f t="shared" si="107"/>
        <v>6557.8247785722942</v>
      </c>
      <c r="K983" s="5">
        <f t="shared" si="108"/>
        <v>6597.3672931028723</v>
      </c>
      <c r="L983" s="5">
        <f t="shared" si="109"/>
        <v>6607.6333623564497</v>
      </c>
      <c r="M983" s="5">
        <f t="shared" si="110"/>
        <v>6609.3426426505448</v>
      </c>
    </row>
    <row r="984" spans="6:13">
      <c r="F984">
        <v>983</v>
      </c>
      <c r="G984" s="5">
        <f t="shared" si="111"/>
        <v>6060.2472323352213</v>
      </c>
      <c r="H984" s="5">
        <f t="shared" si="105"/>
        <v>6325.9843456896388</v>
      </c>
      <c r="I984" s="5">
        <f t="shared" si="106"/>
        <v>6469.9203894922312</v>
      </c>
      <c r="J984" s="5">
        <f t="shared" si="107"/>
        <v>6570.3959080571158</v>
      </c>
      <c r="K984" s="5">
        <f t="shared" si="108"/>
        <v>6610.0546902905389</v>
      </c>
      <c r="L984" s="5">
        <f t="shared" si="109"/>
        <v>6620.3509847259293</v>
      </c>
      <c r="M984" s="5">
        <f t="shared" si="110"/>
        <v>6622.0652990358431</v>
      </c>
    </row>
    <row r="985" spans="6:13">
      <c r="F985">
        <v>984</v>
      </c>
      <c r="G985" s="5">
        <f t="shared" si="111"/>
        <v>6071.3653066033085</v>
      </c>
      <c r="H985" s="5">
        <f t="shared" si="105"/>
        <v>6337.8666264797148</v>
      </c>
      <c r="I985" s="5">
        <f t="shared" si="106"/>
        <v>6482.2213879858609</v>
      </c>
      <c r="J985" s="5">
        <f t="shared" si="107"/>
        <v>6582.9911359742491</v>
      </c>
      <c r="K985" s="5">
        <f t="shared" si="108"/>
        <v>6622.7664866120158</v>
      </c>
      <c r="L985" s="5">
        <f t="shared" si="109"/>
        <v>6633.0930845308012</v>
      </c>
      <c r="M985" s="5">
        <f t="shared" si="110"/>
        <v>6634.8124459029104</v>
      </c>
    </row>
    <row r="986" spans="6:13">
      <c r="F986">
        <v>985</v>
      </c>
      <c r="G986" s="5">
        <f t="shared" si="111"/>
        <v>6082.5037779889844</v>
      </c>
      <c r="H986" s="5">
        <f t="shared" si="105"/>
        <v>6349.7712261041497</v>
      </c>
      <c r="I986" s="5">
        <f t="shared" si="106"/>
        <v>6494.5457738714285</v>
      </c>
      <c r="J986" s="5">
        <f t="shared" si="107"/>
        <v>6595.6105085195768</v>
      </c>
      <c r="K986" s="5">
        <f t="shared" si="108"/>
        <v>6635.5027289892823</v>
      </c>
      <c r="L986" s="5">
        <f t="shared" si="109"/>
        <v>6645.8597088824572</v>
      </c>
      <c r="M986" s="5">
        <f t="shared" si="110"/>
        <v>6647.5841303947082</v>
      </c>
    </row>
    <row r="987" spans="6:13">
      <c r="F987">
        <v>986</v>
      </c>
      <c r="G987" s="5">
        <f t="shared" si="111"/>
        <v>6093.6626839126184</v>
      </c>
      <c r="H987" s="5">
        <f t="shared" si="105"/>
        <v>6361.6981864850613</v>
      </c>
      <c r="I987" s="5">
        <f t="shared" si="106"/>
        <v>6506.8935916144337</v>
      </c>
      <c r="J987" s="5">
        <f t="shared" si="107"/>
        <v>6608.2540719775352</v>
      </c>
      <c r="K987" s="5">
        <f t="shared" si="108"/>
        <v>6648.2634644345471</v>
      </c>
      <c r="L987" s="5">
        <f t="shared" si="109"/>
        <v>6658.6509049829538</v>
      </c>
      <c r="M987" s="5">
        <f t="shared" si="110"/>
        <v>6660.3803997449459</v>
      </c>
    </row>
    <row r="988" spans="6:13">
      <c r="F988">
        <v>987</v>
      </c>
      <c r="G988" s="5">
        <f t="shared" si="111"/>
        <v>6104.8420618632263</v>
      </c>
      <c r="H988" s="5">
        <f t="shared" si="105"/>
        <v>6373.6475496233124</v>
      </c>
      <c r="I988" s="5">
        <f t="shared" si="106"/>
        <v>6519.2648857649247</v>
      </c>
      <c r="J988" s="5">
        <f t="shared" si="107"/>
        <v>6620.9218727212956</v>
      </c>
      <c r="K988" s="5">
        <f t="shared" si="108"/>
        <v>6661.0487400504298</v>
      </c>
      <c r="L988" s="5">
        <f t="shared" si="109"/>
        <v>6671.4667201252114</v>
      </c>
      <c r="M988" s="5">
        <f t="shared" si="110"/>
        <v>6673.2013012782554</v>
      </c>
    </row>
    <row r="989" spans="6:13">
      <c r="F989">
        <v>988</v>
      </c>
      <c r="G989" s="5">
        <f t="shared" si="111"/>
        <v>6116.0419493986019</v>
      </c>
      <c r="H989" s="5">
        <f t="shared" si="105"/>
        <v>6385.6193575986508</v>
      </c>
      <c r="I989" s="5">
        <f t="shared" si="106"/>
        <v>6531.6597009576444</v>
      </c>
      <c r="J989" s="5">
        <f t="shared" si="107"/>
        <v>6633.613957212915</v>
      </c>
      <c r="K989" s="5">
        <f t="shared" si="108"/>
        <v>6673.8586030301312</v>
      </c>
      <c r="L989" s="5">
        <f t="shared" si="109"/>
        <v>6684.3072016931592</v>
      </c>
      <c r="M989" s="5">
        <f t="shared" si="110"/>
        <v>6686.0468824103664</v>
      </c>
    </row>
    <row r="990" spans="6:13">
      <c r="F990">
        <v>989</v>
      </c>
      <c r="G990" s="5">
        <f t="shared" si="111"/>
        <v>6127.2623841454415</v>
      </c>
      <c r="H990" s="5">
        <f t="shared" si="105"/>
        <v>6397.613652569873</v>
      </c>
      <c r="I990" s="5">
        <f t="shared" si="106"/>
        <v>6544.0780819122037</v>
      </c>
      <c r="J990" s="5">
        <f t="shared" si="107"/>
        <v>6646.3303720035237</v>
      </c>
      <c r="K990" s="5">
        <f t="shared" si="108"/>
        <v>6686.6931006576142</v>
      </c>
      <c r="L990" s="5">
        <f t="shared" si="109"/>
        <v>6697.1723971619367</v>
      </c>
      <c r="M990" s="5">
        <f t="shared" si="110"/>
        <v>6698.9171906482798</v>
      </c>
    </row>
    <row r="991" spans="6:13">
      <c r="F991">
        <v>990</v>
      </c>
      <c r="G991" s="5">
        <f t="shared" si="111"/>
        <v>6138.5034037994747</v>
      </c>
      <c r="H991" s="5">
        <f t="shared" si="105"/>
        <v>6409.6304767749543</v>
      </c>
      <c r="I991" s="5">
        <f t="shared" si="106"/>
        <v>6556.5200734332348</v>
      </c>
      <c r="J991" s="5">
        <f t="shared" si="107"/>
        <v>6659.0711637334853</v>
      </c>
      <c r="K991" s="5">
        <f t="shared" si="108"/>
        <v>6699.5522803077693</v>
      </c>
      <c r="L991" s="5">
        <f t="shared" si="109"/>
        <v>6710.0623540980496</v>
      </c>
      <c r="M991" s="5">
        <f t="shared" si="110"/>
        <v>6711.8122735904462</v>
      </c>
    </row>
    <row r="992" spans="6:13">
      <c r="F992">
        <v>991</v>
      </c>
      <c r="G992" s="5">
        <f t="shared" si="111"/>
        <v>6149.7650461255798</v>
      </c>
      <c r="H992" s="5">
        <f t="shared" si="105"/>
        <v>6421.6698725312144</v>
      </c>
      <c r="I992" s="5">
        <f t="shared" si="106"/>
        <v>6568.9857204105519</v>
      </c>
      <c r="J992" s="5">
        <f t="shared" si="107"/>
        <v>6671.8363791325719</v>
      </c>
      <c r="K992" s="5">
        <f t="shared" si="108"/>
        <v>6712.4361894465937</v>
      </c>
      <c r="L992" s="5">
        <f t="shared" si="109"/>
        <v>6722.9771201595622</v>
      </c>
      <c r="M992" s="5">
        <f t="shared" si="110"/>
        <v>6724.7321789269427</v>
      </c>
    </row>
    <row r="993" spans="6:13">
      <c r="F993">
        <v>992</v>
      </c>
      <c r="G993" s="5">
        <f t="shared" si="111"/>
        <v>6161.0473489579281</v>
      </c>
      <c r="H993" s="5">
        <f t="shared" si="105"/>
        <v>6433.7318822354546</v>
      </c>
      <c r="I993" s="5">
        <f t="shared" si="106"/>
        <v>6581.4750678193222</v>
      </c>
      <c r="J993" s="5">
        <f t="shared" si="107"/>
        <v>6684.6260650201366</v>
      </c>
      <c r="K993" s="5">
        <f t="shared" si="108"/>
        <v>6725.3448756313701</v>
      </c>
      <c r="L993" s="5">
        <f t="shared" si="109"/>
        <v>6735.9167430962598</v>
      </c>
      <c r="M993" s="5">
        <f t="shared" si="110"/>
        <v>6737.6769544396448</v>
      </c>
    </row>
    <row r="994" spans="6:13">
      <c r="F994">
        <v>993</v>
      </c>
      <c r="G994" s="5">
        <f t="shared" si="111"/>
        <v>6172.3503502000931</v>
      </c>
      <c r="H994" s="5">
        <f t="shared" si="105"/>
        <v>6445.8165483641151</v>
      </c>
      <c r="I994" s="5">
        <f t="shared" si="106"/>
        <v>6593.9881607202178</v>
      </c>
      <c r="J994" s="5">
        <f t="shared" si="107"/>
        <v>6697.4402683052813</v>
      </c>
      <c r="K994" s="5">
        <f t="shared" si="108"/>
        <v>6738.2783865108331</v>
      </c>
      <c r="L994" s="5">
        <f t="shared" si="109"/>
        <v>6748.8812707498346</v>
      </c>
      <c r="M994" s="5">
        <f t="shared" si="110"/>
        <v>6750.6466480024083</v>
      </c>
    </row>
    <row r="995" spans="6:13">
      <c r="F995">
        <v>994</v>
      </c>
      <c r="G995" s="5">
        <f t="shared" si="111"/>
        <v>6183.6740878251849</v>
      </c>
      <c r="H995" s="5">
        <f t="shared" si="105"/>
        <v>6457.9239134734125</v>
      </c>
      <c r="I995" s="5">
        <f t="shared" si="106"/>
        <v>6606.5250442595825</v>
      </c>
      <c r="J995" s="5">
        <f t="shared" si="107"/>
        <v>6710.2790359870351</v>
      </c>
      <c r="K995" s="5">
        <f t="shared" si="108"/>
        <v>6751.2367698253565</v>
      </c>
      <c r="L995" s="5">
        <f t="shared" si="109"/>
        <v>6761.8707510540553</v>
      </c>
      <c r="M995" s="5">
        <f t="shared" si="110"/>
        <v>6763.6413075812397</v>
      </c>
    </row>
    <row r="996" spans="6:13">
      <c r="F996">
        <v>995</v>
      </c>
      <c r="G996" s="5">
        <f t="shared" si="111"/>
        <v>6195.0185998759898</v>
      </c>
      <c r="H996" s="5">
        <f t="shared" si="105"/>
        <v>6470.0540201995109</v>
      </c>
      <c r="I996" s="5">
        <f t="shared" si="106"/>
        <v>6619.0857636696019</v>
      </c>
      <c r="J996" s="5">
        <f t="shared" si="107"/>
        <v>6723.1424151545189</v>
      </c>
      <c r="K996" s="5">
        <f t="shared" si="108"/>
        <v>6764.2200734071193</v>
      </c>
      <c r="L996" s="5">
        <f t="shared" si="109"/>
        <v>6774.8852320349542</v>
      </c>
      <c r="M996" s="5">
        <f t="shared" si="110"/>
        <v>6776.6609812344805</v>
      </c>
    </row>
    <row r="997" spans="6:13">
      <c r="F997">
        <v>996</v>
      </c>
      <c r="G997" s="5">
        <f t="shared" si="111"/>
        <v>6206.3839244650726</v>
      </c>
      <c r="H997" s="5">
        <f t="shared" si="105"/>
        <v>6482.2069112586451</v>
      </c>
      <c r="I997" s="5">
        <f t="shared" si="106"/>
        <v>6631.6703642684497</v>
      </c>
      <c r="J997" s="5">
        <f t="shared" si="107"/>
        <v>6736.03045298712</v>
      </c>
      <c r="K997" s="5">
        <f t="shared" si="108"/>
        <v>6777.2283451802878</v>
      </c>
      <c r="L997" s="5">
        <f t="shared" si="109"/>
        <v>6787.9247618109903</v>
      </c>
      <c r="M997" s="5">
        <f t="shared" si="110"/>
        <v>6789.7057171129827</v>
      </c>
    </row>
    <row r="998" spans="6:13">
      <c r="F998">
        <v>997</v>
      </c>
      <c r="G998" s="5">
        <f t="shared" si="111"/>
        <v>6217.7700997749307</v>
      </c>
      <c r="H998" s="5">
        <f t="shared" si="105"/>
        <v>6494.3826294472974</v>
      </c>
      <c r="I998" s="5">
        <f t="shared" si="106"/>
        <v>6644.2788914604707</v>
      </c>
      <c r="J998" s="5">
        <f t="shared" si="107"/>
        <v>6748.9431967546734</v>
      </c>
      <c r="K998" s="5">
        <f t="shared" si="108"/>
        <v>6790.2616331611898</v>
      </c>
      <c r="L998" s="5">
        <f t="shared" si="109"/>
        <v>6800.9893885932443</v>
      </c>
      <c r="M998" s="5">
        <f t="shared" si="110"/>
        <v>6802.7755634602854</v>
      </c>
    </row>
    <row r="999" spans="6:13">
      <c r="F999">
        <v>998</v>
      </c>
      <c r="G999" s="5">
        <f t="shared" si="111"/>
        <v>6229.1771640581064</v>
      </c>
      <c r="H999" s="5">
        <f t="shared" si="105"/>
        <v>6506.5812176423306</v>
      </c>
      <c r="I999" s="5">
        <f t="shared" si="106"/>
        <v>6656.9113907363298</v>
      </c>
      <c r="J999" s="5">
        <f t="shared" si="107"/>
        <v>6761.880693817624</v>
      </c>
      <c r="K999" s="5">
        <f t="shared" si="108"/>
        <v>6803.3199854585009</v>
      </c>
      <c r="L999" s="5">
        <f t="shared" si="109"/>
        <v>6814.0791606855782</v>
      </c>
      <c r="M999" s="5">
        <f t="shared" si="110"/>
        <v>6815.8705686127951</v>
      </c>
    </row>
    <row r="1000" spans="6:13">
      <c r="F1000">
        <v>999</v>
      </c>
      <c r="G1000" s="5">
        <f t="shared" si="111"/>
        <v>6240.605155637315</v>
      </c>
      <c r="H1000" s="5">
        <f t="shared" si="105"/>
        <v>6518.8027188011374</v>
      </c>
      <c r="I1000" s="5">
        <f t="shared" si="106"/>
        <v>6669.5679076731785</v>
      </c>
      <c r="J1000" s="5">
        <f t="shared" si="107"/>
        <v>6774.8429916272053</v>
      </c>
      <c r="K1000" s="5">
        <f t="shared" si="108"/>
        <v>6816.403450273403</v>
      </c>
      <c r="L1000" s="5">
        <f t="shared" si="109"/>
        <v>6827.1941264848365</v>
      </c>
      <c r="M1000" s="5">
        <f t="shared" si="110"/>
        <v>6828.9907809999595</v>
      </c>
    </row>
    <row r="1001" spans="6:13">
      <c r="F1001">
        <v>1000</v>
      </c>
      <c r="G1001" s="5">
        <f t="shared" si="111"/>
        <v>6252.0541129055882</v>
      </c>
      <c r="H1001" s="5">
        <f t="shared" si="105"/>
        <v>6531.0471759618149</v>
      </c>
      <c r="I1001" s="5">
        <f t="shared" si="106"/>
        <v>6682.2484879348303</v>
      </c>
      <c r="J1001" s="5">
        <f t="shared" si="107"/>
        <v>6787.8301377256166</v>
      </c>
      <c r="K1001" s="5">
        <f t="shared" si="108"/>
        <v>6829.5120758997782</v>
      </c>
      <c r="L1001" s="5">
        <f t="shared" si="109"/>
        <v>6840.334334481</v>
      </c>
      <c r="M1001" s="5">
        <f t="shared" si="110"/>
        <v>6842.136249144457</v>
      </c>
    </row>
    <row r="1002" spans="6:13">
      <c r="F1002">
        <v>1001</v>
      </c>
      <c r="G1002" s="5">
        <f t="shared" si="111"/>
        <v>6263.5240743263857</v>
      </c>
      <c r="H1002" s="5">
        <f t="shared" si="105"/>
        <v>6543.3146322432849</v>
      </c>
      <c r="I1002" s="5">
        <f t="shared" si="106"/>
        <v>6694.9531772719138</v>
      </c>
      <c r="J1002" s="5">
        <f t="shared" si="107"/>
        <v>6800.8421797461879</v>
      </c>
      <c r="K1002" s="5">
        <f t="shared" si="108"/>
        <v>6842.6459107243882</v>
      </c>
      <c r="L1002" s="5">
        <f t="shared" si="109"/>
        <v>6853.4998332573869</v>
      </c>
      <c r="M1002" s="5">
        <f t="shared" si="110"/>
        <v>6855.3070216623646</v>
      </c>
    </row>
    <row r="1003" spans="6:13">
      <c r="F1003">
        <v>1002</v>
      </c>
      <c r="G1003" s="5">
        <f t="shared" si="111"/>
        <v>6275.0150784337302</v>
      </c>
      <c r="H1003" s="5">
        <f t="shared" si="105"/>
        <v>6555.6051308454653</v>
      </c>
      <c r="I1003" s="5">
        <f t="shared" si="106"/>
        <v>6707.6820215220359</v>
      </c>
      <c r="J1003" s="5">
        <f t="shared" si="107"/>
        <v>6813.8791654135684</v>
      </c>
      <c r="K1003" s="5">
        <f t="shared" si="108"/>
        <v>6855.805003227043</v>
      </c>
      <c r="L1003" s="5">
        <f t="shared" si="109"/>
        <v>6866.6906714908164</v>
      </c>
      <c r="M1003" s="5">
        <f t="shared" si="110"/>
        <v>6868.5031472633436</v>
      </c>
    </row>
    <row r="1004" spans="6:13">
      <c r="F1004">
        <v>1003</v>
      </c>
      <c r="G1004" s="5">
        <f t="shared" si="111"/>
        <v>6286.5271638323502</v>
      </c>
      <c r="H1004" s="5">
        <f t="shared" si="105"/>
        <v>6567.9187150494236</v>
      </c>
      <c r="I1004" s="5">
        <f t="shared" si="106"/>
        <v>6720.4350666099645</v>
      </c>
      <c r="J1004" s="5">
        <f t="shared" si="107"/>
        <v>6826.9411425438884</v>
      </c>
      <c r="K1004" s="5">
        <f t="shared" si="108"/>
        <v>6868.9894019807789</v>
      </c>
      <c r="L1004" s="5">
        <f t="shared" si="109"/>
        <v>6879.9068979517988</v>
      </c>
      <c r="M1004" s="5">
        <f t="shared" si="110"/>
        <v>6881.7246747508234</v>
      </c>
    </row>
    <row r="1005" spans="6:13">
      <c r="F1005">
        <v>1004</v>
      </c>
      <c r="G1005" s="5">
        <f t="shared" si="111"/>
        <v>6298.0603691977822</v>
      </c>
      <c r="H1005" s="5">
        <f t="shared" si="105"/>
        <v>6580.2554282175133</v>
      </c>
      <c r="I1005" s="5">
        <f t="shared" si="106"/>
        <v>6733.2123585477693</v>
      </c>
      <c r="J1005" s="5">
        <f t="shared" si="107"/>
        <v>6840.0281590449404</v>
      </c>
      <c r="K1005" s="5">
        <f t="shared" si="108"/>
        <v>6882.1991556520488</v>
      </c>
      <c r="L1005" s="5">
        <f t="shared" si="109"/>
        <v>6893.1485615047113</v>
      </c>
      <c r="M1005" s="5">
        <f t="shared" si="110"/>
        <v>6894.9716530221694</v>
      </c>
    </row>
    <row r="1006" spans="6:13">
      <c r="F1006">
        <v>1005</v>
      </c>
      <c r="G1006" s="5">
        <f t="shared" si="111"/>
        <v>6309.6147332765313</v>
      </c>
      <c r="H1006" s="5">
        <f t="shared" si="105"/>
        <v>6592.6153137935471</v>
      </c>
      <c r="I1006" s="5">
        <f t="shared" si="106"/>
        <v>6746.013943435014</v>
      </c>
      <c r="J1006" s="5">
        <f t="shared" si="107"/>
        <v>6853.1402629163576</v>
      </c>
      <c r="K1006" s="5">
        <f t="shared" si="108"/>
        <v>6895.4343130009001</v>
      </c>
      <c r="L1006" s="5">
        <f t="shared" si="109"/>
        <v>6906.4157111079803</v>
      </c>
      <c r="M1006" s="5">
        <f t="shared" si="110"/>
        <v>6908.2441310688801</v>
      </c>
    </row>
    <row r="1007" spans="6:13">
      <c r="F1007">
        <v>1006</v>
      </c>
      <c r="G1007" s="5">
        <f t="shared" si="111"/>
        <v>6321.1902948861743</v>
      </c>
      <c r="H1007" s="5">
        <f t="shared" si="105"/>
        <v>6604.9984153029318</v>
      </c>
      <c r="I1007" s="5">
        <f t="shared" si="106"/>
        <v>6758.8398674588989</v>
      </c>
      <c r="J1007" s="5">
        <f t="shared" si="107"/>
        <v>6866.2775022497854</v>
      </c>
      <c r="K1007" s="5">
        <f t="shared" si="108"/>
        <v>6908.6949228811418</v>
      </c>
      <c r="L1007" s="5">
        <f t="shared" si="109"/>
        <v>6919.7083958142612</v>
      </c>
      <c r="M1007" s="5">
        <f t="shared" si="110"/>
        <v>6921.5421579767572</v>
      </c>
    </row>
    <row r="1008" spans="6:13">
      <c r="F1008">
        <v>1007</v>
      </c>
      <c r="G1008" s="5">
        <f t="shared" si="111"/>
        <v>6332.7870929155124</v>
      </c>
      <c r="H1008" s="5">
        <f t="shared" si="105"/>
        <v>6617.4047763528288</v>
      </c>
      <c r="I1008" s="5">
        <f t="shared" si="106"/>
        <v>6771.6901768944399</v>
      </c>
      <c r="J1008" s="5">
        <f t="shared" si="107"/>
        <v>6879.439925229055</v>
      </c>
      <c r="K1008" s="5">
        <f t="shared" si="108"/>
        <v>6921.9810342405353</v>
      </c>
      <c r="L1008" s="5">
        <f t="shared" si="109"/>
        <v>6933.0266647706221</v>
      </c>
      <c r="M1008" s="5">
        <f t="shared" si="110"/>
        <v>6934.8657829260865</v>
      </c>
    </row>
    <row r="1009" spans="6:13">
      <c r="F1009">
        <v>1008</v>
      </c>
      <c r="G1009" s="5">
        <f t="shared" si="111"/>
        <v>6344.4051663246846</v>
      </c>
      <c r="H1009" s="5">
        <f t="shared" si="105"/>
        <v>6629.8344406323158</v>
      </c>
      <c r="I1009" s="5">
        <f t="shared" si="106"/>
        <v>6784.564918104641</v>
      </c>
      <c r="J1009" s="5">
        <f t="shared" si="107"/>
        <v>6892.6275801303709</v>
      </c>
      <c r="K1009" s="5">
        <f t="shared" si="108"/>
        <v>6935.2926961209814</v>
      </c>
      <c r="L1009" s="5">
        <f t="shared" si="109"/>
        <v>6946.3705672187189</v>
      </c>
      <c r="M1009" s="5">
        <f t="shared" si="110"/>
        <v>6948.2150551918303</v>
      </c>
    </row>
    <row r="1010" spans="6:13">
      <c r="F1010">
        <v>1009</v>
      </c>
      <c r="G1010" s="5">
        <f t="shared" si="111"/>
        <v>6356.0445541453118</v>
      </c>
      <c r="H1010" s="5">
        <f t="shared" si="105"/>
        <v>6642.2874519125271</v>
      </c>
      <c r="I1010" s="5">
        <f t="shared" si="106"/>
        <v>6797.4641375406472</v>
      </c>
      <c r="J1010" s="5">
        <f t="shared" si="107"/>
        <v>6905.8405153224794</v>
      </c>
      <c r="K1010" s="5">
        <f t="shared" si="108"/>
        <v>6948.6299576586862</v>
      </c>
      <c r="L1010" s="5">
        <f t="shared" si="109"/>
        <v>6959.7401524949901</v>
      </c>
      <c r="M1010" s="5">
        <f t="shared" si="110"/>
        <v>6961.5900241437957</v>
      </c>
    </row>
    <row r="1011" spans="6:13">
      <c r="F1011">
        <v>1010</v>
      </c>
      <c r="G1011" s="5">
        <f t="shared" si="111"/>
        <v>6367.7052954806122</v>
      </c>
      <c r="H1011" s="5">
        <f t="shared" si="105"/>
        <v>6654.7638540468106</v>
      </c>
      <c r="I1011" s="5">
        <f t="shared" si="106"/>
        <v>6810.3878817419181</v>
      </c>
      <c r="J1011" s="5">
        <f t="shared" si="107"/>
        <v>6919.078779266848</v>
      </c>
      <c r="K1011" s="5">
        <f t="shared" si="108"/>
        <v>6961.9928680843468</v>
      </c>
      <c r="L1011" s="5">
        <f t="shared" si="109"/>
        <v>6973.1354700308229</v>
      </c>
      <c r="M1011" s="5">
        <f t="shared" si="110"/>
        <v>6974.9907392468303</v>
      </c>
    </row>
    <row r="1012" spans="6:13">
      <c r="F1012">
        <v>1011</v>
      </c>
      <c r="G1012" s="5">
        <f t="shared" si="111"/>
        <v>6379.3874295055575</v>
      </c>
      <c r="H1012" s="5">
        <f t="shared" si="105"/>
        <v>6667.2636909708954</v>
      </c>
      <c r="I1012" s="5">
        <f t="shared" si="106"/>
        <v>6823.3361973364053</v>
      </c>
      <c r="J1012" s="5">
        <f t="shared" si="107"/>
        <v>6932.3424205178417</v>
      </c>
      <c r="K1012" s="5">
        <f t="shared" si="108"/>
        <v>6975.3814767233453</v>
      </c>
      <c r="L1012" s="5">
        <f t="shared" si="109"/>
        <v>6986.5565693527524</v>
      </c>
      <c r="M1012" s="5">
        <f t="shared" si="110"/>
        <v>6988.4172500609966</v>
      </c>
    </row>
    <row r="1013" spans="6:13">
      <c r="F1013">
        <v>1012</v>
      </c>
      <c r="G1013" s="5">
        <f t="shared" si="111"/>
        <v>6391.0909954669733</v>
      </c>
      <c r="H1013" s="5">
        <f t="shared" si="105"/>
        <v>6679.7870067030262</v>
      </c>
      <c r="I1013" s="5">
        <f t="shared" si="106"/>
        <v>6836.3091310407017</v>
      </c>
      <c r="J1013" s="5">
        <f t="shared" si="107"/>
        <v>6945.6314877229024</v>
      </c>
      <c r="K1013" s="5">
        <f t="shared" si="108"/>
        <v>6988.7958329959138</v>
      </c>
      <c r="L1013" s="5">
        <f t="shared" si="109"/>
        <v>7000.0035000826274</v>
      </c>
      <c r="M1013" s="5">
        <f t="shared" si="110"/>
        <v>7001.8696062417539</v>
      </c>
    </row>
    <row r="1014" spans="6:13">
      <c r="F1014">
        <v>1013</v>
      </c>
      <c r="G1014" s="5">
        <f t="shared" si="111"/>
        <v>6402.8160326837005</v>
      </c>
      <c r="H1014" s="5">
        <f t="shared" ref="H1014:H1077" si="112">$C$2*(1+$C$1/$D$6)^(F1014*$D$6*0.019231)</f>
        <v>6692.3338453441347</v>
      </c>
      <c r="I1014" s="5">
        <f t="shared" ref="I1014:I1077" si="113">$C$2*(1+$C$1/$D$7)^(F1014*$D$7*0.019231)</f>
        <v>6849.3067296602312</v>
      </c>
      <c r="J1014" s="5">
        <f t="shared" ref="J1014:J1077" si="114">$C$2*(1+$C$1/$D$8)^(F1014*$D$8*0.019231)</f>
        <v>6958.9460296227307</v>
      </c>
      <c r="K1014" s="5">
        <f t="shared" ref="K1014:K1077" si="115">$C$2*(1+$C$1/$D$9)^(F1014*$D$9*0.019231)</f>
        <v>7002.2359864173268</v>
      </c>
      <c r="L1014" s="5">
        <f t="shared" ref="L1014:L1077" si="116">$C$2*(1+$C$1/$D$10)^(F1014*$D$10*0.019231)</f>
        <v>7013.4763119378131</v>
      </c>
      <c r="M1014" s="5">
        <f t="shared" ref="M1014:M1077" si="117">$C$2*EXP($C$1*F1014*0.019231)</f>
        <v>7015.347857540155</v>
      </c>
    </row>
    <row r="1015" spans="6:13">
      <c r="F1015">
        <v>1014</v>
      </c>
      <c r="G1015" s="5">
        <f t="shared" si="111"/>
        <v>6414.5625805467062</v>
      </c>
      <c r="H1015" s="5">
        <f t="shared" si="112"/>
        <v>6704.9042510779846</v>
      </c>
      <c r="I1015" s="5">
        <f t="shared" si="113"/>
        <v>6862.3290400893993</v>
      </c>
      <c r="J1015" s="5">
        <f t="shared" si="114"/>
        <v>6972.2860950514569</v>
      </c>
      <c r="K1015" s="5">
        <f t="shared" si="115"/>
        <v>7015.7019865980837</v>
      </c>
      <c r="L1015" s="5">
        <f t="shared" si="116"/>
        <v>7026.9750547313606</v>
      </c>
      <c r="M1015" s="5">
        <f t="shared" si="117"/>
        <v>7028.8520538030107</v>
      </c>
    </row>
    <row r="1016" spans="6:13">
      <c r="F1016">
        <v>1015</v>
      </c>
      <c r="G1016" s="5">
        <f t="shared" si="111"/>
        <v>6426.3306785192217</v>
      </c>
      <c r="H1016" s="5">
        <f t="shared" si="112"/>
        <v>6717.4982681713336</v>
      </c>
      <c r="I1016" s="5">
        <f t="shared" si="113"/>
        <v>6875.3761093117682</v>
      </c>
      <c r="J1016" s="5">
        <f t="shared" si="114"/>
        <v>6985.6517329368307</v>
      </c>
      <c r="K1016" s="5">
        <f t="shared" si="115"/>
        <v>7029.1938832440874</v>
      </c>
      <c r="L1016" s="5">
        <f t="shared" si="116"/>
        <v>7040.4997783721938</v>
      </c>
      <c r="M1016" s="5">
        <f t="shared" si="117"/>
        <v>7042.3822449730906</v>
      </c>
    </row>
    <row r="1017" spans="6:13">
      <c r="F1017">
        <v>1016</v>
      </c>
      <c r="G1017" s="5">
        <f t="shared" si="111"/>
        <v>6438.1203661368863</v>
      </c>
      <c r="H1017" s="5">
        <f t="shared" si="112"/>
        <v>6730.1159409740894</v>
      </c>
      <c r="I1017" s="5">
        <f t="shared" si="113"/>
        <v>6888.4479844002399</v>
      </c>
      <c r="J1017" s="5">
        <f t="shared" si="114"/>
        <v>6999.0429923003894</v>
      </c>
      <c r="K1017" s="5">
        <f t="shared" si="115"/>
        <v>7042.7117261568264</v>
      </c>
      <c r="L1017" s="5">
        <f t="shared" si="116"/>
        <v>7054.0505328652998</v>
      </c>
      <c r="M1017" s="5">
        <f t="shared" si="117"/>
        <v>7055.9384810893025</v>
      </c>
    </row>
    <row r="1018" spans="6:13">
      <c r="F1018">
        <v>1017</v>
      </c>
      <c r="G1018" s="5">
        <f t="shared" si="111"/>
        <v>6449.931683007866</v>
      </c>
      <c r="H1018" s="5">
        <f t="shared" si="112"/>
        <v>6742.7573139194556</v>
      </c>
      <c r="I1018" s="5">
        <f t="shared" si="113"/>
        <v>6901.5447125172013</v>
      </c>
      <c r="J1018" s="5">
        <f t="shared" si="114"/>
        <v>7012.4599222576435</v>
      </c>
      <c r="K1018" s="5">
        <f t="shared" si="115"/>
        <v>7056.2555652335759</v>
      </c>
      <c r="L1018" s="5">
        <f t="shared" si="116"/>
        <v>7067.6273683119025</v>
      </c>
      <c r="M1018" s="5">
        <f t="shared" si="117"/>
        <v>7069.5208122868708</v>
      </c>
    </row>
    <row r="1019" spans="6:13">
      <c r="F1019">
        <v>1018</v>
      </c>
      <c r="G1019" s="5">
        <f t="shared" si="111"/>
        <v>6461.7646688129871</v>
      </c>
      <c r="H1019" s="5">
        <f t="shared" si="112"/>
        <v>6755.4224315241036</v>
      </c>
      <c r="I1019" s="5">
        <f t="shared" si="113"/>
        <v>6914.6663409147113</v>
      </c>
      <c r="J1019" s="5">
        <f t="shared" si="114"/>
        <v>7025.9025720182599</v>
      </c>
      <c r="K1019" s="5">
        <f t="shared" si="115"/>
        <v>7069.8254504675524</v>
      </c>
      <c r="L1019" s="5">
        <f t="shared" si="116"/>
        <v>7081.2303349096646</v>
      </c>
      <c r="M1019" s="5">
        <f t="shared" si="117"/>
        <v>7083.129288797536</v>
      </c>
    </row>
    <row r="1020" spans="6:13">
      <c r="F1020">
        <v>1019</v>
      </c>
      <c r="G1020" s="5">
        <f t="shared" si="111"/>
        <v>6473.6193633058847</v>
      </c>
      <c r="H1020" s="5">
        <f t="shared" si="112"/>
        <v>6768.1113383883194</v>
      </c>
      <c r="I1020" s="5">
        <f t="shared" si="113"/>
        <v>6927.8129169346712</v>
      </c>
      <c r="J1020" s="5">
        <f t="shared" si="114"/>
        <v>7039.3709908862356</v>
      </c>
      <c r="K1020" s="5">
        <f t="shared" si="115"/>
        <v>7083.4214319481225</v>
      </c>
      <c r="L1020" s="5">
        <f t="shared" si="116"/>
        <v>7094.8594829528547</v>
      </c>
      <c r="M1020" s="5">
        <f t="shared" si="117"/>
        <v>7096.7639609497228</v>
      </c>
    </row>
    <row r="1021" spans="6:13">
      <c r="F1021">
        <v>1020</v>
      </c>
      <c r="G1021" s="5">
        <f t="shared" si="111"/>
        <v>6485.4958063131116</v>
      </c>
      <c r="H1021" s="5">
        <f t="shared" si="112"/>
        <v>6780.8240791961625</v>
      </c>
      <c r="I1021" s="5">
        <f t="shared" si="113"/>
        <v>6940.9844880089868</v>
      </c>
      <c r="J1021" s="5">
        <f t="shared" si="114"/>
        <v>7052.8652282600797</v>
      </c>
      <c r="K1021" s="5">
        <f t="shared" si="115"/>
        <v>7097.0435598609802</v>
      </c>
      <c r="L1021" s="5">
        <f t="shared" si="116"/>
        <v>7108.5148628325487</v>
      </c>
      <c r="M1021" s="5">
        <f t="shared" si="117"/>
        <v>7110.4248791687414</v>
      </c>
    </row>
    <row r="1022" spans="6:13">
      <c r="F1022">
        <v>1021</v>
      </c>
      <c r="G1022" s="5">
        <f t="shared" si="111"/>
        <v>6497.3940377343015</v>
      </c>
      <c r="H1022" s="5">
        <f t="shared" si="112"/>
        <v>6793.5606987156225</v>
      </c>
      <c r="I1022" s="5">
        <f t="shared" si="113"/>
        <v>6954.1811016597494</v>
      </c>
      <c r="J1022" s="5">
        <f t="shared" si="114"/>
        <v>7066.3853336330039</v>
      </c>
      <c r="K1022" s="5">
        <f t="shared" si="115"/>
        <v>7110.6918844883276</v>
      </c>
      <c r="L1022" s="5">
        <f t="shared" si="116"/>
        <v>7122.1965250368039</v>
      </c>
      <c r="M1022" s="5">
        <f t="shared" si="117"/>
        <v>7124.1120939769708</v>
      </c>
    </row>
    <row r="1023" spans="6:13">
      <c r="F1023">
        <v>1022</v>
      </c>
      <c r="G1023" s="5">
        <f t="shared" si="111"/>
        <v>6509.3140975422775</v>
      </c>
      <c r="H1023" s="5">
        <f t="shared" si="112"/>
        <v>6806.3212417987825</v>
      </c>
      <c r="I1023" s="5">
        <f t="shared" si="113"/>
        <v>6967.402805499396</v>
      </c>
      <c r="J1023" s="5">
        <f t="shared" si="114"/>
        <v>7079.9313565930888</v>
      </c>
      <c r="K1023" s="5">
        <f t="shared" si="115"/>
        <v>7124.3664562090698</v>
      </c>
      <c r="L1023" s="5">
        <f t="shared" si="116"/>
        <v>7135.9045201508579</v>
      </c>
      <c r="M1023" s="5">
        <f t="shared" si="117"/>
        <v>7137.8256559940319</v>
      </c>
    </row>
    <row r="1024" spans="6:13">
      <c r="F1024">
        <v>1023</v>
      </c>
      <c r="G1024" s="5">
        <f t="shared" si="111"/>
        <v>6521.2560257831938</v>
      </c>
      <c r="H1024" s="5">
        <f t="shared" si="112"/>
        <v>6819.105753381964</v>
      </c>
      <c r="I1024" s="5">
        <f t="shared" si="113"/>
        <v>6980.6496472308872</v>
      </c>
      <c r="J1024" s="5">
        <f t="shared" si="114"/>
        <v>7093.5033468234797</v>
      </c>
      <c r="K1024" s="5">
        <f t="shared" si="115"/>
        <v>7138.0673254989897</v>
      </c>
      <c r="L1024" s="5">
        <f t="shared" si="116"/>
        <v>7149.6388988572999</v>
      </c>
      <c r="M1024" s="5">
        <f t="shared" si="117"/>
        <v>7151.5656159370028</v>
      </c>
    </row>
    <row r="1025" spans="6:13">
      <c r="F1025">
        <v>1024</v>
      </c>
      <c r="G1025" s="5">
        <f t="shared" si="111"/>
        <v>6533.219862576685</v>
      </c>
      <c r="H1025" s="5">
        <f t="shared" si="112"/>
        <v>6831.9142784859059</v>
      </c>
      <c r="I1025" s="5">
        <f t="shared" si="113"/>
        <v>6993.9216746478878</v>
      </c>
      <c r="J1025" s="5">
        <f t="shared" si="114"/>
        <v>7107.1013541025577</v>
      </c>
      <c r="K1025" s="5">
        <f t="shared" si="115"/>
        <v>7151.7945429309484</v>
      </c>
      <c r="L1025" s="5">
        <f t="shared" si="116"/>
        <v>7163.3997119362793</v>
      </c>
      <c r="M1025" s="5">
        <f t="shared" si="117"/>
        <v>7165.3320246205722</v>
      </c>
    </row>
    <row r="1026" spans="6:13">
      <c r="F1026">
        <v>1025</v>
      </c>
      <c r="G1026" s="5">
        <f t="shared" si="111"/>
        <v>6545.2056481159761</v>
      </c>
      <c r="H1026" s="5">
        <f t="shared" si="112"/>
        <v>6844.7468622159013</v>
      </c>
      <c r="I1026" s="5">
        <f t="shared" si="113"/>
        <v>7007.2189356349245</v>
      </c>
      <c r="J1026" s="5">
        <f t="shared" si="114"/>
        <v>7120.7254283041293</v>
      </c>
      <c r="K1026" s="5">
        <f t="shared" si="115"/>
        <v>7165.5481591750531</v>
      </c>
      <c r="L1026" s="5">
        <f t="shared" si="116"/>
        <v>7177.1870102656685</v>
      </c>
      <c r="M1026" s="5">
        <f t="shared" si="117"/>
        <v>7179.1249329572565</v>
      </c>
    </row>
    <row r="1027" spans="6:13">
      <c r="F1027">
        <v>1026</v>
      </c>
      <c r="G1027" s="5">
        <f t="shared" si="111"/>
        <v>6557.2134226680382</v>
      </c>
      <c r="H1027" s="5">
        <f t="shared" si="112"/>
        <v>6857.603549761966</v>
      </c>
      <c r="I1027" s="5">
        <f t="shared" si="113"/>
        <v>7020.541478167559</v>
      </c>
      <c r="J1027" s="5">
        <f t="shared" si="114"/>
        <v>7134.3756193976114</v>
      </c>
      <c r="K1027" s="5">
        <f t="shared" si="115"/>
        <v>7179.3282249988597</v>
      </c>
      <c r="L1027" s="5">
        <f t="shared" si="116"/>
        <v>7191.0008448212739</v>
      </c>
      <c r="M1027" s="5">
        <f t="shared" si="117"/>
        <v>7192.9443919575724</v>
      </c>
    </row>
    <row r="1028" spans="6:13">
      <c r="F1028">
        <v>1027</v>
      </c>
      <c r="G1028" s="5">
        <f t="shared" ref="G1028:G1091" si="118">$C$2*(1+$C$1)^(F1028*0.019231/$D$5)</f>
        <v>6569.2432265737143</v>
      </c>
      <c r="H1028" s="5">
        <f t="shared" si="112"/>
        <v>6870.4843863990045</v>
      </c>
      <c r="I1028" s="5">
        <f t="shared" si="113"/>
        <v>7033.8893503125819</v>
      </c>
      <c r="J1028" s="5">
        <f t="shared" si="114"/>
        <v>7148.0519774482054</v>
      </c>
      <c r="K1028" s="5">
        <f t="shared" si="115"/>
        <v>7193.1347912675592</v>
      </c>
      <c r="L1028" s="5">
        <f t="shared" si="116"/>
        <v>7204.8412666770082</v>
      </c>
      <c r="M1028" s="5">
        <f t="shared" si="117"/>
        <v>7206.7904527302226</v>
      </c>
    </row>
    <row r="1029" spans="6:13">
      <c r="F1029">
        <v>1028</v>
      </c>
      <c r="G1029" s="5">
        <f t="shared" si="118"/>
        <v>6581.2951002478558</v>
      </c>
      <c r="H1029" s="5">
        <f t="shared" si="112"/>
        <v>6883.3894174869583</v>
      </c>
      <c r="I1029" s="5">
        <f t="shared" si="113"/>
        <v>7047.2626002281586</v>
      </c>
      <c r="J1029" s="5">
        <f t="shared" si="114"/>
        <v>7161.7545526170879</v>
      </c>
      <c r="K1029" s="5">
        <f t="shared" si="115"/>
        <v>7206.967908944157</v>
      </c>
      <c r="L1029" s="5">
        <f t="shared" si="116"/>
        <v>7218.7083270050907</v>
      </c>
      <c r="M1029" s="5">
        <f t="shared" si="117"/>
        <v>7220.663166482308</v>
      </c>
    </row>
    <row r="1030" spans="6:13">
      <c r="F1030">
        <v>1029</v>
      </c>
      <c r="G1030" s="5">
        <f t="shared" si="118"/>
        <v>6593.3690841794541</v>
      </c>
      <c r="H1030" s="5">
        <f t="shared" si="112"/>
        <v>6896.3186884709639</v>
      </c>
      <c r="I1030" s="5">
        <f t="shared" si="113"/>
        <v>7060.6612761640172</v>
      </c>
      <c r="J1030" s="5">
        <f t="shared" si="114"/>
        <v>7175.4833951615938</v>
      </c>
      <c r="K1030" s="5">
        <f t="shared" si="115"/>
        <v>7220.8276290896629</v>
      </c>
      <c r="L1030" s="5">
        <f t="shared" si="116"/>
        <v>7232.6020770762234</v>
      </c>
      <c r="M1030" s="5">
        <f t="shared" si="117"/>
        <v>7234.5625845194827</v>
      </c>
    </row>
    <row r="1031" spans="6:13">
      <c r="F1031">
        <v>1030</v>
      </c>
      <c r="G1031" s="5">
        <f t="shared" si="118"/>
        <v>6605.4652189317931</v>
      </c>
      <c r="H1031" s="5">
        <f t="shared" si="112"/>
        <v>6909.2722448815321</v>
      </c>
      <c r="I1031" s="5">
        <f t="shared" si="113"/>
        <v>7074.085426461631</v>
      </c>
      <c r="J1031" s="5">
        <f t="shared" si="114"/>
        <v>7189.2385554353959</v>
      </c>
      <c r="K1031" s="5">
        <f t="shared" si="115"/>
        <v>7234.7140028632939</v>
      </c>
      <c r="L1031" s="5">
        <f t="shared" si="116"/>
        <v>7246.5225682597975</v>
      </c>
      <c r="M1031" s="5">
        <f t="shared" si="117"/>
        <v>7248.4887582461724</v>
      </c>
    </row>
    <row r="1032" spans="6:13">
      <c r="F1032">
        <v>1031</v>
      </c>
      <c r="G1032" s="5">
        <f t="shared" si="118"/>
        <v>6617.5835451425583</v>
      </c>
      <c r="H1032" s="5">
        <f t="shared" si="112"/>
        <v>6922.2501323346823</v>
      </c>
      <c r="I1032" s="5">
        <f t="shared" si="113"/>
        <v>7087.5350995543686</v>
      </c>
      <c r="J1032" s="5">
        <f t="shared" si="114"/>
        <v>7203.0200838886994</v>
      </c>
      <c r="K1032" s="5">
        <f t="shared" si="115"/>
        <v>7248.6270815226326</v>
      </c>
      <c r="L1032" s="5">
        <f t="shared" si="116"/>
        <v>7260.4698520240663</v>
      </c>
      <c r="M1032" s="5">
        <f t="shared" si="117"/>
        <v>7262.4417391657526</v>
      </c>
    </row>
    <row r="1033" spans="6:13">
      <c r="F1033">
        <v>1032</v>
      </c>
      <c r="G1033" s="5">
        <f t="shared" si="118"/>
        <v>6629.724103524004</v>
      </c>
      <c r="H1033" s="5">
        <f t="shared" si="112"/>
        <v>6935.2523965321243</v>
      </c>
      <c r="I1033" s="5">
        <f t="shared" si="113"/>
        <v>7101.0103439676959</v>
      </c>
      <c r="J1033" s="5">
        <f t="shared" si="114"/>
        <v>7216.8280310684131</v>
      </c>
      <c r="K1033" s="5">
        <f t="shared" si="115"/>
        <v>7262.5669164238489</v>
      </c>
      <c r="L1033" s="5">
        <f t="shared" si="116"/>
        <v>7274.443979936349</v>
      </c>
      <c r="M1033" s="5">
        <f t="shared" si="117"/>
        <v>7276.4215788807323</v>
      </c>
    </row>
    <row r="1034" spans="6:13">
      <c r="F1034">
        <v>1033</v>
      </c>
      <c r="G1034" s="5">
        <f t="shared" si="118"/>
        <v>6641.8869348630651</v>
      </c>
      <c r="H1034" s="5">
        <f t="shared" si="112"/>
        <v>6948.2790832614082</v>
      </c>
      <c r="I1034" s="5">
        <f t="shared" si="113"/>
        <v>7114.5112083193299</v>
      </c>
      <c r="J1034" s="5">
        <f t="shared" si="114"/>
        <v>7230.6624476183488</v>
      </c>
      <c r="K1034" s="5">
        <f t="shared" si="115"/>
        <v>7276.5335590218738</v>
      </c>
      <c r="L1034" s="5">
        <f t="shared" si="116"/>
        <v>7288.4450036632106</v>
      </c>
      <c r="M1034" s="5">
        <f t="shared" si="117"/>
        <v>7290.4283290929661</v>
      </c>
    </row>
    <row r="1035" spans="6:13">
      <c r="F1035">
        <v>1034</v>
      </c>
      <c r="G1035" s="5">
        <f t="shared" si="118"/>
        <v>6654.0720800215013</v>
      </c>
      <c r="H1035" s="5">
        <f t="shared" si="112"/>
        <v>6961.3302383960799</v>
      </c>
      <c r="I1035" s="5">
        <f t="shared" si="113"/>
        <v>7128.0377413194228</v>
      </c>
      <c r="J1035" s="5">
        <f t="shared" si="114"/>
        <v>7244.5233842794005</v>
      </c>
      <c r="K1035" s="5">
        <f t="shared" si="115"/>
        <v>7290.5270608705887</v>
      </c>
      <c r="L1035" s="5">
        <f t="shared" si="116"/>
        <v>7302.4729749706639</v>
      </c>
      <c r="M1035" s="5">
        <f t="shared" si="117"/>
        <v>7304.4620416038206</v>
      </c>
    </row>
    <row r="1036" spans="6:13">
      <c r="F1036">
        <v>1035</v>
      </c>
      <c r="G1036" s="5">
        <f t="shared" si="118"/>
        <v>6666.2795799360501</v>
      </c>
      <c r="H1036" s="5">
        <f t="shared" si="112"/>
        <v>6974.4059078958689</v>
      </c>
      <c r="I1036" s="5">
        <f t="shared" si="113"/>
        <v>7141.5899917707466</v>
      </c>
      <c r="J1036" s="5">
        <f t="shared" si="114"/>
        <v>7258.4108918897255</v>
      </c>
      <c r="K1036" s="5">
        <f t="shared" si="115"/>
        <v>7304.547473623019</v>
      </c>
      <c r="L1036" s="5">
        <f t="shared" si="116"/>
        <v>7316.5279457243487</v>
      </c>
      <c r="M1036" s="5">
        <f t="shared" si="117"/>
        <v>7318.522768314383</v>
      </c>
    </row>
    <row r="1037" spans="6:13">
      <c r="F1037">
        <v>1036</v>
      </c>
      <c r="G1037" s="5">
        <f t="shared" si="118"/>
        <v>6678.509475618539</v>
      </c>
      <c r="H1037" s="5">
        <f t="shared" si="112"/>
        <v>6987.5061378068158</v>
      </c>
      <c r="I1037" s="5">
        <f t="shared" si="113"/>
        <v>7155.1680085688458</v>
      </c>
      <c r="J1037" s="5">
        <f t="shared" si="114"/>
        <v>7272.3250213849433</v>
      </c>
      <c r="K1037" s="5">
        <f t="shared" si="115"/>
        <v>7318.5948490315232</v>
      </c>
      <c r="L1037" s="5">
        <f t="shared" si="116"/>
        <v>7330.6099678897372</v>
      </c>
      <c r="M1037" s="5">
        <f t="shared" si="117"/>
        <v>7332.610561225647</v>
      </c>
    </row>
    <row r="1038" spans="6:13">
      <c r="F1038">
        <v>1037</v>
      </c>
      <c r="G1038" s="5">
        <f t="shared" si="118"/>
        <v>6690.7618081560386</v>
      </c>
      <c r="H1038" s="5">
        <f t="shared" si="112"/>
        <v>7000.6309742614549</v>
      </c>
      <c r="I1038" s="5">
        <f t="shared" si="113"/>
        <v>7168.7718407022394</v>
      </c>
      <c r="J1038" s="5">
        <f t="shared" si="114"/>
        <v>7286.2658237983096</v>
      </c>
      <c r="K1038" s="5">
        <f t="shared" si="115"/>
        <v>7332.6692389479922</v>
      </c>
      <c r="L1038" s="5">
        <f t="shared" si="116"/>
        <v>7344.7190935323124</v>
      </c>
      <c r="M1038" s="5">
        <f t="shared" si="117"/>
        <v>7346.7254724387012</v>
      </c>
    </row>
    <row r="1039" spans="6:13">
      <c r="F1039">
        <v>1038</v>
      </c>
      <c r="G1039" s="5">
        <f t="shared" si="118"/>
        <v>6703.0366187110012</v>
      </c>
      <c r="H1039" s="5">
        <f t="shared" si="112"/>
        <v>7013.78046347898</v>
      </c>
      <c r="I1039" s="5">
        <f t="shared" si="113"/>
        <v>7182.4015372525837</v>
      </c>
      <c r="J1039" s="5">
        <f t="shared" si="114"/>
        <v>7300.2333502609108</v>
      </c>
      <c r="K1039" s="5">
        <f t="shared" si="115"/>
        <v>7346.7706953240186</v>
      </c>
      <c r="L1039" s="5">
        <f t="shared" si="116"/>
        <v>7358.8553748177719</v>
      </c>
      <c r="M1039" s="5">
        <f t="shared" si="117"/>
        <v>7360.8675541549364</v>
      </c>
    </row>
    <row r="1040" spans="6:13">
      <c r="F1040">
        <v>1039</v>
      </c>
      <c r="G1040" s="5">
        <f t="shared" si="118"/>
        <v>6715.3339485213892</v>
      </c>
      <c r="H1040" s="5">
        <f t="shared" si="112"/>
        <v>7026.9546517653889</v>
      </c>
      <c r="I1040" s="5">
        <f t="shared" si="113"/>
        <v>7196.0571473948476</v>
      </c>
      <c r="J1040" s="5">
        <f t="shared" si="114"/>
        <v>7314.2276520018513</v>
      </c>
      <c r="K1040" s="5">
        <f t="shared" si="115"/>
        <v>7360.8992702111109</v>
      </c>
      <c r="L1040" s="5">
        <f t="shared" si="116"/>
        <v>7373.0188640122087</v>
      </c>
      <c r="M1040" s="5">
        <f t="shared" si="117"/>
        <v>7375.036858676217</v>
      </c>
    </row>
    <row r="1041" spans="6:13">
      <c r="F1041">
        <v>1040</v>
      </c>
      <c r="G1041" s="5">
        <f t="shared" si="118"/>
        <v>6727.6538389008265</v>
      </c>
      <c r="H1041" s="5">
        <f t="shared" si="112"/>
        <v>7040.153585513669</v>
      </c>
      <c r="I1041" s="5">
        <f t="shared" si="113"/>
        <v>7209.7387203974995</v>
      </c>
      <c r="J1041" s="5">
        <f t="shared" si="114"/>
        <v>7328.2487803484382</v>
      </c>
      <c r="K1041" s="5">
        <f t="shared" si="115"/>
        <v>7375.0550157608859</v>
      </c>
      <c r="L1041" s="5">
        <f t="shared" si="116"/>
        <v>7387.2096134823214</v>
      </c>
      <c r="M1041" s="5">
        <f t="shared" si="117"/>
        <v>7389.2334384050919</v>
      </c>
    </row>
    <row r="1042" spans="6:13">
      <c r="F1042">
        <v>1041</v>
      </c>
      <c r="G1042" s="5">
        <f t="shared" si="118"/>
        <v>6739.9963312387263</v>
      </c>
      <c r="H1042" s="5">
        <f t="shared" si="112"/>
        <v>7053.3773112039362</v>
      </c>
      <c r="I1042" s="5">
        <f t="shared" si="113"/>
        <v>7223.4463056226778</v>
      </c>
      <c r="J1042" s="5">
        <f t="shared" si="114"/>
        <v>7342.2967867263706</v>
      </c>
      <c r="K1042" s="5">
        <f t="shared" si="115"/>
        <v>7389.2379842252385</v>
      </c>
      <c r="L1042" s="5">
        <f t="shared" si="116"/>
        <v>7401.4276756955896</v>
      </c>
      <c r="M1042" s="5">
        <f t="shared" si="117"/>
        <v>7403.4573458449813</v>
      </c>
    </row>
    <row r="1043" spans="6:13">
      <c r="F1043">
        <v>1042</v>
      </c>
      <c r="G1043" s="5">
        <f t="shared" si="118"/>
        <v>6752.3614670004317</v>
      </c>
      <c r="H1043" s="5">
        <f t="shared" si="112"/>
        <v>7066.6258754036207</v>
      </c>
      <c r="I1043" s="5">
        <f t="shared" si="113"/>
        <v>7237.1799525263696</v>
      </c>
      <c r="J1043" s="5">
        <f t="shared" si="114"/>
        <v>7356.3717226599347</v>
      </c>
      <c r="K1043" s="5">
        <f t="shared" si="115"/>
        <v>7403.4482279565609</v>
      </c>
      <c r="L1043" s="5">
        <f t="shared" si="116"/>
        <v>7415.6731032204807</v>
      </c>
      <c r="M1043" s="5">
        <f t="shared" si="117"/>
        <v>7417.7086336003722</v>
      </c>
    </row>
    <row r="1044" spans="6:13">
      <c r="F1044">
        <v>1043</v>
      </c>
      <c r="G1044" s="5">
        <f t="shared" si="118"/>
        <v>6764.7492877273671</v>
      </c>
      <c r="H1044" s="5">
        <f t="shared" si="112"/>
        <v>7079.899324767619</v>
      </c>
      <c r="I1044" s="5">
        <f t="shared" si="113"/>
        <v>7250.939710658593</v>
      </c>
      <c r="J1044" s="5">
        <f t="shared" si="114"/>
        <v>7370.4736397721781</v>
      </c>
      <c r="K1044" s="5">
        <f t="shared" si="115"/>
        <v>7417.6857994079191</v>
      </c>
      <c r="L1044" s="5">
        <f t="shared" si="116"/>
        <v>7429.9459487266395</v>
      </c>
      <c r="M1044" s="5">
        <f t="shared" si="117"/>
        <v>7431.9873543770173</v>
      </c>
    </row>
    <row r="1045" spans="6:13">
      <c r="F1045">
        <v>1044</v>
      </c>
      <c r="G1045" s="5">
        <f t="shared" si="118"/>
        <v>6777.1598350371587</v>
      </c>
      <c r="H1045" s="5">
        <f t="shared" si="112"/>
        <v>7093.1977060384615</v>
      </c>
      <c r="I1045" s="5">
        <f t="shared" si="113"/>
        <v>7264.725629663576</v>
      </c>
      <c r="J1045" s="5">
        <f t="shared" si="114"/>
        <v>7384.6025897851168</v>
      </c>
      <c r="K1045" s="5">
        <f t="shared" si="115"/>
        <v>7431.9507511332504</v>
      </c>
      <c r="L1045" s="5">
        <f t="shared" si="116"/>
        <v>7444.2462649850868</v>
      </c>
      <c r="M1045" s="5">
        <f t="shared" si="117"/>
        <v>7446.293560982107</v>
      </c>
    </row>
    <row r="1046" spans="6:13">
      <c r="F1046">
        <v>1045</v>
      </c>
      <c r="G1046" s="5">
        <f t="shared" si="118"/>
        <v>6789.5931506237885</v>
      </c>
      <c r="H1046" s="5">
        <f t="shared" si="112"/>
        <v>7106.5210660464718</v>
      </c>
      <c r="I1046" s="5">
        <f t="shared" si="113"/>
        <v>7278.537759279925</v>
      </c>
      <c r="J1046" s="5">
        <f t="shared" si="114"/>
        <v>7398.7586245199082</v>
      </c>
      <c r="K1046" s="5">
        <f t="shared" si="115"/>
        <v>7446.2431357875648</v>
      </c>
      <c r="L1046" s="5">
        <f t="shared" si="116"/>
        <v>7458.5741048683994</v>
      </c>
      <c r="M1046" s="5">
        <f t="shared" si="117"/>
        <v>7460.6273063245089</v>
      </c>
    </row>
    <row r="1047" spans="6:13">
      <c r="F1047">
        <v>1046</v>
      </c>
      <c r="G1047" s="5">
        <f t="shared" si="118"/>
        <v>6802.0492762577305</v>
      </c>
      <c r="H1047" s="5">
        <f t="shared" si="112"/>
        <v>7119.8694517099439</v>
      </c>
      <c r="I1047" s="5">
        <f t="shared" si="113"/>
        <v>7292.3761493408201</v>
      </c>
      <c r="J1047" s="5">
        <f t="shared" si="114"/>
        <v>7412.941795897058</v>
      </c>
      <c r="K1047" s="5">
        <f t="shared" si="115"/>
        <v>7460.5630061271213</v>
      </c>
      <c r="L1047" s="5">
        <f t="shared" si="116"/>
        <v>7472.9295213509304</v>
      </c>
      <c r="M1047" s="5">
        <f t="shared" si="117"/>
        <v>7474.988643414923</v>
      </c>
    </row>
    <row r="1048" spans="6:13">
      <c r="F1048">
        <v>1047</v>
      </c>
      <c r="G1048" s="5">
        <f t="shared" si="118"/>
        <v>6814.5282537860876</v>
      </c>
      <c r="H1048" s="5">
        <f t="shared" si="112"/>
        <v>7133.2429100352938</v>
      </c>
      <c r="I1048" s="5">
        <f t="shared" si="113"/>
        <v>7306.2408497741844</v>
      </c>
      <c r="J1048" s="5">
        <f t="shared" si="114"/>
        <v>7427.1521559365892</v>
      </c>
      <c r="K1048" s="5">
        <f t="shared" si="115"/>
        <v>7474.9104150096418</v>
      </c>
      <c r="L1048" s="5">
        <f t="shared" si="116"/>
        <v>7487.3125675089841</v>
      </c>
      <c r="M1048" s="5">
        <f t="shared" si="117"/>
        <v>7489.377625366089</v>
      </c>
    </row>
    <row r="1049" spans="6:13">
      <c r="F1049">
        <v>1048</v>
      </c>
      <c r="G1049" s="5">
        <f t="shared" si="118"/>
        <v>6827.0301251327401</v>
      </c>
      <c r="H1049" s="5">
        <f t="shared" si="112"/>
        <v>7146.6414881172332</v>
      </c>
      <c r="I1049" s="5">
        <f t="shared" si="113"/>
        <v>7320.1319106028668</v>
      </c>
      <c r="J1049" s="5">
        <f t="shared" si="114"/>
        <v>7441.3897567582571</v>
      </c>
      <c r="K1049" s="5">
        <f t="shared" si="115"/>
        <v>7489.2854153945063</v>
      </c>
      <c r="L1049" s="5">
        <f t="shared" si="116"/>
        <v>7501.7232965210269</v>
      </c>
      <c r="M1049" s="5">
        <f t="shared" si="117"/>
        <v>7503.794305392993</v>
      </c>
    </row>
    <row r="1050" spans="6:13">
      <c r="F1050">
        <v>1049</v>
      </c>
      <c r="G1050" s="5">
        <f t="shared" si="118"/>
        <v>6839.5549322984771</v>
      </c>
      <c r="H1050" s="5">
        <f t="shared" si="112"/>
        <v>7160.0652331389365</v>
      </c>
      <c r="I1050" s="5">
        <f t="shared" si="113"/>
        <v>7334.0493819448257</v>
      </c>
      <c r="J1050" s="5">
        <f t="shared" si="114"/>
        <v>7455.6546505817278</v>
      </c>
      <c r="K1050" s="5">
        <f t="shared" si="115"/>
        <v>7503.688060342929</v>
      </c>
      <c r="L1050" s="5">
        <f t="shared" si="116"/>
        <v>7516.161761667865</v>
      </c>
      <c r="M1050" s="5">
        <f t="shared" si="117"/>
        <v>7518.2387368130558</v>
      </c>
    </row>
    <row r="1051" spans="6:13">
      <c r="F1051">
        <v>1050</v>
      </c>
      <c r="G1051" s="5">
        <f t="shared" si="118"/>
        <v>6852.1027173611392</v>
      </c>
      <c r="H1051" s="5">
        <f t="shared" si="112"/>
        <v>7173.5141923721931</v>
      </c>
      <c r="I1051" s="5">
        <f t="shared" si="113"/>
        <v>7347.9933140132998</v>
      </c>
      <c r="J1051" s="5">
        <f t="shared" si="114"/>
        <v>7469.9468897267616</v>
      </c>
      <c r="K1051" s="5">
        <f t="shared" si="115"/>
        <v>7518.1184030181721</v>
      </c>
      <c r="L1051" s="5">
        <f t="shared" si="116"/>
        <v>7530.6280163328665</v>
      </c>
      <c r="M1051" s="5">
        <f t="shared" si="117"/>
        <v>7532.7109730463326</v>
      </c>
    </row>
    <row r="1052" spans="6:13">
      <c r="F1052">
        <v>1051</v>
      </c>
      <c r="G1052" s="5">
        <f t="shared" si="118"/>
        <v>6864.6735224757722</v>
      </c>
      <c r="H1052" s="5">
        <f t="shared" si="112"/>
        <v>7186.9884131775989</v>
      </c>
      <c r="I1052" s="5">
        <f t="shared" si="113"/>
        <v>7361.9637571170015</v>
      </c>
      <c r="J1052" s="5">
        <f t="shared" si="114"/>
        <v>7484.2665266134227</v>
      </c>
      <c r="K1052" s="5">
        <f t="shared" si="115"/>
        <v>7532.5764966857341</v>
      </c>
      <c r="L1052" s="5">
        <f t="shared" si="116"/>
        <v>7545.1221140021389</v>
      </c>
      <c r="M1052" s="5">
        <f t="shared" si="117"/>
        <v>7547.2110676157063</v>
      </c>
    </row>
    <row r="1053" spans="6:13">
      <c r="F1053">
        <v>1052</v>
      </c>
      <c r="G1053" s="5">
        <f t="shared" si="118"/>
        <v>6877.2673898747489</v>
      </c>
      <c r="H1053" s="5">
        <f t="shared" si="112"/>
        <v>7200.4879430046985</v>
      </c>
      <c r="I1053" s="5">
        <f t="shared" si="113"/>
        <v>7375.9607616602943</v>
      </c>
      <c r="J1053" s="5">
        <f t="shared" si="114"/>
        <v>7498.6136137622634</v>
      </c>
      <c r="K1053" s="5">
        <f t="shared" si="115"/>
        <v>7547.0623947135518</v>
      </c>
      <c r="L1053" s="5">
        <f t="shared" si="116"/>
        <v>7559.644108264738</v>
      </c>
      <c r="M1053" s="5">
        <f t="shared" si="117"/>
        <v>7561.7390741470917</v>
      </c>
    </row>
    <row r="1054" spans="6:13">
      <c r="F1054">
        <v>1053</v>
      </c>
      <c r="G1054" s="5">
        <f t="shared" si="118"/>
        <v>6889.8843618679257</v>
      </c>
      <c r="H1054" s="5">
        <f t="shared" si="112"/>
        <v>7214.0128293921616</v>
      </c>
      <c r="I1054" s="5">
        <f t="shared" si="113"/>
        <v>7389.9843781433683</v>
      </c>
      <c r="J1054" s="5">
        <f t="shared" si="114"/>
        <v>7512.9882037945054</v>
      </c>
      <c r="K1054" s="5">
        <f t="shared" si="115"/>
        <v>7561.5761505721812</v>
      </c>
      <c r="L1054" s="5">
        <f t="shared" si="116"/>
        <v>7574.1940528128544</v>
      </c>
      <c r="M1054" s="5">
        <f t="shared" si="117"/>
        <v>7576.2950463696316</v>
      </c>
    </row>
    <row r="1055" spans="6:13">
      <c r="F1055">
        <v>1054</v>
      </c>
      <c r="G1055" s="5">
        <f t="shared" si="118"/>
        <v>6902.5244808427824</v>
      </c>
      <c r="H1055" s="5">
        <f t="shared" si="112"/>
        <v>7227.563119967961</v>
      </c>
      <c r="I1055" s="5">
        <f t="shared" si="113"/>
        <v>7404.0346571624314</v>
      </c>
      <c r="J1055" s="5">
        <f t="shared" si="114"/>
        <v>7527.3903494322558</v>
      </c>
      <c r="K1055" s="5">
        <f t="shared" si="115"/>
        <v>7576.1178178350274</v>
      </c>
      <c r="L1055" s="5">
        <f t="shared" si="116"/>
        <v>7588.7720014420238</v>
      </c>
      <c r="M1055" s="5">
        <f t="shared" si="117"/>
        <v>7590.8790381158842</v>
      </c>
    </row>
    <row r="1056" spans="6:13">
      <c r="F1056">
        <v>1055</v>
      </c>
      <c r="G1056" s="5">
        <f t="shared" si="118"/>
        <v>6915.1877892645598</v>
      </c>
      <c r="H1056" s="5">
        <f t="shared" si="112"/>
        <v>7241.1388624495166</v>
      </c>
      <c r="I1056" s="5">
        <f t="shared" si="113"/>
        <v>7418.1116494098869</v>
      </c>
      <c r="J1056" s="5">
        <f t="shared" si="114"/>
        <v>7541.8201034986823</v>
      </c>
      <c r="K1056" s="5">
        <f t="shared" si="115"/>
        <v>7590.6874501785096</v>
      </c>
      <c r="L1056" s="5">
        <f t="shared" si="116"/>
        <v>7603.3780080513243</v>
      </c>
      <c r="M1056" s="5">
        <f t="shared" si="117"/>
        <v>7605.4911033220505</v>
      </c>
    </row>
    <row r="1057" spans="6:13">
      <c r="F1057">
        <v>1056</v>
      </c>
      <c r="G1057" s="5">
        <f t="shared" si="118"/>
        <v>6927.874329676406</v>
      </c>
      <c r="H1057" s="5">
        <f t="shared" si="112"/>
        <v>7254.7401046438936</v>
      </c>
      <c r="I1057" s="5">
        <f t="shared" si="113"/>
        <v>7432.2154056745194</v>
      </c>
      <c r="J1057" s="5">
        <f t="shared" si="114"/>
        <v>7556.2775189182175</v>
      </c>
      <c r="K1057" s="5">
        <f t="shared" si="115"/>
        <v>7605.2851013822747</v>
      </c>
      <c r="L1057" s="5">
        <f t="shared" si="116"/>
        <v>7618.012126643569</v>
      </c>
      <c r="M1057" s="5">
        <f t="shared" si="117"/>
        <v>7620.1312960281466</v>
      </c>
    </row>
    <row r="1058" spans="6:13">
      <c r="F1058">
        <v>1057</v>
      </c>
      <c r="G1058" s="5">
        <f t="shared" si="118"/>
        <v>6940.5841446995182</v>
      </c>
      <c r="H1058" s="5">
        <f t="shared" si="112"/>
        <v>7268.3668944479414</v>
      </c>
      <c r="I1058" s="5">
        <f t="shared" si="113"/>
        <v>7446.345976841676</v>
      </c>
      <c r="J1058" s="5">
        <f t="shared" si="114"/>
        <v>7570.7626487167381</v>
      </c>
      <c r="K1058" s="5">
        <f t="shared" si="115"/>
        <v>7619.9108253293934</v>
      </c>
      <c r="L1058" s="5">
        <f t="shared" si="116"/>
        <v>7632.674411325509</v>
      </c>
      <c r="M1058" s="5">
        <f t="shared" si="117"/>
        <v>7634.7996703782073</v>
      </c>
    </row>
    <row r="1059" spans="6:13">
      <c r="F1059">
        <v>1058</v>
      </c>
      <c r="G1059" s="5">
        <f t="shared" si="118"/>
        <v>6953.3172770332831</v>
      </c>
      <c r="H1059" s="5">
        <f t="shared" si="112"/>
        <v>7282.0192798484759</v>
      </c>
      <c r="I1059" s="5">
        <f t="shared" si="113"/>
        <v>7460.5034138934398</v>
      </c>
      <c r="J1059" s="5">
        <f t="shared" si="114"/>
        <v>7585.2755460217795</v>
      </c>
      <c r="K1059" s="5">
        <f t="shared" si="115"/>
        <v>7634.5646760065583</v>
      </c>
      <c r="L1059" s="5">
        <f t="shared" si="116"/>
        <v>7647.3649163080418</v>
      </c>
      <c r="M1059" s="5">
        <f t="shared" si="117"/>
        <v>7649.4962806205003</v>
      </c>
    </row>
    <row r="1060" spans="6:13">
      <c r="F1060">
        <v>1059</v>
      </c>
      <c r="G1060" s="5">
        <f t="shared" si="118"/>
        <v>6966.0737694554309</v>
      </c>
      <c r="H1060" s="5">
        <f t="shared" si="112"/>
        <v>7295.6973089224593</v>
      </c>
      <c r="I1060" s="5">
        <f t="shared" si="113"/>
        <v>7474.6877679088457</v>
      </c>
      <c r="J1060" s="5">
        <f t="shared" si="114"/>
        <v>7599.816264062717</v>
      </c>
      <c r="K1060" s="5">
        <f t="shared" si="115"/>
        <v>7649.246707504286</v>
      </c>
      <c r="L1060" s="5">
        <f t="shared" si="116"/>
        <v>7662.0836959063872</v>
      </c>
      <c r="M1060" s="5">
        <f t="shared" si="117"/>
        <v>7664.2211811077168</v>
      </c>
    </row>
    <row r="1061" spans="6:13">
      <c r="F1061">
        <v>1060</v>
      </c>
      <c r="G1061" s="5">
        <f t="shared" si="118"/>
        <v>6978.8536648221625</v>
      </c>
      <c r="H1061" s="5">
        <f t="shared" si="112"/>
        <v>7309.4010298371486</v>
      </c>
      <c r="I1061" s="5">
        <f t="shared" si="113"/>
        <v>7488.8990900640183</v>
      </c>
      <c r="J1061" s="5">
        <f t="shared" si="114"/>
        <v>7614.3848561709674</v>
      </c>
      <c r="K1061" s="5">
        <f t="shared" si="115"/>
        <v>7663.9569740171128</v>
      </c>
      <c r="L1061" s="5">
        <f t="shared" si="116"/>
        <v>7676.830804540321</v>
      </c>
      <c r="M1061" s="5">
        <f t="shared" si="117"/>
        <v>7678.9744262971726</v>
      </c>
    </row>
    <row r="1062" spans="6:13">
      <c r="F1062">
        <v>1061</v>
      </c>
      <c r="G1062" s="5">
        <f t="shared" si="118"/>
        <v>6991.6570060683061</v>
      </c>
      <c r="H1062" s="5">
        <f t="shared" si="112"/>
        <v>7323.1304908502734</v>
      </c>
      <c r="I1062" s="5">
        <f t="shared" si="113"/>
        <v>7503.1374316324009</v>
      </c>
      <c r="J1062" s="5">
        <f t="shared" si="114"/>
        <v>7628.9813757801803</v>
      </c>
      <c r="K1062" s="5">
        <f t="shared" si="115"/>
        <v>7678.695529843797</v>
      </c>
      <c r="L1062" s="5">
        <f t="shared" si="116"/>
        <v>7691.6062967343532</v>
      </c>
      <c r="M1062" s="5">
        <f t="shared" si="117"/>
        <v>7693.7560707510138</v>
      </c>
    </row>
    <row r="1063" spans="6:13">
      <c r="F1063">
        <v>1062</v>
      </c>
      <c r="G1063" s="5">
        <f t="shared" si="118"/>
        <v>7004.4838362074606</v>
      </c>
      <c r="H1063" s="5">
        <f t="shared" si="112"/>
        <v>7336.8857403102156</v>
      </c>
      <c r="I1063" s="5">
        <f t="shared" si="113"/>
        <v>7517.4028439849089</v>
      </c>
      <c r="J1063" s="5">
        <f t="shared" si="114"/>
        <v>7643.6058764264317</v>
      </c>
      <c r="K1063" s="5">
        <f t="shared" si="115"/>
        <v>7693.4624293875177</v>
      </c>
      <c r="L1063" s="5">
        <f t="shared" si="116"/>
        <v>7706.4102271179408</v>
      </c>
      <c r="M1063" s="5">
        <f t="shared" si="117"/>
        <v>7708.5661691364112</v>
      </c>
    </row>
    <row r="1064" spans="6:13">
      <c r="F1064">
        <v>1063</v>
      </c>
      <c r="G1064" s="5">
        <f t="shared" si="118"/>
        <v>7017.3341983321325</v>
      </c>
      <c r="H1064" s="5">
        <f t="shared" si="112"/>
        <v>7350.6668266561619</v>
      </c>
      <c r="I1064" s="5">
        <f t="shared" si="113"/>
        <v>7531.6953785901342</v>
      </c>
      <c r="J1064" s="5">
        <f t="shared" si="114"/>
        <v>7658.2584117484303</v>
      </c>
      <c r="K1064" s="5">
        <f t="shared" si="115"/>
        <v>7708.2577271560785</v>
      </c>
      <c r="L1064" s="5">
        <f t="shared" si="116"/>
        <v>7721.2426504256737</v>
      </c>
      <c r="M1064" s="5">
        <f t="shared" si="117"/>
        <v>7723.404776225776</v>
      </c>
    </row>
    <row r="1065" spans="6:13">
      <c r="F1065">
        <v>1064</v>
      </c>
      <c r="G1065" s="5">
        <f t="shared" si="118"/>
        <v>7030.2081356138924</v>
      </c>
      <c r="H1065" s="5">
        <f t="shared" si="112"/>
        <v>7364.4737984182948</v>
      </c>
      <c r="I1065" s="5">
        <f t="shared" si="113"/>
        <v>7546.0150870145198</v>
      </c>
      <c r="J1065" s="5">
        <f t="shared" si="114"/>
        <v>7672.9390354877105</v>
      </c>
      <c r="K1065" s="5">
        <f t="shared" si="115"/>
        <v>7723.0814777621063</v>
      </c>
      <c r="L1065" s="5">
        <f t="shared" si="116"/>
        <v>7736.1036214975011</v>
      </c>
      <c r="M1065" s="5">
        <f t="shared" si="117"/>
        <v>7738.2719468969362</v>
      </c>
    </row>
    <row r="1066" spans="6:13">
      <c r="F1066">
        <v>1065</v>
      </c>
      <c r="G1066" s="5">
        <f t="shared" si="118"/>
        <v>7043.1056913035018</v>
      </c>
      <c r="H1066" s="5">
        <f t="shared" si="112"/>
        <v>7378.3067042179409</v>
      </c>
      <c r="I1066" s="5">
        <f t="shared" si="113"/>
        <v>7560.3620209225555</v>
      </c>
      <c r="J1066" s="5">
        <f t="shared" si="114"/>
        <v>7687.6478014888144</v>
      </c>
      <c r="K1066" s="5">
        <f t="shared" si="115"/>
        <v>7737.9337359232532</v>
      </c>
      <c r="L1066" s="5">
        <f t="shared" si="116"/>
        <v>7750.9931952789184</v>
      </c>
      <c r="M1066" s="5">
        <f t="shared" si="117"/>
        <v>7753.1677361333786</v>
      </c>
    </row>
    <row r="1067" spans="6:13">
      <c r="F1067">
        <v>1066</v>
      </c>
      <c r="G1067" s="5">
        <f t="shared" si="118"/>
        <v>7056.0269087310799</v>
      </c>
      <c r="H1067" s="5">
        <f t="shared" si="112"/>
        <v>7392.1655927677566</v>
      </c>
      <c r="I1067" s="5">
        <f t="shared" si="113"/>
        <v>7574.7362320769444</v>
      </c>
      <c r="J1067" s="5">
        <f t="shared" si="114"/>
        <v>7702.384763699516</v>
      </c>
      <c r="K1067" s="5">
        <f t="shared" si="115"/>
        <v>7752.8145564623956</v>
      </c>
      <c r="L1067" s="5">
        <f t="shared" si="116"/>
        <v>7765.911426821177</v>
      </c>
      <c r="M1067" s="5">
        <f t="shared" si="117"/>
        <v>7768.0921990244215</v>
      </c>
    </row>
    <row r="1068" spans="6:13">
      <c r="F1068">
        <v>1067</v>
      </c>
      <c r="G1068" s="5">
        <f t="shared" si="118"/>
        <v>7068.9718313062367</v>
      </c>
      <c r="H1068" s="5">
        <f t="shared" si="112"/>
        <v>7406.0505128719087</v>
      </c>
      <c r="I1068" s="5">
        <f t="shared" si="113"/>
        <v>7589.1377723388268</v>
      </c>
      <c r="J1068" s="5">
        <f t="shared" si="114"/>
        <v>7717.1499761710056</v>
      </c>
      <c r="K1068" s="5">
        <f t="shared" si="115"/>
        <v>7767.723994307853</v>
      </c>
      <c r="L1068" s="5">
        <f t="shared" si="116"/>
        <v>7780.858371281467</v>
      </c>
      <c r="M1068" s="5">
        <f t="shared" si="117"/>
        <v>7783.0453907654173</v>
      </c>
    </row>
    <row r="1069" spans="6:13">
      <c r="F1069">
        <v>1068</v>
      </c>
      <c r="G1069" s="5">
        <f t="shared" si="118"/>
        <v>7081.9405025182177</v>
      </c>
      <c r="H1069" s="5">
        <f t="shared" si="112"/>
        <v>7419.9615134262158</v>
      </c>
      <c r="I1069" s="5">
        <f t="shared" si="113"/>
        <v>7603.5666936679218</v>
      </c>
      <c r="J1069" s="5">
        <f t="shared" si="114"/>
        <v>7731.9434930580728</v>
      </c>
      <c r="K1069" s="5">
        <f t="shared" si="115"/>
        <v>7782.6621044935591</v>
      </c>
      <c r="L1069" s="5">
        <f t="shared" si="116"/>
        <v>7795.8340839231687</v>
      </c>
      <c r="M1069" s="5">
        <f t="shared" si="117"/>
        <v>7798.0273666579806</v>
      </c>
    </row>
    <row r="1070" spans="6:13">
      <c r="F1070">
        <v>1069</v>
      </c>
      <c r="G1070" s="5">
        <f t="shared" si="118"/>
        <v>7094.9329659360519</v>
      </c>
      <c r="H1070" s="5">
        <f t="shared" si="112"/>
        <v>7433.8986434183498</v>
      </c>
      <c r="I1070" s="5">
        <f t="shared" si="113"/>
        <v>7618.0230481227509</v>
      </c>
      <c r="J1070" s="5">
        <f t="shared" si="114"/>
        <v>7746.7653686193362</v>
      </c>
      <c r="K1070" s="5">
        <f t="shared" si="115"/>
        <v>7797.6289421592937</v>
      </c>
      <c r="L1070" s="5">
        <f t="shared" si="116"/>
        <v>7810.8386201160019</v>
      </c>
      <c r="M1070" s="5">
        <f t="shared" si="117"/>
        <v>7813.0381821101728</v>
      </c>
    </row>
    <row r="1071" spans="6:13">
      <c r="F1071">
        <v>1070</v>
      </c>
      <c r="G1071" s="5">
        <f t="shared" si="118"/>
        <v>7107.9492652087101</v>
      </c>
      <c r="H1071" s="5">
        <f t="shared" si="112"/>
        <v>7447.8619519279955</v>
      </c>
      <c r="I1071" s="5">
        <f t="shared" si="113"/>
        <v>7632.5068878608081</v>
      </c>
      <c r="J1071" s="5">
        <f t="shared" si="114"/>
        <v>7761.6156572174204</v>
      </c>
      <c r="K1071" s="5">
        <f t="shared" si="115"/>
        <v>7812.6245625508764</v>
      </c>
      <c r="L1071" s="5">
        <f t="shared" si="116"/>
        <v>7825.872035336266</v>
      </c>
      <c r="M1071" s="5">
        <f t="shared" si="117"/>
        <v>7828.0778926367148</v>
      </c>
    </row>
    <row r="1072" spans="6:13">
      <c r="F1072">
        <v>1071</v>
      </c>
      <c r="G1072" s="5">
        <f t="shared" si="118"/>
        <v>7120.9894440652261</v>
      </c>
      <c r="H1072" s="5">
        <f t="shared" si="112"/>
        <v>7461.8514881270257</v>
      </c>
      <c r="I1072" s="5">
        <f t="shared" si="113"/>
        <v>7647.0182651387549</v>
      </c>
      <c r="J1072" s="5">
        <f t="shared" si="114"/>
        <v>7776.4944133191584</v>
      </c>
      <c r="K1072" s="5">
        <f t="shared" si="115"/>
        <v>7827.6490210203656</v>
      </c>
      <c r="L1072" s="5">
        <f t="shared" si="116"/>
        <v>7840.9343851670337</v>
      </c>
      <c r="M1072" s="5">
        <f t="shared" si="117"/>
        <v>7843.1465538591901</v>
      </c>
    </row>
    <row r="1073" spans="6:13">
      <c r="F1073">
        <v>1072</v>
      </c>
      <c r="G1073" s="5">
        <f t="shared" si="118"/>
        <v>7134.0535463148744</v>
      </c>
      <c r="H1073" s="5">
        <f t="shared" si="112"/>
        <v>7475.8673012796744</v>
      </c>
      <c r="I1073" s="5">
        <f t="shared" si="113"/>
        <v>7661.5572323126025</v>
      </c>
      <c r="J1073" s="5">
        <f t="shared" si="114"/>
        <v>7791.4016914957974</v>
      </c>
      <c r="K1073" s="5">
        <f t="shared" si="115"/>
        <v>7842.702373026269</v>
      </c>
      <c r="L1073" s="5">
        <f t="shared" si="116"/>
        <v>7856.0257252983629</v>
      </c>
      <c r="M1073" s="5">
        <f t="shared" si="117"/>
        <v>7858.2442215062511</v>
      </c>
    </row>
    <row r="1074" spans="6:13">
      <c r="F1074">
        <v>1073</v>
      </c>
      <c r="G1074" s="5">
        <f t="shared" si="118"/>
        <v>7147.1416158472884</v>
      </c>
      <c r="H1074" s="5">
        <f t="shared" si="112"/>
        <v>7489.9094407427119</v>
      </c>
      <c r="I1074" s="5">
        <f t="shared" si="113"/>
        <v>7676.1238418379062</v>
      </c>
      <c r="J1074" s="5">
        <f t="shared" si="114"/>
        <v>7806.3375464232004</v>
      </c>
      <c r="K1074" s="5">
        <f t="shared" si="115"/>
        <v>7857.7846741337498</v>
      </c>
      <c r="L1074" s="5">
        <f t="shared" si="116"/>
        <v>7871.1461115274833</v>
      </c>
      <c r="M1074" s="5">
        <f t="shared" si="117"/>
        <v>7873.3709514138263</v>
      </c>
    </row>
    <row r="1075" spans="6:13">
      <c r="F1075">
        <v>1074</v>
      </c>
      <c r="G1075" s="5">
        <f t="shared" si="118"/>
        <v>7160.2536966326279</v>
      </c>
      <c r="H1075" s="5">
        <f t="shared" si="112"/>
        <v>7503.9779559656054</v>
      </c>
      <c r="I1075" s="5">
        <f t="shared" si="113"/>
        <v>7690.7181462699546</v>
      </c>
      <c r="J1075" s="5">
        <f t="shared" si="114"/>
        <v>7821.3020328820257</v>
      </c>
      <c r="K1075" s="5">
        <f t="shared" si="115"/>
        <v>7872.8959800148268</v>
      </c>
      <c r="L1075" s="5">
        <f t="shared" si="116"/>
        <v>7886.2955997590307</v>
      </c>
      <c r="M1075" s="5">
        <f t="shared" si="117"/>
        <v>7888.5267995253153</v>
      </c>
    </row>
    <row r="1076" spans="6:13">
      <c r="F1076">
        <v>1075</v>
      </c>
      <c r="G1076" s="5">
        <f t="shared" si="118"/>
        <v>7173.3898327217194</v>
      </c>
      <c r="H1076" s="5">
        <f t="shared" si="112"/>
        <v>7518.0728964907257</v>
      </c>
      <c r="I1076" s="5">
        <f t="shared" si="113"/>
        <v>7705.3401982639562</v>
      </c>
      <c r="J1076" s="5">
        <f t="shared" si="114"/>
        <v>7836.2952057579696</v>
      </c>
      <c r="K1076" s="5">
        <f t="shared" si="115"/>
        <v>7888.0363464485818</v>
      </c>
      <c r="L1076" s="5">
        <f t="shared" si="116"/>
        <v>7901.4742460052321</v>
      </c>
      <c r="M1076" s="5">
        <f t="shared" si="117"/>
        <v>7903.711821891824</v>
      </c>
    </row>
    <row r="1077" spans="6:13">
      <c r="F1077">
        <v>1076</v>
      </c>
      <c r="G1077" s="5">
        <f t="shared" si="118"/>
        <v>7186.5500682462034</v>
      </c>
      <c r="H1077" s="5">
        <f t="shared" si="112"/>
        <v>7532.194311953479</v>
      </c>
      <c r="I1077" s="5">
        <f t="shared" si="113"/>
        <v>7719.9900505752321</v>
      </c>
      <c r="J1077" s="5">
        <f t="shared" si="114"/>
        <v>7851.3171200419192</v>
      </c>
      <c r="K1077" s="5">
        <f t="shared" si="115"/>
        <v>7903.2058293213568</v>
      </c>
      <c r="L1077" s="5">
        <f t="shared" si="116"/>
        <v>7916.6821063861298</v>
      </c>
      <c r="M1077" s="5">
        <f t="shared" si="117"/>
        <v>7918.9260746723457</v>
      </c>
    </row>
    <row r="1078" spans="6:13">
      <c r="F1078">
        <v>1077</v>
      </c>
      <c r="G1078" s="5">
        <f t="shared" si="118"/>
        <v>7199.7344474186812</v>
      </c>
      <c r="H1078" s="5">
        <f t="shared" ref="H1078:H1141" si="119">$C$2*(1+$C$1/$D$6)^(F1078*$D$6*0.019231)</f>
        <v>7546.3422520825152</v>
      </c>
      <c r="I1078" s="5">
        <f t="shared" ref="I1078:I1141" si="120">$C$2*(1+$C$1/$D$7)^(F1078*$D$7*0.019231)</f>
        <v>7734.6677560593971</v>
      </c>
      <c r="J1078" s="5">
        <f t="shared" ref="J1078:J1141" si="121">$C$2*(1+$C$1/$D$8)^(F1078*$D$8*0.019231)</f>
        <v>7866.3678308301905</v>
      </c>
      <c r="K1078" s="5">
        <f t="shared" ref="K1078:K1141" si="122">$C$2*(1+$C$1/$D$9)^(F1078*$D$9*0.019231)</f>
        <v>7918.4044846269817</v>
      </c>
      <c r="L1078" s="5">
        <f t="shared" ref="L1078:L1141" si="123">$C$2*(1+$C$1/$D$10)^(F1078*$D$10*0.019231)</f>
        <v>7931.919237129764</v>
      </c>
      <c r="M1078" s="5">
        <f t="shared" ref="M1078:M1141" si="124">$C$2*EXP($C$1*F1078*0.019231)</f>
        <v>7934.169614133968</v>
      </c>
    </row>
    <row r="1079" spans="6:13">
      <c r="F1079">
        <v>1078</v>
      </c>
      <c r="G1079" s="5">
        <f t="shared" si="118"/>
        <v>7212.9430145328733</v>
      </c>
      <c r="H1079" s="5">
        <f t="shared" si="119"/>
        <v>7560.5167666998886</v>
      </c>
      <c r="I1079" s="5">
        <f t="shared" si="120"/>
        <v>7749.3733676725697</v>
      </c>
      <c r="J1079" s="5">
        <f t="shared" si="121"/>
        <v>7881.4473933247173</v>
      </c>
      <c r="K1079" s="5">
        <f t="shared" si="122"/>
        <v>7933.6323684669624</v>
      </c>
      <c r="L1079" s="5">
        <f t="shared" si="123"/>
        <v>7947.1856945724103</v>
      </c>
      <c r="M1079" s="5">
        <f t="shared" si="124"/>
        <v>7949.4424966521019</v>
      </c>
    </row>
    <row r="1080" spans="6:13">
      <c r="F1080">
        <v>1079</v>
      </c>
      <c r="G1080" s="5">
        <f t="shared" si="118"/>
        <v>7226.1758139637532</v>
      </c>
      <c r="H1080" s="5">
        <f t="shared" si="119"/>
        <v>7574.7179057212334</v>
      </c>
      <c r="I1080" s="5">
        <f t="shared" si="120"/>
        <v>7764.1069384715447</v>
      </c>
      <c r="J1080" s="5">
        <f t="shared" si="121"/>
        <v>7896.555862833241</v>
      </c>
      <c r="K1080" s="5">
        <f t="shared" si="122"/>
        <v>7948.8895370506889</v>
      </c>
      <c r="L1080" s="5">
        <f t="shared" si="123"/>
        <v>7962.4815351587667</v>
      </c>
      <c r="M1080" s="5">
        <f t="shared" si="124"/>
        <v>7964.7447787106739</v>
      </c>
    </row>
    <row r="1081" spans="6:13">
      <c r="F1081">
        <v>1080</v>
      </c>
      <c r="G1081" s="5">
        <f t="shared" si="118"/>
        <v>7239.4328901677109</v>
      </c>
      <c r="H1081" s="5">
        <f t="shared" si="119"/>
        <v>7588.9457191559468</v>
      </c>
      <c r="I1081" s="5">
        <f t="shared" si="120"/>
        <v>7778.8685216139947</v>
      </c>
      <c r="J1081" s="5">
        <f t="shared" si="121"/>
        <v>7911.6932947695395</v>
      </c>
      <c r="K1081" s="5">
        <f t="shared" si="122"/>
        <v>7964.1760466956612</v>
      </c>
      <c r="L1081" s="5">
        <f t="shared" si="123"/>
        <v>7977.8068154421717</v>
      </c>
      <c r="M1081" s="5">
        <f t="shared" si="124"/>
        <v>7980.0765169023389</v>
      </c>
    </row>
    <row r="1082" spans="6:13">
      <c r="F1082">
        <v>1081</v>
      </c>
      <c r="G1082" s="5">
        <f t="shared" si="118"/>
        <v>7252.7142876826929</v>
      </c>
      <c r="H1082" s="5">
        <f t="shared" si="119"/>
        <v>7603.2002571073563</v>
      </c>
      <c r="I1082" s="5">
        <f t="shared" si="120"/>
        <v>7793.658170358658</v>
      </c>
      <c r="J1082" s="5">
        <f t="shared" si="121"/>
        <v>7926.8597446536132</v>
      </c>
      <c r="K1082" s="5">
        <f t="shared" si="122"/>
        <v>7979.4919538276699</v>
      </c>
      <c r="L1082" s="5">
        <f t="shared" si="123"/>
        <v>7993.1615920848126</v>
      </c>
      <c r="M1082" s="5">
        <f t="shared" si="124"/>
        <v>7995.4377679286908</v>
      </c>
    </row>
    <row r="1083" spans="6:13">
      <c r="F1083">
        <v>1082</v>
      </c>
      <c r="G1083" s="5">
        <f t="shared" si="118"/>
        <v>7266.0200511283501</v>
      </c>
      <c r="H1083" s="5">
        <f t="shared" si="119"/>
        <v>7617.4815697728982</v>
      </c>
      <c r="I1083" s="5">
        <f t="shared" si="120"/>
        <v>7808.4759380655296</v>
      </c>
      <c r="J1083" s="5">
        <f t="shared" si="121"/>
        <v>7942.0552681118934</v>
      </c>
      <c r="K1083" s="5">
        <f t="shared" si="122"/>
        <v>7994.8373149810277</v>
      </c>
      <c r="L1083" s="5">
        <f t="shared" si="123"/>
        <v>8008.5459218579354</v>
      </c>
      <c r="M1083" s="5">
        <f t="shared" si="124"/>
        <v>8010.8285886004714</v>
      </c>
    </row>
    <row r="1084" spans="6:13">
      <c r="F1084">
        <v>1083</v>
      </c>
      <c r="G1084" s="5">
        <f t="shared" si="118"/>
        <v>7279.3502252062008</v>
      </c>
      <c r="H1084" s="5">
        <f t="shared" si="119"/>
        <v>7631.7897074443035</v>
      </c>
      <c r="I1084" s="5">
        <f t="shared" si="120"/>
        <v>7823.3218781960586</v>
      </c>
      <c r="J1084" s="5">
        <f t="shared" si="121"/>
        <v>7957.2799208774377</v>
      </c>
      <c r="K1084" s="5">
        <f t="shared" si="122"/>
        <v>8010.2121867987571</v>
      </c>
      <c r="L1084" s="5">
        <f t="shared" si="123"/>
        <v>8023.9598616420408</v>
      </c>
      <c r="M1084" s="5">
        <f t="shared" si="124"/>
        <v>8026.2490358377827</v>
      </c>
    </row>
    <row r="1085" spans="6:13">
      <c r="F1085">
        <v>1084</v>
      </c>
      <c r="G1085" s="5">
        <f t="shared" si="118"/>
        <v>7292.7048546997676</v>
      </c>
      <c r="H1085" s="5">
        <f t="shared" si="119"/>
        <v>7646.124720507757</v>
      </c>
      <c r="I1085" s="5">
        <f t="shared" si="120"/>
        <v>7838.1960443133403</v>
      </c>
      <c r="J1085" s="5">
        <f t="shared" si="121"/>
        <v>7972.533758790154</v>
      </c>
      <c r="K1085" s="5">
        <f t="shared" si="122"/>
        <v>8025.61662603282</v>
      </c>
      <c r="L1085" s="5">
        <f t="shared" si="123"/>
        <v>8039.4034684271228</v>
      </c>
      <c r="M1085" s="5">
        <f t="shared" si="124"/>
        <v>8041.6991666702825</v>
      </c>
    </row>
    <row r="1086" spans="6:13">
      <c r="F1086">
        <v>1085</v>
      </c>
      <c r="G1086" s="5">
        <f t="shared" si="118"/>
        <v>7306.0839844747297</v>
      </c>
      <c r="H1086" s="5">
        <f t="shared" si="119"/>
        <v>7660.4866594440919</v>
      </c>
      <c r="I1086" s="5">
        <f t="shared" si="120"/>
        <v>7853.0984900822941</v>
      </c>
      <c r="J1086" s="5">
        <f t="shared" si="121"/>
        <v>7987.8168377969869</v>
      </c>
      <c r="K1086" s="5">
        <f t="shared" si="122"/>
        <v>8041.0506895443095</v>
      </c>
      <c r="L1086" s="5">
        <f t="shared" si="123"/>
        <v>8054.8767993128522</v>
      </c>
      <c r="M1086" s="5">
        <f t="shared" si="124"/>
        <v>8057.1790382374256</v>
      </c>
    </row>
    <row r="1087" spans="6:13">
      <c r="F1087">
        <v>1086</v>
      </c>
      <c r="G1087" s="5">
        <f t="shared" si="118"/>
        <v>7319.487659479084</v>
      </c>
      <c r="H1087" s="5">
        <f t="shared" si="119"/>
        <v>7674.8755748289614</v>
      </c>
      <c r="I1087" s="5">
        <f t="shared" si="120"/>
        <v>7868.0292692698922</v>
      </c>
      <c r="J1087" s="5">
        <f t="shared" si="121"/>
        <v>8003.1292139521265</v>
      </c>
      <c r="K1087" s="5">
        <f t="shared" si="122"/>
        <v>8056.5144343036864</v>
      </c>
      <c r="L1087" s="5">
        <f t="shared" si="123"/>
        <v>8070.3799115088086</v>
      </c>
      <c r="M1087" s="5">
        <f t="shared" si="124"/>
        <v>8072.6887077886522</v>
      </c>
    </row>
    <row r="1088" spans="6:13">
      <c r="F1088">
        <v>1087</v>
      </c>
      <c r="G1088" s="5">
        <f t="shared" si="118"/>
        <v>7332.9159247432808</v>
      </c>
      <c r="H1088" s="5">
        <f t="shared" si="119"/>
        <v>7689.2915173330157</v>
      </c>
      <c r="I1088" s="5">
        <f t="shared" si="120"/>
        <v>7882.9884357453093</v>
      </c>
      <c r="J1088" s="5">
        <f t="shared" si="121"/>
        <v>8018.4709434172228</v>
      </c>
      <c r="K1088" s="5">
        <f t="shared" si="122"/>
        <v>8072.0079173909517</v>
      </c>
      <c r="L1088" s="5">
        <f t="shared" si="123"/>
        <v>8085.9128623346696</v>
      </c>
      <c r="M1088" s="5">
        <f t="shared" si="124"/>
        <v>8088.2282326835939</v>
      </c>
    </row>
    <row r="1089" spans="6:13">
      <c r="F1089">
        <v>1088</v>
      </c>
      <c r="G1089" s="5">
        <f t="shared" si="118"/>
        <v>7346.3688253803912</v>
      </c>
      <c r="H1089" s="5">
        <f t="shared" si="119"/>
        <v>7703.734537722079</v>
      </c>
      <c r="I1089" s="5">
        <f t="shared" si="120"/>
        <v>7897.976043480161</v>
      </c>
      <c r="J1089" s="5">
        <f t="shared" si="121"/>
        <v>8033.842082461586</v>
      </c>
      <c r="K1089" s="5">
        <f t="shared" si="122"/>
        <v>8087.5311959958863</v>
      </c>
      <c r="L1089" s="5">
        <f t="shared" si="123"/>
        <v>8101.4757092204427</v>
      </c>
      <c r="M1089" s="5">
        <f t="shared" si="124"/>
        <v>8103.7976703923068</v>
      </c>
    </row>
    <row r="1090" spans="6:13">
      <c r="F1090">
        <v>1089</v>
      </c>
      <c r="G1090" s="5">
        <f t="shared" si="118"/>
        <v>7359.8464065862427</v>
      </c>
      <c r="H1090" s="5">
        <f t="shared" si="119"/>
        <v>7718.2046868573334</v>
      </c>
      <c r="I1090" s="5">
        <f t="shared" si="120"/>
        <v>7912.9921465486568</v>
      </c>
      <c r="J1090" s="5">
        <f t="shared" si="121"/>
        <v>8049.2426874623834</v>
      </c>
      <c r="K1090" s="5">
        <f t="shared" si="122"/>
        <v>8103.0843274182516</v>
      </c>
      <c r="L1090" s="5">
        <f t="shared" si="123"/>
        <v>8117.0685097066716</v>
      </c>
      <c r="M1090" s="5">
        <f t="shared" si="124"/>
        <v>8119.3970784954763</v>
      </c>
    </row>
    <row r="1091" spans="6:13">
      <c r="F1091">
        <v>1090</v>
      </c>
      <c r="G1091" s="5">
        <f t="shared" si="118"/>
        <v>7373.3487136395779</v>
      </c>
      <c r="H1091" s="5">
        <f t="shared" si="119"/>
        <v>7732.7020156954923</v>
      </c>
      <c r="I1091" s="5">
        <f t="shared" si="120"/>
        <v>7928.0367991278272</v>
      </c>
      <c r="J1091" s="5">
        <f t="shared" si="121"/>
        <v>8064.6728149048686</v>
      </c>
      <c r="K1091" s="5">
        <f t="shared" si="122"/>
        <v>8118.6673690680018</v>
      </c>
      <c r="L1091" s="5">
        <f t="shared" si="123"/>
        <v>8132.6913214446467</v>
      </c>
      <c r="M1091" s="5">
        <f t="shared" si="124"/>
        <v>8135.0265146846186</v>
      </c>
    </row>
    <row r="1092" spans="6:13">
      <c r="F1092">
        <v>1091</v>
      </c>
      <c r="G1092" s="5">
        <f t="shared" ref="G1092:G1155" si="125">$C$2*(1+$C$1)^(F1092*0.019231/$D$5)</f>
        <v>7386.8757919022173</v>
      </c>
      <c r="H1092" s="5">
        <f t="shared" si="119"/>
        <v>7747.2265752889862</v>
      </c>
      <c r="I1092" s="5">
        <f t="shared" si="120"/>
        <v>7943.1100554977047</v>
      </c>
      <c r="J1092" s="5">
        <f t="shared" si="121"/>
        <v>8080.1325213825667</v>
      </c>
      <c r="K1092" s="5">
        <f t="shared" si="122"/>
        <v>8134.2803784654925</v>
      </c>
      <c r="L1092" s="5">
        <f t="shared" si="123"/>
        <v>8148.3442021966111</v>
      </c>
      <c r="M1092" s="5">
        <f t="shared" si="124"/>
        <v>8150.6860367623094</v>
      </c>
    </row>
    <row r="1093" spans="6:13">
      <c r="F1093">
        <v>1092</v>
      </c>
      <c r="G1093" s="5">
        <f t="shared" si="125"/>
        <v>7400.427686819191</v>
      </c>
      <c r="H1093" s="5">
        <f t="shared" si="119"/>
        <v>7761.7784167861373</v>
      </c>
      <c r="I1093" s="5">
        <f t="shared" si="120"/>
        <v>7958.2119700415269</v>
      </c>
      <c r="J1093" s="5">
        <f t="shared" si="121"/>
        <v>8095.6218635974919</v>
      </c>
      <c r="K1093" s="5">
        <f t="shared" si="122"/>
        <v>8149.9234132416959</v>
      </c>
      <c r="L1093" s="5">
        <f t="shared" si="123"/>
        <v>8164.027209835991</v>
      </c>
      <c r="M1093" s="5">
        <f t="shared" si="124"/>
        <v>8166.3757026423928</v>
      </c>
    </row>
    <row r="1094" spans="6:13">
      <c r="F1094">
        <v>1093</v>
      </c>
      <c r="G1094" s="5">
        <f t="shared" si="125"/>
        <v>7414.0044439189078</v>
      </c>
      <c r="H1094" s="5">
        <f t="shared" si="119"/>
        <v>7776.3575914313315</v>
      </c>
      <c r="I1094" s="5">
        <f t="shared" si="120"/>
        <v>7973.3425972459099</v>
      </c>
      <c r="J1094" s="5">
        <f t="shared" si="121"/>
        <v>8111.1408983603615</v>
      </c>
      <c r="K1094" s="5">
        <f t="shared" si="122"/>
        <v>8165.596531138428</v>
      </c>
      <c r="L1094" s="5">
        <f t="shared" si="123"/>
        <v>8179.740402347601</v>
      </c>
      <c r="M1094" s="5">
        <f t="shared" si="124"/>
        <v>8182.0955703501922</v>
      </c>
    </row>
    <row r="1095" spans="6:13">
      <c r="F1095">
        <v>1094</v>
      </c>
      <c r="G1095" s="5">
        <f t="shared" si="125"/>
        <v>7427.6061088133019</v>
      </c>
      <c r="H1095" s="5">
        <f t="shared" si="119"/>
        <v>7790.9641505652316</v>
      </c>
      <c r="I1095" s="5">
        <f t="shared" si="120"/>
        <v>7988.5019917010923</v>
      </c>
      <c r="J1095" s="5">
        <f t="shared" si="121"/>
        <v>8126.6896825907806</v>
      </c>
      <c r="K1095" s="5">
        <f t="shared" si="122"/>
        <v>8181.2997900085356</v>
      </c>
      <c r="L1095" s="5">
        <f t="shared" si="123"/>
        <v>8195.4838378278546</v>
      </c>
      <c r="M1095" s="5">
        <f t="shared" si="124"/>
        <v>8197.8456980227202</v>
      </c>
    </row>
    <row r="1096" spans="6:13">
      <c r="F1096">
        <v>1095</v>
      </c>
      <c r="G1096" s="5">
        <f t="shared" si="125"/>
        <v>7441.2327271979866</v>
      </c>
      <c r="H1096" s="5">
        <f t="shared" si="119"/>
        <v>7805.5981456249065</v>
      </c>
      <c r="I1096" s="5">
        <f t="shared" si="120"/>
        <v>8003.690208101073</v>
      </c>
      <c r="J1096" s="5">
        <f t="shared" si="121"/>
        <v>8142.2682733174852</v>
      </c>
      <c r="K1096" s="5">
        <f t="shared" si="122"/>
        <v>8197.0332478161254</v>
      </c>
      <c r="L1096" s="5">
        <f t="shared" si="123"/>
        <v>8211.2575744849801</v>
      </c>
      <c r="M1096" s="5">
        <f t="shared" si="124"/>
        <v>8213.6261439089067</v>
      </c>
    </row>
    <row r="1097" spans="6:13">
      <c r="F1097">
        <v>1096</v>
      </c>
      <c r="G1097" s="5">
        <f t="shared" si="125"/>
        <v>7454.8843448524049</v>
      </c>
      <c r="H1097" s="5">
        <f t="shared" si="119"/>
        <v>7820.2596281440692</v>
      </c>
      <c r="I1097" s="5">
        <f t="shared" si="120"/>
        <v>8018.9073012438657</v>
      </c>
      <c r="J1097" s="5">
        <f t="shared" si="121"/>
        <v>8157.8767276785293</v>
      </c>
      <c r="K1097" s="5">
        <f t="shared" si="122"/>
        <v>8212.7969626367722</v>
      </c>
      <c r="L1097" s="5">
        <f t="shared" si="123"/>
        <v>8227.0616706392484</v>
      </c>
      <c r="M1097" s="5">
        <f t="shared" si="124"/>
        <v>8229.4369663698162</v>
      </c>
    </row>
    <row r="1098" spans="6:13">
      <c r="F1098">
        <v>1097</v>
      </c>
      <c r="G1098" s="5">
        <f t="shared" si="125"/>
        <v>7468.5610076399953</v>
      </c>
      <c r="H1098" s="5">
        <f t="shared" si="119"/>
        <v>7834.9486497532062</v>
      </c>
      <c r="I1098" s="5">
        <f t="shared" si="120"/>
        <v>8034.1533260316464</v>
      </c>
      <c r="J1098" s="5">
        <f t="shared" si="121"/>
        <v>8173.515102921483</v>
      </c>
      <c r="K1098" s="5">
        <f t="shared" si="122"/>
        <v>8228.590992657746</v>
      </c>
      <c r="L1098" s="5">
        <f t="shared" si="123"/>
        <v>8242.8961847231676</v>
      </c>
      <c r="M1098" s="5">
        <f t="shared" si="124"/>
        <v>8245.2782238788386</v>
      </c>
    </row>
    <row r="1099" spans="6:13">
      <c r="F1099">
        <v>1098</v>
      </c>
      <c r="G1099" s="5">
        <f t="shared" si="125"/>
        <v>7482.2627615083193</v>
      </c>
      <c r="H1099" s="5">
        <f t="shared" si="119"/>
        <v>7849.6652621797957</v>
      </c>
      <c r="I1099" s="5">
        <f t="shared" si="120"/>
        <v>8049.4283374709848</v>
      </c>
      <c r="J1099" s="5">
        <f t="shared" si="121"/>
        <v>8189.1834564036808</v>
      </c>
      <c r="K1099" s="5">
        <f t="shared" si="122"/>
        <v>8244.415396178194</v>
      </c>
      <c r="L1099" s="5">
        <f t="shared" si="123"/>
        <v>8258.7611752817156</v>
      </c>
      <c r="M1099" s="5">
        <f t="shared" si="124"/>
        <v>8261.1499750219318</v>
      </c>
    </row>
    <row r="1100" spans="6:13">
      <c r="F1100">
        <v>1099</v>
      </c>
      <c r="G1100" s="5">
        <f t="shared" si="125"/>
        <v>7495.9896524892538</v>
      </c>
      <c r="H1100" s="5">
        <f t="shared" si="119"/>
        <v>7864.4095172484749</v>
      </c>
      <c r="I1100" s="5">
        <f t="shared" si="120"/>
        <v>8064.7323906730344</v>
      </c>
      <c r="J1100" s="5">
        <f t="shared" si="121"/>
        <v>8204.8818455923974</v>
      </c>
      <c r="K1100" s="5">
        <f t="shared" si="122"/>
        <v>8260.2702316094092</v>
      </c>
      <c r="L1100" s="5">
        <f t="shared" si="123"/>
        <v>8274.6567009725495</v>
      </c>
      <c r="M1100" s="5">
        <f t="shared" si="124"/>
        <v>8277.0522784978275</v>
      </c>
    </row>
    <row r="1101" spans="6:13">
      <c r="F1101">
        <v>1100</v>
      </c>
      <c r="G1101" s="5">
        <f t="shared" si="125"/>
        <v>7509.741726699117</v>
      </c>
      <c r="H1101" s="5">
        <f t="shared" si="119"/>
        <v>7879.1814668812267</v>
      </c>
      <c r="I1101" s="5">
        <f t="shared" si="120"/>
        <v>8080.0655408537295</v>
      </c>
      <c r="J1101" s="5">
        <f t="shared" si="121"/>
        <v>8220.6103280650677</v>
      </c>
      <c r="K1101" s="5">
        <f t="shared" si="122"/>
        <v>8276.1555574749909</v>
      </c>
      <c r="L1101" s="5">
        <f t="shared" si="123"/>
        <v>8290.5828205662237</v>
      </c>
      <c r="M1101" s="5">
        <f t="shared" si="124"/>
        <v>8292.9851931182493</v>
      </c>
    </row>
    <row r="1102" spans="6:13">
      <c r="F1102">
        <v>1101</v>
      </c>
      <c r="G1102" s="5">
        <f t="shared" si="125"/>
        <v>7523.5190303388208</v>
      </c>
      <c r="H1102" s="5">
        <f t="shared" si="119"/>
        <v>7893.9811630975491</v>
      </c>
      <c r="I1102" s="5">
        <f t="shared" si="120"/>
        <v>8095.4278433339687</v>
      </c>
      <c r="J1102" s="5">
        <f t="shared" si="121"/>
        <v>8236.3689615095063</v>
      </c>
      <c r="K1102" s="5">
        <f t="shared" si="122"/>
        <v>8292.0714324110995</v>
      </c>
      <c r="L1102" s="5">
        <f t="shared" si="123"/>
        <v>8306.5395929464121</v>
      </c>
      <c r="M1102" s="5">
        <f t="shared" si="124"/>
        <v>8308.9487778081329</v>
      </c>
    </row>
    <row r="1103" spans="6:13">
      <c r="F1103">
        <v>1102</v>
      </c>
      <c r="G1103" s="5">
        <f t="shared" si="125"/>
        <v>7537.3216096940605</v>
      </c>
      <c r="H1103" s="5">
        <f t="shared" si="119"/>
        <v>7908.8086580146719</v>
      </c>
      <c r="I1103" s="5">
        <f t="shared" si="120"/>
        <v>8110.8193535398595</v>
      </c>
      <c r="J1103" s="5">
        <f t="shared" si="121"/>
        <v>8252.1578037241106</v>
      </c>
      <c r="K1103" s="5">
        <f t="shared" si="122"/>
        <v>8308.0179151666471</v>
      </c>
      <c r="L1103" s="5">
        <f t="shared" si="123"/>
        <v>8322.527077110115</v>
      </c>
      <c r="M1103" s="5">
        <f t="shared" si="124"/>
        <v>8324.9430916058354</v>
      </c>
    </row>
    <row r="1104" spans="6:13">
      <c r="F1104">
        <v>1103</v>
      </c>
      <c r="G1104" s="5">
        <f t="shared" si="125"/>
        <v>7551.1495111354188</v>
      </c>
      <c r="H1104" s="5">
        <f t="shared" si="119"/>
        <v>7923.6640038476908</v>
      </c>
      <c r="I1104" s="5">
        <f t="shared" si="120"/>
        <v>8126.2401270028558</v>
      </c>
      <c r="J1104" s="5">
        <f t="shared" si="121"/>
        <v>8267.9769126180836</v>
      </c>
      <c r="K1104" s="5">
        <f t="shared" si="122"/>
        <v>8323.9950646035377</v>
      </c>
      <c r="L1104" s="5">
        <f t="shared" si="123"/>
        <v>8338.5453321678833</v>
      </c>
      <c r="M1104" s="5">
        <f t="shared" si="124"/>
        <v>8340.9681936633679</v>
      </c>
    </row>
    <row r="1105" spans="6:13">
      <c r="F1105">
        <v>1104</v>
      </c>
      <c r="G1105" s="5">
        <f t="shared" si="125"/>
        <v>7565.0027811185792</v>
      </c>
      <c r="H1105" s="5">
        <f t="shared" si="119"/>
        <v>7938.5472529098079</v>
      </c>
      <c r="I1105" s="5">
        <f t="shared" si="120"/>
        <v>8141.6902193600208</v>
      </c>
      <c r="J1105" s="5">
        <f t="shared" si="121"/>
        <v>8283.8263462116229</v>
      </c>
      <c r="K1105" s="5">
        <f t="shared" si="122"/>
        <v>8340.0029396968657</v>
      </c>
      <c r="L1105" s="5">
        <f t="shared" si="123"/>
        <v>8354.5944173440421</v>
      </c>
      <c r="M1105" s="5">
        <f t="shared" si="124"/>
        <v>8357.0241432465955</v>
      </c>
    </row>
    <row r="1106" spans="6:13">
      <c r="F1106">
        <v>1105</v>
      </c>
      <c r="G1106" s="5">
        <f t="shared" si="125"/>
        <v>7578.8814661844253</v>
      </c>
      <c r="H1106" s="5">
        <f t="shared" si="119"/>
        <v>7953.4584576124607</v>
      </c>
      <c r="I1106" s="5">
        <f t="shared" si="120"/>
        <v>8157.1696863541747</v>
      </c>
      <c r="J1106" s="5">
        <f t="shared" si="121"/>
        <v>8299.7061626361592</v>
      </c>
      <c r="K1106" s="5">
        <f t="shared" si="122"/>
        <v>8356.0415995351414</v>
      </c>
      <c r="L1106" s="5">
        <f t="shared" si="123"/>
        <v>8370.6743919769015</v>
      </c>
      <c r="M1106" s="5">
        <f t="shared" si="124"/>
        <v>8373.1109997354743</v>
      </c>
    </row>
    <row r="1107" spans="6:13">
      <c r="F1107">
        <v>1106</v>
      </c>
      <c r="G1107" s="5">
        <f t="shared" si="125"/>
        <v>7592.7856129592392</v>
      </c>
      <c r="H1107" s="5">
        <f t="shared" si="119"/>
        <v>7968.397670465547</v>
      </c>
      <c r="I1107" s="5">
        <f t="shared" si="120"/>
        <v>8172.678583834132</v>
      </c>
      <c r="J1107" s="5">
        <f t="shared" si="121"/>
        <v>8315.61642013456</v>
      </c>
      <c r="K1107" s="5">
        <f t="shared" si="122"/>
        <v>8372.1111033205052</v>
      </c>
      <c r="L1107" s="5">
        <f t="shared" si="123"/>
        <v>8386.7853155189823</v>
      </c>
      <c r="M1107" s="5">
        <f t="shared" si="124"/>
        <v>8389.2288226242708</v>
      </c>
    </row>
    <row r="1108" spans="6:13">
      <c r="F1108">
        <v>1107</v>
      </c>
      <c r="G1108" s="5">
        <f t="shared" si="125"/>
        <v>7606.7152681548405</v>
      </c>
      <c r="H1108" s="5">
        <f t="shared" si="119"/>
        <v>7983.3649440775907</v>
      </c>
      <c r="I1108" s="5">
        <f t="shared" si="120"/>
        <v>8188.21696775489</v>
      </c>
      <c r="J1108" s="5">
        <f t="shared" si="121"/>
        <v>8331.5571770613387</v>
      </c>
      <c r="K1108" s="5">
        <f t="shared" si="122"/>
        <v>8388.2115103689557</v>
      </c>
      <c r="L1108" s="5">
        <f t="shared" si="123"/>
        <v>8402.9272475372327</v>
      </c>
      <c r="M1108" s="5">
        <f t="shared" si="124"/>
        <v>8405.3776715217573</v>
      </c>
    </row>
    <row r="1109" spans="6:13">
      <c r="F1109">
        <v>1108</v>
      </c>
      <c r="G1109" s="5">
        <f t="shared" si="125"/>
        <v>7620.6704785687461</v>
      </c>
      <c r="H1109" s="5">
        <f t="shared" si="119"/>
        <v>7998.3603311559373</v>
      </c>
      <c r="I1109" s="5">
        <f t="shared" si="120"/>
        <v>8203.7848941778302</v>
      </c>
      <c r="J1109" s="5">
        <f t="shared" si="121"/>
        <v>8347.5284918828784</v>
      </c>
      <c r="K1109" s="5">
        <f t="shared" si="122"/>
        <v>8404.3428801105583</v>
      </c>
      <c r="L1109" s="5">
        <f t="shared" si="123"/>
        <v>8419.1002477132406</v>
      </c>
      <c r="M1109" s="5">
        <f t="shared" si="124"/>
        <v>8421.5576061514657</v>
      </c>
    </row>
    <row r="1110" spans="6:13">
      <c r="F1110">
        <v>1109</v>
      </c>
      <c r="G1110" s="5">
        <f t="shared" si="125"/>
        <v>7634.6512910843239</v>
      </c>
      <c r="H1110" s="5">
        <f t="shared" si="119"/>
        <v>8013.3838845069276</v>
      </c>
      <c r="I1110" s="5">
        <f t="shared" si="120"/>
        <v>8219.3824192709089</v>
      </c>
      <c r="J1110" s="5">
        <f t="shared" si="121"/>
        <v>8363.5304231776245</v>
      </c>
      <c r="K1110" s="5">
        <f t="shared" si="122"/>
        <v>8420.5052720896692</v>
      </c>
      <c r="L1110" s="5">
        <f t="shared" si="123"/>
        <v>8435.3043758434687</v>
      </c>
      <c r="M1110" s="5">
        <f t="shared" si="124"/>
        <v>8437.7686863518829</v>
      </c>
    </row>
    <row r="1111" spans="6:13">
      <c r="F1111">
        <v>1110</v>
      </c>
      <c r="G1111" s="5">
        <f t="shared" si="125"/>
        <v>7648.657752670958</v>
      </c>
      <c r="H1111" s="5">
        <f t="shared" si="119"/>
        <v>8028.4356570360915</v>
      </c>
      <c r="I1111" s="5">
        <f t="shared" si="120"/>
        <v>8235.009599308898</v>
      </c>
      <c r="J1111" s="5">
        <f t="shared" si="121"/>
        <v>8379.5630296363342</v>
      </c>
      <c r="K1111" s="5">
        <f t="shared" si="122"/>
        <v>8436.6987459651518</v>
      </c>
      <c r="L1111" s="5">
        <f t="shared" si="123"/>
        <v>8451.5396918394708</v>
      </c>
      <c r="M1111" s="5">
        <f t="shared" si="124"/>
        <v>8454.0109720766905</v>
      </c>
    </row>
    <row r="1112" spans="6:13">
      <c r="F1112">
        <v>1111</v>
      </c>
      <c r="G1112" s="5">
        <f t="shared" si="125"/>
        <v>7662.6899103841988</v>
      </c>
      <c r="H1112" s="5">
        <f t="shared" si="119"/>
        <v>8043.5157017483352</v>
      </c>
      <c r="I1112" s="5">
        <f t="shared" si="120"/>
        <v>8250.6664906735296</v>
      </c>
      <c r="J1112" s="5">
        <f t="shared" si="121"/>
        <v>8395.6263700622658</v>
      </c>
      <c r="K1112" s="5">
        <f t="shared" si="122"/>
        <v>8452.9233615106004</v>
      </c>
      <c r="L1112" s="5">
        <f t="shared" si="123"/>
        <v>8467.8062557281137</v>
      </c>
      <c r="M1112" s="5">
        <f t="shared" si="124"/>
        <v>8470.2845233949683</v>
      </c>
    </row>
    <row r="1113" spans="6:13">
      <c r="F1113">
        <v>1112</v>
      </c>
      <c r="G1113" s="5">
        <f t="shared" si="125"/>
        <v>7676.7478113659263</v>
      </c>
      <c r="H1113" s="5">
        <f t="shared" si="119"/>
        <v>8058.6240717481278</v>
      </c>
      <c r="I1113" s="5">
        <f t="shared" si="120"/>
        <v>8266.3531498537686</v>
      </c>
      <c r="J1113" s="5">
        <f t="shared" si="121"/>
        <v>8411.7205033713908</v>
      </c>
      <c r="K1113" s="5">
        <f t="shared" si="122"/>
        <v>8469.1791786145732</v>
      </c>
      <c r="L1113" s="5">
        <f t="shared" si="123"/>
        <v>8484.1041276517844</v>
      </c>
      <c r="M1113" s="5">
        <f t="shared" si="124"/>
        <v>8486.5894004914353</v>
      </c>
    </row>
    <row r="1114" spans="6:13">
      <c r="F1114">
        <v>1113</v>
      </c>
      <c r="G1114" s="5">
        <f t="shared" si="125"/>
        <v>7690.8315028445095</v>
      </c>
      <c r="H1114" s="5">
        <f t="shared" si="119"/>
        <v>8073.7608202396732</v>
      </c>
      <c r="I1114" s="5">
        <f t="shared" si="120"/>
        <v>8282.0696334459481</v>
      </c>
      <c r="J1114" s="5">
        <f t="shared" si="121"/>
        <v>8427.8454885926421</v>
      </c>
      <c r="K1114" s="5">
        <f t="shared" si="122"/>
        <v>8485.4662572807756</v>
      </c>
      <c r="L1114" s="5">
        <f t="shared" si="123"/>
        <v>8500.433367868638</v>
      </c>
      <c r="M1114" s="5">
        <f t="shared" si="124"/>
        <v>8502.9256636666632</v>
      </c>
    </row>
    <row r="1115" spans="6:13">
      <c r="F1115">
        <v>1114</v>
      </c>
      <c r="G1115" s="5">
        <f t="shared" si="125"/>
        <v>7704.9410321349478</v>
      </c>
      <c r="H1115" s="5">
        <f t="shared" si="119"/>
        <v>8088.9260005271271</v>
      </c>
      <c r="I1115" s="5">
        <f t="shared" si="120"/>
        <v>8297.8159981540248</v>
      </c>
      <c r="J1115" s="5">
        <f t="shared" si="121"/>
        <v>8444.0013848680937</v>
      </c>
      <c r="K1115" s="5">
        <f t="shared" si="122"/>
        <v>8501.7846576283209</v>
      </c>
      <c r="L1115" s="5">
        <f t="shared" si="123"/>
        <v>8516.7940367528008</v>
      </c>
      <c r="M1115" s="5">
        <f t="shared" si="124"/>
        <v>8519.2933733372829</v>
      </c>
    </row>
    <row r="1116" spans="6:13">
      <c r="F1116">
        <v>1115</v>
      </c>
      <c r="G1116" s="5">
        <f t="shared" si="125"/>
        <v>7719.0764466390692</v>
      </c>
      <c r="H1116" s="5">
        <f t="shared" si="119"/>
        <v>8104.1196660147589</v>
      </c>
      <c r="I1116" s="5">
        <f t="shared" si="120"/>
        <v>8313.5923007897563</v>
      </c>
      <c r="J1116" s="5">
        <f t="shared" si="121"/>
        <v>8460.1882514531899</v>
      </c>
      <c r="K1116" s="5">
        <f t="shared" si="122"/>
        <v>8518.1344398919355</v>
      </c>
      <c r="L1116" s="5">
        <f t="shared" si="123"/>
        <v>8533.186194794609</v>
      </c>
      <c r="M1116" s="5">
        <f t="shared" si="124"/>
        <v>8535.6925900362403</v>
      </c>
    </row>
    <row r="1117" spans="6:13">
      <c r="F1117">
        <v>1116</v>
      </c>
      <c r="G1117" s="5">
        <f t="shared" si="125"/>
        <v>7733.2377938456402</v>
      </c>
      <c r="H1117" s="5">
        <f t="shared" si="119"/>
        <v>8119.3418702071513</v>
      </c>
      <c r="I1117" s="5">
        <f t="shared" si="120"/>
        <v>8329.3985982729173</v>
      </c>
      <c r="J1117" s="5">
        <f t="shared" si="121"/>
        <v>8476.4061477169798</v>
      </c>
      <c r="K1117" s="5">
        <f t="shared" si="122"/>
        <v>8534.5156644221843</v>
      </c>
      <c r="L1117" s="5">
        <f t="shared" si="123"/>
        <v>8549.6099026008069</v>
      </c>
      <c r="M1117" s="5">
        <f t="shared" si="124"/>
        <v>8552.1233744130113</v>
      </c>
    </row>
    <row r="1118" spans="6:13">
      <c r="F1118">
        <v>1117</v>
      </c>
      <c r="G1118" s="5">
        <f t="shared" si="125"/>
        <v>7747.4251213305624</v>
      </c>
      <c r="H1118" s="5">
        <f t="shared" si="119"/>
        <v>8134.5926667093827</v>
      </c>
      <c r="I1118" s="5">
        <f t="shared" si="120"/>
        <v>8345.2349476314939</v>
      </c>
      <c r="J1118" s="5">
        <f t="shared" si="121"/>
        <v>8492.6551331423143</v>
      </c>
      <c r="K1118" s="5">
        <f t="shared" si="122"/>
        <v>8550.9283916856875</v>
      </c>
      <c r="L1118" s="5">
        <f t="shared" si="123"/>
        <v>8566.0652208948104</v>
      </c>
      <c r="M1118" s="5">
        <f t="shared" si="124"/>
        <v>8568.5857872337947</v>
      </c>
    </row>
    <row r="1119" spans="6:13">
      <c r="F1119">
        <v>1118</v>
      </c>
      <c r="G1119" s="5">
        <f t="shared" si="125"/>
        <v>7761.6384767570189</v>
      </c>
      <c r="H1119" s="5">
        <f t="shared" si="119"/>
        <v>8149.8721092272226</v>
      </c>
      <c r="I1119" s="5">
        <f t="shared" si="120"/>
        <v>8361.101406001917</v>
      </c>
      <c r="J1119" s="5">
        <f t="shared" si="121"/>
        <v>8508.9352673260619</v>
      </c>
      <c r="K1119" s="5">
        <f t="shared" si="122"/>
        <v>8567.3726822653571</v>
      </c>
      <c r="L1119" s="5">
        <f t="shared" si="123"/>
        <v>8582.5522105168893</v>
      </c>
      <c r="M1119" s="5">
        <f t="shared" si="124"/>
        <v>8585.079889381781</v>
      </c>
    </row>
    <row r="1120" spans="6:13">
      <c r="F1120">
        <v>1119</v>
      </c>
      <c r="G1120" s="5">
        <f t="shared" si="125"/>
        <v>7775.8779078756334</v>
      </c>
      <c r="H1120" s="5">
        <f t="shared" si="119"/>
        <v>8165.1802515673189</v>
      </c>
      <c r="I1120" s="5">
        <f t="shared" si="120"/>
        <v>8376.99803062922</v>
      </c>
      <c r="J1120" s="5">
        <f t="shared" si="121"/>
        <v>8525.2466099793528</v>
      </c>
      <c r="K1120" s="5">
        <f t="shared" si="122"/>
        <v>8583.8485968606128</v>
      </c>
      <c r="L1120" s="5">
        <f t="shared" si="123"/>
        <v>8599.0709324244181</v>
      </c>
      <c r="M1120" s="5">
        <f t="shared" si="124"/>
        <v>8601.6057418573491</v>
      </c>
    </row>
    <row r="1121" spans="6:13">
      <c r="F1121">
        <v>1120</v>
      </c>
      <c r="G1121" s="5">
        <f t="shared" si="125"/>
        <v>7790.143462524632</v>
      </c>
      <c r="H1121" s="5">
        <f t="shared" si="119"/>
        <v>8180.5171476373835</v>
      </c>
      <c r="I1121" s="5">
        <f t="shared" si="120"/>
        <v>8392.9248788673049</v>
      </c>
      <c r="J1121" s="5">
        <f t="shared" si="121"/>
        <v>8541.5892209277736</v>
      </c>
      <c r="K1121" s="5">
        <f t="shared" si="122"/>
        <v>8600.3561962875847</v>
      </c>
      <c r="L1121" s="5">
        <f t="shared" si="123"/>
        <v>8615.6214476921014</v>
      </c>
      <c r="M1121" s="5">
        <f t="shared" si="124"/>
        <v>8618.1634057783067</v>
      </c>
    </row>
    <row r="1122" spans="6:13">
      <c r="F1122">
        <v>1121</v>
      </c>
      <c r="G1122" s="5">
        <f t="shared" si="125"/>
        <v>7804.4351886300065</v>
      </c>
      <c r="H1122" s="5">
        <f t="shared" si="119"/>
        <v>8195.8828514463894</v>
      </c>
      <c r="I1122" s="5">
        <f t="shared" si="120"/>
        <v>8408.8820081790927</v>
      </c>
      <c r="J1122" s="5">
        <f t="shared" si="121"/>
        <v>8557.9631601115871</v>
      </c>
      <c r="K1122" s="5">
        <f t="shared" si="122"/>
        <v>8616.8955414793818</v>
      </c>
      <c r="L1122" s="5">
        <f t="shared" si="123"/>
        <v>8632.2038175121907</v>
      </c>
      <c r="M1122" s="5">
        <f t="shared" si="124"/>
        <v>8634.7529423801025</v>
      </c>
    </row>
    <row r="1123" spans="6:13">
      <c r="F1123">
        <v>1122</v>
      </c>
      <c r="G1123" s="5">
        <f t="shared" si="125"/>
        <v>7818.7531342056709</v>
      </c>
      <c r="H1123" s="5">
        <f t="shared" si="119"/>
        <v>8211.2774171047404</v>
      </c>
      <c r="I1123" s="5">
        <f t="shared" si="120"/>
        <v>8424.8694761367697</v>
      </c>
      <c r="J1123" s="5">
        <f t="shared" si="121"/>
        <v>8574.3684875859708</v>
      </c>
      <c r="K1123" s="5">
        <f t="shared" si="122"/>
        <v>8633.4666934862835</v>
      </c>
      <c r="L1123" s="5">
        <f t="shared" si="123"/>
        <v>8648.8181031947024</v>
      </c>
      <c r="M1123" s="5">
        <f t="shared" si="124"/>
        <v>8651.3744130160667</v>
      </c>
    </row>
    <row r="1124" spans="6:13">
      <c r="F1124">
        <v>1123</v>
      </c>
      <c r="G1124" s="5">
        <f t="shared" si="125"/>
        <v>7833.0973473536251</v>
      </c>
      <c r="H1124" s="5">
        <f t="shared" si="119"/>
        <v>8226.700898824507</v>
      </c>
      <c r="I1124" s="5">
        <f t="shared" si="120"/>
        <v>8440.8873404219794</v>
      </c>
      <c r="J1124" s="5">
        <f t="shared" si="121"/>
        <v>8590.8052635212207</v>
      </c>
      <c r="K1124" s="5">
        <f t="shared" si="122"/>
        <v>8650.0697134759794</v>
      </c>
      <c r="L1124" s="5">
        <f t="shared" si="123"/>
        <v>8665.464366167671</v>
      </c>
      <c r="M1124" s="5">
        <f t="shared" si="124"/>
        <v>8668.0278791576311</v>
      </c>
    </row>
    <row r="1125" spans="6:13">
      <c r="F1125">
        <v>1124</v>
      </c>
      <c r="G1125" s="5">
        <f t="shared" si="125"/>
        <v>7847.4678762641233</v>
      </c>
      <c r="H1125" s="5">
        <f t="shared" si="119"/>
        <v>8242.1533509195542</v>
      </c>
      <c r="I1125" s="5">
        <f t="shared" si="120"/>
        <v>8456.9356588260307</v>
      </c>
      <c r="J1125" s="5">
        <f t="shared" si="121"/>
        <v>8607.2735482029821</v>
      </c>
      <c r="K1125" s="5">
        <f t="shared" si="122"/>
        <v>8666.7046627337786</v>
      </c>
      <c r="L1125" s="5">
        <f t="shared" si="123"/>
        <v>8682.1426679773504</v>
      </c>
      <c r="M1125" s="5">
        <f t="shared" si="124"/>
        <v>8684.7134023945491</v>
      </c>
    </row>
    <row r="1126" spans="6:13">
      <c r="F1126">
        <v>1125</v>
      </c>
      <c r="G1126" s="5">
        <f t="shared" si="125"/>
        <v>7861.864769215812</v>
      </c>
      <c r="H1126" s="5">
        <f t="shared" si="119"/>
        <v>8257.6348278057922</v>
      </c>
      <c r="I1126" s="5">
        <f t="shared" si="120"/>
        <v>8473.0144892501103</v>
      </c>
      <c r="J1126" s="5">
        <f t="shared" si="121"/>
        <v>8623.7734020324569</v>
      </c>
      <c r="K1126" s="5">
        <f t="shared" si="122"/>
        <v>8683.3716026628699</v>
      </c>
      <c r="L1126" s="5">
        <f t="shared" si="123"/>
        <v>8698.8530702884636</v>
      </c>
      <c r="M1126" s="5">
        <f t="shared" si="124"/>
        <v>8701.4310444351377</v>
      </c>
    </row>
    <row r="1127" spans="6:13">
      <c r="F1127">
        <v>1126</v>
      </c>
      <c r="G1127" s="5">
        <f t="shared" si="125"/>
        <v>7876.2880745759339</v>
      </c>
      <c r="H1127" s="5">
        <f t="shared" si="119"/>
        <v>8273.1453840013255</v>
      </c>
      <c r="I1127" s="5">
        <f t="shared" si="120"/>
        <v>8489.1238897054955</v>
      </c>
      <c r="J1127" s="5">
        <f t="shared" si="121"/>
        <v>8640.3048855266406</v>
      </c>
      <c r="K1127" s="5">
        <f t="shared" si="122"/>
        <v>8700.0705947845072</v>
      </c>
      <c r="L1127" s="5">
        <f t="shared" si="123"/>
        <v>8715.5956348843956</v>
      </c>
      <c r="M1127" s="5">
        <f t="shared" si="124"/>
        <v>8718.18086710651</v>
      </c>
    </row>
    <row r="1128" spans="6:13">
      <c r="F1128">
        <v>1127</v>
      </c>
      <c r="G1128" s="5">
        <f t="shared" si="125"/>
        <v>7890.7378408004388</v>
      </c>
      <c r="H1128" s="5">
        <f t="shared" si="119"/>
        <v>8288.6850741266735</v>
      </c>
      <c r="I1128" s="5">
        <f t="shared" si="120"/>
        <v>8505.2639183137435</v>
      </c>
      <c r="J1128" s="5">
        <f t="shared" si="121"/>
        <v>8656.8680593185418</v>
      </c>
      <c r="K1128" s="5">
        <f t="shared" si="122"/>
        <v>8716.8017007382696</v>
      </c>
      <c r="L1128" s="5">
        <f t="shared" si="123"/>
        <v>8732.370423667473</v>
      </c>
      <c r="M1128" s="5">
        <f t="shared" si="124"/>
        <v>8734.9629323547688</v>
      </c>
    </row>
    <row r="1129" spans="6:13">
      <c r="F1129">
        <v>1128</v>
      </c>
      <c r="G1129" s="5">
        <f t="shared" si="125"/>
        <v>7905.2141164342011</v>
      </c>
      <c r="H1129" s="5">
        <f t="shared" si="119"/>
        <v>8304.2539529049427</v>
      </c>
      <c r="I1129" s="5">
        <f t="shared" si="120"/>
        <v>8521.4346333069352</v>
      </c>
      <c r="J1129" s="5">
        <f t="shared" si="121"/>
        <v>8673.462984157386</v>
      </c>
      <c r="K1129" s="5">
        <f t="shared" si="122"/>
        <v>8733.5649822822579</v>
      </c>
      <c r="L1129" s="5">
        <f t="shared" si="123"/>
        <v>8749.1774986591463</v>
      </c>
      <c r="M1129" s="5">
        <f t="shared" si="124"/>
        <v>8751.777302245282</v>
      </c>
    </row>
    <row r="1130" spans="6:13">
      <c r="F1130">
        <v>1129</v>
      </c>
      <c r="G1130" s="5">
        <f t="shared" si="125"/>
        <v>7919.7169501111293</v>
      </c>
      <c r="H1130" s="5">
        <f t="shared" si="119"/>
        <v>8319.8520751620381</v>
      </c>
      <c r="I1130" s="5">
        <f t="shared" si="120"/>
        <v>8537.6360930278497</v>
      </c>
      <c r="J1130" s="5">
        <f t="shared" si="121"/>
        <v>8690.0897209088671</v>
      </c>
      <c r="K1130" s="5">
        <f t="shared" si="122"/>
        <v>8750.3605012933567</v>
      </c>
      <c r="L1130" s="5">
        <f t="shared" si="123"/>
        <v>8766.0169220002444</v>
      </c>
      <c r="M1130" s="5">
        <f t="shared" si="124"/>
        <v>8768.6240389628765</v>
      </c>
    </row>
    <row r="1131" spans="6:13">
      <c r="F1131">
        <v>1130</v>
      </c>
      <c r="G1131" s="5">
        <f t="shared" si="125"/>
        <v>7934.24639055437</v>
      </c>
      <c r="H1131" s="5">
        <f t="shared" si="119"/>
        <v>8335.479495826823</v>
      </c>
      <c r="I1131" s="5">
        <f t="shared" si="120"/>
        <v>8553.8683559301971</v>
      </c>
      <c r="J1131" s="5">
        <f t="shared" si="121"/>
        <v>8706.7483305553524</v>
      </c>
      <c r="K1131" s="5">
        <f t="shared" si="122"/>
        <v>8767.1883197674306</v>
      </c>
      <c r="L1131" s="5">
        <f t="shared" si="123"/>
        <v>8782.8887559511986</v>
      </c>
      <c r="M1131" s="5">
        <f t="shared" si="124"/>
        <v>8785.503204812092</v>
      </c>
    </row>
    <row r="1132" spans="6:13">
      <c r="F1132">
        <v>1131</v>
      </c>
      <c r="G1132" s="5">
        <f t="shared" si="125"/>
        <v>7948.8024865764628</v>
      </c>
      <c r="H1132" s="5">
        <f t="shared" si="119"/>
        <v>8351.1362699313686</v>
      </c>
      <c r="I1132" s="5">
        <f t="shared" si="120"/>
        <v>8570.1314805788243</v>
      </c>
      <c r="J1132" s="5">
        <f t="shared" si="121"/>
        <v>8723.4388741961029</v>
      </c>
      <c r="K1132" s="5">
        <f t="shared" si="122"/>
        <v>8784.0484998195916</v>
      </c>
      <c r="L1132" s="5">
        <f t="shared" si="123"/>
        <v>8799.7930628922695</v>
      </c>
      <c r="M1132" s="5">
        <f t="shared" si="124"/>
        <v>8802.4148622173907</v>
      </c>
    </row>
    <row r="1133" spans="6:13">
      <c r="F1133">
        <v>1132</v>
      </c>
      <c r="G1133" s="5">
        <f t="shared" si="125"/>
        <v>7963.3852870794781</v>
      </c>
      <c r="H1133" s="5">
        <f t="shared" si="119"/>
        <v>8366.8224526110844</v>
      </c>
      <c r="I1133" s="5">
        <f t="shared" si="120"/>
        <v>8586.4255256499237</v>
      </c>
      <c r="J1133" s="5">
        <f t="shared" si="121"/>
        <v>8740.1614130475191</v>
      </c>
      <c r="K1133" s="5">
        <f t="shared" si="122"/>
        <v>8800.9411036843849</v>
      </c>
      <c r="L1133" s="5">
        <f t="shared" si="123"/>
        <v>8816.7299053237803</v>
      </c>
      <c r="M1133" s="5">
        <f t="shared" si="124"/>
        <v>8819.3590737234117</v>
      </c>
    </row>
    <row r="1134" spans="6:13">
      <c r="F1134">
        <v>1133</v>
      </c>
      <c r="G1134" s="5">
        <f t="shared" si="125"/>
        <v>7977.994841055217</v>
      </c>
      <c r="H1134" s="5">
        <f t="shared" si="119"/>
        <v>8382.5380991049551</v>
      </c>
      <c r="I1134" s="5">
        <f t="shared" si="120"/>
        <v>8602.7505499312465</v>
      </c>
      <c r="J1134" s="5">
        <f t="shared" si="121"/>
        <v>8756.9160084433443</v>
      </c>
      <c r="K1134" s="5">
        <f t="shared" si="122"/>
        <v>8817.866193716045</v>
      </c>
      <c r="L1134" s="5">
        <f t="shared" si="123"/>
        <v>8833.6993458663474</v>
      </c>
      <c r="M1134" s="5">
        <f t="shared" si="124"/>
        <v>8836.3359019951822</v>
      </c>
    </row>
    <row r="1135" spans="6:13">
      <c r="F1135">
        <v>1134</v>
      </c>
      <c r="G1135" s="5">
        <f t="shared" si="125"/>
        <v>7992.6311975853559</v>
      </c>
      <c r="H1135" s="5">
        <f t="shared" si="119"/>
        <v>8398.2832647557261</v>
      </c>
      <c r="I1135" s="5">
        <f t="shared" si="120"/>
        <v>8619.1066123223136</v>
      </c>
      <c r="J1135" s="5">
        <f t="shared" si="121"/>
        <v>8773.7027218348867</v>
      </c>
      <c r="K1135" s="5">
        <f t="shared" si="122"/>
        <v>8834.8238323887235</v>
      </c>
      <c r="L1135" s="5">
        <f t="shared" si="123"/>
        <v>8850.7014472611172</v>
      </c>
      <c r="M1135" s="5">
        <f t="shared" si="124"/>
        <v>8853.3454098183483</v>
      </c>
    </row>
    <row r="1136" spans="6:13">
      <c r="F1136">
        <v>1135</v>
      </c>
      <c r="G1136" s="5">
        <f t="shared" si="125"/>
        <v>8007.2944058416178</v>
      </c>
      <c r="H1136" s="5">
        <f t="shared" si="119"/>
        <v>8414.0580050100889</v>
      </c>
      <c r="I1136" s="5">
        <f t="shared" si="120"/>
        <v>8635.4937718346337</v>
      </c>
      <c r="J1136" s="5">
        <f t="shared" si="121"/>
        <v>8790.5216147912706</v>
      </c>
      <c r="K1136" s="5">
        <f t="shared" si="122"/>
        <v>8851.8140822967071</v>
      </c>
      <c r="L1136" s="5">
        <f t="shared" si="123"/>
        <v>8867.736272369988</v>
      </c>
      <c r="M1136" s="5">
        <f t="shared" si="124"/>
        <v>8870.3876600994245</v>
      </c>
    </row>
    <row r="1137" spans="6:13">
      <c r="F1137">
        <v>1136</v>
      </c>
      <c r="G1137" s="5">
        <f t="shared" si="125"/>
        <v>8021.9845150859346</v>
      </c>
      <c r="H1137" s="5">
        <f t="shared" si="119"/>
        <v>8429.8623754188811</v>
      </c>
      <c r="I1137" s="5">
        <f t="shared" si="120"/>
        <v>8651.9120875919052</v>
      </c>
      <c r="J1137" s="5">
        <f t="shared" si="121"/>
        <v>8807.3727489996363</v>
      </c>
      <c r="K1137" s="5">
        <f t="shared" si="122"/>
        <v>8868.8370061546593</v>
      </c>
      <c r="L1137" s="5">
        <f t="shared" si="123"/>
        <v>8884.8038841758444</v>
      </c>
      <c r="M1137" s="5">
        <f t="shared" si="124"/>
        <v>8887.4627158660296</v>
      </c>
    </row>
    <row r="1138" spans="6:13">
      <c r="F1138">
        <v>1137</v>
      </c>
      <c r="G1138" s="5">
        <f t="shared" si="125"/>
        <v>8036.701574670612</v>
      </c>
      <c r="H1138" s="5">
        <f t="shared" si="119"/>
        <v>8445.6964316372887</v>
      </c>
      <c r="I1138" s="5">
        <f t="shared" si="120"/>
        <v>8668.3616188302422</v>
      </c>
      <c r="J1138" s="5">
        <f t="shared" si="121"/>
        <v>8824.2561862653856</v>
      </c>
      <c r="K1138" s="5">
        <f t="shared" si="122"/>
        <v>8885.8926667978667</v>
      </c>
      <c r="L1138" s="5">
        <f t="shared" si="123"/>
        <v>8901.9043457828029</v>
      </c>
      <c r="M1138" s="5">
        <f t="shared" si="124"/>
        <v>8904.5706402670803</v>
      </c>
    </row>
    <row r="1139" spans="6:13">
      <c r="F1139">
        <v>1138</v>
      </c>
      <c r="G1139" s="5">
        <f t="shared" si="125"/>
        <v>8051.4456340384995</v>
      </c>
      <c r="H1139" s="5">
        <f t="shared" si="119"/>
        <v>8461.560229425033</v>
      </c>
      <c r="I1139" s="5">
        <f t="shared" si="120"/>
        <v>8684.8424248983738</v>
      </c>
      <c r="J1139" s="5">
        <f t="shared" si="121"/>
        <v>8841.1719885123839</v>
      </c>
      <c r="K1139" s="5">
        <f t="shared" si="122"/>
        <v>8902.9811271824346</v>
      </c>
      <c r="L1139" s="5">
        <f t="shared" si="123"/>
        <v>8919.037720416427</v>
      </c>
      <c r="M1139" s="5">
        <f t="shared" si="124"/>
        <v>8921.7114965730689</v>
      </c>
    </row>
    <row r="1140" spans="6:13">
      <c r="F1140">
        <v>1139</v>
      </c>
      <c r="G1140" s="5">
        <f t="shared" si="125"/>
        <v>8066.2167427231516</v>
      </c>
      <c r="H1140" s="5">
        <f t="shared" si="119"/>
        <v>8477.453824646569</v>
      </c>
      <c r="I1140" s="5">
        <f t="shared" si="120"/>
        <v>8701.3545652578741</v>
      </c>
      <c r="J1140" s="5">
        <f t="shared" si="121"/>
        <v>8858.1202177832129</v>
      </c>
      <c r="K1140" s="5">
        <f t="shared" si="122"/>
        <v>8920.102450385546</v>
      </c>
      <c r="L1140" s="5">
        <f t="shared" si="123"/>
        <v>8936.2040714239774</v>
      </c>
      <c r="M1140" s="5">
        <f t="shared" si="124"/>
        <v>8938.8853481762817</v>
      </c>
    </row>
    <row r="1141" spans="6:13">
      <c r="F1141">
        <v>1140</v>
      </c>
      <c r="G1141" s="5">
        <f t="shared" si="125"/>
        <v>8081.0149503490029</v>
      </c>
      <c r="H1141" s="5">
        <f t="shared" si="119"/>
        <v>8493.3772732712896</v>
      </c>
      <c r="I1141" s="5">
        <f t="shared" si="120"/>
        <v>8717.8980994833692</v>
      </c>
      <c r="J1141" s="5">
        <f t="shared" si="121"/>
        <v>8875.1009362393943</v>
      </c>
      <c r="K1141" s="5">
        <f t="shared" si="122"/>
        <v>8937.2566996056885</v>
      </c>
      <c r="L1141" s="5">
        <f t="shared" si="123"/>
        <v>8953.4034622746294</v>
      </c>
      <c r="M1141" s="5">
        <f t="shared" si="124"/>
        <v>8956.092258591023</v>
      </c>
    </row>
    <row r="1142" spans="6:13">
      <c r="F1142">
        <v>1141</v>
      </c>
      <c r="G1142" s="5">
        <f t="shared" si="125"/>
        <v>8095.8403066315141</v>
      </c>
      <c r="H1142" s="5">
        <f t="shared" ref="H1142:H1205" si="126">$C$2*(1+$C$1/$D$6)^(F1142*$D$6*0.019231)</f>
        <v>8509.3306313737012</v>
      </c>
      <c r="I1142" s="5">
        <f t="shared" ref="I1142:I1205" si="127">$C$2*(1+$C$1/$D$7)^(F1142*$D$7*0.019231)</f>
        <v>8734.4730872627442</v>
      </c>
      <c r="J1142" s="5">
        <f t="shared" ref="J1142:J1205" si="128">$C$2*(1+$C$1/$D$8)^(F1142*$D$8*0.019231)</f>
        <v>8892.1142061615938</v>
      </c>
      <c r="K1142" s="5">
        <f t="shared" ref="K1142:K1205" si="129">$C$2*(1+$C$1/$D$9)^(F1142*$D$9*0.019231)</f>
        <v>8954.4439381628872</v>
      </c>
      <c r="L1142" s="5">
        <f t="shared" ref="L1142:L1205" si="130">$C$2*(1+$C$1/$D$10)^(F1142*$D$10*0.019231)</f>
        <v>8970.6359565597195</v>
      </c>
      <c r="M1142" s="5">
        <f t="shared" ref="M1142:M1205" si="131">$C$2*EXP($C$1*F1142*0.019231)</f>
        <v>8973.3322914538621</v>
      </c>
    </row>
    <row r="1143" spans="6:13">
      <c r="F1143">
        <v>1142</v>
      </c>
      <c r="G1143" s="5">
        <f t="shared" si="125"/>
        <v>8110.6928613773734</v>
      </c>
      <c r="H1143" s="5">
        <f t="shared" si="126"/>
        <v>8525.313955133659</v>
      </c>
      <c r="I1143" s="5">
        <f t="shared" si="127"/>
        <v>8751.0795883973733</v>
      </c>
      <c r="J1143" s="5">
        <f t="shared" si="128"/>
        <v>8909.160089949879</v>
      </c>
      <c r="K1143" s="5">
        <f t="shared" si="129"/>
        <v>8971.6642294989415</v>
      </c>
      <c r="L1143" s="5">
        <f t="shared" si="130"/>
        <v>8987.9016179929858</v>
      </c>
      <c r="M1143" s="5">
        <f t="shared" si="131"/>
        <v>8990.6055105238738</v>
      </c>
    </row>
    <row r="1144" spans="6:13">
      <c r="F1144">
        <v>1143</v>
      </c>
      <c r="G1144" s="5">
        <f t="shared" si="125"/>
        <v>8125.5726644846218</v>
      </c>
      <c r="H1144" s="5">
        <f t="shared" si="126"/>
        <v>8541.3273008365231</v>
      </c>
      <c r="I1144" s="5">
        <f t="shared" si="127"/>
        <v>8767.7176628023299</v>
      </c>
      <c r="J1144" s="5">
        <f t="shared" si="128"/>
        <v>8926.2386501239398</v>
      </c>
      <c r="K1144" s="5">
        <f t="shared" si="129"/>
        <v>8988.9176371776375</v>
      </c>
      <c r="L1144" s="5">
        <f t="shared" si="130"/>
        <v>9005.200510410783</v>
      </c>
      <c r="M1144" s="5">
        <f t="shared" si="131"/>
        <v>9007.9119796828563</v>
      </c>
    </row>
    <row r="1145" spans="6:13">
      <c r="F1145">
        <v>1144</v>
      </c>
      <c r="G1145" s="5">
        <f t="shared" si="125"/>
        <v>8140.4797659428696</v>
      </c>
      <c r="H1145" s="5">
        <f t="shared" si="126"/>
        <v>8557.3707248733881</v>
      </c>
      <c r="I1145" s="5">
        <f t="shared" si="127"/>
        <v>8784.3873705065962</v>
      </c>
      <c r="J1145" s="5">
        <f t="shared" si="128"/>
        <v>8943.349949323303</v>
      </c>
      <c r="K1145" s="5">
        <f t="shared" si="129"/>
        <v>9006.2042248850266</v>
      </c>
      <c r="L1145" s="5">
        <f t="shared" si="130"/>
        <v>9022.5326977723416</v>
      </c>
      <c r="M1145" s="5">
        <f t="shared" si="131"/>
        <v>9025.2517629355752</v>
      </c>
    </row>
    <row r="1146" spans="6:13">
      <c r="F1146">
        <v>1145</v>
      </c>
      <c r="G1146" s="5">
        <f t="shared" si="125"/>
        <v>8155.4142158334098</v>
      </c>
      <c r="H1146" s="5">
        <f t="shared" si="126"/>
        <v>8573.444283741268</v>
      </c>
      <c r="I1146" s="5">
        <f t="shared" si="127"/>
        <v>8801.0887716532907</v>
      </c>
      <c r="J1146" s="5">
        <f t="shared" si="128"/>
        <v>8960.4940503075777</v>
      </c>
      <c r="K1146" s="5">
        <f t="shared" si="129"/>
        <v>9023.5240564296182</v>
      </c>
      <c r="L1146" s="5">
        <f t="shared" si="130"/>
        <v>9039.8982441599874</v>
      </c>
      <c r="M1146" s="5">
        <f t="shared" si="131"/>
        <v>9042.6249244100054</v>
      </c>
    </row>
    <row r="1147" spans="6:13">
      <c r="F1147">
        <v>1146</v>
      </c>
      <c r="G1147" s="5">
        <f t="shared" si="125"/>
        <v>8170.3760643294318</v>
      </c>
      <c r="H1147" s="5">
        <f t="shared" si="126"/>
        <v>8589.548034043286</v>
      </c>
      <c r="I1147" s="5">
        <f t="shared" si="127"/>
        <v>8817.8219264998661</v>
      </c>
      <c r="J1147" s="5">
        <f t="shared" si="128"/>
        <v>8977.6710159566883</v>
      </c>
      <c r="K1147" s="5">
        <f t="shared" si="129"/>
        <v>9040.8771957426397</v>
      </c>
      <c r="L1147" s="5">
        <f t="shared" si="130"/>
        <v>9057.2972137793822</v>
      </c>
      <c r="M1147" s="5">
        <f t="shared" si="131"/>
        <v>9060.0315283575765</v>
      </c>
    </row>
    <row r="1148" spans="6:13">
      <c r="F1148">
        <v>1147</v>
      </c>
      <c r="G1148" s="5">
        <f t="shared" si="125"/>
        <v>8185.3653616961656</v>
      </c>
      <c r="H1148" s="5">
        <f t="shared" si="126"/>
        <v>8605.6820324889013</v>
      </c>
      <c r="I1148" s="5">
        <f t="shared" si="127"/>
        <v>8834.5868954183643</v>
      </c>
      <c r="J1148" s="5">
        <f t="shared" si="128"/>
        <v>8994.8809092710835</v>
      </c>
      <c r="K1148" s="5">
        <f t="shared" si="129"/>
        <v>9058.2637068782569</v>
      </c>
      <c r="L1148" s="5">
        <f t="shared" si="130"/>
        <v>9074.7296709597686</v>
      </c>
      <c r="M1148" s="5">
        <f t="shared" si="131"/>
        <v>9077.4716391533802</v>
      </c>
    </row>
    <row r="1149" spans="6:13">
      <c r="F1149">
        <v>1148</v>
      </c>
      <c r="G1149" s="5">
        <f t="shared" si="125"/>
        <v>8200.3821582910605</v>
      </c>
      <c r="H1149" s="5">
        <f t="shared" si="126"/>
        <v>8621.8463358940844</v>
      </c>
      <c r="I1149" s="5">
        <f t="shared" si="127"/>
        <v>8851.3837388955872</v>
      </c>
      <c r="J1149" s="5">
        <f t="shared" si="128"/>
        <v>9012.1237933719949</v>
      </c>
      <c r="K1149" s="5">
        <f t="shared" si="129"/>
        <v>9075.6836540138265</v>
      </c>
      <c r="L1149" s="5">
        <f t="shared" si="130"/>
        <v>9092.1956801542037</v>
      </c>
      <c r="M1149" s="5">
        <f t="shared" si="131"/>
        <v>9094.9453212964381</v>
      </c>
    </row>
    <row r="1150" spans="6:13">
      <c r="F1150">
        <v>1149</v>
      </c>
      <c r="G1150" s="5">
        <f t="shared" si="125"/>
        <v>8215.4265045639477</v>
      </c>
      <c r="H1150" s="5">
        <f t="shared" si="126"/>
        <v>8638.0410011815111</v>
      </c>
      <c r="I1150" s="5">
        <f t="shared" si="127"/>
        <v>8868.2125175333476</v>
      </c>
      <c r="J1150" s="5">
        <f t="shared" si="128"/>
        <v>9029.3997315016513</v>
      </c>
      <c r="K1150" s="5">
        <f t="shared" si="129"/>
        <v>9093.1371014501165</v>
      </c>
      <c r="L1150" s="5">
        <f t="shared" si="130"/>
        <v>9109.6953059397965</v>
      </c>
      <c r="M1150" s="5">
        <f t="shared" si="131"/>
        <v>9112.4526394099248</v>
      </c>
    </row>
    <row r="1151" spans="6:13">
      <c r="F1151">
        <v>1150</v>
      </c>
      <c r="G1151" s="5">
        <f t="shared" si="125"/>
        <v>8230.4984510572158</v>
      </c>
      <c r="H1151" s="5">
        <f t="shared" si="126"/>
        <v>8654.2660853808084</v>
      </c>
      <c r="I1151" s="5">
        <f t="shared" si="127"/>
        <v>8885.0732920486789</v>
      </c>
      <c r="J1151" s="5">
        <f t="shared" si="128"/>
        <v>9046.7087870235118</v>
      </c>
      <c r="K1151" s="5">
        <f t="shared" si="129"/>
        <v>9110.6241136115586</v>
      </c>
      <c r="L1151" s="5">
        <f t="shared" si="130"/>
        <v>9127.2286130179364</v>
      </c>
      <c r="M1151" s="5">
        <f t="shared" si="131"/>
        <v>9129.9936582414157</v>
      </c>
    </row>
    <row r="1152" spans="6:13">
      <c r="F1152">
        <v>1151</v>
      </c>
      <c r="G1152" s="5">
        <f t="shared" si="125"/>
        <v>8245.5980484059764</v>
      </c>
      <c r="H1152" s="5">
        <f t="shared" si="126"/>
        <v>8670.5216456286853</v>
      </c>
      <c r="I1152" s="5">
        <f t="shared" si="127"/>
        <v>8901.9661232740509</v>
      </c>
      <c r="J1152" s="5">
        <f t="shared" si="128"/>
        <v>9064.0510234225003</v>
      </c>
      <c r="K1152" s="5">
        <f t="shared" si="129"/>
        <v>9128.1447550464782</v>
      </c>
      <c r="L1152" s="5">
        <f t="shared" si="130"/>
        <v>9144.7956662145516</v>
      </c>
      <c r="M1152" s="5">
        <f t="shared" si="131"/>
        <v>9147.5684426631196</v>
      </c>
    </row>
    <row r="1153" spans="6:13">
      <c r="F1153">
        <v>1152</v>
      </c>
      <c r="G1153" s="5">
        <f t="shared" si="125"/>
        <v>8260.7253473382407</v>
      </c>
      <c r="H1153" s="5">
        <f t="shared" si="126"/>
        <v>8686.8077391692132</v>
      </c>
      <c r="I1153" s="5">
        <f t="shared" si="127"/>
        <v>8918.8910721575921</v>
      </c>
      <c r="J1153" s="5">
        <f t="shared" si="128"/>
        <v>9081.4265043052474</v>
      </c>
      <c r="K1153" s="5">
        <f t="shared" si="129"/>
        <v>9145.6990904273262</v>
      </c>
      <c r="L1153" s="5">
        <f t="shared" si="130"/>
        <v>9162.396530480346</v>
      </c>
      <c r="M1153" s="5">
        <f t="shared" si="131"/>
        <v>9165.1770576721174</v>
      </c>
    </row>
    <row r="1154" spans="6:13">
      <c r="F1154">
        <v>1153</v>
      </c>
      <c r="G1154" s="5">
        <f t="shared" si="125"/>
        <v>8275.8803986750791</v>
      </c>
      <c r="H1154" s="5">
        <f t="shared" si="126"/>
        <v>8703.1244233539492</v>
      </c>
      <c r="I1154" s="5">
        <f t="shared" si="127"/>
        <v>8935.8481997633153</v>
      </c>
      <c r="J1154" s="5">
        <f t="shared" si="128"/>
        <v>9098.8352934003105</v>
      </c>
      <c r="K1154" s="5">
        <f t="shared" si="129"/>
        <v>9163.287184550938</v>
      </c>
      <c r="L1154" s="5">
        <f t="shared" si="130"/>
        <v>9180.0312708910224</v>
      </c>
      <c r="M1154" s="5">
        <f t="shared" si="131"/>
        <v>9182.8195683906179</v>
      </c>
    </row>
    <row r="1155" spans="6:13">
      <c r="F1155">
        <v>1154</v>
      </c>
      <c r="G1155" s="5">
        <f t="shared" si="125"/>
        <v>8291.0632533307944</v>
      </c>
      <c r="H1155" s="5">
        <f t="shared" si="126"/>
        <v>8719.4717556421983</v>
      </c>
      <c r="I1155" s="5">
        <f t="shared" si="127"/>
        <v>8952.8375672713119</v>
      </c>
      <c r="J1155" s="5">
        <f t="shared" si="128"/>
        <v>9116.2774545584052</v>
      </c>
      <c r="K1155" s="5">
        <f t="shared" si="129"/>
        <v>9180.9091023387464</v>
      </c>
      <c r="L1155" s="5">
        <f t="shared" si="130"/>
        <v>9197.699952647532</v>
      </c>
      <c r="M1155" s="5">
        <f t="shared" si="131"/>
        <v>9200.4960400661676</v>
      </c>
    </row>
    <row r="1156" spans="6:13">
      <c r="F1156">
        <v>1155</v>
      </c>
      <c r="G1156" s="5">
        <f t="shared" ref="G1156:G1219" si="132">$C$2*(1+$C$1)^(F1156*0.019231/$D$5)</f>
        <v>8306.273962313111</v>
      </c>
      <c r="H1156" s="5">
        <f t="shared" si="126"/>
        <v>8735.8497936011863</v>
      </c>
      <c r="I1156" s="5">
        <f t="shared" si="127"/>
        <v>8969.8592359780268</v>
      </c>
      <c r="J1156" s="5">
        <f t="shared" si="128"/>
        <v>9133.7530517526593</v>
      </c>
      <c r="K1156" s="5">
        <f t="shared" si="129"/>
        <v>9198.5649088370465</v>
      </c>
      <c r="L1156" s="5">
        <f t="shared" si="130"/>
        <v>9215.4026410763381</v>
      </c>
      <c r="M1156" s="5">
        <f t="shared" si="131"/>
        <v>9218.206538071925</v>
      </c>
    </row>
    <row r="1157" spans="6:13">
      <c r="F1157">
        <v>1156</v>
      </c>
      <c r="G1157" s="5">
        <f t="shared" si="132"/>
        <v>8321.5125767233149</v>
      </c>
      <c r="H1157" s="5">
        <f t="shared" si="126"/>
        <v>8752.2585949062723</v>
      </c>
      <c r="I1157" s="5">
        <f t="shared" si="127"/>
        <v>8986.913267296406</v>
      </c>
      <c r="J1157" s="5">
        <f t="shared" si="128"/>
        <v>9151.2621490788297</v>
      </c>
      <c r="K1157" s="5">
        <f t="shared" si="129"/>
        <v>9216.2546692172073</v>
      </c>
      <c r="L1157" s="5">
        <f t="shared" si="130"/>
        <v>9233.1394016296053</v>
      </c>
      <c r="M1157" s="5">
        <f t="shared" si="131"/>
        <v>9235.9511279068956</v>
      </c>
    </row>
    <row r="1158" spans="6:13">
      <c r="F1158">
        <v>1157</v>
      </c>
      <c r="G1158" s="5">
        <f t="shared" si="132"/>
        <v>8336.7791477564497</v>
      </c>
      <c r="H1158" s="5">
        <f t="shared" si="126"/>
        <v>8768.6982173411379</v>
      </c>
      <c r="I1158" s="5">
        <f t="shared" si="127"/>
        <v>9003.9997227561889</v>
      </c>
      <c r="J1158" s="5">
        <f t="shared" si="128"/>
        <v>9168.8048107555387</v>
      </c>
      <c r="K1158" s="5">
        <f t="shared" si="129"/>
        <v>9233.9784487759571</v>
      </c>
      <c r="L1158" s="5">
        <f t="shared" si="130"/>
        <v>9250.9102998854996</v>
      </c>
      <c r="M1158" s="5">
        <f t="shared" si="131"/>
        <v>9253.729875196148</v>
      </c>
    </row>
    <row r="1159" spans="6:13">
      <c r="F1159">
        <v>1158</v>
      </c>
      <c r="G1159" s="5">
        <f t="shared" si="132"/>
        <v>8352.0737267014847</v>
      </c>
      <c r="H1159" s="5">
        <f t="shared" si="126"/>
        <v>8785.1687187980206</v>
      </c>
      <c r="I1159" s="5">
        <f t="shared" si="127"/>
        <v>9021.1186640040851</v>
      </c>
      <c r="J1159" s="5">
        <f t="shared" si="128"/>
        <v>9186.381101124518</v>
      </c>
      <c r="K1159" s="5">
        <f t="shared" si="129"/>
        <v>9251.7363129355672</v>
      </c>
      <c r="L1159" s="5">
        <f t="shared" si="130"/>
        <v>9268.7154015483884</v>
      </c>
      <c r="M1159" s="5">
        <f t="shared" si="131"/>
        <v>9271.5428456910868</v>
      </c>
    </row>
    <row r="1160" spans="6:13">
      <c r="F1160">
        <v>1159</v>
      </c>
      <c r="G1160" s="5">
        <f t="shared" si="132"/>
        <v>8367.3963649414782</v>
      </c>
      <c r="H1160" s="5">
        <f t="shared" si="126"/>
        <v>8801.6701572778784</v>
      </c>
      <c r="I1160" s="5">
        <f t="shared" si="127"/>
        <v>9038.2701528040125</v>
      </c>
      <c r="J1160" s="5">
        <f t="shared" si="128"/>
        <v>9203.9910846508428</v>
      </c>
      <c r="K1160" s="5">
        <f t="shared" si="129"/>
        <v>9269.5283272441338</v>
      </c>
      <c r="L1160" s="5">
        <f t="shared" si="130"/>
        <v>9286.5547724491153</v>
      </c>
      <c r="M1160" s="5">
        <f t="shared" si="131"/>
        <v>9289.3901052696874</v>
      </c>
    </row>
    <row r="1161" spans="6:13">
      <c r="F1161">
        <v>1160</v>
      </c>
      <c r="G1161" s="5">
        <f t="shared" si="132"/>
        <v>8382.7471139537556</v>
      </c>
      <c r="H1161" s="5">
        <f t="shared" si="126"/>
        <v>8818.2025908906289</v>
      </c>
      <c r="I1161" s="5">
        <f t="shared" si="127"/>
        <v>9055.4542510373067</v>
      </c>
      <c r="J1161" s="5">
        <f t="shared" si="128"/>
        <v>9221.6348259231581</v>
      </c>
      <c r="K1161" s="5">
        <f t="shared" si="129"/>
        <v>9287.3545573758111</v>
      </c>
      <c r="L1161" s="5">
        <f t="shared" si="130"/>
        <v>9304.4284785452055</v>
      </c>
      <c r="M1161" s="5">
        <f t="shared" si="131"/>
        <v>9307.2717199367289</v>
      </c>
    </row>
    <row r="1162" spans="6:13">
      <c r="F1162">
        <v>1161</v>
      </c>
      <c r="G1162" s="5">
        <f t="shared" si="132"/>
        <v>8398.1260253100827</v>
      </c>
      <c r="H1162" s="5">
        <f t="shared" si="126"/>
        <v>8834.7660778553272</v>
      </c>
      <c r="I1162" s="5">
        <f t="shared" si="127"/>
        <v>9072.6710207029882</v>
      </c>
      <c r="J1162" s="5">
        <f t="shared" si="128"/>
        <v>9239.3123896539255</v>
      </c>
      <c r="K1162" s="5">
        <f t="shared" si="129"/>
        <v>9305.2150691310508</v>
      </c>
      <c r="L1162" s="5">
        <f t="shared" si="130"/>
        <v>9322.3365859211517</v>
      </c>
      <c r="M1162" s="5">
        <f t="shared" si="131"/>
        <v>9325.187755824054</v>
      </c>
    </row>
    <row r="1163" spans="6:13">
      <c r="F1163">
        <v>1162</v>
      </c>
      <c r="G1163" s="5">
        <f t="shared" si="132"/>
        <v>8413.5331506768398</v>
      </c>
      <c r="H1163" s="5">
        <f t="shared" si="126"/>
        <v>8851.3606765003969</v>
      </c>
      <c r="I1163" s="5">
        <f t="shared" si="127"/>
        <v>9089.9205239179119</v>
      </c>
      <c r="J1163" s="5">
        <f t="shared" si="128"/>
        <v>9257.0238406796707</v>
      </c>
      <c r="K1163" s="5">
        <f t="shared" si="129"/>
        <v>9323.1099284368411</v>
      </c>
      <c r="L1163" s="5">
        <f t="shared" si="130"/>
        <v>9340.2791607886284</v>
      </c>
      <c r="M1163" s="5">
        <f t="shared" si="131"/>
        <v>9343.1382791907999</v>
      </c>
    </row>
    <row r="1164" spans="6:13">
      <c r="F1164">
        <v>1163</v>
      </c>
      <c r="G1164" s="5">
        <f t="shared" si="132"/>
        <v>8428.9685418151948</v>
      </c>
      <c r="H1164" s="5">
        <f t="shared" si="126"/>
        <v>8867.9864452638103</v>
      </c>
      <c r="I1164" s="5">
        <f t="shared" si="127"/>
        <v>9107.2028229170683</v>
      </c>
      <c r="J1164" s="5">
        <f t="shared" si="128"/>
        <v>9274.7692439611837</v>
      </c>
      <c r="K1164" s="5">
        <f t="shared" si="129"/>
        <v>9341.0392013469627</v>
      </c>
      <c r="L1164" s="5">
        <f t="shared" si="130"/>
        <v>9358.2562694867538</v>
      </c>
      <c r="M1164" s="5">
        <f t="shared" si="131"/>
        <v>9361.1233564236572</v>
      </c>
    </row>
    <row r="1165" spans="6:13">
      <c r="F1165">
        <v>1164</v>
      </c>
      <c r="G1165" s="5">
        <f t="shared" si="132"/>
        <v>8444.4322505812743</v>
      </c>
      <c r="H1165" s="5">
        <f t="shared" si="126"/>
        <v>8884.6434426933083</v>
      </c>
      <c r="I1165" s="5">
        <f t="shared" si="127"/>
        <v>9124.5179800537535</v>
      </c>
      <c r="J1165" s="5">
        <f t="shared" si="128"/>
        <v>9292.5486645838009</v>
      </c>
      <c r="K1165" s="5">
        <f t="shared" si="129"/>
        <v>9359.0029540422183</v>
      </c>
      <c r="L1165" s="5">
        <f t="shared" si="130"/>
        <v>9376.2679784823158</v>
      </c>
      <c r="M1165" s="5">
        <f t="shared" si="131"/>
        <v>9379.1430540370966</v>
      </c>
    </row>
    <row r="1166" spans="6:13">
      <c r="F1166">
        <v>1165</v>
      </c>
      <c r="G1166" s="5">
        <f t="shared" si="132"/>
        <v>8459.9243289263304</v>
      </c>
      <c r="H1166" s="5">
        <f t="shared" si="126"/>
        <v>8901.3317274466081</v>
      </c>
      <c r="I1166" s="5">
        <f t="shared" si="127"/>
        <v>9141.8660577998144</v>
      </c>
      <c r="J1166" s="5">
        <f t="shared" si="128"/>
        <v>9310.3621677576284</v>
      </c>
      <c r="K1166" s="5">
        <f t="shared" si="129"/>
        <v>9377.0012528306761</v>
      </c>
      <c r="L1166" s="5">
        <f t="shared" si="130"/>
        <v>9394.3143543700444</v>
      </c>
      <c r="M1166" s="5">
        <f t="shared" si="131"/>
        <v>9397.1974386736256</v>
      </c>
    </row>
    <row r="1167" spans="6:13">
      <c r="F1167">
        <v>1166</v>
      </c>
      <c r="G1167" s="5">
        <f t="shared" si="132"/>
        <v>8475.4448288969506</v>
      </c>
      <c r="H1167" s="5">
        <f t="shared" si="126"/>
        <v>8918.0513582915992</v>
      </c>
      <c r="I1167" s="5">
        <f t="shared" si="127"/>
        <v>9159.2471187458814</v>
      </c>
      <c r="J1167" s="5">
        <f t="shared" si="128"/>
        <v>9328.2098188177679</v>
      </c>
      <c r="K1167" s="5">
        <f t="shared" si="129"/>
        <v>9395.0341641479336</v>
      </c>
      <c r="L1167" s="5">
        <f t="shared" si="130"/>
        <v>9412.3954638728337</v>
      </c>
      <c r="M1167" s="5">
        <f t="shared" si="131"/>
        <v>9415.2865771040597</v>
      </c>
    </row>
    <row r="1168" spans="6:13">
      <c r="F1168">
        <v>1167</v>
      </c>
      <c r="G1168" s="5">
        <f t="shared" si="132"/>
        <v>8490.9938026351756</v>
      </c>
      <c r="H1168" s="5">
        <f t="shared" si="126"/>
        <v>8934.802394106564</v>
      </c>
      <c r="I1168" s="5">
        <f t="shared" si="127"/>
        <v>9176.6612256015833</v>
      </c>
      <c r="J1168" s="5">
        <f t="shared" si="128"/>
        <v>9346.0916832245621</v>
      </c>
      <c r="K1168" s="5">
        <f t="shared" si="129"/>
        <v>9413.101754557345</v>
      </c>
      <c r="L1168" s="5">
        <f t="shared" si="130"/>
        <v>9430.5113738420023</v>
      </c>
      <c r="M1168" s="5">
        <f t="shared" si="131"/>
        <v>9433.4105362277078</v>
      </c>
    </row>
    <row r="1169" spans="6:13">
      <c r="F1169">
        <v>1168</v>
      </c>
      <c r="G1169" s="5">
        <f t="shared" si="132"/>
        <v>8506.5713023787266</v>
      </c>
      <c r="H1169" s="5">
        <f t="shared" si="126"/>
        <v>8951.5848938803629</v>
      </c>
      <c r="I1169" s="5">
        <f t="shared" si="127"/>
        <v>9194.1084411957636</v>
      </c>
      <c r="J1169" s="5">
        <f t="shared" si="128"/>
        <v>9364.0078265638513</v>
      </c>
      <c r="K1169" s="5">
        <f t="shared" si="129"/>
        <v>9431.2040907502687</v>
      </c>
      <c r="L1169" s="5">
        <f t="shared" si="130"/>
        <v>9448.6621512575402</v>
      </c>
      <c r="M1169" s="5">
        <f t="shared" si="131"/>
        <v>9451.569383072685</v>
      </c>
    </row>
    <row r="1170" spans="6:13">
      <c r="F1170">
        <v>1169</v>
      </c>
      <c r="G1170" s="5">
        <f t="shared" si="132"/>
        <v>8522.1773804611475</v>
      </c>
      <c r="H1170" s="5">
        <f t="shared" si="126"/>
        <v>8968.3989167126801</v>
      </c>
      <c r="I1170" s="5">
        <f t="shared" si="127"/>
        <v>9211.5888284767461</v>
      </c>
      <c r="J1170" s="5">
        <f t="shared" si="128"/>
        <v>9381.9583145471988</v>
      </c>
      <c r="K1170" s="5">
        <f t="shared" si="129"/>
        <v>9449.3412395463311</v>
      </c>
      <c r="L1170" s="5">
        <f t="shared" si="130"/>
        <v>9466.8478632283441</v>
      </c>
      <c r="M1170" s="5">
        <f t="shared" si="131"/>
        <v>9469.763184796122</v>
      </c>
    </row>
    <row r="1171" spans="6:13">
      <c r="F1171">
        <v>1170</v>
      </c>
      <c r="G1171" s="5">
        <f t="shared" si="132"/>
        <v>8537.8120893119976</v>
      </c>
      <c r="H1171" s="5">
        <f t="shared" si="126"/>
        <v>8985.244521814182</v>
      </c>
      <c r="I1171" s="5">
        <f t="shared" si="127"/>
        <v>9229.1024505125024</v>
      </c>
      <c r="J1171" s="5">
        <f t="shared" si="128"/>
        <v>9399.9432130121204</v>
      </c>
      <c r="K1171" s="5">
        <f t="shared" si="129"/>
        <v>9467.5132678936479</v>
      </c>
      <c r="L1171" s="5">
        <f t="shared" si="130"/>
        <v>9485.0685769924767</v>
      </c>
      <c r="M1171" s="5">
        <f t="shared" si="131"/>
        <v>9487.9920086844213</v>
      </c>
    </row>
    <row r="1172" spans="6:13">
      <c r="F1172">
        <v>1171</v>
      </c>
      <c r="G1172" s="5">
        <f t="shared" si="132"/>
        <v>8553.4754814570369</v>
      </c>
      <c r="H1172" s="5">
        <f t="shared" si="126"/>
        <v>9002.121768506775</v>
      </c>
      <c r="I1172" s="5">
        <f t="shared" si="127"/>
        <v>9246.6493704909499</v>
      </c>
      <c r="J1172" s="5">
        <f t="shared" si="128"/>
        <v>9417.9625879223604</v>
      </c>
      <c r="K1172" s="5">
        <f t="shared" si="129"/>
        <v>9485.720242869078</v>
      </c>
      <c r="L1172" s="5">
        <f t="shared" si="130"/>
        <v>9503.324359917422</v>
      </c>
      <c r="M1172" s="5">
        <f t="shared" si="131"/>
        <v>9506.2559221535103</v>
      </c>
    </row>
    <row r="1173" spans="6:13">
      <c r="F1173">
        <v>1172</v>
      </c>
      <c r="G1173" s="5">
        <f t="shared" si="132"/>
        <v>8569.1676095183593</v>
      </c>
      <c r="H1173" s="5">
        <f t="shared" si="126"/>
        <v>9019.0307162237787</v>
      </c>
      <c r="I1173" s="5">
        <f t="shared" si="127"/>
        <v>9264.2296517201066</v>
      </c>
      <c r="J1173" s="5">
        <f t="shared" si="128"/>
        <v>9436.0165053681067</v>
      </c>
      <c r="K1173" s="5">
        <f t="shared" si="129"/>
        <v>9503.9622316784953</v>
      </c>
      <c r="L1173" s="5">
        <f t="shared" si="130"/>
        <v>9521.6152795003181</v>
      </c>
      <c r="M1173" s="5">
        <f t="shared" si="131"/>
        <v>9524.5549927490938</v>
      </c>
    </row>
    <row r="1174" spans="6:13">
      <c r="F1174">
        <v>1173</v>
      </c>
      <c r="G1174" s="5">
        <f t="shared" si="132"/>
        <v>8584.8885262146214</v>
      </c>
      <c r="H1174" s="5">
        <f t="shared" si="126"/>
        <v>9035.9714245101495</v>
      </c>
      <c r="I1174" s="5">
        <f t="shared" si="127"/>
        <v>9281.8433576283805</v>
      </c>
      <c r="J1174" s="5">
        <f t="shared" si="128"/>
        <v>9454.1050315662287</v>
      </c>
      <c r="K1174" s="5">
        <f t="shared" si="129"/>
        <v>9522.2393016569895</v>
      </c>
      <c r="L1174" s="5">
        <f t="shared" si="130"/>
        <v>9539.9414033682078</v>
      </c>
      <c r="M1174" s="5">
        <f t="shared" si="131"/>
        <v>9542.8892881468946</v>
      </c>
    </row>
    <row r="1175" spans="6:13">
      <c r="F1175">
        <v>1174</v>
      </c>
      <c r="G1175" s="5">
        <f t="shared" si="132"/>
        <v>8600.6382843611882</v>
      </c>
      <c r="H1175" s="5">
        <f t="shared" si="126"/>
        <v>9052.9439530226937</v>
      </c>
      <c r="I1175" s="5">
        <f t="shared" si="127"/>
        <v>9299.4905517647603</v>
      </c>
      <c r="J1175" s="5">
        <f t="shared" si="128"/>
        <v>9472.2282328605488</v>
      </c>
      <c r="K1175" s="5">
        <f t="shared" si="129"/>
        <v>9540.5515202691658</v>
      </c>
      <c r="L1175" s="5">
        <f t="shared" si="130"/>
        <v>9558.3027992783027</v>
      </c>
      <c r="M1175" s="5">
        <f t="shared" si="131"/>
        <v>9561.2588761529041</v>
      </c>
    </row>
    <row r="1176" spans="6:13">
      <c r="F1176">
        <v>1175</v>
      </c>
      <c r="G1176" s="5">
        <f t="shared" si="132"/>
        <v>8616.4169368703278</v>
      </c>
      <c r="H1176" s="5">
        <f t="shared" si="126"/>
        <v>9069.9483615302725</v>
      </c>
      <c r="I1176" s="5">
        <f t="shared" si="127"/>
        <v>9317.1712977990701</v>
      </c>
      <c r="J1176" s="5">
        <f t="shared" si="128"/>
        <v>9490.3861757220566</v>
      </c>
      <c r="K1176" s="5">
        <f t="shared" si="129"/>
        <v>9558.8989551093564</v>
      </c>
      <c r="L1176" s="5">
        <f t="shared" si="130"/>
        <v>9576.6995351182286</v>
      </c>
      <c r="M1176" s="5">
        <f t="shared" si="131"/>
        <v>9579.6638247036353</v>
      </c>
    </row>
    <row r="1177" spans="6:13">
      <c r="F1177">
        <v>1176</v>
      </c>
      <c r="G1177" s="5">
        <f t="shared" si="132"/>
        <v>8632.2245367513606</v>
      </c>
      <c r="H1177" s="5">
        <f t="shared" si="126"/>
        <v>9086.984709913997</v>
      </c>
      <c r="I1177" s="5">
        <f t="shared" si="127"/>
        <v>9334.8856595221641</v>
      </c>
      <c r="J1177" s="5">
        <f t="shared" si="128"/>
        <v>9508.5789267491655</v>
      </c>
      <c r="K1177" s="5">
        <f t="shared" si="129"/>
        <v>9577.2816739018999</v>
      </c>
      <c r="L1177" s="5">
        <f t="shared" si="130"/>
        <v>9595.1316789062712</v>
      </c>
      <c r="M1177" s="5">
        <f t="shared" si="131"/>
        <v>9598.1042018663957</v>
      </c>
    </row>
    <row r="1178" spans="6:13">
      <c r="F1178">
        <v>1177</v>
      </c>
      <c r="G1178" s="5">
        <f t="shared" si="132"/>
        <v>8648.0611371108807</v>
      </c>
      <c r="H1178" s="5">
        <f t="shared" si="126"/>
        <v>9104.0530581674848</v>
      </c>
      <c r="I1178" s="5">
        <f t="shared" si="127"/>
        <v>9352.6337008462142</v>
      </c>
      <c r="J1178" s="5">
        <f t="shared" si="128"/>
        <v>9526.8065526679602</v>
      </c>
      <c r="K1178" s="5">
        <f t="shared" si="129"/>
        <v>9595.6997445013621</v>
      </c>
      <c r="L1178" s="5">
        <f t="shared" si="130"/>
        <v>9613.5992987916215</v>
      </c>
      <c r="M1178" s="5">
        <f t="shared" si="131"/>
        <v>9616.5800758394926</v>
      </c>
    </row>
    <row r="1179" spans="6:13">
      <c r="F1179">
        <v>1178</v>
      </c>
      <c r="G1179" s="5">
        <f t="shared" si="132"/>
        <v>8663.9267911529023</v>
      </c>
      <c r="H1179" s="5">
        <f t="shared" si="126"/>
        <v>9121.1534663970069</v>
      </c>
      <c r="I1179" s="5">
        <f t="shared" si="127"/>
        <v>9370.4154858048678</v>
      </c>
      <c r="J1179" s="5">
        <f t="shared" si="128"/>
        <v>9545.069120332435</v>
      </c>
      <c r="K1179" s="5">
        <f t="shared" si="129"/>
        <v>9614.1532348927994</v>
      </c>
      <c r="L1179" s="5">
        <f t="shared" si="130"/>
        <v>9632.1024630546399</v>
      </c>
      <c r="M1179" s="5">
        <f t="shared" si="131"/>
        <v>9635.0915149525263</v>
      </c>
    </row>
    <row r="1180" spans="6:13">
      <c r="F1180">
        <v>1179</v>
      </c>
      <c r="G1180" s="5">
        <f t="shared" si="132"/>
        <v>8679.8215521790407</v>
      </c>
      <c r="H1180" s="5">
        <f t="shared" si="126"/>
        <v>9138.2859948217683</v>
      </c>
      <c r="I1180" s="5">
        <f t="shared" si="127"/>
        <v>9388.2310785535519</v>
      </c>
      <c r="J1180" s="5">
        <f t="shared" si="128"/>
        <v>9563.3666967247464</v>
      </c>
      <c r="K1180" s="5">
        <f t="shared" si="129"/>
        <v>9632.6422131920244</v>
      </c>
      <c r="L1180" s="5">
        <f t="shared" si="130"/>
        <v>9650.6412401071193</v>
      </c>
      <c r="M1180" s="5">
        <f t="shared" si="131"/>
        <v>9653.6385876666263</v>
      </c>
    </row>
    <row r="1181" spans="6:13">
      <c r="F1181">
        <v>1180</v>
      </c>
      <c r="G1181" s="5">
        <f t="shared" si="132"/>
        <v>8695.7454735887095</v>
      </c>
      <c r="H1181" s="5">
        <f t="shared" si="126"/>
        <v>9155.450703774055</v>
      </c>
      <c r="I1181" s="5">
        <f t="shared" si="127"/>
        <v>9406.0805433696423</v>
      </c>
      <c r="J1181" s="5">
        <f t="shared" si="128"/>
        <v>9581.6993489554334</v>
      </c>
      <c r="K1181" s="5">
        <f t="shared" si="129"/>
        <v>9651.1667476458224</v>
      </c>
      <c r="L1181" s="5">
        <f t="shared" si="130"/>
        <v>9669.2156984925132</v>
      </c>
      <c r="M1181" s="5">
        <f t="shared" si="131"/>
        <v>9672.2213625747027</v>
      </c>
    </row>
    <row r="1182" spans="6:13">
      <c r="F1182">
        <v>1181</v>
      </c>
      <c r="G1182" s="5">
        <f t="shared" si="132"/>
        <v>8711.6986088792728</v>
      </c>
      <c r="H1182" s="5">
        <f t="shared" si="126"/>
        <v>9172.6476536994942</v>
      </c>
      <c r="I1182" s="5">
        <f t="shared" si="127"/>
        <v>9423.9639446527326</v>
      </c>
      <c r="J1182" s="5">
        <f t="shared" si="128"/>
        <v>9600.0671442637122</v>
      </c>
      <c r="K1182" s="5">
        <f t="shared" si="129"/>
        <v>9669.7269066322333</v>
      </c>
      <c r="L1182" s="5">
        <f t="shared" si="130"/>
        <v>9687.8259068861898</v>
      </c>
      <c r="M1182" s="5">
        <f t="shared" si="131"/>
        <v>9690.8399084017074</v>
      </c>
    </row>
    <row r="1183" spans="6:13">
      <c r="F1183">
        <v>1182</v>
      </c>
      <c r="G1183" s="5">
        <f t="shared" si="132"/>
        <v>8727.681011646262</v>
      </c>
      <c r="H1183" s="5">
        <f t="shared" si="126"/>
        <v>9189.8769051572453</v>
      </c>
      <c r="I1183" s="5">
        <f t="shared" si="127"/>
        <v>9441.8813469248653</v>
      </c>
      <c r="J1183" s="5">
        <f t="shared" si="128"/>
        <v>9618.4701500176743</v>
      </c>
      <c r="K1183" s="5">
        <f t="shared" si="129"/>
        <v>9688.3227586608082</v>
      </c>
      <c r="L1183" s="5">
        <f t="shared" si="130"/>
        <v>9706.4719340957072</v>
      </c>
      <c r="M1183" s="5">
        <f t="shared" si="131"/>
        <v>9709.4942940048841</v>
      </c>
    </row>
    <row r="1184" spans="6:13">
      <c r="F1184">
        <v>1183</v>
      </c>
      <c r="G1184" s="5">
        <f t="shared" si="132"/>
        <v>8743.6927355835123</v>
      </c>
      <c r="H1184" s="5">
        <f t="shared" si="126"/>
        <v>9207.1385188202203</v>
      </c>
      <c r="I1184" s="5">
        <f t="shared" si="127"/>
        <v>9459.8328148307446</v>
      </c>
      <c r="J1184" s="5">
        <f t="shared" si="128"/>
        <v>9636.9084337145596</v>
      </c>
      <c r="K1184" s="5">
        <f t="shared" si="129"/>
        <v>9706.9543723728311</v>
      </c>
      <c r="L1184" s="5">
        <f t="shared" si="130"/>
        <v>9725.1538490610601</v>
      </c>
      <c r="M1184" s="5">
        <f t="shared" si="131"/>
        <v>9728.1845883740261</v>
      </c>
    </row>
    <row r="1185" spans="6:13">
      <c r="F1185">
        <v>1184</v>
      </c>
      <c r="G1185" s="5">
        <f t="shared" si="132"/>
        <v>8759.7338344833788</v>
      </c>
      <c r="H1185" s="5">
        <f t="shared" si="126"/>
        <v>9224.4325554752832</v>
      </c>
      <c r="I1185" s="5">
        <f t="shared" si="127"/>
        <v>9477.818413137984</v>
      </c>
      <c r="J1185" s="5">
        <f t="shared" si="128"/>
        <v>9655.3820629809979</v>
      </c>
      <c r="K1185" s="5">
        <f t="shared" si="129"/>
        <v>9725.6218165415976</v>
      </c>
      <c r="L1185" s="5">
        <f t="shared" si="130"/>
        <v>9743.8717208549242</v>
      </c>
      <c r="M1185" s="5">
        <f t="shared" si="131"/>
        <v>9746.910860631715</v>
      </c>
    </row>
    <row r="1186" spans="6:13">
      <c r="F1186">
        <v>1185</v>
      </c>
      <c r="G1186" s="5">
        <f t="shared" si="132"/>
        <v>8775.8043622369005</v>
      </c>
      <c r="H1186" s="5">
        <f t="shared" si="126"/>
        <v>9241.7590760234998</v>
      </c>
      <c r="I1186" s="5">
        <f t="shared" si="127"/>
        <v>9495.8382067373423</v>
      </c>
      <c r="J1186" s="5">
        <f t="shared" si="128"/>
        <v>9673.8911055732606</v>
      </c>
      <c r="K1186" s="5">
        <f t="shared" si="129"/>
        <v>9744.325160072658</v>
      </c>
      <c r="L1186" s="5">
        <f t="shared" si="130"/>
        <v>9762.6256186829214</v>
      </c>
      <c r="M1186" s="5">
        <f t="shared" si="131"/>
        <v>9765.6731800336001</v>
      </c>
    </row>
    <row r="1187" spans="6:13">
      <c r="F1187">
        <v>1186</v>
      </c>
      <c r="G1187" s="5">
        <f t="shared" si="132"/>
        <v>8791.9043728339821</v>
      </c>
      <c r="H1187" s="5">
        <f t="shared" si="126"/>
        <v>9259.1181414802995</v>
      </c>
      <c r="I1187" s="5">
        <f t="shared" si="127"/>
        <v>9513.8922606429387</v>
      </c>
      <c r="J1187" s="5">
        <f t="shared" si="128"/>
        <v>9692.4356293774963</v>
      </c>
      <c r="K1187" s="5">
        <f t="shared" si="129"/>
        <v>9763.0644720040782</v>
      </c>
      <c r="L1187" s="5">
        <f t="shared" si="130"/>
        <v>9781.4156118838655</v>
      </c>
      <c r="M1187" s="5">
        <f t="shared" si="131"/>
        <v>9784.4716159686577</v>
      </c>
    </row>
    <row r="1188" spans="6:13">
      <c r="F1188">
        <v>1187</v>
      </c>
      <c r="G1188" s="5">
        <f t="shared" si="132"/>
        <v>8808.0339203635813</v>
      </c>
      <c r="H1188" s="5">
        <f t="shared" si="126"/>
        <v>9276.5098129757462</v>
      </c>
      <c r="I1188" s="5">
        <f t="shared" si="127"/>
        <v>9531.9806399925237</v>
      </c>
      <c r="J1188" s="5">
        <f t="shared" si="128"/>
        <v>9711.0157024099954</v>
      </c>
      <c r="K1188" s="5">
        <f t="shared" si="129"/>
        <v>9781.8398215066936</v>
      </c>
      <c r="L1188" s="5">
        <f t="shared" si="130"/>
        <v>9800.2417699300349</v>
      </c>
      <c r="M1188" s="5">
        <f t="shared" si="131"/>
        <v>9803.3062379594085</v>
      </c>
    </row>
    <row r="1189" spans="6:13">
      <c r="F1189">
        <v>1188</v>
      </c>
      <c r="G1189" s="5">
        <f t="shared" si="132"/>
        <v>8824.1930590138836</v>
      </c>
      <c r="H1189" s="5">
        <f t="shared" si="126"/>
        <v>9293.9341517547018</v>
      </c>
      <c r="I1189" s="5">
        <f t="shared" si="127"/>
        <v>9550.1034100476681</v>
      </c>
      <c r="J1189" s="5">
        <f t="shared" si="128"/>
        <v>9729.6313928174404</v>
      </c>
      <c r="K1189" s="5">
        <f t="shared" si="129"/>
        <v>9800.6512778843444</v>
      </c>
      <c r="L1189" s="5">
        <f t="shared" si="130"/>
        <v>9819.1041624274148</v>
      </c>
      <c r="M1189" s="5">
        <f t="shared" si="131"/>
        <v>9822.1771156622144</v>
      </c>
    </row>
    <row r="1190" spans="6:13">
      <c r="F1190">
        <v>1189</v>
      </c>
      <c r="G1190" s="5">
        <f t="shared" si="132"/>
        <v>8840.3818430724896</v>
      </c>
      <c r="H1190" s="5">
        <f t="shared" si="126"/>
        <v>9311.3912191770796</v>
      </c>
      <c r="I1190" s="5">
        <f t="shared" si="127"/>
        <v>9568.2606361940361</v>
      </c>
      <c r="J1190" s="5">
        <f t="shared" si="128"/>
        <v>9748.2827688771285</v>
      </c>
      <c r="K1190" s="5">
        <f t="shared" si="129"/>
        <v>9819.498910574177</v>
      </c>
      <c r="L1190" s="5">
        <f t="shared" si="130"/>
        <v>9838.0028591159698</v>
      </c>
      <c r="M1190" s="5">
        <f t="shared" si="131"/>
        <v>9841.0843188675208</v>
      </c>
    </row>
    <row r="1191" spans="6:13">
      <c r="F1191">
        <v>1190</v>
      </c>
      <c r="G1191" s="5">
        <f t="shared" si="132"/>
        <v>8856.600326926593</v>
      </c>
      <c r="H1191" s="5">
        <f t="shared" si="126"/>
        <v>9328.8810767180476</v>
      </c>
      <c r="I1191" s="5">
        <f t="shared" si="127"/>
        <v>9586.4523839416051</v>
      </c>
      <c r="J1191" s="5">
        <f t="shared" si="128"/>
        <v>9766.9698989972621</v>
      </c>
      <c r="K1191" s="5">
        <f t="shared" si="129"/>
        <v>9838.3827891468536</v>
      </c>
      <c r="L1191" s="5">
        <f t="shared" si="130"/>
        <v>9856.937929869875</v>
      </c>
      <c r="M1191" s="5">
        <f t="shared" si="131"/>
        <v>9860.0279175001215</v>
      </c>
    </row>
    <row r="1192" spans="6:13">
      <c r="F1192">
        <v>1191</v>
      </c>
      <c r="G1192" s="5">
        <f t="shared" si="132"/>
        <v>8872.8485650631737</v>
      </c>
      <c r="H1192" s="5">
        <f t="shared" si="126"/>
        <v>9346.4037859682394</v>
      </c>
      <c r="I1192" s="5">
        <f t="shared" si="127"/>
        <v>9604.6787189248989</v>
      </c>
      <c r="J1192" s="5">
        <f t="shared" si="128"/>
        <v>9785.6928517171764</v>
      </c>
      <c r="K1192" s="5">
        <f t="shared" si="129"/>
        <v>9857.3029833068322</v>
      </c>
      <c r="L1192" s="5">
        <f t="shared" si="130"/>
        <v>9875.909444697807</v>
      </c>
      <c r="M1192" s="5">
        <f t="shared" si="131"/>
        <v>9879.0079816193993</v>
      </c>
    </row>
    <row r="1193" spans="6:13">
      <c r="F1193">
        <v>1192</v>
      </c>
      <c r="G1193" s="5">
        <f t="shared" si="132"/>
        <v>8889.1266120691562</v>
      </c>
      <c r="H1193" s="5">
        <f t="shared" si="126"/>
        <v>9363.9594086339785</v>
      </c>
      <c r="I1193" s="5">
        <f t="shared" si="127"/>
        <v>9622.9397069032311</v>
      </c>
      <c r="J1193" s="5">
        <f t="shared" si="128"/>
        <v>9804.4516957075793</v>
      </c>
      <c r="K1193" s="5">
        <f t="shared" si="129"/>
        <v>9876.259562892621</v>
      </c>
      <c r="L1193" s="5">
        <f t="shared" si="130"/>
        <v>9894.9174737431767</v>
      </c>
      <c r="M1193" s="5">
        <f t="shared" si="131"/>
        <v>9898.0245814196114</v>
      </c>
    </row>
    <row r="1194" spans="6:13">
      <c r="F1194">
        <v>1193</v>
      </c>
      <c r="G1194" s="5">
        <f t="shared" si="132"/>
        <v>8905.4345226316327</v>
      </c>
      <c r="H1194" s="5">
        <f t="shared" si="126"/>
        <v>9381.5480065374904</v>
      </c>
      <c r="I1194" s="5">
        <f t="shared" si="127"/>
        <v>9641.2354137609473</v>
      </c>
      <c r="J1194" s="5">
        <f t="shared" si="128"/>
        <v>9823.2464997708357</v>
      </c>
      <c r="K1194" s="5">
        <f t="shared" si="129"/>
        <v>9895.2525978770282</v>
      </c>
      <c r="L1194" s="5">
        <f t="shared" si="130"/>
        <v>9913.9620872844116</v>
      </c>
      <c r="M1194" s="5">
        <f t="shared" si="131"/>
        <v>9917.0777872301296</v>
      </c>
    </row>
    <row r="1195" spans="6:13">
      <c r="F1195">
        <v>1194</v>
      </c>
      <c r="G1195" s="5">
        <f t="shared" si="132"/>
        <v>8921.7723515379967</v>
      </c>
      <c r="H1195" s="5">
        <f t="shared" si="126"/>
        <v>9399.1696416171289</v>
      </c>
      <c r="I1195" s="5">
        <f t="shared" si="127"/>
        <v>9659.5659055076503</v>
      </c>
      <c r="J1195" s="5">
        <f t="shared" si="128"/>
        <v>9842.0773328411924</v>
      </c>
      <c r="K1195" s="5">
        <f t="shared" si="129"/>
        <v>9914.2821583674358</v>
      </c>
      <c r="L1195" s="5">
        <f t="shared" si="130"/>
        <v>9933.0433557351862</v>
      </c>
      <c r="M1195" s="5">
        <f t="shared" si="131"/>
        <v>9936.1676695156984</v>
      </c>
    </row>
    <row r="1196" spans="6:13">
      <c r="F1196">
        <v>1195</v>
      </c>
      <c r="G1196" s="5">
        <f t="shared" si="132"/>
        <v>8938.1401536761859</v>
      </c>
      <c r="H1196" s="5">
        <f t="shared" si="126"/>
        <v>9416.8243759275847</v>
      </c>
      <c r="I1196" s="5">
        <f t="shared" si="127"/>
        <v>9677.9312482784444</v>
      </c>
      <c r="J1196" s="5">
        <f t="shared" si="128"/>
        <v>9860.9442639850513</v>
      </c>
      <c r="K1196" s="5">
        <f t="shared" si="129"/>
        <v>9933.3483146060462</v>
      </c>
      <c r="L1196" s="5">
        <f t="shared" si="130"/>
        <v>9952.1613496447098</v>
      </c>
      <c r="M1196" s="5">
        <f t="shared" si="131"/>
        <v>9955.2942988767118</v>
      </c>
    </row>
    <row r="1197" spans="6:13">
      <c r="F1197">
        <v>1196</v>
      </c>
      <c r="G1197" s="5">
        <f t="shared" si="132"/>
        <v>8954.5379840348032</v>
      </c>
      <c r="H1197" s="5">
        <f t="shared" si="126"/>
        <v>9434.5122716401074</v>
      </c>
      <c r="I1197" s="5">
        <f t="shared" si="127"/>
        <v>9696.3315083341768</v>
      </c>
      <c r="J1197" s="5">
        <f t="shared" si="128"/>
        <v>9879.8473624011931</v>
      </c>
      <c r="K1197" s="5">
        <f t="shared" si="129"/>
        <v>9952.4511369701413</v>
      </c>
      <c r="L1197" s="5">
        <f t="shared" si="130"/>
        <v>9971.3161396979776</v>
      </c>
      <c r="M1197" s="5">
        <f t="shared" si="131"/>
        <v>9974.4577460494784</v>
      </c>
    </row>
    <row r="1198" spans="6:13">
      <c r="F1198">
        <v>1197</v>
      </c>
      <c r="G1198" s="5">
        <f t="shared" si="132"/>
        <v>8970.9658977033559</v>
      </c>
      <c r="H1198" s="5">
        <f t="shared" si="126"/>
        <v>9452.2333910427187</v>
      </c>
      <c r="I1198" s="5">
        <f t="shared" si="127"/>
        <v>9714.7667520616687</v>
      </c>
      <c r="J1198" s="5">
        <f t="shared" si="128"/>
        <v>9898.7866974210665</v>
      </c>
      <c r="K1198" s="5">
        <f t="shared" si="129"/>
        <v>9971.5906959723488</v>
      </c>
      <c r="L1198" s="5">
        <f t="shared" si="130"/>
        <v>9990.5077967160305</v>
      </c>
      <c r="M1198" s="5">
        <f t="shared" si="131"/>
        <v>9993.6580819064438</v>
      </c>
    </row>
    <row r="1199" spans="6:13">
      <c r="F1199">
        <v>1198</v>
      </c>
      <c r="G1199" s="5">
        <f t="shared" si="132"/>
        <v>8987.4239498724073</v>
      </c>
      <c r="H1199" s="5">
        <f t="shared" si="126"/>
        <v>9469.9877965404557</v>
      </c>
      <c r="I1199" s="5">
        <f t="shared" si="127"/>
        <v>9733.237045973965</v>
      </c>
      <c r="J1199" s="5">
        <f t="shared" si="128"/>
        <v>9917.7623385090301</v>
      </c>
      <c r="K1199" s="5">
        <f t="shared" si="129"/>
        <v>9990.7670622608966</v>
      </c>
      <c r="L1199" s="5">
        <f t="shared" si="130"/>
        <v>10009.73639165621</v>
      </c>
      <c r="M1199" s="5">
        <f t="shared" si="131"/>
        <v>10012.895377456498</v>
      </c>
    </row>
    <row r="1200" spans="6:13">
      <c r="F1200">
        <v>1199</v>
      </c>
      <c r="G1200" s="5">
        <f t="shared" si="132"/>
        <v>9003.9121958337782</v>
      </c>
      <c r="H1200" s="5">
        <f t="shared" si="126"/>
        <v>9487.775550655555</v>
      </c>
      <c r="I1200" s="5">
        <f t="shared" si="127"/>
        <v>9751.7424567105681</v>
      </c>
      <c r="J1200" s="5">
        <f t="shared" si="128"/>
        <v>9936.7743552625852</v>
      </c>
      <c r="K1200" s="5">
        <f t="shared" si="129"/>
        <v>10009.98030661988</v>
      </c>
      <c r="L1200" s="5">
        <f t="shared" si="130"/>
        <v>10029.001995612436</v>
      </c>
      <c r="M1200" s="5">
        <f t="shared" si="131"/>
        <v>10032.169703845217</v>
      </c>
    </row>
    <row r="1201" spans="6:13">
      <c r="F1201">
        <v>1200</v>
      </c>
      <c r="G1201" s="5">
        <f t="shared" si="132"/>
        <v>9020.4306909807183</v>
      </c>
      <c r="H1201" s="5">
        <f t="shared" si="126"/>
        <v>9505.5967160276923</v>
      </c>
      <c r="I1201" s="5">
        <f t="shared" si="127"/>
        <v>9770.2830510376771</v>
      </c>
      <c r="J1201" s="5">
        <f t="shared" si="128"/>
        <v>9955.8228174126616</v>
      </c>
      <c r="K1201" s="5">
        <f t="shared" si="129"/>
        <v>10029.230499969513</v>
      </c>
      <c r="L1201" s="5">
        <f t="shared" si="130"/>
        <v>10048.304679815463</v>
      </c>
      <c r="M1201" s="5">
        <f t="shared" si="131"/>
        <v>10051.481132355122</v>
      </c>
    </row>
    <row r="1202" spans="6:13">
      <c r="F1202">
        <v>1201</v>
      </c>
      <c r="G1202" s="5">
        <f t="shared" si="132"/>
        <v>9036.979490808113</v>
      </c>
      <c r="H1202" s="5">
        <f t="shared" si="126"/>
        <v>9523.4513554142122</v>
      </c>
      <c r="I1202" s="5">
        <f t="shared" si="127"/>
        <v>9788.8588958484324</v>
      </c>
      <c r="J1202" s="5">
        <f t="shared" si="128"/>
        <v>9974.9077948238628</v>
      </c>
      <c r="K1202" s="5">
        <f t="shared" si="129"/>
        <v>10048.517713366406</v>
      </c>
      <c r="L1202" s="5">
        <f t="shared" si="130"/>
        <v>10067.644515633139</v>
      </c>
      <c r="M1202" s="5">
        <f t="shared" si="131"/>
        <v>10070.829734405954</v>
      </c>
    </row>
    <row r="1203" spans="6:13">
      <c r="F1203">
        <v>1202</v>
      </c>
      <c r="G1203" s="5">
        <f t="shared" si="132"/>
        <v>9053.5586509126515</v>
      </c>
      <c r="H1203" s="5">
        <f t="shared" si="126"/>
        <v>9541.3395316903297</v>
      </c>
      <c r="I1203" s="5">
        <f t="shared" si="127"/>
        <v>9807.4700581631587</v>
      </c>
      <c r="J1203" s="5">
        <f t="shared" si="128"/>
        <v>9994.0293574947082</v>
      </c>
      <c r="K1203" s="5">
        <f t="shared" si="129"/>
        <v>10067.842018003816</v>
      </c>
      <c r="L1203" s="5">
        <f t="shared" si="130"/>
        <v>10087.02157457067</v>
      </c>
      <c r="M1203" s="5">
        <f t="shared" si="131"/>
        <v>10090.215581554938</v>
      </c>
    </row>
    <row r="1204" spans="6:13">
      <c r="F1204">
        <v>1203</v>
      </c>
      <c r="G1204" s="5">
        <f t="shared" si="132"/>
        <v>9070.1682269930188</v>
      </c>
      <c r="H1204" s="5">
        <f t="shared" si="126"/>
        <v>9559.2613078493614</v>
      </c>
      <c r="I1204" s="5">
        <f t="shared" si="127"/>
        <v>9826.1166051295968</v>
      </c>
      <c r="J1204" s="5">
        <f t="shared" si="128"/>
        <v>10013.187575557915</v>
      </c>
      <c r="K1204" s="5">
        <f t="shared" si="129"/>
        <v>10087.203485211898</v>
      </c>
      <c r="L1204" s="5">
        <f t="shared" si="130"/>
        <v>10106.435928270887</v>
      </c>
      <c r="M1204" s="5">
        <f t="shared" si="131"/>
        <v>10109.638745497041</v>
      </c>
    </row>
    <row r="1205" spans="6:13">
      <c r="F1205">
        <v>1204</v>
      </c>
      <c r="G1205" s="5">
        <f t="shared" si="132"/>
        <v>9086.8082748500929</v>
      </c>
      <c r="H1205" s="5">
        <f t="shared" si="126"/>
        <v>9577.2167470029508</v>
      </c>
      <c r="I1205" s="5">
        <f t="shared" si="127"/>
        <v>9844.7986040231644</v>
      </c>
      <c r="J1205" s="5">
        <f t="shared" si="128"/>
        <v>10032.38251928064</v>
      </c>
      <c r="K1205" s="5">
        <f t="shared" si="129"/>
        <v>10106.602186457996</v>
      </c>
      <c r="L1205" s="5">
        <f t="shared" si="130"/>
        <v>10125.887648514525</v>
      </c>
      <c r="M1205" s="5">
        <f t="shared" si="131"/>
        <v>10129.099298065226</v>
      </c>
    </row>
    <row r="1206" spans="6:13">
      <c r="F1206">
        <v>1205</v>
      </c>
      <c r="G1206" s="5">
        <f t="shared" si="132"/>
        <v>9103.4788503871041</v>
      </c>
      <c r="H1206" s="5">
        <f t="shared" ref="H1206:H1269" si="133">$C$2*(1+$C$1/$D$6)^(F1206*$D$6*0.019231)</f>
        <v>9595.2059123812705</v>
      </c>
      <c r="I1206" s="5">
        <f t="shared" ref="I1206:I1269" si="134">$C$2*(1+$C$1/$D$7)^(F1206*$D$7*0.019231)</f>
        <v>9863.5161222471634</v>
      </c>
      <c r="J1206" s="5">
        <f t="shared" ref="J1206:J1269" si="135">$C$2*(1+$C$1/$D$8)^(F1206*$D$8*0.019231)</f>
        <v>10051.614259064727</v>
      </c>
      <c r="K1206" s="5">
        <f t="shared" ref="K1206:K1269" si="136">$C$2*(1+$C$1/$D$9)^(F1206*$D$9*0.019231)</f>
        <v>10126.038193346893</v>
      </c>
      <c r="L1206" s="5">
        <f t="shared" ref="L1206:L1269" si="137">$C$2*(1+$C$1/$D$10)^(F1206*$D$10*0.019231)</f>
        <v>10145.37680722046</v>
      </c>
      <c r="M1206" s="5">
        <f t="shared" ref="M1206:M1269" si="138">$C$2*EXP($C$1*F1206*0.019231)</f>
        <v>10148.597311230744</v>
      </c>
    </row>
    <row r="1207" spans="6:13">
      <c r="F1207">
        <v>1206</v>
      </c>
      <c r="G1207" s="5">
        <f t="shared" si="132"/>
        <v>9120.1800096098723</v>
      </c>
      <c r="H1207" s="5">
        <f t="shared" si="133"/>
        <v>9613.2288673332878</v>
      </c>
      <c r="I1207" s="5">
        <f t="shared" si="134"/>
        <v>9882.2692273330849</v>
      </c>
      <c r="J1207" s="5">
        <f t="shared" si="135"/>
        <v>10070.882865446994</v>
      </c>
      <c r="K1207" s="5">
        <f t="shared" si="136"/>
        <v>10145.511577621066</v>
      </c>
      <c r="L1207" s="5">
        <f t="shared" si="137"/>
        <v>10164.903476445987</v>
      </c>
      <c r="M1207" s="5">
        <f t="shared" si="138"/>
        <v>10168.132857103394</v>
      </c>
    </row>
    <row r="1208" spans="6:13">
      <c r="F1208">
        <v>1207</v>
      </c>
      <c r="G1208" s="5">
        <f t="shared" si="132"/>
        <v>9136.9118086269355</v>
      </c>
      <c r="H1208" s="5">
        <f t="shared" si="133"/>
        <v>9631.2856753269298</v>
      </c>
      <c r="I1208" s="5">
        <f t="shared" si="134"/>
        <v>9901.0579869407757</v>
      </c>
      <c r="J1208" s="5">
        <f t="shared" si="135"/>
        <v>10090.18840909947</v>
      </c>
      <c r="K1208" s="5">
        <f t="shared" si="136"/>
        <v>10165.022411160966</v>
      </c>
      <c r="L1208" s="5">
        <f t="shared" si="137"/>
        <v>10184.467728387101</v>
      </c>
      <c r="M1208" s="5">
        <f t="shared" si="138"/>
        <v>10187.706007931763</v>
      </c>
    </row>
    <row r="1209" spans="6:13">
      <c r="F1209">
        <v>1208</v>
      </c>
      <c r="G1209" s="5">
        <f t="shared" si="132"/>
        <v>9153.674303649781</v>
      </c>
      <c r="H1209" s="5">
        <f t="shared" si="133"/>
        <v>9649.3763999493585</v>
      </c>
      <c r="I1209" s="5">
        <f t="shared" si="134"/>
        <v>9919.8824688587465</v>
      </c>
      <c r="J1209" s="5">
        <f t="shared" si="135"/>
        <v>10109.530960829665</v>
      </c>
      <c r="K1209" s="5">
        <f t="shared" si="136"/>
        <v>10184.570765985283</v>
      </c>
      <c r="L1209" s="5">
        <f t="shared" si="137"/>
        <v>10204.069635378741</v>
      </c>
      <c r="M1209" s="5">
        <f t="shared" si="138"/>
        <v>10207.31683610353</v>
      </c>
    </row>
    <row r="1210" spans="6:13">
      <c r="F1210">
        <v>1209</v>
      </c>
      <c r="G1210" s="5">
        <f t="shared" si="132"/>
        <v>9170.467550993033</v>
      </c>
      <c r="H1210" s="5">
        <f t="shared" si="133"/>
        <v>9667.5011049071636</v>
      </c>
      <c r="I1210" s="5">
        <f t="shared" si="134"/>
        <v>9938.742741004382</v>
      </c>
      <c r="J1210" s="5">
        <f t="shared" si="135"/>
        <v>10128.910591580803</v>
      </c>
      <c r="K1210" s="5">
        <f t="shared" si="136"/>
        <v>10204.156714251199</v>
      </c>
      <c r="L1210" s="5">
        <f t="shared" si="137"/>
        <v>10223.709269895076</v>
      </c>
      <c r="M1210" s="5">
        <f t="shared" si="138"/>
        <v>10226.965414145709</v>
      </c>
    </row>
    <row r="1211" spans="6:13">
      <c r="F1211">
        <v>1210</v>
      </c>
      <c r="G1211" s="5">
        <f t="shared" si="132"/>
        <v>9187.2916070746014</v>
      </c>
      <c r="H1211" s="5">
        <f t="shared" si="133"/>
        <v>9685.6598540266023</v>
      </c>
      <c r="I1211" s="5">
        <f t="shared" si="134"/>
        <v>9957.6388714241984</v>
      </c>
      <c r="J1211" s="5">
        <f t="shared" si="135"/>
        <v>10148.327372432133</v>
      </c>
      <c r="K1211" s="5">
        <f t="shared" si="136"/>
        <v>10223.780328254659</v>
      </c>
      <c r="L1211" s="5">
        <f t="shared" si="137"/>
        <v>10243.386704549759</v>
      </c>
      <c r="M1211" s="5">
        <f t="shared" si="138"/>
        <v>10246.651814724921</v>
      </c>
    </row>
    <row r="1212" spans="6:13">
      <c r="F1212">
        <v>1211</v>
      </c>
      <c r="G1212" s="5">
        <f t="shared" si="132"/>
        <v>9204.1465284159331</v>
      </c>
      <c r="H1212" s="5">
        <f t="shared" si="133"/>
        <v>9703.8527112538122</v>
      </c>
      <c r="I1212" s="5">
        <f t="shared" si="134"/>
        <v>9976.5709282940843</v>
      </c>
      <c r="J1212" s="5">
        <f t="shared" si="135"/>
        <v>10167.781374599146</v>
      </c>
      <c r="K1212" s="5">
        <f t="shared" si="136"/>
        <v>10243.44168043064</v>
      </c>
      <c r="L1212" s="5">
        <f t="shared" si="137"/>
        <v>10263.102012096204</v>
      </c>
      <c r="M1212" s="5">
        <f t="shared" si="138"/>
        <v>10266.376110647678</v>
      </c>
    </row>
    <row r="1213" spans="6:13">
      <c r="F1213">
        <v>1212</v>
      </c>
      <c r="G1213" s="5">
        <f t="shared" si="132"/>
        <v>9221.0323716421408</v>
      </c>
      <c r="H1213" s="5">
        <f t="shared" si="133"/>
        <v>9722.0797406550519</v>
      </c>
      <c r="I1213" s="5">
        <f t="shared" si="134"/>
        <v>9995.5389799195545</v>
      </c>
      <c r="J1213" s="5">
        <f t="shared" si="135"/>
        <v>10187.272669433847</v>
      </c>
      <c r="K1213" s="5">
        <f t="shared" si="136"/>
        <v>10263.140843353429</v>
      </c>
      <c r="L1213" s="5">
        <f t="shared" si="137"/>
        <v>10282.85526542785</v>
      </c>
      <c r="M1213" s="5">
        <f t="shared" si="138"/>
        <v>10286.138374860629</v>
      </c>
    </row>
    <row r="1214" spans="6:13">
      <c r="F1214">
        <v>1213</v>
      </c>
      <c r="G1214" s="5">
        <f t="shared" si="132"/>
        <v>9237.9491934822327</v>
      </c>
      <c r="H1214" s="5">
        <f t="shared" si="133"/>
        <v>9740.341006416902</v>
      </c>
      <c r="I1214" s="5">
        <f t="shared" si="134"/>
        <v>10014.543094735969</v>
      </c>
      <c r="J1214" s="5">
        <f t="shared" si="135"/>
        <v>10206.801328425026</v>
      </c>
      <c r="K1214" s="5">
        <f t="shared" si="136"/>
        <v>10282.877889736868</v>
      </c>
      <c r="L1214" s="5">
        <f t="shared" si="137"/>
        <v>10302.646537578445</v>
      </c>
      <c r="M1214" s="5">
        <f t="shared" si="138"/>
        <v>10305.938680450858</v>
      </c>
    </row>
    <row r="1215" spans="6:13">
      <c r="F1215">
        <v>1214</v>
      </c>
      <c r="G1215" s="5">
        <f t="shared" si="132"/>
        <v>9254.8970507692957</v>
      </c>
      <c r="H1215" s="5">
        <f t="shared" si="133"/>
        <v>9758.6365728465298</v>
      </c>
      <c r="I1215" s="5">
        <f t="shared" si="134"/>
        <v>10033.58334130884</v>
      </c>
      <c r="J1215" s="5">
        <f t="shared" si="135"/>
        <v>10226.367423198521</v>
      </c>
      <c r="K1215" s="5">
        <f t="shared" si="136"/>
        <v>10302.652892434648</v>
      </c>
      <c r="L1215" s="5">
        <f t="shared" si="137"/>
        <v>10322.475901722284</v>
      </c>
      <c r="M1215" s="5">
        <f t="shared" si="138"/>
        <v>10325.777100646112</v>
      </c>
    </row>
    <row r="1216" spans="6:13">
      <c r="F1216">
        <v>1215</v>
      </c>
      <c r="G1216" s="5">
        <f t="shared" si="132"/>
        <v>9271.876000440674</v>
      </c>
      <c r="H1216" s="5">
        <f t="shared" si="133"/>
        <v>9776.9665043718705</v>
      </c>
      <c r="I1216" s="5">
        <f t="shared" si="134"/>
        <v>10052.659788334002</v>
      </c>
      <c r="J1216" s="5">
        <f t="shared" si="135"/>
        <v>10245.971025517458</v>
      </c>
      <c r="K1216" s="5">
        <f t="shared" si="136"/>
        <v>10322.465924440554</v>
      </c>
      <c r="L1216" s="5">
        <f t="shared" si="137"/>
        <v>10342.343431174511</v>
      </c>
      <c r="M1216" s="5">
        <f t="shared" si="138"/>
        <v>10345.653708815118</v>
      </c>
    </row>
    <row r="1217" spans="6:13">
      <c r="F1217">
        <v>1216</v>
      </c>
      <c r="G1217" s="5">
        <f t="shared" si="132"/>
        <v>9288.8860995381747</v>
      </c>
      <c r="H1217" s="5">
        <f t="shared" si="133"/>
        <v>9795.3308655418859</v>
      </c>
      <c r="I1217" s="5">
        <f t="shared" si="134"/>
        <v>10071.772504637915</v>
      </c>
      <c r="J1217" s="5">
        <f t="shared" si="135"/>
        <v>10265.612207282542</v>
      </c>
      <c r="K1217" s="5">
        <f t="shared" si="136"/>
        <v>10342.317058888751</v>
      </c>
      <c r="L1217" s="5">
        <f t="shared" si="137"/>
        <v>10362.249199391383</v>
      </c>
      <c r="M1217" s="5">
        <f t="shared" si="138"/>
        <v>10365.568578467841</v>
      </c>
    </row>
    <row r="1218" spans="6:13">
      <c r="F1218">
        <v>1217</v>
      </c>
      <c r="G1218" s="5">
        <f t="shared" si="132"/>
        <v>9305.9274052082492</v>
      </c>
      <c r="H1218" s="5">
        <f t="shared" si="133"/>
        <v>9813.7297210267825</v>
      </c>
      <c r="I1218" s="5">
        <f t="shared" si="134"/>
        <v>10090.921559177899</v>
      </c>
      <c r="J1218" s="5">
        <f t="shared" si="135"/>
        <v>10285.291040532316</v>
      </c>
      <c r="K1218" s="5">
        <f t="shared" si="136"/>
        <v>10362.206369054051</v>
      </c>
      <c r="L1218" s="5">
        <f t="shared" si="137"/>
        <v>10382.193279970534</v>
      </c>
      <c r="M1218" s="5">
        <f t="shared" si="138"/>
        <v>10385.521783255721</v>
      </c>
    </row>
    <row r="1219" spans="6:13">
      <c r="F1219">
        <v>1218</v>
      </c>
      <c r="G1219" s="5">
        <f t="shared" si="132"/>
        <v>9322.999974702192</v>
      </c>
      <c r="H1219" s="5">
        <f t="shared" si="133"/>
        <v>9832.1631356182352</v>
      </c>
      <c r="I1219" s="5">
        <f t="shared" si="134"/>
        <v>10110.107021042373</v>
      </c>
      <c r="J1219" s="5">
        <f t="shared" si="135"/>
        <v>10305.007597443397</v>
      </c>
      <c r="K1219" s="5">
        <f t="shared" si="136"/>
        <v>10382.133928352163</v>
      </c>
      <c r="L1219" s="5">
        <f t="shared" si="137"/>
        <v>10402.175746651239</v>
      </c>
      <c r="M1219" s="5">
        <f t="shared" si="138"/>
        <v>10405.513396971997</v>
      </c>
    </row>
    <row r="1220" spans="6:13">
      <c r="F1220">
        <v>1219</v>
      </c>
      <c r="G1220" s="5">
        <f t="shared" ref="G1220:G1283" si="139">$C$2*(1+$C$1)^(F1220*0.019231/$D$5)</f>
        <v>9340.103865376328</v>
      </c>
      <c r="H1220" s="5">
        <f t="shared" si="133"/>
        <v>9850.6311742296239</v>
      </c>
      <c r="I1220" s="5">
        <f t="shared" si="134"/>
        <v>10129.328959451113</v>
      </c>
      <c r="J1220" s="5">
        <f t="shared" si="135"/>
        <v>10324.76195033078</v>
      </c>
      <c r="K1220" s="5">
        <f t="shared" si="136"/>
        <v>10402.099810340005</v>
      </c>
      <c r="L1220" s="5">
        <f t="shared" si="137"/>
        <v>10422.196673314713</v>
      </c>
      <c r="M1220" s="5">
        <f t="shared" si="138"/>
        <v>10425.54349355195</v>
      </c>
    </row>
    <row r="1221" spans="6:13">
      <c r="F1221">
        <v>1220</v>
      </c>
      <c r="G1221" s="5">
        <f t="shared" si="139"/>
        <v>9357.2391346922104</v>
      </c>
      <c r="H1221" s="5">
        <f t="shared" si="133"/>
        <v>9869.1339018962553</v>
      </c>
      <c r="I1221" s="5">
        <f t="shared" si="134"/>
        <v>10148.58744375551</v>
      </c>
      <c r="J1221" s="5">
        <f t="shared" si="135"/>
        <v>10344.55417164808</v>
      </c>
      <c r="K1221" s="5">
        <f t="shared" si="136"/>
        <v>10422.104088715936</v>
      </c>
      <c r="L1221" s="5">
        <f t="shared" si="137"/>
        <v>10442.25613398436</v>
      </c>
      <c r="M1221" s="5">
        <f t="shared" si="138"/>
        <v>10445.612147073178</v>
      </c>
    </row>
    <row r="1222" spans="6:13">
      <c r="F1222">
        <v>1221</v>
      </c>
      <c r="G1222" s="5">
        <f t="shared" si="139"/>
        <v>9374.405840216803</v>
      </c>
      <c r="H1222" s="5">
        <f t="shared" si="133"/>
        <v>9887.6713837755906</v>
      </c>
      <c r="I1222" s="5">
        <f t="shared" si="134"/>
        <v>10167.88254343878</v>
      </c>
      <c r="J1222" s="5">
        <f t="shared" si="135"/>
        <v>10364.384333987808</v>
      </c>
      <c r="K1222" s="5">
        <f t="shared" si="136"/>
        <v>10442.146837320061</v>
      </c>
      <c r="L1222" s="5">
        <f t="shared" si="137"/>
        <v>10462.354202826071</v>
      </c>
      <c r="M1222" s="5">
        <f t="shared" si="138"/>
        <v>10465.719431755881</v>
      </c>
    </row>
    <row r="1223" spans="6:13">
      <c r="F1223">
        <v>1222</v>
      </c>
      <c r="G1223" s="5">
        <f t="shared" si="139"/>
        <v>9391.6040396226963</v>
      </c>
      <c r="H1223" s="5">
        <f t="shared" si="133"/>
        <v>9906.2436851474813</v>
      </c>
      <c r="I1223" s="5">
        <f t="shared" si="134"/>
        <v>10187.214328116286</v>
      </c>
      <c r="J1223" s="5">
        <f t="shared" si="135"/>
        <v>10384.252510081618</v>
      </c>
      <c r="K1223" s="5">
        <f t="shared" si="136"/>
        <v>10462.22813013447</v>
      </c>
      <c r="L1223" s="5">
        <f t="shared" si="137"/>
        <v>10482.490954148454</v>
      </c>
      <c r="M1223" s="5">
        <f t="shared" si="138"/>
        <v>10485.865421963124</v>
      </c>
    </row>
    <row r="1224" spans="6:13">
      <c r="F1224">
        <v>1223</v>
      </c>
      <c r="G1224" s="5">
        <f t="shared" si="139"/>
        <v>9408.8337906882716</v>
      </c>
      <c r="H1224" s="5">
        <f t="shared" si="133"/>
        <v>9924.8508714143991</v>
      </c>
      <c r="I1224" s="5">
        <f t="shared" si="134"/>
        <v>10206.582867535715</v>
      </c>
      <c r="J1224" s="5">
        <f t="shared" si="135"/>
        <v>10404.158772800603</v>
      </c>
      <c r="K1224" s="5">
        <f t="shared" si="136"/>
        <v>10482.348041283534</v>
      </c>
      <c r="L1224" s="5">
        <f t="shared" si="137"/>
        <v>10502.666462403167</v>
      </c>
      <c r="M1224" s="5">
        <f t="shared" si="138"/>
        <v>10506.050192201128</v>
      </c>
    </row>
    <row r="1225" spans="6:13">
      <c r="F1225">
        <v>1224</v>
      </c>
      <c r="G1225" s="5">
        <f t="shared" si="139"/>
        <v>9426.0951512979173</v>
      </c>
      <c r="H1225" s="5">
        <f t="shared" si="133"/>
        <v>9943.4930081016482</v>
      </c>
      <c r="I1225" s="5">
        <f t="shared" si="134"/>
        <v>10225.988231577379</v>
      </c>
      <c r="J1225" s="5">
        <f t="shared" si="135"/>
        <v>10424.103195155545</v>
      </c>
      <c r="K1225" s="5">
        <f t="shared" si="136"/>
        <v>10502.506645034184</v>
      </c>
      <c r="L1225" s="5">
        <f t="shared" si="137"/>
        <v>10522.880802185149</v>
      </c>
      <c r="M1225" s="5">
        <f t="shared" si="138"/>
        <v>10526.273817119514</v>
      </c>
    </row>
    <row r="1226" spans="6:13">
      <c r="F1226">
        <v>1225</v>
      </c>
      <c r="G1226" s="5">
        <f t="shared" si="139"/>
        <v>9443.3881794422123</v>
      </c>
      <c r="H1226" s="5">
        <f t="shared" si="133"/>
        <v>9962.1701608576368</v>
      </c>
      <c r="I1226" s="5">
        <f t="shared" si="134"/>
        <v>10245.430490254441</v>
      </c>
      <c r="J1226" s="5">
        <f t="shared" si="135"/>
        <v>10444.085850297177</v>
      </c>
      <c r="K1226" s="5">
        <f t="shared" si="136"/>
        <v>10522.704015796146</v>
      </c>
      <c r="L1226" s="5">
        <f t="shared" si="137"/>
        <v>10543.134048232918</v>
      </c>
      <c r="M1226" s="5">
        <f t="shared" si="138"/>
        <v>10546.536371511615</v>
      </c>
    </row>
    <row r="1227" spans="6:13">
      <c r="F1227">
        <v>1226</v>
      </c>
      <c r="G1227" s="5">
        <f t="shared" si="139"/>
        <v>9460.7129332181321</v>
      </c>
      <c r="H1227" s="5">
        <f t="shared" si="133"/>
        <v>9980.8823954540512</v>
      </c>
      <c r="I1227" s="5">
        <f t="shared" si="134"/>
        <v>10264.909713713187</v>
      </c>
      <c r="J1227" s="5">
        <f t="shared" si="135"/>
        <v>10464.106811516465</v>
      </c>
      <c r="K1227" s="5">
        <f t="shared" si="136"/>
        <v>10542.940228122265</v>
      </c>
      <c r="L1227" s="5">
        <f t="shared" si="137"/>
        <v>10563.42627542883</v>
      </c>
      <c r="M1227" s="5">
        <f t="shared" si="138"/>
        <v>10566.837930314745</v>
      </c>
    </row>
    <row r="1228" spans="6:13">
      <c r="F1228">
        <v>1227</v>
      </c>
      <c r="G1228" s="5">
        <f t="shared" si="139"/>
        <v>9478.0694708292249</v>
      </c>
      <c r="H1228" s="5">
        <f t="shared" si="133"/>
        <v>9999.6297777861528</v>
      </c>
      <c r="I1228" s="5">
        <f t="shared" si="134"/>
        <v>10284.425972233261</v>
      </c>
      <c r="J1228" s="5">
        <f t="shared" si="135"/>
        <v>10484.166152244879</v>
      </c>
      <c r="K1228" s="5">
        <f t="shared" si="136"/>
        <v>10563.215356708761</v>
      </c>
      <c r="L1228" s="5">
        <f t="shared" si="137"/>
        <v>10583.757558799372</v>
      </c>
      <c r="M1228" s="5">
        <f t="shared" si="138"/>
        <v>10587.178568610449</v>
      </c>
    </row>
    <row r="1229" spans="6:13">
      <c r="F1229">
        <v>1228</v>
      </c>
      <c r="G1229" s="5">
        <f t="shared" si="139"/>
        <v>9495.4578505858281</v>
      </c>
      <c r="H1229" s="5">
        <f t="shared" si="133"/>
        <v>10018.412373872943</v>
      </c>
      <c r="I1229" s="5">
        <f t="shared" si="134"/>
        <v>10303.979336227938</v>
      </c>
      <c r="J1229" s="5">
        <f t="shared" si="135"/>
        <v>10504.263946054638</v>
      </c>
      <c r="K1229" s="5">
        <f t="shared" si="136"/>
        <v>10583.529476395488</v>
      </c>
      <c r="L1229" s="5">
        <f t="shared" si="137"/>
        <v>10604.127973515435</v>
      </c>
      <c r="M1229" s="5">
        <f t="shared" si="138"/>
        <v>10607.558361624811</v>
      </c>
    </row>
    <row r="1230" spans="6:13">
      <c r="F1230">
        <v>1229</v>
      </c>
      <c r="G1230" s="5">
        <f t="shared" si="139"/>
        <v>9512.8781309052501</v>
      </c>
      <c r="H1230" s="5">
        <f t="shared" si="133"/>
        <v>10037.23024985745</v>
      </c>
      <c r="I1230" s="5">
        <f t="shared" si="134"/>
        <v>10323.569876244344</v>
      </c>
      <c r="J1230" s="5">
        <f t="shared" si="135"/>
        <v>10524.400266659</v>
      </c>
      <c r="K1230" s="5">
        <f t="shared" si="136"/>
        <v>10603.882662166241</v>
      </c>
      <c r="L1230" s="5">
        <f t="shared" si="137"/>
        <v>10624.537594892601</v>
      </c>
      <c r="M1230" s="5">
        <f t="shared" si="138"/>
        <v>10627.977384728722</v>
      </c>
    </row>
    <row r="1231" spans="6:13">
      <c r="F1231">
        <v>1230</v>
      </c>
      <c r="G1231" s="5">
        <f t="shared" si="139"/>
        <v>9530.3303703119727</v>
      </c>
      <c r="H1231" s="5">
        <f t="shared" si="133"/>
        <v>10056.083472006934</v>
      </c>
      <c r="I1231" s="5">
        <f t="shared" si="134"/>
        <v>10343.197662963767</v>
      </c>
      <c r="J1231" s="5">
        <f t="shared" si="135"/>
        <v>10544.575187912555</v>
      </c>
      <c r="K1231" s="5">
        <f t="shared" si="136"/>
        <v>10624.274989148997</v>
      </c>
      <c r="L1231" s="5">
        <f t="shared" si="137"/>
        <v>10644.986498391385</v>
      </c>
      <c r="M1231" s="5">
        <f t="shared" si="138"/>
        <v>10648.435713438153</v>
      </c>
    </row>
    <row r="1232" spans="6:13">
      <c r="F1232">
        <v>1231</v>
      </c>
      <c r="G1232" s="5">
        <f t="shared" si="139"/>
        <v>9547.8146274378523</v>
      </c>
      <c r="H1232" s="5">
        <f t="shared" si="133"/>
        <v>10074.97210671313</v>
      </c>
      <c r="I1232" s="5">
        <f t="shared" si="134"/>
        <v>10362.862767201845</v>
      </c>
      <c r="J1232" s="5">
        <f t="shared" si="135"/>
        <v>10564.788783811429</v>
      </c>
      <c r="K1232" s="5">
        <f t="shared" si="136"/>
        <v>10644.706532616228</v>
      </c>
      <c r="L1232" s="5">
        <f t="shared" si="137"/>
        <v>10665.474759617558</v>
      </c>
      <c r="M1232" s="5">
        <f t="shared" si="138"/>
        <v>10668.933423414448</v>
      </c>
    </row>
    <row r="1233" spans="6:13">
      <c r="F1233">
        <v>1232</v>
      </c>
      <c r="G1233" s="5">
        <f t="shared" si="139"/>
        <v>9565.3309610222877</v>
      </c>
      <c r="H1233" s="5">
        <f t="shared" si="133"/>
        <v>10093.896220492463</v>
      </c>
      <c r="I1233" s="5">
        <f t="shared" si="134"/>
        <v>10382.565259908877</v>
      </c>
      <c r="J1233" s="5">
        <f t="shared" si="135"/>
        <v>10585.041128493627</v>
      </c>
      <c r="K1233" s="5">
        <f t="shared" si="136"/>
        <v>10665.177367985152</v>
      </c>
      <c r="L1233" s="5">
        <f t="shared" si="137"/>
        <v>10686.002454322406</v>
      </c>
      <c r="M1233" s="5">
        <f t="shared" si="138"/>
        <v>10689.470590464585</v>
      </c>
    </row>
    <row r="1234" spans="6:13">
      <c r="F1234">
        <v>1233</v>
      </c>
      <c r="G1234" s="5">
        <f t="shared" si="139"/>
        <v>9582.8794299124747</v>
      </c>
      <c r="H1234" s="5">
        <f t="shared" si="133"/>
        <v>10112.855879986329</v>
      </c>
      <c r="I1234" s="5">
        <f t="shared" si="134"/>
        <v>10402.305212170049</v>
      </c>
      <c r="J1234" s="5">
        <f t="shared" si="135"/>
        <v>10605.332296239258</v>
      </c>
      <c r="K1234" s="5">
        <f t="shared" si="136"/>
        <v>10685.687570818029</v>
      </c>
      <c r="L1234" s="5">
        <f t="shared" si="137"/>
        <v>10706.569658403016</v>
      </c>
      <c r="M1234" s="5">
        <f t="shared" si="138"/>
        <v>10710.047290541483</v>
      </c>
    </row>
    <row r="1235" spans="6:13">
      <c r="F1235">
        <v>1234</v>
      </c>
      <c r="G1235" s="5">
        <f t="shared" si="139"/>
        <v>9600.460093063537</v>
      </c>
      <c r="H1235" s="5">
        <f t="shared" si="133"/>
        <v>10131.851151961258</v>
      </c>
      <c r="I1235" s="5">
        <f t="shared" si="134"/>
        <v>10422.082695205698</v>
      </c>
      <c r="J1235" s="5">
        <f t="shared" si="135"/>
        <v>10625.662361470833</v>
      </c>
      <c r="K1235" s="5">
        <f t="shared" si="136"/>
        <v>10706.237216822428</v>
      </c>
      <c r="L1235" s="5">
        <f t="shared" si="137"/>
        <v>10727.176447902535</v>
      </c>
      <c r="M1235" s="5">
        <f t="shared" si="138"/>
        <v>10730.663599744237</v>
      </c>
    </row>
    <row r="1236" spans="6:13">
      <c r="F1236">
        <v>1235</v>
      </c>
      <c r="G1236" s="5">
        <f t="shared" si="139"/>
        <v>9618.073009538788</v>
      </c>
      <c r="H1236" s="5">
        <f t="shared" si="133"/>
        <v>10150.882103309235</v>
      </c>
      <c r="I1236" s="5">
        <f t="shared" si="134"/>
        <v>10441.897780371573</v>
      </c>
      <c r="J1236" s="5">
        <f t="shared" si="135"/>
        <v>10646.031398753519</v>
      </c>
      <c r="K1236" s="5">
        <f t="shared" si="136"/>
        <v>10726.826381851515</v>
      </c>
      <c r="L1236" s="5">
        <f t="shared" si="137"/>
        <v>10747.822899010491</v>
      </c>
      <c r="M1236" s="5">
        <f t="shared" si="138"/>
        <v>10751.319594318455</v>
      </c>
    </row>
    <row r="1237" spans="6:13">
      <c r="F1237">
        <v>1236</v>
      </c>
      <c r="G1237" s="5">
        <f t="shared" si="139"/>
        <v>9635.7182385098695</v>
      </c>
      <c r="H1237" s="5">
        <f t="shared" si="133"/>
        <v>10169.948801047849</v>
      </c>
      <c r="I1237" s="5">
        <f t="shared" si="134"/>
        <v>10461.750539159088</v>
      </c>
      <c r="J1237" s="5">
        <f t="shared" si="135"/>
        <v>10666.439482795427</v>
      </c>
      <c r="K1237" s="5">
        <f t="shared" si="136"/>
        <v>10747.455141904326</v>
      </c>
      <c r="L1237" s="5">
        <f t="shared" si="137"/>
        <v>10768.509088063041</v>
      </c>
      <c r="M1237" s="5">
        <f t="shared" si="138"/>
        <v>10772.015350656517</v>
      </c>
    </row>
    <row r="1238" spans="6:13">
      <c r="F1238">
        <v>1237</v>
      </c>
      <c r="G1238" s="5">
        <f t="shared" si="139"/>
        <v>9653.3958392569966</v>
      </c>
      <c r="H1238" s="5">
        <f t="shared" si="133"/>
        <v>10189.051312320593</v>
      </c>
      <c r="I1238" s="5">
        <f t="shared" si="134"/>
        <v>10481.641043195568</v>
      </c>
      <c r="J1238" s="5">
        <f t="shared" si="135"/>
        <v>10686.88668844789</v>
      </c>
      <c r="K1238" s="5">
        <f t="shared" si="136"/>
        <v>10768.123573126051</v>
      </c>
      <c r="L1238" s="5">
        <f t="shared" si="137"/>
        <v>10789.235091543276</v>
      </c>
      <c r="M1238" s="5">
        <f t="shared" si="138"/>
        <v>10792.75094529783</v>
      </c>
    </row>
    <row r="1239" spans="6:13">
      <c r="F1239">
        <v>1238</v>
      </c>
      <c r="G1239" s="5">
        <f t="shared" si="139"/>
        <v>9671.1058711691312</v>
      </c>
      <c r="H1239" s="5">
        <f t="shared" si="133"/>
        <v>10208.189704397071</v>
      </c>
      <c r="I1239" s="5">
        <f t="shared" si="134"/>
        <v>10501.569364244549</v>
      </c>
      <c r="J1239" s="5">
        <f t="shared" si="135"/>
        <v>10707.373090705705</v>
      </c>
      <c r="K1239" s="5">
        <f t="shared" si="136"/>
        <v>10788.831751808317</v>
      </c>
      <c r="L1239" s="5">
        <f t="shared" si="137"/>
        <v>10810.000986081475</v>
      </c>
      <c r="M1239" s="5">
        <f t="shared" si="138"/>
        <v>10813.526454929157</v>
      </c>
    </row>
    <row r="1240" spans="6:13">
      <c r="F1240">
        <v>1239</v>
      </c>
      <c r="G1240" s="5">
        <f t="shared" si="139"/>
        <v>9688.8483937441924</v>
      </c>
      <c r="H1240" s="5">
        <f t="shared" si="133"/>
        <v>10227.36404467325</v>
      </c>
      <c r="I1240" s="5">
        <f t="shared" si="134"/>
        <v>10521.535574205976</v>
      </c>
      <c r="J1240" s="5">
        <f t="shared" si="135"/>
        <v>10727.898764707454</v>
      </c>
      <c r="K1240" s="5">
        <f t="shared" si="136"/>
        <v>10809.579754389466</v>
      </c>
      <c r="L1240" s="5">
        <f t="shared" si="137"/>
        <v>10830.806848455419</v>
      </c>
      <c r="M1240" s="5">
        <f t="shared" si="138"/>
        <v>10834.341956384869</v>
      </c>
    </row>
    <row r="1241" spans="6:13">
      <c r="F1241">
        <v>1240</v>
      </c>
      <c r="G1241" s="5">
        <f t="shared" si="139"/>
        <v>9706.6234665892589</v>
      </c>
      <c r="H1241" s="5">
        <f t="shared" si="133"/>
        <v>10246.574400671663</v>
      </c>
      <c r="I1241" s="5">
        <f t="shared" si="134"/>
        <v>10541.539745116515</v>
      </c>
      <c r="J1241" s="5">
        <f t="shared" si="135"/>
        <v>10748.463785735754</v>
      </c>
      <c r="K1241" s="5">
        <f t="shared" si="136"/>
        <v>10830.367657454839</v>
      </c>
      <c r="L1241" s="5">
        <f t="shared" si="137"/>
        <v>10851.652755590661</v>
      </c>
      <c r="M1241" s="5">
        <f t="shared" si="138"/>
        <v>10855.19752664724</v>
      </c>
    </row>
    <row r="1242" spans="6:13">
      <c r="F1242">
        <v>1241</v>
      </c>
      <c r="G1242" s="5">
        <f t="shared" si="139"/>
        <v>9724.4311494207541</v>
      </c>
      <c r="H1242" s="5">
        <f t="shared" si="133"/>
        <v>10265.820840041715</v>
      </c>
      <c r="I1242" s="5">
        <f t="shared" si="134"/>
        <v>10561.581949149786</v>
      </c>
      <c r="J1242" s="5">
        <f t="shared" si="135"/>
        <v>10769.068229217517</v>
      </c>
      <c r="K1242" s="5">
        <f t="shared" si="136"/>
        <v>10851.19553773706</v>
      </c>
      <c r="L1242" s="5">
        <f t="shared" si="137"/>
        <v>10872.538784560818</v>
      </c>
      <c r="M1242" s="5">
        <f t="shared" si="138"/>
        <v>10876.093242846737</v>
      </c>
    </row>
    <row r="1243" spans="6:13">
      <c r="F1243">
        <v>1242</v>
      </c>
      <c r="G1243" s="5">
        <f t="shared" si="139"/>
        <v>9742.2715020646647</v>
      </c>
      <c r="H1243" s="5">
        <f t="shared" si="133"/>
        <v>10285.103430559833</v>
      </c>
      <c r="I1243" s="5">
        <f t="shared" si="134"/>
        <v>10581.66225861663</v>
      </c>
      <c r="J1243" s="5">
        <f t="shared" si="135"/>
        <v>10789.71217072427</v>
      </c>
      <c r="K1243" s="5">
        <f t="shared" si="136"/>
        <v>10872.063472116311</v>
      </c>
      <c r="L1243" s="5">
        <f t="shared" si="137"/>
        <v>10893.465012587829</v>
      </c>
      <c r="M1243" s="5">
        <f t="shared" si="138"/>
        <v>10897.029182262297</v>
      </c>
    </row>
    <row r="1244" spans="6:13">
      <c r="F1244">
        <v>1243</v>
      </c>
      <c r="G1244" s="5">
        <f t="shared" si="139"/>
        <v>9760.1445844567261</v>
      </c>
      <c r="H1244" s="5">
        <f t="shared" si="133"/>
        <v>10304.422240129788</v>
      </c>
      <c r="I1244" s="5">
        <f t="shared" si="134"/>
        <v>10601.780745965369</v>
      </c>
      <c r="J1244" s="5">
        <f t="shared" si="135"/>
        <v>10810.3956859724</v>
      </c>
      <c r="K1244" s="5">
        <f t="shared" si="136"/>
        <v>10892.97153762063</v>
      </c>
      <c r="L1244" s="5">
        <f t="shared" si="137"/>
        <v>10914.431517042278</v>
      </c>
      <c r="M1244" s="5">
        <f t="shared" si="138"/>
        <v>10918.005422321612</v>
      </c>
    </row>
    <row r="1245" spans="6:13">
      <c r="F1245">
        <v>1244</v>
      </c>
      <c r="G1245" s="5">
        <f t="shared" si="139"/>
        <v>9778.050456642648</v>
      </c>
      <c r="H1245" s="5">
        <f t="shared" si="133"/>
        <v>10323.777336782872</v>
      </c>
      <c r="I1245" s="5">
        <f t="shared" si="134"/>
        <v>10621.937483782072</v>
      </c>
      <c r="J1245" s="5">
        <f t="shared" si="135"/>
        <v>10831.118850823432</v>
      </c>
      <c r="K1245" s="5">
        <f t="shared" si="136"/>
        <v>10913.919811426185</v>
      </c>
      <c r="L1245" s="5">
        <f t="shared" si="137"/>
        <v>10935.438375443662</v>
      </c>
      <c r="M1245" s="5">
        <f t="shared" si="138"/>
        <v>10939.022040601416</v>
      </c>
    </row>
    <row r="1246" spans="6:13">
      <c r="F1246">
        <v>1245</v>
      </c>
      <c r="G1246" s="5">
        <f t="shared" si="139"/>
        <v>9795.9891787782653</v>
      </c>
      <c r="H1246" s="5">
        <f t="shared" si="133"/>
        <v>10343.168788678175</v>
      </c>
      <c r="I1246" s="5">
        <f t="shared" si="134"/>
        <v>10642.1325447908</v>
      </c>
      <c r="J1246" s="5">
        <f t="shared" si="135"/>
        <v>10851.881741284322</v>
      </c>
      <c r="K1246" s="5">
        <f t="shared" si="136"/>
        <v>10934.908370857554</v>
      </c>
      <c r="L1246" s="5">
        <f t="shared" si="137"/>
        <v>10956.485665460677</v>
      </c>
      <c r="M1246" s="5">
        <f t="shared" si="138"/>
        <v>10960.079114827775</v>
      </c>
    </row>
    <row r="1247" spans="6:13">
      <c r="F1247">
        <v>1246</v>
      </c>
      <c r="G1247" s="5">
        <f t="shared" si="139"/>
        <v>9813.9608111298112</v>
      </c>
      <c r="H1247" s="5">
        <f t="shared" si="133"/>
        <v>10362.596664102803</v>
      </c>
      <c r="I1247" s="5">
        <f t="shared" si="134"/>
        <v>10662.36600185391</v>
      </c>
      <c r="J1247" s="5">
        <f t="shared" si="135"/>
        <v>10872.684433507733</v>
      </c>
      <c r="K1247" s="5">
        <f t="shared" si="136"/>
        <v>10955.937293388037</v>
      </c>
      <c r="L1247" s="5">
        <f t="shared" si="137"/>
        <v>10977.573464911498</v>
      </c>
      <c r="M1247" s="5">
        <f t="shared" si="138"/>
        <v>10981.176722876393</v>
      </c>
    </row>
    <row r="1248" spans="6:13">
      <c r="F1248">
        <v>1247</v>
      </c>
      <c r="G1248" s="5">
        <f t="shared" si="139"/>
        <v>9831.9654140740713</v>
      </c>
      <c r="H1248" s="5">
        <f t="shared" si="133"/>
        <v>10382.061031472138</v>
      </c>
      <c r="I1248" s="5">
        <f t="shared" si="134"/>
        <v>10682.63792797225</v>
      </c>
      <c r="J1248" s="5">
        <f t="shared" si="135"/>
        <v>10893.527003792295</v>
      </c>
      <c r="K1248" s="5">
        <f t="shared" si="136"/>
        <v>10977.006656639907</v>
      </c>
      <c r="L1248" s="5">
        <f t="shared" si="137"/>
        <v>10998.701851764092</v>
      </c>
      <c r="M1248" s="5">
        <f t="shared" si="138"/>
        <v>11002.314942772849</v>
      </c>
    </row>
    <row r="1249" spans="6:13">
      <c r="F1249">
        <v>1248</v>
      </c>
      <c r="G1249" s="5">
        <f t="shared" si="139"/>
        <v>9850.0030480985788</v>
      </c>
      <c r="H1249" s="5">
        <f t="shared" si="133"/>
        <v>10401.561959330062</v>
      </c>
      <c r="I1249" s="5">
        <f t="shared" si="134"/>
        <v>10702.948396285492</v>
      </c>
      <c r="J1249" s="5">
        <f t="shared" si="135"/>
        <v>10914.409528582915</v>
      </c>
      <c r="K1249" s="5">
        <f t="shared" si="136"/>
        <v>10998.116538384713</v>
      </c>
      <c r="L1249" s="5">
        <f t="shared" si="137"/>
        <v>11019.870904136471</v>
      </c>
      <c r="M1249" s="5">
        <f t="shared" si="138"/>
        <v>11023.493852692942</v>
      </c>
    </row>
    <row r="1250" spans="6:13">
      <c r="F1250">
        <v>1249</v>
      </c>
      <c r="G1250" s="5">
        <f t="shared" si="139"/>
        <v>9868.073773801867</v>
      </c>
      <c r="H1250" s="5">
        <f t="shared" si="133"/>
        <v>10421.099516349204</v>
      </c>
      <c r="I1250" s="5">
        <f t="shared" si="134"/>
        <v>10723.297480072355</v>
      </c>
      <c r="J1250" s="5">
        <f t="shared" si="135"/>
        <v>10935.33208447104</v>
      </c>
      <c r="K1250" s="5">
        <f t="shared" si="136"/>
        <v>11019.267016543568</v>
      </c>
      <c r="L1250" s="5">
        <f t="shared" si="137"/>
        <v>11041.080700297023</v>
      </c>
      <c r="M1250" s="5">
        <f t="shared" si="138"/>
        <v>11044.713530962945</v>
      </c>
    </row>
    <row r="1251" spans="6:13">
      <c r="F1251">
        <v>1250</v>
      </c>
      <c r="G1251" s="5">
        <f t="shared" si="139"/>
        <v>9886.1776518936149</v>
      </c>
      <c r="H1251" s="5">
        <f t="shared" si="133"/>
        <v>10440.673771331189</v>
      </c>
      <c r="I1251" s="5">
        <f t="shared" si="134"/>
        <v>10743.68525275088</v>
      </c>
      <c r="J1251" s="5">
        <f t="shared" si="135"/>
        <v>10956.294748194936</v>
      </c>
      <c r="K1251" s="5">
        <f t="shared" si="136"/>
        <v>11040.458169187439</v>
      </c>
      <c r="L1251" s="5">
        <f t="shared" si="137"/>
        <v>11062.331318664754</v>
      </c>
      <c r="M1251" s="5">
        <f t="shared" si="138"/>
        <v>11065.974056059906</v>
      </c>
    </row>
    <row r="1252" spans="6:13">
      <c r="F1252">
        <v>1251</v>
      </c>
      <c r="G1252" s="5">
        <f t="shared" si="139"/>
        <v>9904.3147431949074</v>
      </c>
      <c r="H1252" s="5">
        <f t="shared" si="133"/>
        <v>10460.284793206871</v>
      </c>
      <c r="I1252" s="5">
        <f t="shared" si="134"/>
        <v>10764.111787878694</v>
      </c>
      <c r="J1252" s="5">
        <f t="shared" si="135"/>
        <v>10977.29759663997</v>
      </c>
      <c r="K1252" s="5">
        <f t="shared" si="136"/>
        <v>11061.69007453743</v>
      </c>
      <c r="L1252" s="5">
        <f t="shared" si="137"/>
        <v>11083.622837809613</v>
      </c>
      <c r="M1252" s="5">
        <f t="shared" si="138"/>
        <v>11087.275506611941</v>
      </c>
    </row>
    <row r="1253" spans="6:13">
      <c r="F1253">
        <v>1252</v>
      </c>
      <c r="G1253" s="5">
        <f t="shared" si="139"/>
        <v>9922.4851086383806</v>
      </c>
      <c r="H1253" s="5">
        <f t="shared" si="133"/>
        <v>10479.932651036577</v>
      </c>
      <c r="I1253" s="5">
        <f t="shared" si="134"/>
        <v>10784.577159153279</v>
      </c>
      <c r="J1253" s="5">
        <f t="shared" si="135"/>
        <v>10998.340706838902</v>
      </c>
      <c r="K1253" s="5">
        <f t="shared" si="136"/>
        <v>11082.962810965066</v>
      </c>
      <c r="L1253" s="5">
        <f t="shared" si="137"/>
        <v>11104.955336452771</v>
      </c>
      <c r="M1253" s="5">
        <f t="shared" si="138"/>
        <v>11108.617961398513</v>
      </c>
    </row>
    <row r="1254" spans="6:13">
      <c r="F1254">
        <v>1253</v>
      </c>
      <c r="G1254" s="5">
        <f t="shared" si="139"/>
        <v>9940.6888092684785</v>
      </c>
      <c r="H1254" s="5">
        <f t="shared" si="133"/>
        <v>10499.617414010345</v>
      </c>
      <c r="I1254" s="5">
        <f t="shared" si="134"/>
        <v>10805.081440412232</v>
      </c>
      <c r="J1254" s="5">
        <f t="shared" si="135"/>
        <v>11019.424155972167</v>
      </c>
      <c r="K1254" s="5">
        <f t="shared" si="136"/>
        <v>11104.2764569926</v>
      </c>
      <c r="L1254" s="5">
        <f t="shared" si="137"/>
        <v>11126.328893466933</v>
      </c>
      <c r="M1254" s="5">
        <f t="shared" si="138"/>
        <v>11130.001499350748</v>
      </c>
    </row>
    <row r="1255" spans="6:13">
      <c r="F1255">
        <v>1254</v>
      </c>
      <c r="G1255" s="5">
        <f t="shared" si="139"/>
        <v>9958.9259062416295</v>
      </c>
      <c r="H1255" s="5">
        <f t="shared" si="133"/>
        <v>10519.339151448199</v>
      </c>
      <c r="I1255" s="5">
        <f t="shared" si="134"/>
        <v>10825.624705633534</v>
      </c>
      <c r="J1255" s="5">
        <f t="shared" si="135"/>
        <v>11040.548021368135</v>
      </c>
      <c r="K1255" s="5">
        <f t="shared" si="136"/>
        <v>11125.631091293291</v>
      </c>
      <c r="L1255" s="5">
        <f t="shared" si="137"/>
        <v>11147.743587876557</v>
      </c>
      <c r="M1255" s="5">
        <f t="shared" si="138"/>
        <v>11151.426199551692</v>
      </c>
    </row>
    <row r="1256" spans="6:13">
      <c r="F1256">
        <v>1255</v>
      </c>
      <c r="G1256" s="5">
        <f t="shared" si="139"/>
        <v>9977.1964608264607</v>
      </c>
      <c r="H1256" s="5">
        <f t="shared" si="133"/>
        <v>10539.097932800338</v>
      </c>
      <c r="I1256" s="5">
        <f t="shared" si="134"/>
        <v>10846.207028935829</v>
      </c>
      <c r="J1256" s="5">
        <f t="shared" si="135"/>
        <v>11061.712380503428</v>
      </c>
      <c r="K1256" s="5">
        <f t="shared" si="136"/>
        <v>11147.026792691673</v>
      </c>
      <c r="L1256" s="5">
        <f t="shared" si="137"/>
        <v>11169.19949885825</v>
      </c>
      <c r="M1256" s="5">
        <f t="shared" si="138"/>
        <v>11172.892141236622</v>
      </c>
    </row>
    <row r="1257" spans="6:13">
      <c r="F1257">
        <v>1256</v>
      </c>
      <c r="G1257" s="5">
        <f t="shared" si="139"/>
        <v>9995.5005344040001</v>
      </c>
      <c r="H1257" s="5">
        <f t="shared" si="133"/>
        <v>10558.893827647431</v>
      </c>
      <c r="I1257" s="5">
        <f t="shared" si="134"/>
        <v>10866.828484578658</v>
      </c>
      <c r="J1257" s="5">
        <f t="shared" si="135"/>
        <v>11082.917311003184</v>
      </c>
      <c r="K1257" s="5">
        <f t="shared" si="136"/>
        <v>11168.463640163887</v>
      </c>
      <c r="L1257" s="5">
        <f t="shared" si="137"/>
        <v>11190.696705740986</v>
      </c>
      <c r="M1257" s="5">
        <f t="shared" si="138"/>
        <v>11194.399403793368</v>
      </c>
    </row>
    <row r="1258" spans="6:13">
      <c r="F1258">
        <v>1257</v>
      </c>
      <c r="G1258" s="5">
        <f t="shared" si="139"/>
        <v>10013.838188467886</v>
      </c>
      <c r="H1258" s="5">
        <f t="shared" si="133"/>
        <v>10578.726905700838</v>
      </c>
      <c r="I1258" s="5">
        <f t="shared" si="134"/>
        <v>10887.489146962762</v>
      </c>
      <c r="J1258" s="5">
        <f t="shared" si="135"/>
        <v>11104.162890641335</v>
      </c>
      <c r="K1258" s="5">
        <f t="shared" si="136"/>
        <v>11189.941712837952</v>
      </c>
      <c r="L1258" s="5">
        <f t="shared" si="137"/>
        <v>11212.23528800643</v>
      </c>
      <c r="M1258" s="5">
        <f t="shared" si="138"/>
        <v>11215.948066762538</v>
      </c>
    </row>
    <row r="1259" spans="6:13">
      <c r="F1259">
        <v>1258</v>
      </c>
      <c r="G1259" s="5">
        <f t="shared" si="139"/>
        <v>10032.209484624573</v>
      </c>
      <c r="H1259" s="5">
        <f t="shared" si="133"/>
        <v>10598.597236802862</v>
      </c>
      <c r="I1259" s="5">
        <f t="shared" si="134"/>
        <v>10908.189090630342</v>
      </c>
      <c r="J1259" s="5">
        <f t="shared" si="135"/>
        <v>11125.449197340919</v>
      </c>
      <c r="K1259" s="5">
        <f t="shared" si="136"/>
        <v>11211.461089994047</v>
      </c>
      <c r="L1259" s="5">
        <f t="shared" si="137"/>
        <v>11233.815325289213</v>
      </c>
      <c r="M1259" s="5">
        <f t="shared" si="138"/>
        <v>11237.538209837876</v>
      </c>
    </row>
    <row r="1260" spans="6:13">
      <c r="F1260">
        <v>1259</v>
      </c>
      <c r="G1260" s="5">
        <f t="shared" si="139"/>
        <v>10050.614484593536</v>
      </c>
      <c r="H1260" s="5">
        <f t="shared" si="133"/>
        <v>10618.504890926983</v>
      </c>
      <c r="I1260" s="5">
        <f t="shared" si="134"/>
        <v>10928.928390265311</v>
      </c>
      <c r="J1260" s="5">
        <f t="shared" si="135"/>
        <v>11146.776309174344</v>
      </c>
      <c r="K1260" s="5">
        <f t="shared" si="136"/>
        <v>11233.021851064834</v>
      </c>
      <c r="L1260" s="5">
        <f t="shared" si="137"/>
        <v>11255.436897377247</v>
      </c>
      <c r="M1260" s="5">
        <f t="shared" si="138"/>
        <v>11259.169912866528</v>
      </c>
    </row>
    <row r="1261" spans="6:13">
      <c r="F1261">
        <v>1260</v>
      </c>
      <c r="G1261" s="5">
        <f t="shared" si="139"/>
        <v>10069.053250207489</v>
      </c>
      <c r="H1261" s="5">
        <f t="shared" si="133"/>
        <v>10638.449938178132</v>
      </c>
      <c r="I1261" s="5">
        <f t="shared" si="134"/>
        <v>10949.707120693583</v>
      </c>
      <c r="J1261" s="5">
        <f t="shared" si="135"/>
        <v>11168.14430436367</v>
      </c>
      <c r="K1261" s="5">
        <f t="shared" si="136"/>
        <v>11254.624075635713</v>
      </c>
      <c r="L1261" s="5">
        <f t="shared" si="137"/>
        <v>11277.10008421201</v>
      </c>
      <c r="M1261" s="5">
        <f t="shared" si="138"/>
        <v>11280.843255849337</v>
      </c>
    </row>
    <row r="1262" spans="6:13">
      <c r="F1262">
        <v>1261</v>
      </c>
      <c r="G1262" s="5">
        <f t="shared" si="139"/>
        <v>10087.525843412559</v>
      </c>
      <c r="H1262" s="5">
        <f t="shared" si="133"/>
        <v>10658.432448792893</v>
      </c>
      <c r="I1262" s="5">
        <f t="shared" si="134"/>
        <v>10970.525356883336</v>
      </c>
      <c r="J1262" s="5">
        <f t="shared" si="135"/>
        <v>11189.553261280922</v>
      </c>
      <c r="K1262" s="5">
        <f t="shared" si="136"/>
        <v>11276.267843445145</v>
      </c>
      <c r="L1262" s="5">
        <f t="shared" si="137"/>
        <v>11298.804965888845</v>
      </c>
      <c r="M1262" s="5">
        <f t="shared" si="138"/>
        <v>11302.55831894115</v>
      </c>
    </row>
    <row r="1263" spans="6:13">
      <c r="F1263">
        <v>1262</v>
      </c>
      <c r="G1263" s="5">
        <f t="shared" si="139"/>
        <v>10106.032326268556</v>
      </c>
      <c r="H1263" s="5">
        <f t="shared" si="133"/>
        <v>10678.452493139815</v>
      </c>
      <c r="I1263" s="5">
        <f t="shared" si="134"/>
        <v>10991.383173945276</v>
      </c>
      <c r="J1263" s="5">
        <f t="shared" si="135"/>
        <v>11211.003258448347</v>
      </c>
      <c r="K1263" s="5">
        <f t="shared" si="136"/>
        <v>11297.953234384935</v>
      </c>
      <c r="L1263" s="5">
        <f t="shared" si="137"/>
        <v>11320.551622657242</v>
      </c>
      <c r="M1263" s="5">
        <f t="shared" si="138"/>
        <v>11324.315182451106</v>
      </c>
    </row>
    <row r="1264" spans="6:13">
      <c r="F1264">
        <v>1263</v>
      </c>
      <c r="G1264" s="5">
        <f t="shared" si="139"/>
        <v>10124.572760949111</v>
      </c>
      <c r="H1264" s="5">
        <f t="shared" si="133"/>
        <v>10698.510141719584</v>
      </c>
      <c r="I1264" s="5">
        <f t="shared" si="134"/>
        <v>11012.280647132928</v>
      </c>
      <c r="J1264" s="5">
        <f t="shared" si="135"/>
        <v>11232.494374538741</v>
      </c>
      <c r="K1264" s="5">
        <f t="shared" si="136"/>
        <v>11319.680328500517</v>
      </c>
      <c r="L1264" s="5">
        <f t="shared" si="137"/>
        <v>11342.340134921153</v>
      </c>
      <c r="M1264" s="5">
        <f t="shared" si="138"/>
        <v>11346.113926842936</v>
      </c>
    </row>
    <row r="1265" spans="6:13">
      <c r="F1265">
        <v>1264</v>
      </c>
      <c r="G1265" s="5">
        <f t="shared" si="139"/>
        <v>10143.147209741934</v>
      </c>
      <c r="H1265" s="5">
        <f t="shared" si="133"/>
        <v>10718.605465165334</v>
      </c>
      <c r="I1265" s="5">
        <f t="shared" si="134"/>
        <v>11033.217851842861</v>
      </c>
      <c r="J1265" s="5">
        <f t="shared" si="135"/>
        <v>11254.026688375678</v>
      </c>
      <c r="K1265" s="5">
        <f t="shared" si="136"/>
        <v>11341.44920599127</v>
      </c>
      <c r="L1265" s="5">
        <f t="shared" si="137"/>
        <v>11364.170583239287</v>
      </c>
      <c r="M1265" s="5">
        <f t="shared" si="138"/>
        <v>11367.954632735251</v>
      </c>
    </row>
    <row r="1266" spans="6:13">
      <c r="F1266">
        <v>1265</v>
      </c>
      <c r="G1266" s="5">
        <f t="shared" si="139"/>
        <v>10161.755735049006</v>
      </c>
      <c r="H1266" s="5">
        <f t="shared" si="133"/>
        <v>10738.738534242861</v>
      </c>
      <c r="I1266" s="5">
        <f t="shared" si="134"/>
        <v>11054.194863615041</v>
      </c>
      <c r="J1266" s="5">
        <f t="shared" si="135"/>
        <v>11275.60027893386</v>
      </c>
      <c r="K1266" s="5">
        <f t="shared" si="136"/>
        <v>11363.259947210812</v>
      </c>
      <c r="L1266" s="5">
        <f t="shared" si="137"/>
        <v>11386.0430483254</v>
      </c>
      <c r="M1266" s="5">
        <f t="shared" si="138"/>
        <v>11389.837380901852</v>
      </c>
    </row>
    <row r="1267" spans="6:13">
      <c r="F1267">
        <v>1266</v>
      </c>
      <c r="G1267" s="5">
        <f t="shared" si="139"/>
        <v>10180.398399386791</v>
      </c>
      <c r="H1267" s="5">
        <f t="shared" si="133"/>
        <v>10758.909419850888</v>
      </c>
      <c r="I1267" s="5">
        <f t="shared" si="134"/>
        <v>11075.211758133006</v>
      </c>
      <c r="J1267" s="5">
        <f t="shared" si="135"/>
        <v>11297.215225339376</v>
      </c>
      <c r="K1267" s="5">
        <f t="shared" si="136"/>
        <v>11385.112632667278</v>
      </c>
      <c r="L1267" s="5">
        <f t="shared" si="137"/>
        <v>11407.9576110486</v>
      </c>
      <c r="M1267" s="5">
        <f t="shared" si="138"/>
        <v>11411.762252272048</v>
      </c>
    </row>
    <row r="1268" spans="6:13">
      <c r="F1268">
        <v>1267</v>
      </c>
      <c r="G1268" s="5">
        <f t="shared" si="139"/>
        <v>10199.075265386442</v>
      </c>
      <c r="H1268" s="5">
        <f t="shared" si="133"/>
        <v>10779.118193021304</v>
      </c>
      <c r="I1268" s="5">
        <f t="shared" si="134"/>
        <v>11096.268611224232</v>
      </c>
      <c r="J1268" s="5">
        <f t="shared" si="135"/>
        <v>11318.871606869987</v>
      </c>
      <c r="K1268" s="5">
        <f t="shared" si="136"/>
        <v>11407.007343023632</v>
      </c>
      <c r="L1268" s="5">
        <f t="shared" si="137"/>
        <v>11429.914352433625</v>
      </c>
      <c r="M1268" s="5">
        <f t="shared" si="138"/>
        <v>11433.729327930898</v>
      </c>
    </row>
    <row r="1269" spans="6:13">
      <c r="F1269">
        <v>1268</v>
      </c>
      <c r="G1269" s="5">
        <f t="shared" si="139"/>
        <v>10217.786395794015</v>
      </c>
      <c r="H1269" s="5">
        <f t="shared" si="133"/>
        <v>10799.364924919431</v>
      </c>
      <c r="I1269" s="5">
        <f t="shared" si="134"/>
        <v>11117.365498860325</v>
      </c>
      <c r="J1269" s="5">
        <f t="shared" si="135"/>
        <v>11340.569502955435</v>
      </c>
      <c r="K1269" s="5">
        <f t="shared" si="136"/>
        <v>11428.944159097953</v>
      </c>
      <c r="L1269" s="5">
        <f t="shared" si="137"/>
        <v>11451.913353661183</v>
      </c>
      <c r="M1269" s="5">
        <f t="shared" si="138"/>
        <v>11455.738689119566</v>
      </c>
    </row>
    <row r="1270" spans="6:13">
      <c r="F1270">
        <v>1269</v>
      </c>
      <c r="G1270" s="5">
        <f t="shared" si="139"/>
        <v>10236.531853470678</v>
      </c>
      <c r="H1270" s="5">
        <f t="shared" ref="H1270:H1301" si="140">$C$2*(1+$C$1/$D$6)^(F1270*$D$6*0.019231)</f>
        <v>10819.649686844235</v>
      </c>
      <c r="I1270" s="5">
        <f t="shared" ref="I1270:I1301" si="141">$C$2*(1+$C$1/$D$7)^(F1270*$D$7*0.019231)</f>
        <v>11138.502497157357</v>
      </c>
      <c r="J1270" s="5">
        <f t="shared" ref="J1270:J1301" si="142">$C$2*(1+$C$1/$D$8)^(F1270*$D$8*0.019231)</f>
        <v>11362.308993177734</v>
      </c>
      <c r="K1270" s="5">
        <f t="shared" ref="K1270:K1301" si="143">$C$2*(1+$C$1/$D$9)^(F1270*$D$9*0.019231)</f>
        <v>11450.923161863762</v>
      </c>
      <c r="L1270" s="5">
        <f t="shared" ref="L1270:L1301" si="144">$C$2*(1+$C$1/$D$10)^(F1270*$D$10*0.019231)</f>
        <v>11473.954696068218</v>
      </c>
      <c r="M1270" s="5">
        <f t="shared" ref="M1270:M1301" si="145">$C$2*EXP($C$1*F1270*0.019231)</f>
        <v>11477.790417235597</v>
      </c>
    </row>
    <row r="1271" spans="6:13">
      <c r="F1271">
        <v>1270</v>
      </c>
      <c r="G1271" s="5">
        <f t="shared" si="139"/>
        <v>10255.311701392931</v>
      </c>
      <c r="H1271" s="5">
        <f t="shared" si="140"/>
        <v>10839.972550228642</v>
      </c>
      <c r="I1271" s="5">
        <f t="shared" si="141"/>
        <v>11159.679682376103</v>
      </c>
      <c r="J1271" s="5">
        <f t="shared" si="142"/>
        <v>11384.090157271432</v>
      </c>
      <c r="K1271" s="5">
        <f t="shared" si="143"/>
        <v>11472.944432450271</v>
      </c>
      <c r="L1271" s="5">
        <f t="shared" si="144"/>
        <v>11496.038461148231</v>
      </c>
      <c r="M1271" s="5">
        <f t="shared" si="145"/>
        <v>11499.884593833223</v>
      </c>
    </row>
    <row r="1272" spans="6:13">
      <c r="F1272">
        <v>1271</v>
      </c>
      <c r="G1272" s="5">
        <f t="shared" si="139"/>
        <v>10274.126002652805</v>
      </c>
      <c r="H1272" s="5">
        <f t="shared" si="140"/>
        <v>10860.333586639726</v>
      </c>
      <c r="I1272" s="5">
        <f t="shared" si="141"/>
        <v>11180.897130922345</v>
      </c>
      <c r="J1272" s="5">
        <f t="shared" si="142"/>
        <v>11405.913075123945</v>
      </c>
      <c r="K1272" s="5">
        <f t="shared" si="143"/>
        <v>11495.008052142728</v>
      </c>
      <c r="L1272" s="5">
        <f t="shared" si="144"/>
        <v>11518.164730551554</v>
      </c>
      <c r="M1272" s="5">
        <f t="shared" si="145"/>
        <v>11522.021300623665</v>
      </c>
    </row>
    <row r="1273" spans="6:13">
      <c r="F1273">
        <v>1272</v>
      </c>
      <c r="G1273" s="5">
        <f t="shared" si="139"/>
        <v>10292.974820458066</v>
      </c>
      <c r="H1273" s="5">
        <f t="shared" si="140"/>
        <v>10880.732867778994</v>
      </c>
      <c r="I1273" s="5">
        <f t="shared" si="141"/>
        <v>11202.154919347107</v>
      </c>
      <c r="J1273" s="5">
        <f t="shared" si="142"/>
        <v>11427.777826775828</v>
      </c>
      <c r="K1273" s="5">
        <f t="shared" si="143"/>
        <v>11517.114102382711</v>
      </c>
      <c r="L1273" s="5">
        <f t="shared" si="144"/>
        <v>11540.33358608569</v>
      </c>
      <c r="M1273" s="5">
        <f t="shared" si="145"/>
        <v>11544.20061947543</v>
      </c>
    </row>
    <row r="1274" spans="6:13">
      <c r="F1274">
        <v>1273</v>
      </c>
      <c r="G1274" s="5">
        <f t="shared" si="139"/>
        <v>10311.858218132475</v>
      </c>
      <c r="H1274" s="5">
        <f t="shared" si="140"/>
        <v>10901.170465482637</v>
      </c>
      <c r="I1274" s="5">
        <f t="shared" si="141"/>
        <v>11223.45312434699</v>
      </c>
      <c r="J1274" s="5">
        <f t="shared" si="142"/>
        <v>11449.684492421056</v>
      </c>
      <c r="K1274" s="5">
        <f t="shared" si="143"/>
        <v>11539.262664768399</v>
      </c>
      <c r="L1274" s="5">
        <f t="shared" si="144"/>
        <v>11562.54510971558</v>
      </c>
      <c r="M1274" s="5">
        <f t="shared" si="145"/>
        <v>11566.422632414628</v>
      </c>
    </row>
    <row r="1275" spans="6:13">
      <c r="F1275">
        <v>1274</v>
      </c>
      <c r="G1275" s="5">
        <f t="shared" si="139"/>
        <v>10330.776259115921</v>
      </c>
      <c r="H1275" s="5">
        <f t="shared" si="140"/>
        <v>10921.646451721774</v>
      </c>
      <c r="I1275" s="5">
        <f t="shared" si="141"/>
        <v>11244.791822764379</v>
      </c>
      <c r="J1275" s="5">
        <f t="shared" si="142"/>
        <v>11471.633152407352</v>
      </c>
      <c r="K1275" s="5">
        <f t="shared" si="143"/>
        <v>11561.453821054904</v>
      </c>
      <c r="L1275" s="5">
        <f t="shared" si="144"/>
        <v>11584.799383563943</v>
      </c>
      <c r="M1275" s="5">
        <f t="shared" si="145"/>
        <v>11588.68742162524</v>
      </c>
    </row>
    <row r="1276" spans="6:13">
      <c r="F1276">
        <v>1275</v>
      </c>
      <c r="G1276" s="5">
        <f t="shared" si="139"/>
        <v>10349.729006964722</v>
      </c>
      <c r="H1276" s="5">
        <f t="shared" si="140"/>
        <v>10942.160898602709</v>
      </c>
      <c r="I1276" s="5">
        <f t="shared" si="141"/>
        <v>11266.171091587794</v>
      </c>
      <c r="J1276" s="5">
        <f t="shared" si="142"/>
        <v>11493.623887236452</v>
      </c>
      <c r="K1276" s="5">
        <f t="shared" si="143"/>
        <v>11583.687653154553</v>
      </c>
      <c r="L1276" s="5">
        <f t="shared" si="144"/>
        <v>11607.096489911532</v>
      </c>
      <c r="M1276" s="5">
        <f t="shared" si="145"/>
        <v>11610.995069449471</v>
      </c>
    </row>
    <row r="1277" spans="6:13">
      <c r="F1277">
        <v>1276</v>
      </c>
      <c r="G1277" s="5">
        <f t="shared" si="139"/>
        <v>10368.716525351765</v>
      </c>
      <c r="H1277" s="5">
        <f t="shared" si="140"/>
        <v>10962.713878367191</v>
      </c>
      <c r="I1277" s="5">
        <f t="shared" si="141"/>
        <v>11287.591007952093</v>
      </c>
      <c r="J1277" s="5">
        <f t="shared" si="142"/>
        <v>11515.656777564423</v>
      </c>
      <c r="K1277" s="5">
        <f t="shared" si="143"/>
        <v>11605.964243137209</v>
      </c>
      <c r="L1277" s="5">
        <f t="shared" si="144"/>
        <v>11629.43651119748</v>
      </c>
      <c r="M1277" s="5">
        <f t="shared" si="145"/>
        <v>11633.345658388038</v>
      </c>
    </row>
    <row r="1278" spans="6:13">
      <c r="F1278">
        <v>1277</v>
      </c>
      <c r="G1278" s="5">
        <f t="shared" si="139"/>
        <v>10387.738878066764</v>
      </c>
      <c r="H1278" s="5">
        <f t="shared" si="140"/>
        <v>10983.305463392653</v>
      </c>
      <c r="I1278" s="5">
        <f t="shared" si="141"/>
        <v>11309.051649138812</v>
      </c>
      <c r="J1278" s="5">
        <f t="shared" si="142"/>
        <v>11537.731904201926</v>
      </c>
      <c r="K1278" s="5">
        <f t="shared" si="143"/>
        <v>11628.283673230553</v>
      </c>
      <c r="L1278" s="5">
        <f t="shared" si="144"/>
        <v>11651.819530019588</v>
      </c>
      <c r="M1278" s="5">
        <f t="shared" si="145"/>
        <v>11655.739271100438</v>
      </c>
    </row>
    <row r="1279" spans="6:13">
      <c r="F1279">
        <v>1278</v>
      </c>
      <c r="G1279" s="5">
        <f t="shared" si="139"/>
        <v>10406.796129016462</v>
      </c>
      <c r="H1279" s="5">
        <f t="shared" si="140"/>
        <v>11003.935726192483</v>
      </c>
      <c r="I1279" s="5">
        <f t="shared" si="141"/>
        <v>11330.553092576412</v>
      </c>
      <c r="J1279" s="5">
        <f t="shared" si="142"/>
        <v>11559.849348114551</v>
      </c>
      <c r="K1279" s="5">
        <f t="shared" si="143"/>
        <v>11650.646025820406</v>
      </c>
      <c r="L1279" s="5">
        <f t="shared" si="144"/>
        <v>11674.245629134641</v>
      </c>
      <c r="M1279" s="5">
        <f t="shared" si="145"/>
        <v>11678.175990405301</v>
      </c>
    </row>
    <row r="1280" spans="6:13">
      <c r="F1280">
        <v>1279</v>
      </c>
      <c r="G1280" s="5">
        <f t="shared" si="139"/>
        <v>10425.88834222484</v>
      </c>
      <c r="H1280" s="5">
        <f t="shared" si="140"/>
        <v>11024.604739416282</v>
      </c>
      <c r="I1280" s="5">
        <f t="shared" si="141"/>
        <v>11352.095415840571</v>
      </c>
      <c r="J1280" s="5">
        <f t="shared" si="142"/>
        <v>11582.009190423094</v>
      </c>
      <c r="K1280" s="5">
        <f t="shared" si="143"/>
        <v>11673.051383451018</v>
      </c>
      <c r="L1280" s="5">
        <f t="shared" si="144"/>
        <v>11696.714891458681</v>
      </c>
      <c r="M1280" s="5">
        <f t="shared" si="145"/>
        <v>11700.655899280684</v>
      </c>
    </row>
    <row r="1281" spans="6:13">
      <c r="F1281">
        <v>1280</v>
      </c>
      <c r="G1281" s="5">
        <f t="shared" si="139"/>
        <v>10445.015581833339</v>
      </c>
      <c r="H1281" s="5">
        <f t="shared" si="140"/>
        <v>11045.312575850077</v>
      </c>
      <c r="I1281" s="5">
        <f t="shared" si="141"/>
        <v>11373.678696654437</v>
      </c>
      <c r="J1281" s="5">
        <f t="shared" si="142"/>
        <v>11604.211512403845</v>
      </c>
      <c r="K1281" s="5">
        <f t="shared" si="143"/>
        <v>11695.499828825386</v>
      </c>
      <c r="L1281" s="5">
        <f t="shared" si="144"/>
        <v>11719.227400067357</v>
      </c>
      <c r="M1281" s="5">
        <f t="shared" si="145"/>
        <v>11723.17908086436</v>
      </c>
    </row>
    <row r="1282" spans="6:13">
      <c r="F1282">
        <v>1281</v>
      </c>
      <c r="G1282" s="5">
        <f t="shared" si="139"/>
        <v>10464.177912101071</v>
      </c>
      <c r="H1282" s="5">
        <f t="shared" si="140"/>
        <v>11066.059308416663</v>
      </c>
      <c r="I1282" s="5">
        <f t="shared" si="141"/>
        <v>11395.303012888966</v>
      </c>
      <c r="J1282" s="5">
        <f t="shared" si="142"/>
        <v>11626.456395488913</v>
      </c>
      <c r="K1282" s="5">
        <f t="shared" si="143"/>
        <v>11717.991444805553</v>
      </c>
      <c r="L1282" s="5">
        <f t="shared" si="144"/>
        <v>11741.783238196207</v>
      </c>
      <c r="M1282" s="5">
        <f t="shared" si="145"/>
        <v>11745.745618454146</v>
      </c>
    </row>
    <row r="1283" spans="6:13">
      <c r="F1283">
        <v>1282</v>
      </c>
      <c r="G1283" s="5">
        <f t="shared" si="139"/>
        <v>10483.375397405049</v>
      </c>
      <c r="H1283" s="5">
        <f t="shared" si="140"/>
        <v>11086.845010175763</v>
      </c>
      <c r="I1283" s="5">
        <f t="shared" si="141"/>
        <v>11416.968442563133</v>
      </c>
      <c r="J1283" s="5">
        <f t="shared" si="142"/>
        <v>11648.743921266507</v>
      </c>
      <c r="K1283" s="5">
        <f t="shared" si="143"/>
        <v>11740.526314412911</v>
      </c>
      <c r="L1283" s="5">
        <f t="shared" si="144"/>
        <v>11764.382489240976</v>
      </c>
      <c r="M1283" s="5">
        <f t="shared" si="145"/>
        <v>11768.355595508205</v>
      </c>
    </row>
    <row r="1284" spans="6:13">
      <c r="F1284">
        <v>1283</v>
      </c>
      <c r="G1284" s="5">
        <f t="shared" ref="G1284:G1301" si="146">$C$2*(1+$C$1)^(F1284*0.019231/$D$5)</f>
        <v>10502.608102240363</v>
      </c>
      <c r="H1284" s="5">
        <f t="shared" si="140"/>
        <v>11107.669754324348</v>
      </c>
      <c r="I1284" s="5">
        <f t="shared" si="141"/>
        <v>11438.675063844268</v>
      </c>
      <c r="J1284" s="5">
        <f t="shared" si="142"/>
        <v>11671.074171481221</v>
      </c>
      <c r="K1284" s="5">
        <f t="shared" si="143"/>
        <v>11763.104520828509</v>
      </c>
      <c r="L1284" s="5">
        <f t="shared" si="144"/>
        <v>11787.025236757905</v>
      </c>
      <c r="M1284" s="5">
        <f t="shared" si="145"/>
        <v>11791.009095645337</v>
      </c>
    </row>
    <row r="1285" spans="6:13">
      <c r="F1285">
        <v>1284</v>
      </c>
      <c r="G1285" s="5">
        <f t="shared" si="146"/>
        <v>10521.876091220465</v>
      </c>
      <c r="H1285" s="5">
        <f t="shared" si="140"/>
        <v>11128.533614196882</v>
      </c>
      <c r="I1285" s="5">
        <f t="shared" si="141"/>
        <v>11460.422955048307</v>
      </c>
      <c r="J1285" s="5">
        <f t="shared" si="142"/>
        <v>11693.447228034373</v>
      </c>
      <c r="K1285" s="5">
        <f t="shared" si="143"/>
        <v>11785.726147393365</v>
      </c>
      <c r="L1285" s="5">
        <f t="shared" si="144"/>
        <v>11809.711564464069</v>
      </c>
      <c r="M1285" s="5">
        <f t="shared" si="145"/>
        <v>11813.706202645322</v>
      </c>
    </row>
    <row r="1286" spans="6:13">
      <c r="F1286">
        <v>1285</v>
      </c>
      <c r="G1286" s="5">
        <f t="shared" si="146"/>
        <v>10541.179429077305</v>
      </c>
      <c r="H1286" s="5">
        <f t="shared" si="140"/>
        <v>11149.436663265567</v>
      </c>
      <c r="I1286" s="5">
        <f t="shared" si="141"/>
        <v>11482.212194640091</v>
      </c>
      <c r="J1286" s="5">
        <f t="shared" si="142"/>
        <v>11715.863172984276</v>
      </c>
      <c r="K1286" s="5">
        <f t="shared" si="143"/>
        <v>11808.391277608773</v>
      </c>
      <c r="L1286" s="5">
        <f t="shared" si="144"/>
        <v>11832.441556237667</v>
      </c>
      <c r="M1286" s="5">
        <f t="shared" si="145"/>
        <v>11836.447000449209</v>
      </c>
    </row>
    <row r="1287" spans="6:13">
      <c r="F1287">
        <v>1286</v>
      </c>
      <c r="G1287" s="5">
        <f t="shared" si="146"/>
        <v>10560.518180661624</v>
      </c>
      <c r="H1287" s="5">
        <f t="shared" si="140"/>
        <v>11170.378975140609</v>
      </c>
      <c r="I1287" s="5">
        <f t="shared" si="141"/>
        <v>11504.04286123364</v>
      </c>
      <c r="J1287" s="5">
        <f t="shared" si="142"/>
        <v>11738.322088546536</v>
      </c>
      <c r="K1287" s="5">
        <f t="shared" si="143"/>
        <v>11831.099995136597</v>
      </c>
      <c r="L1287" s="5">
        <f t="shared" si="144"/>
        <v>11855.215296118346</v>
      </c>
      <c r="M1287" s="5">
        <f t="shared" si="145"/>
        <v>11859.231573159615</v>
      </c>
    </row>
    <row r="1288" spans="6:13">
      <c r="F1288">
        <v>1287</v>
      </c>
      <c r="G1288" s="5">
        <f t="shared" si="146"/>
        <v>10579.892410943126</v>
      </c>
      <c r="H1288" s="5">
        <f t="shared" si="140"/>
        <v>11191.360623570492</v>
      </c>
      <c r="I1288" s="5">
        <f t="shared" si="141"/>
        <v>11525.915033592446</v>
      </c>
      <c r="J1288" s="5">
        <f t="shared" si="142"/>
        <v>11760.824057094374</v>
      </c>
      <c r="K1288" s="5">
        <f t="shared" si="143"/>
        <v>11853.852383799604</v>
      </c>
      <c r="L1288" s="5">
        <f t="shared" si="144"/>
        <v>11878.032868307479</v>
      </c>
      <c r="M1288" s="5">
        <f t="shared" si="145"/>
        <v>11882.060005041081</v>
      </c>
    </row>
    <row r="1289" spans="6:13">
      <c r="F1289">
        <v>1288</v>
      </c>
      <c r="G1289" s="5">
        <f t="shared" si="146"/>
        <v>10599.302185010685</v>
      </c>
      <c r="H1289" s="5">
        <f t="shared" si="140"/>
        <v>11212.381682442197</v>
      </c>
      <c r="I1289" s="5">
        <f t="shared" si="141"/>
        <v>11547.828790629728</v>
      </c>
      <c r="J1289" s="5">
        <f t="shared" si="142"/>
        <v>11783.369161158924</v>
      </c>
      <c r="K1289" s="5">
        <f t="shared" si="143"/>
        <v>11876.648527581752</v>
      </c>
      <c r="L1289" s="5">
        <f t="shared" si="144"/>
        <v>11900.894357168525</v>
      </c>
      <c r="M1289" s="5">
        <f t="shared" si="145"/>
        <v>11904.932380520317</v>
      </c>
    </row>
    <row r="1290" spans="6:13">
      <c r="F1290">
        <v>1289</v>
      </c>
      <c r="G1290" s="5">
        <f t="shared" si="146"/>
        <v>10618.747568072631</v>
      </c>
      <c r="H1290" s="5">
        <f t="shared" si="140"/>
        <v>11233.442225781526</v>
      </c>
      <c r="I1290" s="5">
        <f t="shared" si="141"/>
        <v>11569.78421140878</v>
      </c>
      <c r="J1290" s="5">
        <f t="shared" si="142"/>
        <v>11805.957483429504</v>
      </c>
      <c r="K1290" s="5">
        <f t="shared" si="143"/>
        <v>11899.488510628513</v>
      </c>
      <c r="L1290" s="5">
        <f t="shared" si="144"/>
        <v>11923.799847227307</v>
      </c>
      <c r="M1290" s="5">
        <f t="shared" si="145"/>
        <v>11927.84878418657</v>
      </c>
    </row>
    <row r="1291" spans="6:13">
      <c r="F1291">
        <v>1290</v>
      </c>
      <c r="G1291" s="5">
        <f t="shared" si="146"/>
        <v>10638.228625456884</v>
      </c>
      <c r="H1291" s="5">
        <f t="shared" si="140"/>
        <v>11254.542327753286</v>
      </c>
      <c r="I1291" s="5">
        <f t="shared" si="141"/>
        <v>11591.781375143177</v>
      </c>
      <c r="J1291" s="5">
        <f t="shared" si="142"/>
        <v>11828.589106753971</v>
      </c>
      <c r="K1291" s="5">
        <f t="shared" si="143"/>
        <v>11922.372417247174</v>
      </c>
      <c r="L1291" s="5">
        <f t="shared" si="144"/>
        <v>11946.749423172338</v>
      </c>
      <c r="M1291" s="5">
        <f t="shared" si="145"/>
        <v>11950.809300791914</v>
      </c>
    </row>
    <row r="1292" spans="6:13">
      <c r="F1292">
        <v>1291</v>
      </c>
      <c r="G1292" s="5">
        <f t="shared" si="146"/>
        <v>10657.745422611233</v>
      </c>
      <c r="H1292" s="5">
        <f t="shared" si="140"/>
        <v>11275.682062661621</v>
      </c>
      <c r="I1292" s="5">
        <f t="shared" si="141"/>
        <v>11613.820361197117</v>
      </c>
      <c r="J1292" s="5">
        <f t="shared" si="142"/>
        <v>11851.264114138985</v>
      </c>
      <c r="K1292" s="5">
        <f t="shared" si="143"/>
        <v>11945.300331907167</v>
      </c>
      <c r="L1292" s="5">
        <f t="shared" si="144"/>
        <v>11969.743169855112</v>
      </c>
      <c r="M1292" s="5">
        <f t="shared" si="145"/>
        <v>11973.814015251568</v>
      </c>
    </row>
    <row r="1293" spans="6:13">
      <c r="F1293">
        <v>1292</v>
      </c>
      <c r="G1293" s="5">
        <f t="shared" si="146"/>
        <v>10677.298025103537</v>
      </c>
      <c r="H1293" s="5">
        <f t="shared" si="140"/>
        <v>11296.861504950228</v>
      </c>
      <c r="I1293" s="5">
        <f t="shared" si="141"/>
        <v>11635.901249085691</v>
      </c>
      <c r="J1293" s="5">
        <f t="shared" si="142"/>
        <v>11873.982588750341</v>
      </c>
      <c r="K1293" s="5">
        <f t="shared" si="143"/>
        <v>11968.272339240353</v>
      </c>
      <c r="L1293" s="5">
        <f t="shared" si="144"/>
        <v>11992.781172290463</v>
      </c>
      <c r="M1293" s="5">
        <f t="shared" si="145"/>
        <v>11996.863012644211</v>
      </c>
    </row>
    <row r="1294" spans="6:13">
      <c r="F1294">
        <v>1293</v>
      </c>
      <c r="G1294" s="5">
        <f t="shared" si="146"/>
        <v>10696.886498621941</v>
      </c>
      <c r="H1294" s="5">
        <f t="shared" si="140"/>
        <v>11318.080729202635</v>
      </c>
      <c r="I1294" s="5">
        <f t="shared" si="141"/>
        <v>11658.024118475165</v>
      </c>
      <c r="J1294" s="5">
        <f t="shared" si="142"/>
        <v>11896.744613913233</v>
      </c>
      <c r="K1294" s="5">
        <f t="shared" si="143"/>
        <v>11991.288524041349</v>
      </c>
      <c r="L1294" s="5">
        <f t="shared" si="144"/>
        <v>12015.863515656831</v>
      </c>
      <c r="M1294" s="5">
        <f t="shared" si="145"/>
        <v>12019.956378212282</v>
      </c>
    </row>
    <row r="1295" spans="6:13">
      <c r="F1295">
        <v>1294</v>
      </c>
      <c r="G1295" s="5">
        <f t="shared" si="146"/>
        <v>10716.510908975102</v>
      </c>
      <c r="H1295" s="5">
        <f t="shared" si="140"/>
        <v>11339.339810142466</v>
      </c>
      <c r="I1295" s="5">
        <f t="shared" si="141"/>
        <v>11680.189049183273</v>
      </c>
      <c r="J1295" s="5">
        <f t="shared" si="142"/>
        <v>11919.550273112613</v>
      </c>
      <c r="K1295" s="5">
        <f t="shared" si="143"/>
        <v>12014.348971267846</v>
      </c>
      <c r="L1295" s="5">
        <f t="shared" si="144"/>
        <v>12038.990285296612</v>
      </c>
      <c r="M1295" s="5">
        <f t="shared" si="145"/>
        <v>12043.094197362316</v>
      </c>
    </row>
    <row r="1296" spans="6:13">
      <c r="F1296">
        <v>1295</v>
      </c>
      <c r="G1296" s="5">
        <f t="shared" si="146"/>
        <v>10736.17132209241</v>
      </c>
      <c r="H1296" s="5">
        <f t="shared" si="140"/>
        <v>11360.638822633704</v>
      </c>
      <c r="I1296" s="5">
        <f t="shared" si="141"/>
        <v>11702.396121179505</v>
      </c>
      <c r="J1296" s="5">
        <f t="shared" si="142"/>
        <v>11942.39964999346</v>
      </c>
      <c r="K1296" s="5">
        <f t="shared" si="143"/>
        <v>12037.453766040911</v>
      </c>
      <c r="L1296" s="5">
        <f t="shared" si="144"/>
        <v>12062.161566716442</v>
      </c>
      <c r="M1296" s="5">
        <f t="shared" si="145"/>
        <v>12066.276555665252</v>
      </c>
    </row>
    <row r="1297" spans="6:13">
      <c r="F1297">
        <v>1296</v>
      </c>
      <c r="G1297" s="5">
        <f t="shared" si="146"/>
        <v>10755.867804024205</v>
      </c>
      <c r="H1297" s="5">
        <f t="shared" si="140"/>
        <v>11381.977841680929</v>
      </c>
      <c r="I1297" s="5">
        <f t="shared" si="141"/>
        <v>11724.64541458538</v>
      </c>
      <c r="J1297" s="5">
        <f t="shared" si="142"/>
        <v>11965.292828361096</v>
      </c>
      <c r="K1297" s="5">
        <f t="shared" si="143"/>
        <v>12060.602993645316</v>
      </c>
      <c r="L1297" s="5">
        <f t="shared" si="144"/>
        <v>12085.377445587546</v>
      </c>
      <c r="M1297" s="5">
        <f t="shared" si="145"/>
        <v>12089.503538856747</v>
      </c>
    </row>
    <row r="1298" spans="6:13">
      <c r="F1298">
        <v>1297</v>
      </c>
      <c r="G1298" s="5">
        <f t="shared" si="146"/>
        <v>10775.60042094201</v>
      </c>
      <c r="H1298" s="5">
        <f t="shared" si="140"/>
        <v>11403.356942429646</v>
      </c>
      <c r="I1298" s="5">
        <f t="shared" si="141"/>
        <v>11746.937009674777</v>
      </c>
      <c r="J1298" s="5">
        <f t="shared" si="142"/>
        <v>11988.2298921815</v>
      </c>
      <c r="K1298" s="5">
        <f t="shared" si="143"/>
        <v>12083.796739529844</v>
      </c>
      <c r="L1298" s="5">
        <f t="shared" si="144"/>
        <v>12108.638007746036</v>
      </c>
      <c r="M1298" s="5">
        <f t="shared" si="145"/>
        <v>12112.775232837505</v>
      </c>
    </row>
    <row r="1299" spans="6:13">
      <c r="F1299">
        <v>1298</v>
      </c>
      <c r="G1299" s="5">
        <f t="shared" si="146"/>
        <v>10795.369239138738</v>
      </c>
      <c r="H1299" s="5">
        <f t="shared" si="140"/>
        <v>11424.776200166465</v>
      </c>
      <c r="I1299" s="5">
        <f t="shared" si="141"/>
        <v>11769.270986874166</v>
      </c>
      <c r="J1299" s="5">
        <f t="shared" si="142"/>
        <v>12011.210925581616</v>
      </c>
      <c r="K1299" s="5">
        <f t="shared" si="143"/>
        <v>12107.035089307597</v>
      </c>
      <c r="L1299" s="5">
        <f t="shared" si="144"/>
        <v>12131.943339193231</v>
      </c>
      <c r="M1299" s="5">
        <f t="shared" si="145"/>
        <v>12136.091723673564</v>
      </c>
    </row>
    <row r="1300" spans="6:13">
      <c r="F1300">
        <v>1299</v>
      </c>
      <c r="G1300" s="5">
        <f t="shared" si="146"/>
        <v>10815.174325028916</v>
      </c>
      <c r="H1300" s="5">
        <f t="shared" si="140"/>
        <v>11446.23569031943</v>
      </c>
      <c r="I1300" s="5">
        <f t="shared" si="141"/>
        <v>11791.647426762946</v>
      </c>
      <c r="J1300" s="5">
        <f t="shared" si="142"/>
        <v>12034.236012849635</v>
      </c>
      <c r="K1300" s="5">
        <f t="shared" si="143"/>
        <v>12130.318128756327</v>
      </c>
      <c r="L1300" s="5">
        <f t="shared" si="144"/>
        <v>12155.293526095966</v>
      </c>
      <c r="M1300" s="5">
        <f t="shared" si="145"/>
        <v>12159.453097596648</v>
      </c>
    </row>
    <row r="1301" spans="6:13">
      <c r="F1301">
        <v>1300</v>
      </c>
      <c r="G1301" s="5">
        <f t="shared" si="146"/>
        <v>10835.015745148941</v>
      </c>
      <c r="H1301" s="5">
        <f t="shared" si="140"/>
        <v>11467.735488458266</v>
      </c>
      <c r="I1301" s="5">
        <f t="shared" si="141"/>
        <v>11814.066410073714</v>
      </c>
      <c r="J1301" s="5">
        <f t="shared" si="142"/>
        <v>12057.305238435343</v>
      </c>
      <c r="K1301" s="5">
        <f t="shared" si="143"/>
        <v>12153.645943818734</v>
      </c>
      <c r="L1301" s="5">
        <f t="shared" si="144"/>
        <v>12178.688654786931</v>
      </c>
      <c r="M1301" s="5">
        <f t="shared" si="145"/>
        <v>12182.859441004475</v>
      </c>
    </row>
    <row r="1302" spans="6:13">
      <c r="G1302" s="5"/>
      <c r="H1302" s="5"/>
      <c r="I1302" s="5"/>
      <c r="J1302" s="5"/>
      <c r="K1302" s="5"/>
      <c r="L1302" s="5"/>
      <c r="M1302" s="5"/>
    </row>
    <row r="1303" spans="6:13">
      <c r="G1303" s="5"/>
      <c r="H1303" s="5"/>
      <c r="I1303" s="5"/>
      <c r="J1303" s="5"/>
      <c r="K1303" s="5"/>
      <c r="L1303" s="5"/>
      <c r="M1303" s="5"/>
    </row>
    <row r="1304" spans="6:13">
      <c r="G1304" s="5"/>
      <c r="H1304" s="5"/>
      <c r="I1304" s="5"/>
      <c r="J1304" s="5"/>
      <c r="K1304" s="5"/>
      <c r="L1304" s="5"/>
      <c r="M1304" s="5"/>
    </row>
    <row r="1305" spans="6:13">
      <c r="G1305" s="5"/>
      <c r="H1305" s="5"/>
      <c r="I1305" s="5"/>
      <c r="J1305" s="5"/>
      <c r="K1305" s="5"/>
      <c r="L1305" s="5"/>
      <c r="M1305" s="5"/>
    </row>
    <row r="1306" spans="6:13">
      <c r="G1306" s="5"/>
      <c r="H1306" s="5"/>
      <c r="I1306" s="5"/>
      <c r="J1306" s="5"/>
      <c r="K1306" s="5"/>
      <c r="L1306" s="5"/>
      <c r="M1306" s="5"/>
    </row>
    <row r="1307" spans="6:13">
      <c r="G1307" s="5"/>
      <c r="H1307" s="5"/>
      <c r="I1307" s="5"/>
      <c r="J1307" s="5"/>
      <c r="K1307" s="5"/>
      <c r="L1307" s="5"/>
      <c r="M1307" s="5"/>
    </row>
    <row r="1308" spans="6:13">
      <c r="G1308" s="5"/>
      <c r="H1308" s="5"/>
      <c r="I1308" s="5"/>
      <c r="J1308" s="5"/>
      <c r="K1308" s="5"/>
      <c r="L1308" s="5"/>
      <c r="M1308" s="5"/>
    </row>
    <row r="1309" spans="6:13">
      <c r="G1309" s="5"/>
      <c r="H1309" s="5"/>
      <c r="I1309" s="5"/>
      <c r="J1309" s="5"/>
      <c r="K1309" s="5"/>
      <c r="L1309" s="5"/>
      <c r="M1309" s="5"/>
    </row>
    <row r="1310" spans="6:13">
      <c r="G1310" s="5"/>
      <c r="H1310" s="5"/>
      <c r="I1310" s="5"/>
      <c r="J1310" s="5"/>
      <c r="K1310" s="5"/>
      <c r="L1310" s="5"/>
      <c r="M1310" s="5"/>
    </row>
    <row r="1311" spans="6:13">
      <c r="G1311" s="5"/>
      <c r="H1311" s="5"/>
      <c r="I1311" s="5"/>
      <c r="J1311" s="5"/>
      <c r="K1311" s="5"/>
      <c r="L1311" s="5"/>
      <c r="M1311" s="5"/>
    </row>
    <row r="1312" spans="6:13">
      <c r="G1312" s="5"/>
      <c r="H1312" s="5"/>
      <c r="I1312" s="5"/>
      <c r="J1312" s="5"/>
      <c r="K1312" s="5"/>
      <c r="L1312" s="5"/>
      <c r="M1312" s="5"/>
    </row>
    <row r="1313" spans="7:13">
      <c r="G1313" s="5"/>
      <c r="H1313" s="5"/>
      <c r="I1313" s="5"/>
      <c r="J1313" s="5"/>
      <c r="K1313" s="5"/>
      <c r="L1313" s="5"/>
      <c r="M1313" s="5"/>
    </row>
    <row r="1314" spans="7:13">
      <c r="G1314" s="5"/>
      <c r="H1314" s="5"/>
      <c r="I1314" s="5"/>
      <c r="J1314" s="5"/>
      <c r="K1314" s="5"/>
      <c r="L1314" s="5"/>
      <c r="M1314" s="5"/>
    </row>
    <row r="1315" spans="7:13">
      <c r="G1315" s="5"/>
      <c r="H1315" s="5"/>
      <c r="I1315" s="5"/>
      <c r="J1315" s="5"/>
      <c r="K1315" s="5"/>
      <c r="L1315" s="5"/>
      <c r="M1315" s="5"/>
    </row>
    <row r="1316" spans="7:13">
      <c r="G1316" s="5"/>
      <c r="H1316" s="5"/>
      <c r="I1316" s="5"/>
      <c r="J1316" s="5"/>
      <c r="K1316" s="5"/>
      <c r="L1316" s="5"/>
      <c r="M1316" s="5"/>
    </row>
    <row r="1317" spans="7:13">
      <c r="G1317" s="5"/>
      <c r="H1317" s="5"/>
      <c r="I1317" s="5"/>
      <c r="J1317" s="5"/>
      <c r="K1317" s="5"/>
      <c r="L1317" s="5"/>
      <c r="M1317" s="5"/>
    </row>
    <row r="1318" spans="7:13">
      <c r="G1318" s="5"/>
      <c r="H1318" s="5"/>
      <c r="I1318" s="5"/>
      <c r="J1318" s="5"/>
      <c r="K1318" s="5"/>
      <c r="L1318" s="5"/>
      <c r="M1318" s="5"/>
    </row>
    <row r="1319" spans="7:13">
      <c r="G1319" s="5"/>
      <c r="H1319" s="5"/>
      <c r="I1319" s="5"/>
      <c r="J1319" s="5"/>
      <c r="K1319" s="5"/>
      <c r="L1319" s="5"/>
      <c r="M1319" s="5"/>
    </row>
    <row r="1320" spans="7:13">
      <c r="G1320" s="5"/>
      <c r="H1320" s="5"/>
      <c r="I1320" s="5"/>
      <c r="J1320" s="5"/>
      <c r="K1320" s="5"/>
      <c r="L1320" s="5"/>
      <c r="M1320" s="5"/>
    </row>
    <row r="1321" spans="7:13">
      <c r="G1321" s="5"/>
      <c r="H1321" s="5"/>
      <c r="I1321" s="5"/>
      <c r="J1321" s="5"/>
      <c r="K1321" s="5"/>
      <c r="L1321" s="5"/>
      <c r="M1321" s="5"/>
    </row>
    <row r="1322" spans="7:13">
      <c r="G1322" s="5"/>
      <c r="H1322" s="5"/>
      <c r="I1322" s="5"/>
      <c r="J1322" s="5"/>
      <c r="K1322" s="5"/>
      <c r="L1322" s="5"/>
      <c r="M1322" s="5"/>
    </row>
    <row r="1323" spans="7:13">
      <c r="G1323" s="5"/>
      <c r="H1323" s="5"/>
      <c r="I1323" s="5"/>
      <c r="J1323" s="5"/>
      <c r="K1323" s="5"/>
      <c r="L1323" s="5"/>
      <c r="M1323" s="5"/>
    </row>
    <row r="1324" spans="7:13">
      <c r="G1324" s="5"/>
      <c r="H1324" s="5"/>
      <c r="I1324" s="5"/>
      <c r="J1324" s="5"/>
      <c r="K1324" s="5"/>
      <c r="L1324" s="5"/>
      <c r="M1324" s="5"/>
    </row>
    <row r="1325" spans="7:13">
      <c r="G1325" s="5"/>
      <c r="H1325" s="5"/>
      <c r="I1325" s="5"/>
      <c r="J1325" s="5"/>
      <c r="K1325" s="5"/>
      <c r="L1325" s="5"/>
      <c r="M1325" s="5"/>
    </row>
    <row r="1326" spans="7:13">
      <c r="G1326" s="5"/>
      <c r="H1326" s="5"/>
      <c r="I1326" s="5"/>
      <c r="J1326" s="5"/>
      <c r="K1326" s="5"/>
      <c r="L1326" s="5"/>
      <c r="M1326" s="5"/>
    </row>
    <row r="1327" spans="7:13">
      <c r="G1327" s="5"/>
      <c r="H1327" s="5"/>
      <c r="I1327" s="5"/>
      <c r="J1327" s="5"/>
      <c r="K1327" s="5"/>
      <c r="L1327" s="5"/>
      <c r="M1327" s="5"/>
    </row>
    <row r="1328" spans="7:13">
      <c r="G1328" s="5"/>
      <c r="H1328" s="5"/>
      <c r="I1328" s="5"/>
      <c r="J1328" s="5"/>
      <c r="K1328" s="5"/>
      <c r="L1328" s="5"/>
      <c r="M1328" s="5"/>
    </row>
    <row r="1329" spans="7:13">
      <c r="G1329" s="5"/>
      <c r="H1329" s="5"/>
      <c r="I1329" s="5"/>
      <c r="J1329" s="5"/>
      <c r="K1329" s="5"/>
      <c r="L1329" s="5"/>
      <c r="M1329" s="5"/>
    </row>
    <row r="1330" spans="7:13">
      <c r="G1330" s="5"/>
      <c r="H1330" s="5"/>
      <c r="I1330" s="5"/>
      <c r="J1330" s="5"/>
      <c r="K1330" s="5"/>
      <c r="L1330" s="5"/>
      <c r="M1330" s="5"/>
    </row>
    <row r="1331" spans="7:13">
      <c r="G1331" s="5"/>
      <c r="H1331" s="5"/>
      <c r="I1331" s="5"/>
      <c r="J1331" s="5"/>
      <c r="K1331" s="5"/>
      <c r="L1331" s="5"/>
      <c r="M1331" s="5"/>
    </row>
    <row r="1332" spans="7:13">
      <c r="G1332" s="5"/>
      <c r="H1332" s="5"/>
      <c r="I1332" s="5"/>
      <c r="J1332" s="5"/>
      <c r="K1332" s="5"/>
      <c r="L1332" s="5"/>
      <c r="M1332" s="5"/>
    </row>
    <row r="1333" spans="7:13">
      <c r="G1333" s="5"/>
      <c r="H1333" s="5"/>
      <c r="I1333" s="5"/>
      <c r="J1333" s="5"/>
      <c r="K1333" s="5"/>
      <c r="L1333" s="5"/>
      <c r="M1333" s="5"/>
    </row>
    <row r="1334" spans="7:13">
      <c r="G1334" s="5"/>
      <c r="H1334" s="5"/>
      <c r="I1334" s="5"/>
      <c r="J1334" s="5"/>
      <c r="K1334" s="5"/>
      <c r="L1334" s="5"/>
      <c r="M1334" s="5"/>
    </row>
    <row r="1335" spans="7:13">
      <c r="G1335" s="5"/>
      <c r="H1335" s="5"/>
      <c r="I1335" s="5"/>
      <c r="J1335" s="5"/>
      <c r="K1335" s="5"/>
      <c r="L1335" s="5"/>
      <c r="M1335" s="5"/>
    </row>
    <row r="1336" spans="7:13">
      <c r="G1336" s="5"/>
      <c r="H1336" s="5"/>
      <c r="I1336" s="5"/>
      <c r="J1336" s="5"/>
      <c r="K1336" s="5"/>
      <c r="L1336" s="5"/>
      <c r="M1336" s="5"/>
    </row>
    <row r="1337" spans="7:13">
      <c r="G1337" s="5"/>
      <c r="H1337" s="5"/>
      <c r="I1337" s="5"/>
      <c r="J1337" s="5"/>
      <c r="K1337" s="5"/>
      <c r="L1337" s="5"/>
      <c r="M1337" s="5"/>
    </row>
    <row r="1338" spans="7:13">
      <c r="G1338" s="5"/>
      <c r="H1338" s="5"/>
      <c r="I1338" s="5"/>
      <c r="J1338" s="5"/>
      <c r="K1338" s="5"/>
      <c r="L1338" s="5"/>
      <c r="M1338" s="5"/>
    </row>
    <row r="1339" spans="7:13">
      <c r="G1339" s="5"/>
      <c r="H1339" s="5"/>
      <c r="I1339" s="5"/>
      <c r="J1339" s="5"/>
      <c r="K1339" s="5"/>
      <c r="L1339" s="5"/>
      <c r="M1339" s="5"/>
    </row>
    <row r="1340" spans="7:13">
      <c r="G1340" s="5"/>
      <c r="H1340" s="5"/>
      <c r="I1340" s="5"/>
      <c r="J1340" s="5"/>
      <c r="K1340" s="5"/>
      <c r="L1340" s="5"/>
      <c r="M1340" s="5"/>
    </row>
    <row r="1341" spans="7:13">
      <c r="G1341" s="5"/>
      <c r="H1341" s="5"/>
      <c r="I1341" s="5"/>
      <c r="J1341" s="5"/>
      <c r="K1341" s="5"/>
      <c r="L1341" s="5"/>
      <c r="M1341" s="5"/>
    </row>
    <row r="1342" spans="7:13">
      <c r="G1342" s="5"/>
      <c r="H1342" s="5"/>
      <c r="I1342" s="5"/>
      <c r="J1342" s="5"/>
      <c r="K1342" s="5"/>
      <c r="L1342" s="5"/>
      <c r="M1342" s="5"/>
    </row>
    <row r="1343" spans="7:13">
      <c r="G1343" s="5"/>
      <c r="H1343" s="5"/>
      <c r="I1343" s="5"/>
      <c r="J1343" s="5"/>
      <c r="K1343" s="5"/>
      <c r="L1343" s="5"/>
      <c r="M1343" s="5"/>
    </row>
    <row r="1344" spans="7:13">
      <c r="G1344" s="5"/>
      <c r="H1344" s="5"/>
      <c r="I1344" s="5"/>
      <c r="J1344" s="5"/>
      <c r="K1344" s="5"/>
      <c r="L1344" s="5"/>
      <c r="M1344" s="5"/>
    </row>
    <row r="1345" spans="7:13">
      <c r="G1345" s="5"/>
      <c r="H1345" s="5"/>
      <c r="I1345" s="5"/>
      <c r="J1345" s="5"/>
      <c r="K1345" s="5"/>
      <c r="L1345" s="5"/>
      <c r="M1345" s="5"/>
    </row>
    <row r="1346" spans="7:13">
      <c r="G1346" s="5"/>
      <c r="H1346" s="5"/>
      <c r="I1346" s="5"/>
      <c r="J1346" s="5"/>
      <c r="K1346" s="5"/>
      <c r="L1346" s="5"/>
      <c r="M1346" s="5"/>
    </row>
    <row r="1347" spans="7:13">
      <c r="G1347" s="5"/>
      <c r="H1347" s="5"/>
      <c r="I1347" s="5"/>
      <c r="J1347" s="5"/>
      <c r="K1347" s="5"/>
      <c r="L1347" s="5"/>
      <c r="M1347" s="5"/>
    </row>
    <row r="1348" spans="7:13">
      <c r="G1348" s="5"/>
      <c r="H1348" s="5"/>
      <c r="I1348" s="5"/>
      <c r="J1348" s="5"/>
      <c r="K1348" s="5"/>
      <c r="L1348" s="5"/>
      <c r="M1348" s="5"/>
    </row>
    <row r="1349" spans="7:13">
      <c r="G1349" s="5"/>
      <c r="H1349" s="5"/>
      <c r="I1349" s="5"/>
      <c r="J1349" s="5"/>
      <c r="K1349" s="5"/>
      <c r="L1349" s="5"/>
      <c r="M1349" s="5"/>
    </row>
    <row r="1350" spans="7:13">
      <c r="G1350" s="5"/>
      <c r="H1350" s="5"/>
      <c r="I1350" s="5"/>
      <c r="J1350" s="5"/>
      <c r="K1350" s="5"/>
      <c r="L1350" s="5"/>
      <c r="M1350" s="5"/>
    </row>
    <row r="1351" spans="7:13">
      <c r="G1351" s="5"/>
      <c r="H1351" s="5"/>
      <c r="I1351" s="5"/>
      <c r="J1351" s="5"/>
      <c r="K1351" s="5"/>
      <c r="L1351" s="5"/>
      <c r="M1351" s="5"/>
    </row>
    <row r="1352" spans="7:13">
      <c r="G1352" s="5"/>
      <c r="H1352" s="5"/>
      <c r="I1352" s="5"/>
      <c r="J1352" s="5"/>
      <c r="K1352" s="5"/>
      <c r="L1352" s="5"/>
      <c r="M1352" s="5"/>
    </row>
    <row r="1353" spans="7:13">
      <c r="G1353" s="5"/>
      <c r="H1353" s="5"/>
      <c r="I1353" s="5"/>
      <c r="J1353" s="5"/>
      <c r="K1353" s="5"/>
      <c r="L1353" s="5"/>
      <c r="M1353" s="5"/>
    </row>
    <row r="1354" spans="7:13">
      <c r="G1354" s="5"/>
      <c r="H1354" s="5"/>
      <c r="I1354" s="5"/>
      <c r="J1354" s="5"/>
      <c r="K1354" s="5"/>
      <c r="L1354" s="5"/>
      <c r="M1354" s="5"/>
    </row>
    <row r="1355" spans="7:13">
      <c r="G1355" s="5"/>
      <c r="H1355" s="5"/>
      <c r="I1355" s="5"/>
      <c r="J1355" s="5"/>
      <c r="K1355" s="5"/>
      <c r="L1355" s="5"/>
      <c r="M1355" s="5"/>
    </row>
    <row r="1356" spans="7:13">
      <c r="G1356" s="5"/>
      <c r="H1356" s="5"/>
      <c r="I1356" s="5"/>
      <c r="J1356" s="5"/>
      <c r="K1356" s="5"/>
      <c r="L1356" s="5"/>
      <c r="M1356" s="5"/>
    </row>
    <row r="1357" spans="7:13">
      <c r="G1357" s="5"/>
      <c r="H1357" s="5"/>
      <c r="I1357" s="5"/>
      <c r="J1357" s="5"/>
      <c r="K1357" s="5"/>
      <c r="L1357" s="5"/>
      <c r="M1357" s="5"/>
    </row>
    <row r="1358" spans="7:13">
      <c r="G1358" s="5"/>
      <c r="H1358" s="5"/>
      <c r="I1358" s="5"/>
      <c r="J1358" s="5"/>
      <c r="K1358" s="5"/>
      <c r="L1358" s="5"/>
      <c r="M1358" s="5"/>
    </row>
    <row r="1359" spans="7:13">
      <c r="G1359" s="5"/>
      <c r="H1359" s="5"/>
      <c r="I1359" s="5"/>
      <c r="J1359" s="5"/>
      <c r="K1359" s="5"/>
      <c r="L1359" s="5"/>
      <c r="M1359" s="5"/>
    </row>
    <row r="1360" spans="7:13">
      <c r="G1360" s="5"/>
      <c r="H1360" s="5"/>
      <c r="I1360" s="5"/>
      <c r="J1360" s="5"/>
      <c r="K1360" s="5"/>
      <c r="L1360" s="5"/>
      <c r="M1360" s="5"/>
    </row>
    <row r="1361" spans="7:13">
      <c r="G1361" s="5"/>
      <c r="H1361" s="5"/>
      <c r="I1361" s="5"/>
      <c r="J1361" s="5"/>
      <c r="K1361" s="5"/>
      <c r="L1361" s="5"/>
      <c r="M1361" s="5"/>
    </row>
    <row r="1362" spans="7:13">
      <c r="G1362" s="5"/>
      <c r="H1362" s="5"/>
      <c r="I1362" s="5"/>
      <c r="J1362" s="5"/>
      <c r="K1362" s="5"/>
      <c r="L1362" s="5"/>
      <c r="M1362" s="5"/>
    </row>
    <row r="1363" spans="7:13">
      <c r="G1363" s="5"/>
      <c r="H1363" s="5"/>
      <c r="I1363" s="5"/>
      <c r="J1363" s="5"/>
      <c r="K1363" s="5"/>
      <c r="L1363" s="5"/>
      <c r="M13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Yale SOM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2013-09-09T22:50:09Z</dcterms:created>
  <dcterms:modified xsi:type="dcterms:W3CDTF">2026-01-23T15:03:32Z</dcterms:modified>
  <cp:category/>
  <cp:contentStatus/>
</cp:coreProperties>
</file>