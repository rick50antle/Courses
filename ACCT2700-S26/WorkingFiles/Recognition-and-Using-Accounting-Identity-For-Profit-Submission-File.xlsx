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1/Claude-Cowork-Projects/ACCT2700/"/>
    </mc:Choice>
  </mc:AlternateContent>
  <xr:revisionPtr revIDLastSave="150" documentId="13_ncr:1_{319CB53A-5084-EF42-BCC6-E11FD9D61D99}" xr6:coauthVersionLast="47" xr6:coauthVersionMax="47" xr10:uidLastSave="{36C47262-7C3F-4589-9186-9D71A25D0171}"/>
  <bookViews>
    <workbookView xWindow="14420" yWindow="900" windowWidth="32660" windowHeight="28900" xr2:uid="{00000000-000D-0000-FFFF-FFFF00000000}"/>
  </bookViews>
  <sheets>
    <sheet name="Accounting Identity FP" sheetId="1" r:id="rId1"/>
    <sheet name="Grading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1" l="1"/>
  <c r="D12" i="1"/>
  <c r="D9" i="1"/>
  <c r="L6" i="1"/>
  <c r="L4" i="1"/>
  <c r="J27" i="2"/>
  <c r="G27" i="2"/>
  <c r="D27" i="2"/>
  <c r="L27" i="2" s="1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J27" i="1"/>
  <c r="G27" i="1"/>
  <c r="D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5" i="1"/>
  <c r="L27" i="1" l="1"/>
</calcChain>
</file>

<file path=xl/sharedStrings.xml><?xml version="1.0" encoding="utf-8"?>
<sst xmlns="http://schemas.openxmlformats.org/spreadsheetml/2006/main" count="108" uniqueCount="60">
  <si>
    <t>Recognition and Using the Accounting Identity to Analyze Transactions: For-Profit</t>
  </si>
  <si>
    <t>Select Yes or No in Column C. If Yes, the insert numbers into the blue areas that both capture the transaction and preserve the Accounting Indentity.</t>
  </si>
  <si>
    <t>Recognize?</t>
  </si>
  <si>
    <t>Assets</t>
  </si>
  <si>
    <t>=</t>
  </si>
  <si>
    <t>Liabilities</t>
  </si>
  <si>
    <t>+</t>
  </si>
  <si>
    <t>Equities</t>
  </si>
  <si>
    <t>Identity Preserved?</t>
  </si>
  <si>
    <t>Show</t>
  </si>
  <si>
    <t>Receives $50k in cash from its shareholders in exchange for issuing common stock.</t>
  </si>
  <si>
    <t>YES</t>
  </si>
  <si>
    <t>Receives $50k from a bank in exchange for making a promise to repay the bank with interest.</t>
  </si>
  <si>
    <t>Receives $50k from a customer in exchange for the performance of services.</t>
  </si>
  <si>
    <t>Receives a building to house its administration that is valued at $50k in exchange for issuing common stock to the building's existing owners.</t>
  </si>
  <si>
    <t>Receives a building to house its administration that is valued at $50k in exchange for making a promise to pay the existing owners (with interest).</t>
  </si>
  <si>
    <t>Pays $18k to suppliers for goods it intends to resell and takes delivery of those goods.</t>
  </si>
  <si>
    <t>Promises to pay $18k to suppliers for goods it intends to resell and takes delivery of the goods.</t>
  </si>
  <si>
    <t>Paid $17k to suppliers for goods it had purchased on credit.</t>
  </si>
  <si>
    <t>Pays $17k in cash and promises to pay another $1k next month to suppliers in exchange for goods it intends to resell and takes delivery of the goods.</t>
  </si>
  <si>
    <t>Received $8k in cash from customers and delivered those goods to those customers.</t>
  </si>
  <si>
    <t>Received $8k in cash from customers in exchange for a promise to deliver goods to those customers in the future.</t>
  </si>
  <si>
    <t>Received a call from a past customer during which the customer promised to buy $8k of goods next month.</t>
  </si>
  <si>
    <t>NO</t>
  </si>
  <si>
    <t>Determined that the goods valued at their cost of $6k in its inventory accounts had been sold to customers.</t>
  </si>
  <si>
    <t>Determined that goods valued at their cost of $6k in its inventory accounts were accidentally destroyed.</t>
  </si>
  <si>
    <t>The entity announced its intention to bid for a contract to provide services to the city of New Haven, CT.</t>
  </si>
  <si>
    <t>Put in a bid of $15k for a contract to provide services to the city of New Haven, CT.</t>
  </si>
  <si>
    <t>Was informed that its bid of $15K to provide services to the city of New Haven, CT had made it to the final round of consideration.</t>
  </si>
  <si>
    <t>Was informed that its bid of $15K to provide services to the city of New Haven, CT had been accepted.</t>
  </si>
  <si>
    <t>Performed services to the city of New Haven under a contract. The contract calls for New Haven to pay $15k for these services.</t>
  </si>
  <si>
    <t>Received payment of $15k from the city of New Haven in response to a bill for services rendered.</t>
  </si>
  <si>
    <t>Announced its intention to pay its shareholders a dividend.</t>
  </si>
  <si>
    <t>Issued a formal declaration of its intention to pay a total of $2k in dividends to its shareholders of record as of 5 pm on October 10 of next year.</t>
  </si>
  <si>
    <t>Paid cash of $2k for previously declared dividends to its shareholders.</t>
  </si>
  <si>
    <t>Total</t>
  </si>
  <si>
    <t>For-Profit Problem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</si>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</sst>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  <numFmt numFmtId="166" formatCode="&quot;$&quot;#,##0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name val="Calibri"/>
      <family val="2"/>
    </font>
    <font>
      <i/>
      <sz val="11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  <font>
      <sz val="11"/>
      <name val="Calibri"/>
      <family val="2"/>
    </font>
    <font>
      <b/>
      <sz val="13"/>
      <name val="Calibri"/>
      <family val="2"/>
    </font>
    <font>
      <b/>
      <sz val="9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5F7FA"/>
      </patternFill>
    </fill>
    <fill>
      <patternFill patternType="solid">
        <fgColor rgb="FFE8E8E8"/>
      </patternFill>
    </fill>
  </fills>
  <borders count="7">
    <border>
      <left/>
      <right/>
      <top/>
      <bottom/>
      <diagonal/>
    </border>
    <border>
      <left/>
      <right/>
      <top/>
      <bottom style="medium">
        <color rgb="FF808080"/>
      </bottom>
      <diagonal/>
    </border>
    <border>
      <left style="hair">
        <color rgb="FFD0D0D0"/>
      </left>
      <right style="hair">
        <color rgb="FFD0D0D0"/>
      </right>
      <top style="hair">
        <color rgb="FFD0D0D0"/>
      </top>
      <bottom style="hair">
        <color rgb="FFD0D0D0"/>
      </bottom>
      <diagonal/>
    </border>
    <border>
      <left style="thin">
        <color rgb="FFB0B0B0"/>
      </left>
      <right style="hair">
        <color rgb="FFD0D0D0"/>
      </right>
      <top style="hair">
        <color rgb="FFD0D0D0"/>
      </top>
      <bottom style="hair">
        <color rgb="FFD0D0D0"/>
      </bottom>
      <diagonal/>
    </border>
    <border>
      <left style="hair">
        <color rgb="FFD0D0D0"/>
      </left>
      <right style="hair">
        <color rgb="FFD0D0D0"/>
      </right>
      <top style="medium">
        <color rgb="FF808080"/>
      </top>
      <bottom style="medium">
        <color rgb="FF808080"/>
      </bottom>
      <diagonal/>
    </border>
    <border>
      <left/>
      <right style="hair">
        <color rgb="FFD0D0D0"/>
      </right>
      <top style="hair">
        <color rgb="FFD0D0D0"/>
      </top>
      <bottom style="hair">
        <color rgb="FFD0D0D0"/>
      </bottom>
      <diagonal/>
    </border>
    <border>
      <left/>
      <right style="hair">
        <color rgb="FFD0D0D0"/>
      </right>
      <top style="medium">
        <color rgb="FF808080"/>
      </top>
      <bottom style="medium">
        <color rgb="FF808080"/>
      </bottom>
      <diagonal/>
    </border>
  </borders>
  <cellStyleXfs count="3">
    <xf numFmtId="0" fontId="0" fillId="0" borderId="0"/>
    <xf numFmtId="43" fontId="1" fillId="0" borderId="0"/>
    <xf numFmtId="44" fontId="1" fillId="0" borderId="0"/>
  </cellStyleXfs>
  <cellXfs count="28">
    <xf numFmtId="0" fontId="0" fillId="0" borderId="0" xfId="0"/>
    <xf numFmtId="0" fontId="0" fillId="0" borderId="1" xfId="0" applyBorder="1"/>
    <xf numFmtId="0" fontId="4" fillId="0" borderId="1" xfId="0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left" vertical="center"/>
    </xf>
    <xf numFmtId="164" fontId="4" fillId="7" borderId="4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65" fontId="6" fillId="3" borderId="3" xfId="1" applyNumberFormat="1" applyFont="1" applyFill="1" applyBorder="1" applyAlignment="1" applyProtection="1">
      <alignment horizontal="center" vertical="center"/>
      <protection locked="0"/>
    </xf>
    <xf numFmtId="165" fontId="6" fillId="3" borderId="3" xfId="1" applyNumberFormat="1" applyFont="1" applyFill="1" applyBorder="1" applyAlignment="1">
      <alignment horizontal="center" vertical="center"/>
    </xf>
    <xf numFmtId="166" fontId="4" fillId="5" borderId="4" xfId="2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left" vertical="center" wrapText="1"/>
    </xf>
    <xf numFmtId="0" fontId="0" fillId="0" borderId="0" xfId="0" applyAlignment="1"/>
    <xf numFmtId="0" fontId="0" fillId="0" borderId="1" xfId="0" applyBorder="1" applyAlignment="1"/>
    <xf numFmtId="0" fontId="0" fillId="0" borderId="5" xfId="0" applyBorder="1" applyAlignment="1"/>
    <xf numFmtId="0" fontId="0" fillId="0" borderId="5" xfId="0" applyBorder="1" applyAlignment="1" applyProtection="1">
      <protection locked="0"/>
    </xf>
    <xf numFmtId="0" fontId="0" fillId="0" borderId="6" xfId="0" applyBorder="1" applyAlignment="1"/>
  </cellXfs>
  <cellStyles count="3">
    <cellStyle name="Comma" xfId="1" builtinId="3"/>
    <cellStyle name="Currency" xfId="2" builtinId="4"/>
    <cellStyle name="Normal" xfId="0" builtinId="0"/>
  </cellStyles>
  <dxfs count="4">
    <dxf>
      <font>
        <color rgb="FFC0C0C0"/>
      </font>
    </dxf>
    <dxf>
      <font>
        <b/>
        <i val="0"/>
        <color rgb="FF006100"/>
      </font>
      <fill>
        <patternFill patternType="solid">
          <bgColor rgb="FF00B050"/>
        </patternFill>
      </fill>
    </dxf>
    <dxf>
      <font>
        <b/>
        <i val="0"/>
        <color rgb="FF006100"/>
      </font>
      <fill>
        <patternFill patternType="solid">
          <bgColor rgb="FFFF0000"/>
        </patternFill>
      </fill>
    </dxf>
    <dxf>
      <font>
        <color rgb="FFC0C0C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"/>
  <sheetViews>
    <sheetView tabSelected="1" zoomScale="160" zoomScaleNormal="160" workbookViewId="0">
      <pane ySplit="3" topLeftCell="A20" activePane="bottomLeft" state="frozen"/>
      <selection pane="bottomLeft" activeCell="D24" sqref="D24:E24"/>
    </sheetView>
  </sheetViews>
  <sheetFormatPr defaultColWidth="11.42578125" defaultRowHeight="15"/>
  <cols>
    <col min="1" max="1" width="4.42578125" customWidth="1"/>
    <col min="2" max="2" width="50" bestFit="1" customWidth="1"/>
    <col min="3" max="3" width="12" customWidth="1"/>
    <col min="4" max="5" width="9" customWidth="1"/>
    <col min="6" max="6" width="3.42578125" customWidth="1"/>
    <col min="7" max="8" width="9" customWidth="1"/>
    <col min="9" max="9" width="3.42578125" customWidth="1"/>
    <col min="10" max="11" width="9" customWidth="1"/>
    <col min="12" max="12" width="17.7109375" customWidth="1"/>
    <col min="13" max="13" width="6" customWidth="1"/>
  </cols>
  <sheetData>
    <row r="1" spans="1:13" ht="30" customHeight="1">
      <c r="A1" s="21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3" ht="21.95" customHeight="1">
      <c r="A2" s="22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3" ht="21.95" customHeight="1" thickBot="1">
      <c r="A3" s="1"/>
      <c r="B3" s="1"/>
      <c r="C3" s="2" t="s">
        <v>2</v>
      </c>
      <c r="D3" s="20" t="s">
        <v>3</v>
      </c>
      <c r="E3" s="24"/>
      <c r="F3" s="3" t="s">
        <v>4</v>
      </c>
      <c r="G3" s="20" t="s">
        <v>5</v>
      </c>
      <c r="H3" s="24"/>
      <c r="I3" s="3" t="s">
        <v>6</v>
      </c>
      <c r="J3" s="20" t="s">
        <v>7</v>
      </c>
      <c r="K3" s="24"/>
      <c r="L3" s="2" t="s">
        <v>8</v>
      </c>
      <c r="M3" s="14" t="s">
        <v>9</v>
      </c>
    </row>
    <row r="4" spans="1:13" ht="32.1" customHeight="1">
      <c r="A4" s="4">
        <v>1</v>
      </c>
      <c r="B4" s="5" t="s">
        <v>10</v>
      </c>
      <c r="C4" s="6" t="s">
        <v>11</v>
      </c>
      <c r="D4" s="18">
        <v>50</v>
      </c>
      <c r="E4" s="25"/>
      <c r="F4" s="7"/>
      <c r="G4" s="18"/>
      <c r="H4" s="25"/>
      <c r="I4" s="7"/>
      <c r="J4" s="18">
        <v>50</v>
      </c>
      <c r="K4" s="25"/>
      <c r="L4" s="8" t="str">
        <f t="shared" ref="L4:L26" si="0">IF(AND(ISBLANK(D4),ISBLANK(G4),ISBLANK(J4)),"",IF(D4-G4-J4=0,"YES","NO"))</f>
        <v>YES</v>
      </c>
      <c r="M4" s="16" t="b">
        <v>1</v>
      </c>
    </row>
    <row r="5" spans="1:13" ht="32.1" customHeight="1">
      <c r="A5" s="8">
        <v>2</v>
      </c>
      <c r="B5" s="9" t="s">
        <v>12</v>
      </c>
      <c r="C5" s="6" t="s">
        <v>11</v>
      </c>
      <c r="D5" s="17">
        <v>50</v>
      </c>
      <c r="E5" s="26"/>
      <c r="F5" s="10"/>
      <c r="G5" s="17">
        <v>50</v>
      </c>
      <c r="H5" s="26"/>
      <c r="I5" s="10"/>
      <c r="J5" s="17"/>
      <c r="K5" s="26"/>
      <c r="L5" s="8" t="str">
        <f t="shared" si="0"/>
        <v>YES</v>
      </c>
      <c r="M5" s="16" t="b">
        <v>1</v>
      </c>
    </row>
    <row r="6" spans="1:13" ht="32.1" customHeight="1">
      <c r="A6" s="4">
        <v>3</v>
      </c>
      <c r="B6" s="5" t="s">
        <v>13</v>
      </c>
      <c r="C6" s="6" t="s">
        <v>11</v>
      </c>
      <c r="D6" s="17">
        <v>50</v>
      </c>
      <c r="E6" s="26"/>
      <c r="F6" s="7"/>
      <c r="G6" s="17"/>
      <c r="H6" s="26"/>
      <c r="I6" s="7"/>
      <c r="J6" s="17">
        <v>50</v>
      </c>
      <c r="K6" s="26"/>
      <c r="L6" s="8" t="str">
        <f t="shared" si="0"/>
        <v>YES</v>
      </c>
      <c r="M6" s="16" t="b">
        <v>1</v>
      </c>
    </row>
    <row r="7" spans="1:13" ht="48" customHeight="1">
      <c r="A7" s="8">
        <v>4</v>
      </c>
      <c r="B7" s="9" t="s">
        <v>14</v>
      </c>
      <c r="C7" s="6" t="s">
        <v>11</v>
      </c>
      <c r="D7" s="17">
        <v>50</v>
      </c>
      <c r="E7" s="26"/>
      <c r="F7" s="10"/>
      <c r="G7" s="17"/>
      <c r="H7" s="26"/>
      <c r="I7" s="10"/>
      <c r="J7" s="17">
        <v>50</v>
      </c>
      <c r="K7" s="26"/>
      <c r="L7" s="8" t="str">
        <f t="shared" si="0"/>
        <v>YES</v>
      </c>
      <c r="M7" s="16" t="b">
        <v>1</v>
      </c>
    </row>
    <row r="8" spans="1:13" ht="48" customHeight="1">
      <c r="A8" s="4">
        <v>5</v>
      </c>
      <c r="B8" s="5" t="s">
        <v>15</v>
      </c>
      <c r="C8" s="6" t="s">
        <v>11</v>
      </c>
      <c r="D8" s="17">
        <v>50</v>
      </c>
      <c r="E8" s="26"/>
      <c r="F8" s="7"/>
      <c r="G8" s="17">
        <v>50</v>
      </c>
      <c r="H8" s="26"/>
      <c r="I8" s="7"/>
      <c r="J8" s="17"/>
      <c r="K8" s="26"/>
      <c r="L8" s="4" t="str">
        <f t="shared" si="0"/>
        <v>YES</v>
      </c>
      <c r="M8" s="16" t="b">
        <v>1</v>
      </c>
    </row>
    <row r="9" spans="1:13" ht="32.1" customHeight="1">
      <c r="A9" s="8">
        <v>6</v>
      </c>
      <c r="B9" s="9" t="s">
        <v>16</v>
      </c>
      <c r="C9" s="6" t="s">
        <v>11</v>
      </c>
      <c r="D9" s="17">
        <f>18-18</f>
        <v>0</v>
      </c>
      <c r="E9" s="26"/>
      <c r="F9" s="10"/>
      <c r="G9" s="17"/>
      <c r="H9" s="26"/>
      <c r="I9" s="10"/>
      <c r="J9" s="17"/>
      <c r="K9" s="26"/>
      <c r="L9" s="8" t="str">
        <f t="shared" si="0"/>
        <v>YES</v>
      </c>
      <c r="M9" s="16" t="b">
        <v>1</v>
      </c>
    </row>
    <row r="10" spans="1:13" ht="32.1" customHeight="1">
      <c r="A10" s="4">
        <v>7</v>
      </c>
      <c r="B10" s="5" t="s">
        <v>17</v>
      </c>
      <c r="C10" s="6" t="s">
        <v>11</v>
      </c>
      <c r="D10" s="17"/>
      <c r="E10" s="26"/>
      <c r="F10" s="7"/>
      <c r="G10" s="17"/>
      <c r="H10" s="26"/>
      <c r="I10" s="7"/>
      <c r="J10" s="17"/>
      <c r="K10" s="26"/>
      <c r="L10" s="4" t="str">
        <f t="shared" si="0"/>
        <v/>
      </c>
      <c r="M10" s="16" t="b">
        <v>1</v>
      </c>
    </row>
    <row r="11" spans="1:13" ht="30.75">
      <c r="A11" s="8">
        <v>8</v>
      </c>
      <c r="B11" s="9" t="s">
        <v>18</v>
      </c>
      <c r="C11" s="6"/>
      <c r="D11" s="17"/>
      <c r="E11" s="26"/>
      <c r="F11" s="10"/>
      <c r="G11" s="17"/>
      <c r="H11" s="26"/>
      <c r="I11" s="10"/>
      <c r="J11" s="17"/>
      <c r="K11" s="26"/>
      <c r="L11" s="8" t="str">
        <f t="shared" si="0"/>
        <v/>
      </c>
      <c r="M11" s="16" t="b">
        <v>0</v>
      </c>
    </row>
    <row r="12" spans="1:13" ht="48" customHeight="1">
      <c r="A12" s="4">
        <v>9</v>
      </c>
      <c r="B12" s="5" t="s">
        <v>19</v>
      </c>
      <c r="C12" s="6" t="s">
        <v>11</v>
      </c>
      <c r="D12" s="17">
        <f>18-17</f>
        <v>1</v>
      </c>
      <c r="E12" s="26"/>
      <c r="F12" s="7"/>
      <c r="G12" s="17">
        <v>1</v>
      </c>
      <c r="H12" s="26"/>
      <c r="I12" s="7"/>
      <c r="J12" s="17"/>
      <c r="K12" s="26"/>
      <c r="L12" s="4" t="str">
        <f t="shared" si="0"/>
        <v>YES</v>
      </c>
      <c r="M12" s="16" t="b">
        <v>1</v>
      </c>
    </row>
    <row r="13" spans="1:13" ht="32.1" customHeight="1">
      <c r="A13" s="8">
        <v>10</v>
      </c>
      <c r="B13" s="9" t="s">
        <v>20</v>
      </c>
      <c r="C13" s="6"/>
      <c r="D13" s="17"/>
      <c r="E13" s="26"/>
      <c r="F13" s="10"/>
      <c r="G13" s="17"/>
      <c r="H13" s="26"/>
      <c r="I13" s="10"/>
      <c r="J13" s="17"/>
      <c r="K13" s="26"/>
      <c r="L13" s="8" t="str">
        <f t="shared" si="0"/>
        <v/>
      </c>
      <c r="M13" s="16" t="b">
        <v>0</v>
      </c>
    </row>
    <row r="14" spans="1:13" ht="32.1" customHeight="1">
      <c r="A14" s="4">
        <v>11</v>
      </c>
      <c r="B14" s="5" t="s">
        <v>21</v>
      </c>
      <c r="C14" s="6"/>
      <c r="D14" s="17"/>
      <c r="E14" s="26"/>
      <c r="F14" s="7"/>
      <c r="G14" s="17"/>
      <c r="H14" s="26"/>
      <c r="I14" s="7"/>
      <c r="J14" s="17"/>
      <c r="K14" s="26"/>
      <c r="L14" s="4" t="str">
        <f t="shared" si="0"/>
        <v/>
      </c>
      <c r="M14" s="16" t="b">
        <v>0</v>
      </c>
    </row>
    <row r="15" spans="1:13" ht="32.1" customHeight="1">
      <c r="A15" s="8">
        <v>12</v>
      </c>
      <c r="B15" s="9" t="s">
        <v>22</v>
      </c>
      <c r="C15" s="6" t="s">
        <v>23</v>
      </c>
      <c r="D15" s="17"/>
      <c r="E15" s="26"/>
      <c r="F15" s="10"/>
      <c r="G15" s="17"/>
      <c r="H15" s="26"/>
      <c r="I15" s="10"/>
      <c r="J15" s="17"/>
      <c r="K15" s="26"/>
      <c r="L15" s="8" t="str">
        <f t="shared" si="0"/>
        <v/>
      </c>
      <c r="M15" s="16" t="b">
        <v>1</v>
      </c>
    </row>
    <row r="16" spans="1:13" ht="32.1" customHeight="1">
      <c r="A16" s="4">
        <v>13</v>
      </c>
      <c r="B16" s="5" t="s">
        <v>24</v>
      </c>
      <c r="C16" s="6"/>
      <c r="D16" s="17"/>
      <c r="E16" s="26"/>
      <c r="F16" s="7"/>
      <c r="G16" s="17"/>
      <c r="H16" s="26"/>
      <c r="I16" s="7"/>
      <c r="J16" s="17"/>
      <c r="K16" s="26"/>
      <c r="L16" s="4" t="str">
        <f t="shared" si="0"/>
        <v/>
      </c>
      <c r="M16" s="16" t="b">
        <v>0</v>
      </c>
    </row>
    <row r="17" spans="1:13" ht="32.1" customHeight="1">
      <c r="A17" s="8">
        <v>14</v>
      </c>
      <c r="B17" s="9" t="s">
        <v>25</v>
      </c>
      <c r="C17" s="6"/>
      <c r="D17" s="17"/>
      <c r="E17" s="26"/>
      <c r="F17" s="10"/>
      <c r="G17" s="17"/>
      <c r="H17" s="26"/>
      <c r="I17" s="10"/>
      <c r="J17" s="17"/>
      <c r="K17" s="26"/>
      <c r="L17" s="8" t="str">
        <f t="shared" si="0"/>
        <v/>
      </c>
      <c r="M17" s="16" t="b">
        <v>0</v>
      </c>
    </row>
    <row r="18" spans="1:13" ht="32.1" customHeight="1">
      <c r="A18" s="4">
        <v>15</v>
      </c>
      <c r="B18" s="5" t="s">
        <v>26</v>
      </c>
      <c r="C18" s="6" t="s">
        <v>23</v>
      </c>
      <c r="D18" s="17"/>
      <c r="E18" s="26"/>
      <c r="F18" s="7"/>
      <c r="G18" s="17"/>
      <c r="H18" s="26"/>
      <c r="I18" s="7"/>
      <c r="J18" s="17"/>
      <c r="K18" s="26"/>
      <c r="L18" s="4" t="str">
        <f t="shared" si="0"/>
        <v/>
      </c>
      <c r="M18" s="16" t="b">
        <v>1</v>
      </c>
    </row>
    <row r="19" spans="1:13" ht="32.1" customHeight="1">
      <c r="A19" s="8">
        <v>16</v>
      </c>
      <c r="B19" s="9" t="s">
        <v>27</v>
      </c>
      <c r="C19" s="6" t="s">
        <v>23</v>
      </c>
      <c r="D19" s="17"/>
      <c r="E19" s="26"/>
      <c r="F19" s="10"/>
      <c r="G19" s="17"/>
      <c r="H19" s="26"/>
      <c r="I19" s="10"/>
      <c r="J19" s="17"/>
      <c r="K19" s="26"/>
      <c r="L19" s="8" t="str">
        <f t="shared" si="0"/>
        <v/>
      </c>
      <c r="M19" s="16" t="b">
        <v>1</v>
      </c>
    </row>
    <row r="20" spans="1:13" ht="48" customHeight="1">
      <c r="A20" s="4">
        <v>17</v>
      </c>
      <c r="B20" s="5" t="s">
        <v>28</v>
      </c>
      <c r="C20" s="6" t="s">
        <v>23</v>
      </c>
      <c r="D20" s="17"/>
      <c r="E20" s="26"/>
      <c r="F20" s="7"/>
      <c r="G20" s="17"/>
      <c r="H20" s="26"/>
      <c r="I20" s="7"/>
      <c r="J20" s="17"/>
      <c r="K20" s="26"/>
      <c r="L20" s="4" t="str">
        <f t="shared" si="0"/>
        <v/>
      </c>
      <c r="M20" s="16" t="b">
        <v>1</v>
      </c>
    </row>
    <row r="21" spans="1:13" ht="32.1" customHeight="1">
      <c r="A21" s="8">
        <v>18</v>
      </c>
      <c r="B21" s="9" t="s">
        <v>29</v>
      </c>
      <c r="C21" s="6" t="s">
        <v>23</v>
      </c>
      <c r="D21" s="17"/>
      <c r="E21" s="26"/>
      <c r="F21" s="10"/>
      <c r="G21" s="17"/>
      <c r="H21" s="26"/>
      <c r="I21" s="10"/>
      <c r="J21" s="17"/>
      <c r="K21" s="26"/>
      <c r="L21" s="8" t="str">
        <f t="shared" si="0"/>
        <v/>
      </c>
      <c r="M21" s="16" t="b">
        <v>1</v>
      </c>
    </row>
    <row r="22" spans="1:13" ht="43.5" customHeight="1">
      <c r="A22" s="4">
        <v>19</v>
      </c>
      <c r="B22" s="5" t="s">
        <v>30</v>
      </c>
      <c r="C22" s="6" t="s">
        <v>11</v>
      </c>
      <c r="D22" s="17">
        <v>15</v>
      </c>
      <c r="E22" s="26"/>
      <c r="F22" s="7"/>
      <c r="G22" s="17"/>
      <c r="H22" s="26"/>
      <c r="I22" s="7"/>
      <c r="J22" s="17">
        <v>15</v>
      </c>
      <c r="K22" s="26"/>
      <c r="L22" s="4" t="str">
        <f t="shared" si="0"/>
        <v>YES</v>
      </c>
      <c r="M22" s="16" t="b">
        <v>1</v>
      </c>
    </row>
    <row r="23" spans="1:13" ht="32.1" customHeight="1">
      <c r="A23" s="8">
        <v>20</v>
      </c>
      <c r="B23" s="9" t="s">
        <v>31</v>
      </c>
      <c r="C23" s="6" t="s">
        <v>11</v>
      </c>
      <c r="D23" s="17">
        <f>15-15</f>
        <v>0</v>
      </c>
      <c r="E23" s="26"/>
      <c r="F23" s="10"/>
      <c r="G23" s="17"/>
      <c r="H23" s="26"/>
      <c r="I23" s="10"/>
      <c r="J23" s="17"/>
      <c r="K23" s="26"/>
      <c r="L23" s="8" t="str">
        <f t="shared" si="0"/>
        <v>YES</v>
      </c>
      <c r="M23" s="16" t="b">
        <v>1</v>
      </c>
    </row>
    <row r="24" spans="1:13" ht="34.5" customHeight="1">
      <c r="A24" s="4">
        <v>21</v>
      </c>
      <c r="B24" s="5" t="s">
        <v>32</v>
      </c>
      <c r="C24" s="6"/>
      <c r="D24" s="17"/>
      <c r="E24" s="26"/>
      <c r="F24" s="7"/>
      <c r="G24" s="17"/>
      <c r="H24" s="26"/>
      <c r="I24" s="7"/>
      <c r="J24" s="17"/>
      <c r="K24" s="26"/>
      <c r="L24" s="4" t="str">
        <f t="shared" si="0"/>
        <v/>
      </c>
      <c r="M24" s="16" t="b">
        <v>0</v>
      </c>
    </row>
    <row r="25" spans="1:13" ht="48" customHeight="1">
      <c r="A25" s="8">
        <v>22</v>
      </c>
      <c r="B25" s="9" t="s">
        <v>33</v>
      </c>
      <c r="C25" s="6"/>
      <c r="D25" s="17"/>
      <c r="E25" s="26"/>
      <c r="F25" s="10"/>
      <c r="G25" s="17"/>
      <c r="H25" s="26"/>
      <c r="I25" s="10"/>
      <c r="J25" s="17"/>
      <c r="K25" s="26"/>
      <c r="L25" s="8" t="str">
        <f t="shared" si="0"/>
        <v/>
      </c>
      <c r="M25" s="16" t="b">
        <v>0</v>
      </c>
    </row>
    <row r="26" spans="1:13" ht="32.1" customHeight="1">
      <c r="A26" s="4">
        <v>23</v>
      </c>
      <c r="B26" s="5" t="s">
        <v>34</v>
      </c>
      <c r="C26" s="6"/>
      <c r="D26" s="17"/>
      <c r="E26" s="26"/>
      <c r="F26" s="7"/>
      <c r="G26" s="17"/>
      <c r="H26" s="26"/>
      <c r="I26" s="7"/>
      <c r="J26" s="17"/>
      <c r="K26" s="26"/>
      <c r="L26" s="4" t="str">
        <f t="shared" si="0"/>
        <v/>
      </c>
      <c r="M26" s="16" t="b">
        <v>0</v>
      </c>
    </row>
    <row r="27" spans="1:13" ht="21.95" customHeight="1" thickBot="1">
      <c r="A27" s="11"/>
      <c r="B27" s="12" t="s">
        <v>35</v>
      </c>
      <c r="C27" s="11"/>
      <c r="D27" s="19">
        <f>SUM(D4:D20)</f>
        <v>251</v>
      </c>
      <c r="E27" s="27"/>
      <c r="F27" s="11"/>
      <c r="G27" s="19">
        <f>SUM(G4:G20)</f>
        <v>101</v>
      </c>
      <c r="H27" s="27"/>
      <c r="I27" s="11"/>
      <c r="J27" s="19">
        <f>SUM(J4:J20)</f>
        <v>150</v>
      </c>
      <c r="K27" s="27"/>
      <c r="L27" s="13" t="str">
        <f>IF(D27-G27-J27=0,"YES","NO")</f>
        <v>YES</v>
      </c>
    </row>
    <row r="28" spans="1:13" ht="15.95" customHeight="1" thickTop="1"/>
  </sheetData>
  <mergeCells count="77">
    <mergeCell ref="A1:L1"/>
    <mergeCell ref="J18:K18"/>
    <mergeCell ref="J8:K8"/>
    <mergeCell ref="J17:K17"/>
    <mergeCell ref="G3:H3"/>
    <mergeCell ref="D16:E16"/>
    <mergeCell ref="J7:K7"/>
    <mergeCell ref="G5:H5"/>
    <mergeCell ref="G14:H14"/>
    <mergeCell ref="D8:E8"/>
    <mergeCell ref="G4:H4"/>
    <mergeCell ref="A2:L2"/>
    <mergeCell ref="D3:E3"/>
    <mergeCell ref="D12:E12"/>
    <mergeCell ref="D5:E5"/>
    <mergeCell ref="J5:K5"/>
    <mergeCell ref="D27:E27"/>
    <mergeCell ref="G13:H13"/>
    <mergeCell ref="D17:E17"/>
    <mergeCell ref="J26:K26"/>
    <mergeCell ref="J16:K16"/>
    <mergeCell ref="G15:H15"/>
    <mergeCell ref="J25:K25"/>
    <mergeCell ref="D25:E25"/>
    <mergeCell ref="D14:E14"/>
    <mergeCell ref="J14:K14"/>
    <mergeCell ref="J27:K27"/>
    <mergeCell ref="J20:K20"/>
    <mergeCell ref="D24:E24"/>
    <mergeCell ref="D26:E26"/>
    <mergeCell ref="D19:E19"/>
    <mergeCell ref="G24:H24"/>
    <mergeCell ref="J3:K3"/>
    <mergeCell ref="J12:K12"/>
    <mergeCell ref="G16:H16"/>
    <mergeCell ref="D15:E15"/>
    <mergeCell ref="G25:H25"/>
    <mergeCell ref="D23:E23"/>
    <mergeCell ref="G9:H9"/>
    <mergeCell ref="G11:H11"/>
    <mergeCell ref="G8:H8"/>
    <mergeCell ref="J13:K13"/>
    <mergeCell ref="G17:H17"/>
    <mergeCell ref="D21:E21"/>
    <mergeCell ref="J6:K6"/>
    <mergeCell ref="G10:H10"/>
    <mergeCell ref="J15:K15"/>
    <mergeCell ref="G19:H19"/>
    <mergeCell ref="G26:H26"/>
    <mergeCell ref="G27:H27"/>
    <mergeCell ref="G22:H22"/>
    <mergeCell ref="J23:K23"/>
    <mergeCell ref="J24:K24"/>
    <mergeCell ref="J4:K4"/>
    <mergeCell ref="D7:E7"/>
    <mergeCell ref="D4:E4"/>
    <mergeCell ref="D10:E10"/>
    <mergeCell ref="G7:H7"/>
    <mergeCell ref="D9:E9"/>
    <mergeCell ref="G6:H6"/>
    <mergeCell ref="J9:K9"/>
    <mergeCell ref="D6:E6"/>
    <mergeCell ref="D20:E20"/>
    <mergeCell ref="G21:H21"/>
    <mergeCell ref="J10:K10"/>
    <mergeCell ref="J19:K19"/>
    <mergeCell ref="G23:H23"/>
    <mergeCell ref="D22:E22"/>
    <mergeCell ref="G20:H20"/>
    <mergeCell ref="J21:K21"/>
    <mergeCell ref="D18:E18"/>
    <mergeCell ref="D13:E13"/>
    <mergeCell ref="G18:H18"/>
    <mergeCell ref="D11:E11"/>
    <mergeCell ref="J11:K11"/>
    <mergeCell ref="G12:H12"/>
    <mergeCell ref="J22:K22"/>
  </mergeCells>
  <conditionalFormatting sqref="A4:L26">
    <cfRule type="expression" dxfId="3" priority="3">
      <formula>$M4=FALSE</formula>
    </cfRule>
  </conditionalFormatting>
  <conditionalFormatting sqref="L4:L26">
    <cfRule type="cellIs" dxfId="2" priority="2" operator="equal">
      <formula>"NO"</formula>
    </cfRule>
    <cfRule type="cellIs" dxfId="1" priority="1" operator="equal">
      <formula>"YES"</formula>
    </cfRule>
  </conditionalFormatting>
  <dataValidations count="1">
    <dataValidation type="list" allowBlank="1" showInputMessage="1" showErrorMessage="1" sqref="C4:C26" xr:uid="{00000000-0002-0000-0000-000000000000}">
      <formula1>"YES,NO"</formula1>
    </dataValidation>
  </dataValidation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8"/>
  <sheetViews>
    <sheetView zoomScale="160" zoomScaleNormal="160" workbookViewId="0">
      <pane ySplit="3" topLeftCell="A4" activePane="bottomLeft" state="frozen"/>
      <selection pane="bottomLeft" activeCell="G7" sqref="G7:H7"/>
    </sheetView>
  </sheetViews>
  <sheetFormatPr defaultColWidth="11.42578125" defaultRowHeight="15"/>
  <cols>
    <col min="1" max="1" width="4.42578125" customWidth="1"/>
    <col min="2" max="2" width="50" bestFit="1" customWidth="1"/>
    <col min="3" max="3" width="12" customWidth="1"/>
    <col min="4" max="5" width="9" customWidth="1"/>
    <col min="6" max="6" width="3.42578125" customWidth="1"/>
    <col min="7" max="8" width="9" customWidth="1"/>
    <col min="9" max="9" width="3.42578125" customWidth="1"/>
    <col min="10" max="11" width="9" customWidth="1"/>
    <col min="12" max="12" width="16" customWidth="1"/>
    <col min="13" max="13" width="6" customWidth="1"/>
  </cols>
  <sheetData>
    <row r="1" spans="1:13" ht="30" customHeight="1">
      <c r="A1" s="21" t="s">
        <v>36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3" ht="21.95" customHeight="1">
      <c r="A2" s="22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3" ht="21.95" customHeight="1" thickBot="1">
      <c r="A3" s="1"/>
      <c r="B3" s="1"/>
      <c r="C3" s="2" t="s">
        <v>2</v>
      </c>
      <c r="D3" s="20" t="s">
        <v>3</v>
      </c>
      <c r="E3" s="24"/>
      <c r="F3" s="3" t="s">
        <v>4</v>
      </c>
      <c r="G3" s="20" t="s">
        <v>5</v>
      </c>
      <c r="H3" s="24"/>
      <c r="I3" s="3" t="s">
        <v>6</v>
      </c>
      <c r="J3" s="20" t="s">
        <v>7</v>
      </c>
      <c r="K3" s="24"/>
      <c r="L3" s="2" t="s">
        <v>8</v>
      </c>
      <c r="M3" s="14" t="s">
        <v>9</v>
      </c>
    </row>
    <row r="4" spans="1:13" ht="32.1" customHeight="1">
      <c r="A4" s="4" t="s">
        <v>37</v>
      </c>
      <c r="B4" s="5" t="s">
        <v>10</v>
      </c>
      <c r="C4" s="6" t="s">
        <v>23</v>
      </c>
      <c r="D4" s="18"/>
      <c r="E4" s="25"/>
      <c r="F4" s="7"/>
      <c r="G4" s="18"/>
      <c r="H4" s="25"/>
      <c r="I4" s="7"/>
      <c r="J4" s="18"/>
      <c r="K4" s="25"/>
      <c r="L4" s="4" t="str">
        <f t="shared" ref="L4:L26" si="0">IF(AND(ISBLANK(D4),ISBLANK(G4),ISBLANK(J4)),"",IF(D4-G4-J4=0,"YES","NO"))</f>
        <v/>
      </c>
      <c r="M4" s="15" t="b">
        <v>1</v>
      </c>
    </row>
    <row r="5" spans="1:13" ht="32.1" customHeight="1">
      <c r="A5" s="8" t="s">
        <v>38</v>
      </c>
      <c r="B5" s="9" t="s">
        <v>12</v>
      </c>
      <c r="C5" s="6" t="s">
        <v>11</v>
      </c>
      <c r="D5" s="17"/>
      <c r="E5" s="26"/>
      <c r="F5" s="10"/>
      <c r="G5" s="17"/>
      <c r="H5" s="26"/>
      <c r="I5" s="10"/>
      <c r="J5" s="17"/>
      <c r="K5" s="26"/>
      <c r="L5" s="8" t="str">
        <f t="shared" si="0"/>
        <v/>
      </c>
      <c r="M5" s="15" t="b">
        <v>0</v>
      </c>
    </row>
    <row r="6" spans="1:13" ht="32.1" customHeight="1">
      <c r="A6" s="4" t="s">
        <v>39</v>
      </c>
      <c r="B6" s="5" t="s">
        <v>13</v>
      </c>
      <c r="C6" s="6"/>
      <c r="D6" s="17"/>
      <c r="E6" s="26"/>
      <c r="F6" s="7"/>
      <c r="G6" s="17"/>
      <c r="H6" s="26"/>
      <c r="I6" s="7"/>
      <c r="J6" s="17"/>
      <c r="K6" s="26"/>
      <c r="L6" s="4" t="str">
        <f t="shared" si="0"/>
        <v/>
      </c>
      <c r="M6" s="15" t="b">
        <v>0</v>
      </c>
    </row>
    <row r="7" spans="1:13" ht="48" customHeight="1">
      <c r="A7" s="8" t="s">
        <v>40</v>
      </c>
      <c r="B7" s="9" t="s">
        <v>14</v>
      </c>
      <c r="C7" s="6"/>
      <c r="D7" s="17"/>
      <c r="E7" s="26"/>
      <c r="F7" s="10"/>
      <c r="G7" s="17"/>
      <c r="H7" s="26"/>
      <c r="I7" s="10"/>
      <c r="J7" s="17"/>
      <c r="K7" s="26"/>
      <c r="L7" s="8" t="str">
        <f t="shared" si="0"/>
        <v/>
      </c>
      <c r="M7" s="15" t="b">
        <v>0</v>
      </c>
    </row>
    <row r="8" spans="1:13" ht="48" customHeight="1">
      <c r="A8" s="4" t="s">
        <v>41</v>
      </c>
      <c r="B8" s="5" t="s">
        <v>15</v>
      </c>
      <c r="C8" s="6"/>
      <c r="D8" s="17"/>
      <c r="E8" s="26"/>
      <c r="F8" s="7"/>
      <c r="G8" s="17"/>
      <c r="H8" s="26"/>
      <c r="I8" s="7"/>
      <c r="J8" s="17"/>
      <c r="K8" s="26"/>
      <c r="L8" s="4" t="str">
        <f t="shared" si="0"/>
        <v/>
      </c>
      <c r="M8" s="15" t="b">
        <v>0</v>
      </c>
    </row>
    <row r="9" spans="1:13" ht="32.1" customHeight="1">
      <c r="A9" s="8" t="s">
        <v>42</v>
      </c>
      <c r="B9" s="9" t="s">
        <v>16</v>
      </c>
      <c r="C9" s="6"/>
      <c r="D9" s="17"/>
      <c r="E9" s="26"/>
      <c r="F9" s="10"/>
      <c r="G9" s="17"/>
      <c r="H9" s="26"/>
      <c r="I9" s="10"/>
      <c r="J9" s="17"/>
      <c r="K9" s="26"/>
      <c r="L9" s="8" t="str">
        <f t="shared" si="0"/>
        <v/>
      </c>
      <c r="M9" s="15" t="b">
        <v>0</v>
      </c>
    </row>
    <row r="10" spans="1:13" ht="32.1" customHeight="1">
      <c r="A10" s="4" t="s">
        <v>43</v>
      </c>
      <c r="B10" s="5" t="s">
        <v>17</v>
      </c>
      <c r="C10" s="6"/>
      <c r="D10" s="17"/>
      <c r="E10" s="26"/>
      <c r="F10" s="7"/>
      <c r="G10" s="17"/>
      <c r="H10" s="26"/>
      <c r="I10" s="7"/>
      <c r="J10" s="17"/>
      <c r="K10" s="26"/>
      <c r="L10" s="4" t="str">
        <f t="shared" si="0"/>
        <v/>
      </c>
      <c r="M10" s="15" t="b">
        <v>0</v>
      </c>
    </row>
    <row r="11" spans="1:13" ht="17.100000000000001" customHeight="1">
      <c r="A11" s="8" t="s">
        <v>44</v>
      </c>
      <c r="B11" s="9" t="s">
        <v>18</v>
      </c>
      <c r="C11" s="6"/>
      <c r="D11" s="17"/>
      <c r="E11" s="26"/>
      <c r="F11" s="10"/>
      <c r="G11" s="17"/>
      <c r="H11" s="26"/>
      <c r="I11" s="10"/>
      <c r="J11" s="17"/>
      <c r="K11" s="26"/>
      <c r="L11" s="8" t="str">
        <f t="shared" si="0"/>
        <v/>
      </c>
      <c r="M11" s="15" t="b">
        <v>0</v>
      </c>
    </row>
    <row r="12" spans="1:13" ht="48" customHeight="1">
      <c r="A12" s="4" t="s">
        <v>45</v>
      </c>
      <c r="B12" s="5" t="s">
        <v>19</v>
      </c>
      <c r="C12" s="6"/>
      <c r="D12" s="17"/>
      <c r="E12" s="26"/>
      <c r="F12" s="7"/>
      <c r="G12" s="17"/>
      <c r="H12" s="26"/>
      <c r="I12" s="7"/>
      <c r="J12" s="17"/>
      <c r="K12" s="26"/>
      <c r="L12" s="4" t="str">
        <f t="shared" si="0"/>
        <v/>
      </c>
      <c r="M12" s="15" t="b">
        <v>0</v>
      </c>
    </row>
    <row r="13" spans="1:13" ht="32.1" customHeight="1">
      <c r="A13" s="8" t="s">
        <v>46</v>
      </c>
      <c r="B13" s="9" t="s">
        <v>20</v>
      </c>
      <c r="C13" s="6"/>
      <c r="D13" s="17"/>
      <c r="E13" s="26"/>
      <c r="F13" s="10"/>
      <c r="G13" s="17"/>
      <c r="H13" s="26"/>
      <c r="I13" s="10"/>
      <c r="J13" s="17"/>
      <c r="K13" s="26"/>
      <c r="L13" s="8" t="str">
        <f t="shared" si="0"/>
        <v/>
      </c>
      <c r="M13" s="15" t="b">
        <v>0</v>
      </c>
    </row>
    <row r="14" spans="1:13" ht="32.1" customHeight="1">
      <c r="A14" s="4" t="s">
        <v>47</v>
      </c>
      <c r="B14" s="5" t="s">
        <v>21</v>
      </c>
      <c r="C14" s="6"/>
      <c r="D14" s="17"/>
      <c r="E14" s="26"/>
      <c r="F14" s="7"/>
      <c r="G14" s="17"/>
      <c r="H14" s="26"/>
      <c r="I14" s="7"/>
      <c r="J14" s="17"/>
      <c r="K14" s="26"/>
      <c r="L14" s="4" t="str">
        <f t="shared" si="0"/>
        <v/>
      </c>
      <c r="M14" s="15" t="b">
        <v>0</v>
      </c>
    </row>
    <row r="15" spans="1:13" ht="32.1" customHeight="1">
      <c r="A15" s="8" t="s">
        <v>48</v>
      </c>
      <c r="B15" s="9" t="s">
        <v>22</v>
      </c>
      <c r="C15" s="6"/>
      <c r="D15" s="17"/>
      <c r="E15" s="26"/>
      <c r="F15" s="10"/>
      <c r="G15" s="17"/>
      <c r="H15" s="26"/>
      <c r="I15" s="10"/>
      <c r="J15" s="17"/>
      <c r="K15" s="26"/>
      <c r="L15" s="8" t="str">
        <f t="shared" si="0"/>
        <v/>
      </c>
      <c r="M15" s="15" t="b">
        <v>0</v>
      </c>
    </row>
    <row r="16" spans="1:13" ht="32.1" customHeight="1">
      <c r="A16" s="4" t="s">
        <v>49</v>
      </c>
      <c r="B16" s="5" t="s">
        <v>24</v>
      </c>
      <c r="C16" s="6"/>
      <c r="D16" s="17"/>
      <c r="E16" s="26"/>
      <c r="F16" s="7"/>
      <c r="G16" s="17"/>
      <c r="H16" s="26"/>
      <c r="I16" s="7"/>
      <c r="J16" s="17"/>
      <c r="K16" s="26"/>
      <c r="L16" s="4" t="str">
        <f t="shared" si="0"/>
        <v/>
      </c>
      <c r="M16" s="15" t="b">
        <v>0</v>
      </c>
    </row>
    <row r="17" spans="1:13" ht="32.1" customHeight="1">
      <c r="A17" s="8" t="s">
        <v>50</v>
      </c>
      <c r="B17" s="9" t="s">
        <v>25</v>
      </c>
      <c r="C17" s="6"/>
      <c r="D17" s="17"/>
      <c r="E17" s="26"/>
      <c r="F17" s="10"/>
      <c r="G17" s="17"/>
      <c r="H17" s="26"/>
      <c r="I17" s="10"/>
      <c r="J17" s="17"/>
      <c r="K17" s="26"/>
      <c r="L17" s="8" t="str">
        <f t="shared" si="0"/>
        <v/>
      </c>
      <c r="M17" s="15" t="b">
        <v>0</v>
      </c>
    </row>
    <row r="18" spans="1:13" ht="32.1" customHeight="1">
      <c r="A18" s="4" t="s">
        <v>51</v>
      </c>
      <c r="B18" s="5" t="s">
        <v>26</v>
      </c>
      <c r="C18" s="6"/>
      <c r="D18" s="17"/>
      <c r="E18" s="26"/>
      <c r="F18" s="7"/>
      <c r="G18" s="17"/>
      <c r="H18" s="26"/>
      <c r="I18" s="7"/>
      <c r="J18" s="17"/>
      <c r="K18" s="26"/>
      <c r="L18" s="4" t="str">
        <f t="shared" si="0"/>
        <v/>
      </c>
      <c r="M18" s="15" t="b">
        <v>0</v>
      </c>
    </row>
    <row r="19" spans="1:13" ht="32.1" customHeight="1">
      <c r="A19" s="8" t="s">
        <v>52</v>
      </c>
      <c r="B19" s="9" t="s">
        <v>27</v>
      </c>
      <c r="C19" s="6"/>
      <c r="D19" s="17"/>
      <c r="E19" s="26"/>
      <c r="F19" s="10"/>
      <c r="G19" s="17"/>
      <c r="H19" s="26"/>
      <c r="I19" s="10"/>
      <c r="J19" s="17"/>
      <c r="K19" s="26"/>
      <c r="L19" s="8" t="str">
        <f t="shared" si="0"/>
        <v/>
      </c>
      <c r="M19" s="15" t="b">
        <v>0</v>
      </c>
    </row>
    <row r="20" spans="1:13" ht="48" customHeight="1">
      <c r="A20" s="4" t="s">
        <v>53</v>
      </c>
      <c r="B20" s="5" t="s">
        <v>28</v>
      </c>
      <c r="C20" s="6"/>
      <c r="D20" s="17"/>
      <c r="E20" s="26"/>
      <c r="F20" s="7"/>
      <c r="G20" s="17"/>
      <c r="H20" s="26"/>
      <c r="I20" s="7"/>
      <c r="J20" s="17"/>
      <c r="K20" s="26"/>
      <c r="L20" s="4" t="str">
        <f t="shared" si="0"/>
        <v/>
      </c>
      <c r="M20" s="15" t="b">
        <v>0</v>
      </c>
    </row>
    <row r="21" spans="1:13" ht="32.1" customHeight="1">
      <c r="A21" s="8" t="s">
        <v>54</v>
      </c>
      <c r="B21" s="9" t="s">
        <v>29</v>
      </c>
      <c r="C21" s="6"/>
      <c r="D21" s="17"/>
      <c r="E21" s="26"/>
      <c r="F21" s="10"/>
      <c r="G21" s="17"/>
      <c r="H21" s="26"/>
      <c r="I21" s="10"/>
      <c r="J21" s="17"/>
      <c r="K21" s="26"/>
      <c r="L21" s="8" t="str">
        <f t="shared" si="0"/>
        <v/>
      </c>
      <c r="M21" s="15" t="b">
        <v>0</v>
      </c>
    </row>
    <row r="22" spans="1:13" ht="32.1" customHeight="1">
      <c r="A22" s="4" t="s">
        <v>55</v>
      </c>
      <c r="B22" s="5" t="s">
        <v>30</v>
      </c>
      <c r="C22" s="6"/>
      <c r="D22" s="17"/>
      <c r="E22" s="26"/>
      <c r="F22" s="7"/>
      <c r="G22" s="17"/>
      <c r="H22" s="26"/>
      <c r="I22" s="7"/>
      <c r="J22" s="17"/>
      <c r="K22" s="26"/>
      <c r="L22" s="4" t="str">
        <f t="shared" si="0"/>
        <v/>
      </c>
      <c r="M22" s="15" t="b">
        <v>0</v>
      </c>
    </row>
    <row r="23" spans="1:13" ht="32.1" customHeight="1">
      <c r="A23" s="8" t="s">
        <v>56</v>
      </c>
      <c r="B23" s="9" t="s">
        <v>31</v>
      </c>
      <c r="C23" s="6"/>
      <c r="D23" s="17"/>
      <c r="E23" s="26"/>
      <c r="F23" s="10"/>
      <c r="G23" s="17"/>
      <c r="H23" s="26"/>
      <c r="I23" s="10"/>
      <c r="J23" s="17"/>
      <c r="K23" s="26"/>
      <c r="L23" s="8" t="str">
        <f t="shared" si="0"/>
        <v/>
      </c>
      <c r="M23" s="15" t="b">
        <v>0</v>
      </c>
    </row>
    <row r="24" spans="1:13" ht="17.100000000000001" customHeight="1">
      <c r="A24" s="4" t="s">
        <v>57</v>
      </c>
      <c r="B24" s="5" t="s">
        <v>32</v>
      </c>
      <c r="C24" s="6"/>
      <c r="D24" s="17"/>
      <c r="E24" s="26"/>
      <c r="F24" s="7"/>
      <c r="G24" s="17"/>
      <c r="H24" s="26"/>
      <c r="I24" s="7"/>
      <c r="J24" s="17"/>
      <c r="K24" s="26"/>
      <c r="L24" s="4" t="str">
        <f t="shared" si="0"/>
        <v/>
      </c>
      <c r="M24" s="15" t="b">
        <v>0</v>
      </c>
    </row>
    <row r="25" spans="1:13" ht="48" customHeight="1">
      <c r="A25" s="8" t="s">
        <v>58</v>
      </c>
      <c r="B25" s="9" t="s">
        <v>33</v>
      </c>
      <c r="C25" s="6"/>
      <c r="D25" s="17"/>
      <c r="E25" s="26"/>
      <c r="F25" s="10"/>
      <c r="G25" s="17"/>
      <c r="H25" s="26"/>
      <c r="I25" s="10"/>
      <c r="J25" s="17"/>
      <c r="K25" s="26"/>
      <c r="L25" s="8" t="str">
        <f t="shared" si="0"/>
        <v/>
      </c>
      <c r="M25" s="15" t="b">
        <v>0</v>
      </c>
    </row>
    <row r="26" spans="1:13" ht="32.1" customHeight="1">
      <c r="A26" s="4" t="s">
        <v>59</v>
      </c>
      <c r="B26" s="5" t="s">
        <v>34</v>
      </c>
      <c r="C26" s="6"/>
      <c r="D26" s="17"/>
      <c r="E26" s="26"/>
      <c r="F26" s="7"/>
      <c r="G26" s="17"/>
      <c r="H26" s="26"/>
      <c r="I26" s="7"/>
      <c r="J26" s="17"/>
      <c r="K26" s="26"/>
      <c r="L26" s="4" t="str">
        <f t="shared" si="0"/>
        <v/>
      </c>
      <c r="M26" s="15" t="b">
        <v>0</v>
      </c>
    </row>
    <row r="27" spans="1:13" ht="21.95" customHeight="1" thickBot="1">
      <c r="A27" s="11"/>
      <c r="B27" s="12" t="s">
        <v>35</v>
      </c>
      <c r="C27" s="11"/>
      <c r="D27" s="19">
        <f>SUM(D4:D20)</f>
        <v>0</v>
      </c>
      <c r="E27" s="27"/>
      <c r="F27" s="11"/>
      <c r="G27" s="19">
        <f>SUM(G4:G20)</f>
        <v>0</v>
      </c>
      <c r="H27" s="27"/>
      <c r="I27" s="11"/>
      <c r="J27" s="19">
        <f>SUM(J4:J20)</f>
        <v>0</v>
      </c>
      <c r="K27" s="27"/>
      <c r="L27" s="13" t="str">
        <f>IF(D27-G27-J27=0,"YES","NO")</f>
        <v>YES</v>
      </c>
    </row>
    <row r="28" spans="1:13" ht="15.95" customHeight="1" thickTop="1"/>
  </sheetData>
  <mergeCells count="77">
    <mergeCell ref="A1:L1"/>
    <mergeCell ref="J18:K18"/>
    <mergeCell ref="J8:K8"/>
    <mergeCell ref="J17:K17"/>
    <mergeCell ref="G3:H3"/>
    <mergeCell ref="D16:E16"/>
    <mergeCell ref="J7:K7"/>
    <mergeCell ref="G5:H5"/>
    <mergeCell ref="G14:H14"/>
    <mergeCell ref="D8:E8"/>
    <mergeCell ref="G4:H4"/>
    <mergeCell ref="A2:L2"/>
    <mergeCell ref="D3:E3"/>
    <mergeCell ref="D12:E12"/>
    <mergeCell ref="D5:E5"/>
    <mergeCell ref="J5:K5"/>
    <mergeCell ref="D27:E27"/>
    <mergeCell ref="G13:H13"/>
    <mergeCell ref="D17:E17"/>
    <mergeCell ref="J26:K26"/>
    <mergeCell ref="J16:K16"/>
    <mergeCell ref="G15:H15"/>
    <mergeCell ref="J25:K25"/>
    <mergeCell ref="D25:E25"/>
    <mergeCell ref="D14:E14"/>
    <mergeCell ref="J14:K14"/>
    <mergeCell ref="J27:K27"/>
    <mergeCell ref="G27:H27"/>
    <mergeCell ref="D24:E24"/>
    <mergeCell ref="D26:E26"/>
    <mergeCell ref="D19:E19"/>
    <mergeCell ref="G24:H24"/>
    <mergeCell ref="G25:H25"/>
    <mergeCell ref="D23:E23"/>
    <mergeCell ref="G9:H9"/>
    <mergeCell ref="G11:H11"/>
    <mergeCell ref="G17:H17"/>
    <mergeCell ref="D21:E21"/>
    <mergeCell ref="G10:H10"/>
    <mergeCell ref="G19:H19"/>
    <mergeCell ref="D20:E20"/>
    <mergeCell ref="D22:E22"/>
    <mergeCell ref="D11:E11"/>
    <mergeCell ref="G26:H26"/>
    <mergeCell ref="J23:K23"/>
    <mergeCell ref="G22:H22"/>
    <mergeCell ref="J24:K24"/>
    <mergeCell ref="J3:K3"/>
    <mergeCell ref="J12:K12"/>
    <mergeCell ref="G16:H16"/>
    <mergeCell ref="G8:H8"/>
    <mergeCell ref="J13:K13"/>
    <mergeCell ref="J6:K6"/>
    <mergeCell ref="J15:K15"/>
    <mergeCell ref="J4:K4"/>
    <mergeCell ref="J9:K9"/>
    <mergeCell ref="J10:K10"/>
    <mergeCell ref="J19:K19"/>
    <mergeCell ref="G23:H23"/>
    <mergeCell ref="D18:E18"/>
    <mergeCell ref="D13:E13"/>
    <mergeCell ref="G18:H18"/>
    <mergeCell ref="D7:E7"/>
    <mergeCell ref="D4:E4"/>
    <mergeCell ref="D10:E10"/>
    <mergeCell ref="G7:H7"/>
    <mergeCell ref="D9:E9"/>
    <mergeCell ref="G6:H6"/>
    <mergeCell ref="D6:E6"/>
    <mergeCell ref="D15:E15"/>
    <mergeCell ref="J11:K11"/>
    <mergeCell ref="J20:K20"/>
    <mergeCell ref="G12:H12"/>
    <mergeCell ref="G21:H21"/>
    <mergeCell ref="J22:K22"/>
    <mergeCell ref="J21:K21"/>
    <mergeCell ref="G20:H20"/>
  </mergeCells>
  <conditionalFormatting sqref="A4:L26">
    <cfRule type="expression" dxfId="0" priority="1">
      <formula>$M4=FALSE</formula>
    </cfRule>
  </conditionalFormatting>
  <dataValidations count="1">
    <dataValidation type="list" allowBlank="1" showInputMessage="1" showErrorMessage="1" sqref="C4:C26" xr:uid="{00000000-0002-0000-0100-000000000000}">
      <formula1>"YES,NO"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Rick Antle</dc:creator>
  <cp:keywords/>
  <dc:description/>
  <cp:lastModifiedBy>Antle, Rick</cp:lastModifiedBy>
  <cp:revision/>
  <dcterms:created xsi:type="dcterms:W3CDTF">2020-02-07T01:46:37Z</dcterms:created>
  <dcterms:modified xsi:type="dcterms:W3CDTF">2026-02-16T15:01:07Z</dcterms:modified>
  <cp:category/>
  <cp:contentStatus/>
</cp:coreProperties>
</file>