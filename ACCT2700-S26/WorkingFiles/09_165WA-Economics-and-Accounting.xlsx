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ra1/Claude-Cowork-Projects/ACCT2700/"/>
    </mc:Choice>
  </mc:AlternateContent>
  <xr:revisionPtr revIDLastSave="20" documentId="13_ncr:1_{C5AF63A9-D6DA-A54E-94B2-C78CB7712B46}" xr6:coauthVersionLast="47" xr6:coauthVersionMax="47" xr10:uidLastSave="{44C55B7D-9E2C-4DFE-ADB0-4855EBFC4E88}"/>
  <bookViews>
    <workbookView xWindow="6880" yWindow="6180" windowWidth="31360" windowHeight="20760" firstSheet="2" activeTab="3" xr2:uid="{00FF7AF8-4E65-4BC8-9EDD-47341C21C737}"/>
  </bookViews>
  <sheets>
    <sheet name="Intro Notes" sheetId="3" r:id="rId1"/>
    <sheet name="CashFlowMap" sheetId="16" r:id="rId2"/>
    <sheet name="Economics of 165WA's investment" sheetId="1" r:id="rId3"/>
    <sheet name="PVs_thru_Time_Calculations" sheetId="17" r:id="rId4"/>
    <sheet name="PVs_IR_Graph" sheetId="18" r:id="rId5"/>
    <sheet name="PVs_IR_Cash" sheetId="22" r:id="rId6"/>
    <sheet name="Bal sheets on Day 1" sheetId="5" r:id="rId7"/>
    <sheet name="6 Months Later" sheetId="6" r:id="rId8"/>
    <sheet name="1 Year Later" sheetId="7" r:id="rId9"/>
    <sheet name="2 Years Later" sheetId="15" r:id="rId10"/>
    <sheet name="3 Years Later" sheetId="21" r:id="rId11"/>
    <sheet name="PVs_thru_2028" sheetId="19" r:id="rId12"/>
    <sheet name="BondValue Chart Constant Rate" sheetId="10" state="hidden" r:id="rId13"/>
    <sheet name="Values thru time @Constant Rate" sheetId="9" state="hidden" r:id="rId14"/>
  </sheets>
  <definedNames>
    <definedName name="CouponRate">'Intro Notes'!$B$10</definedName>
    <definedName name="Date">'Intro Notes'!$B$5</definedName>
    <definedName name="Face_Value">'Intro Notes'!$B$14</definedName>
    <definedName name="InterestRate">'Intro Notes'!$B$12</definedName>
    <definedName name="Term">'Intro Notes'!$B$9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7" l="1"/>
  <c r="B1" i="17"/>
  <c r="B21" i="17"/>
  <c r="D21" i="17"/>
  <c r="AO5" i="17"/>
  <c r="AO6" i="17"/>
  <c r="AO7" i="17"/>
  <c r="AO8" i="17"/>
  <c r="AO9" i="17"/>
  <c r="AO10" i="17"/>
  <c r="AO11" i="17"/>
  <c r="AO12" i="17"/>
  <c r="AO13" i="17"/>
  <c r="AO14" i="17"/>
  <c r="AO15" i="17"/>
  <c r="AO16" i="17"/>
  <c r="AO17" i="17"/>
  <c r="AO18" i="17"/>
  <c r="AO19" i="17"/>
  <c r="AO20" i="17"/>
  <c r="AO21" i="17"/>
  <c r="AO22" i="17"/>
  <c r="AO23" i="17"/>
  <c r="AO24" i="17"/>
  <c r="AO25" i="17"/>
  <c r="AO26" i="17"/>
  <c r="AO27" i="17"/>
  <c r="AO28" i="17"/>
  <c r="AO29" i="17"/>
  <c r="AO30" i="17"/>
  <c r="AO31" i="17"/>
  <c r="AO32" i="17"/>
  <c r="AO33" i="17"/>
  <c r="AO34" i="17"/>
  <c r="AO4" i="17"/>
  <c r="B2" i="16"/>
  <c r="B1" i="16"/>
  <c r="D6" i="16"/>
  <c r="F6" i="16"/>
  <c r="D7" i="16"/>
  <c r="F7" i="16"/>
  <c r="D8" i="16"/>
  <c r="F8" i="16"/>
  <c r="D9" i="16"/>
  <c r="F9" i="16"/>
  <c r="D10" i="16"/>
  <c r="F10" i="16"/>
  <c r="D11" i="16"/>
  <c r="F11" i="16"/>
  <c r="D12" i="16"/>
  <c r="F12" i="16"/>
  <c r="D13" i="16"/>
  <c r="F13" i="16"/>
  <c r="D14" i="16"/>
  <c r="F14" i="16"/>
  <c r="D15" i="16"/>
  <c r="F15" i="16"/>
  <c r="D16" i="16"/>
  <c r="F16" i="16"/>
  <c r="D17" i="16"/>
  <c r="F17" i="16"/>
  <c r="D18" i="16"/>
  <c r="F18" i="16"/>
  <c r="D19" i="16"/>
  <c r="F19" i="16"/>
  <c r="D20" i="16"/>
  <c r="F20" i="16"/>
  <c r="D21" i="16"/>
  <c r="F21" i="16"/>
  <c r="D22" i="16"/>
  <c r="F22" i="16"/>
  <c r="D23" i="16"/>
  <c r="F23" i="16"/>
  <c r="D24" i="16"/>
  <c r="F24" i="16"/>
  <c r="D25" i="16"/>
  <c r="F25" i="16"/>
  <c r="D26" i="16"/>
  <c r="F26" i="16"/>
  <c r="D27" i="16"/>
  <c r="F27" i="16"/>
  <c r="D28" i="16"/>
  <c r="F28" i="16"/>
  <c r="D29" i="16"/>
  <c r="F29" i="16"/>
  <c r="D30" i="16"/>
  <c r="F30" i="16"/>
  <c r="D31" i="16"/>
  <c r="F31" i="16"/>
  <c r="D32" i="16"/>
  <c r="F32" i="16"/>
  <c r="D33" i="16"/>
  <c r="F33" i="16"/>
  <c r="D34" i="16"/>
  <c r="F34" i="16"/>
  <c r="D35" i="16"/>
  <c r="F35" i="16"/>
  <c r="D36" i="16"/>
  <c r="F36" i="16"/>
  <c r="D37" i="16"/>
  <c r="F37" i="16"/>
  <c r="D38" i="16"/>
  <c r="F38" i="16"/>
  <c r="D39" i="16"/>
  <c r="F39" i="16"/>
  <c r="D40" i="16"/>
  <c r="F40" i="16"/>
  <c r="D41" i="16"/>
  <c r="F41" i="16"/>
  <c r="D42" i="16"/>
  <c r="F42" i="16"/>
  <c r="D43" i="16"/>
  <c r="F43" i="16"/>
  <c r="D44" i="16"/>
  <c r="F44" i="16"/>
  <c r="D45" i="16"/>
  <c r="F45" i="16"/>
  <c r="D46" i="16"/>
  <c r="F46" i="16"/>
  <c r="D47" i="16"/>
  <c r="F47" i="16"/>
  <c r="D48" i="16"/>
  <c r="F48" i="16"/>
  <c r="D49" i="16"/>
  <c r="F49" i="16"/>
  <c r="D50" i="16"/>
  <c r="F50" i="16"/>
  <c r="D51" i="16"/>
  <c r="F51" i="16"/>
  <c r="D52" i="16"/>
  <c r="F52" i="16"/>
  <c r="D53" i="16"/>
  <c r="F53" i="16"/>
  <c r="D54" i="16"/>
  <c r="F54" i="16"/>
  <c r="D55" i="16"/>
  <c r="F55" i="16"/>
  <c r="D56" i="16"/>
  <c r="F56" i="16"/>
  <c r="D57" i="16"/>
  <c r="F57" i="16"/>
  <c r="D58" i="16"/>
  <c r="F58" i="16"/>
  <c r="D59" i="16"/>
  <c r="F59" i="16"/>
  <c r="D60" i="16"/>
  <c r="F60" i="16"/>
  <c r="D61" i="16"/>
  <c r="F61" i="16"/>
  <c r="D62" i="16"/>
  <c r="F62" i="16"/>
  <c r="D63" i="16"/>
  <c r="F63" i="16"/>
  <c r="D64" i="16"/>
  <c r="F64" i="16"/>
  <c r="D65" i="16"/>
  <c r="E65" i="16"/>
  <c r="F65" i="16"/>
  <c r="B1" i="1"/>
  <c r="C20" i="21"/>
  <c r="C21" i="21"/>
  <c r="C23" i="21"/>
  <c r="K38" i="21"/>
  <c r="C15" i="7"/>
  <c r="C16" i="7"/>
  <c r="C18" i="7"/>
  <c r="I9" i="7"/>
  <c r="G9" i="15"/>
  <c r="C20" i="15"/>
  <c r="C21" i="15"/>
  <c r="C23" i="15"/>
  <c r="C25" i="15"/>
  <c r="F9" i="15"/>
  <c r="L9" i="21"/>
  <c r="K39" i="21"/>
  <c r="K40" i="21"/>
  <c r="B4" i="17"/>
  <c r="E7" i="17"/>
  <c r="F7" i="17"/>
  <c r="G7" i="17"/>
  <c r="H7" i="17"/>
  <c r="I7" i="17"/>
  <c r="I11" i="17"/>
  <c r="J7" i="17"/>
  <c r="J11" i="17"/>
  <c r="K7" i="17"/>
  <c r="K11" i="17"/>
  <c r="L7" i="17"/>
  <c r="L11" i="17"/>
  <c r="M7" i="17"/>
  <c r="M11" i="17"/>
  <c r="N7" i="17"/>
  <c r="N11" i="17"/>
  <c r="O7" i="17"/>
  <c r="O11" i="17"/>
  <c r="P7" i="17"/>
  <c r="P11" i="17"/>
  <c r="Q7" i="17"/>
  <c r="Q11" i="17"/>
  <c r="R7" i="17"/>
  <c r="R11" i="17"/>
  <c r="S7" i="17"/>
  <c r="S11" i="17"/>
  <c r="T7" i="17"/>
  <c r="T11" i="17"/>
  <c r="U7" i="17"/>
  <c r="U11" i="17"/>
  <c r="V7" i="17"/>
  <c r="V11" i="17"/>
  <c r="W7" i="17"/>
  <c r="W11" i="17"/>
  <c r="X7" i="17"/>
  <c r="X11" i="17"/>
  <c r="Y7" i="17"/>
  <c r="Y11" i="17"/>
  <c r="Z7" i="17"/>
  <c r="Z11" i="17"/>
  <c r="AA7" i="17"/>
  <c r="AA11" i="17"/>
  <c r="AB7" i="17"/>
  <c r="AB11" i="17"/>
  <c r="AC7" i="17"/>
  <c r="AC11" i="17"/>
  <c r="AD7" i="17"/>
  <c r="AD11" i="17"/>
  <c r="AE7" i="17"/>
  <c r="AE11" i="17"/>
  <c r="AF7" i="17"/>
  <c r="AF11" i="17"/>
  <c r="AG7" i="17"/>
  <c r="AG11" i="17"/>
  <c r="AH7" i="17"/>
  <c r="AH11" i="17"/>
  <c r="AI7" i="17"/>
  <c r="AI11" i="17"/>
  <c r="H11" i="17"/>
  <c r="G11" i="17"/>
  <c r="F11" i="17"/>
  <c r="E8" i="17"/>
  <c r="E9" i="17"/>
  <c r="E10" i="17"/>
  <c r="E11" i="17"/>
  <c r="F15" i="17"/>
  <c r="F14" i="17"/>
  <c r="F9" i="17"/>
  <c r="G15" i="17"/>
  <c r="G14" i="17"/>
  <c r="G9" i="17"/>
  <c r="H15" i="17"/>
  <c r="H14" i="17"/>
  <c r="H9" i="17"/>
  <c r="I15" i="17"/>
  <c r="I14" i="17"/>
  <c r="I9" i="17"/>
  <c r="J15" i="17"/>
  <c r="J14" i="17"/>
  <c r="J9" i="17"/>
  <c r="K15" i="17"/>
  <c r="K14" i="17"/>
  <c r="K9" i="17"/>
  <c r="L15" i="17"/>
  <c r="L14" i="17"/>
  <c r="L9" i="17"/>
  <c r="M15" i="17"/>
  <c r="M14" i="17"/>
  <c r="M9" i="17"/>
  <c r="N15" i="17"/>
  <c r="N14" i="17"/>
  <c r="N9" i="17"/>
  <c r="O15" i="17"/>
  <c r="O14" i="17"/>
  <c r="O9" i="17"/>
  <c r="P15" i="17"/>
  <c r="P14" i="17"/>
  <c r="P9" i="17"/>
  <c r="Q15" i="17"/>
  <c r="Q14" i="17"/>
  <c r="Q9" i="17"/>
  <c r="R15" i="17"/>
  <c r="R14" i="17"/>
  <c r="R9" i="17"/>
  <c r="S15" i="17"/>
  <c r="S14" i="17"/>
  <c r="S9" i="17"/>
  <c r="T15" i="17"/>
  <c r="T14" i="17"/>
  <c r="T9" i="17"/>
  <c r="U15" i="17"/>
  <c r="U14" i="17"/>
  <c r="U9" i="17"/>
  <c r="V15" i="17"/>
  <c r="V14" i="17"/>
  <c r="V9" i="17"/>
  <c r="W15" i="17"/>
  <c r="W14" i="17"/>
  <c r="W9" i="17"/>
  <c r="X15" i="17"/>
  <c r="X14" i="17"/>
  <c r="X9" i="17"/>
  <c r="Y15" i="17"/>
  <c r="Y14" i="17"/>
  <c r="Y9" i="17"/>
  <c r="Z15" i="17"/>
  <c r="Z14" i="17"/>
  <c r="Z9" i="17"/>
  <c r="AA15" i="17"/>
  <c r="AA14" i="17"/>
  <c r="AA9" i="17"/>
  <c r="AB15" i="17"/>
  <c r="AB14" i="17"/>
  <c r="AB9" i="17"/>
  <c r="AC15" i="17"/>
  <c r="AC14" i="17"/>
  <c r="AC9" i="17"/>
  <c r="AD15" i="17"/>
  <c r="AD14" i="17"/>
  <c r="AD9" i="17"/>
  <c r="AE15" i="17"/>
  <c r="AE14" i="17"/>
  <c r="AE9" i="17"/>
  <c r="AF15" i="17"/>
  <c r="AF14" i="17"/>
  <c r="AF9" i="17"/>
  <c r="AG15" i="17"/>
  <c r="AG14" i="17"/>
  <c r="AG9" i="17"/>
  <c r="AH15" i="17"/>
  <c r="AH14" i="17"/>
  <c r="AH9" i="17"/>
  <c r="AI15" i="17"/>
  <c r="AI14" i="17"/>
  <c r="AI9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E5" i="17" a="1"/>
  <c r="B27" i="17"/>
  <c r="D27" i="17"/>
  <c r="H27" i="17"/>
  <c r="B28" i="17"/>
  <c r="D28" i="17"/>
  <c r="H28" i="17"/>
  <c r="B29" i="17"/>
  <c r="D29" i="17"/>
  <c r="H29" i="17"/>
  <c r="B30" i="17"/>
  <c r="D30" i="17"/>
  <c r="H30" i="17"/>
  <c r="B31" i="17"/>
  <c r="D31" i="17"/>
  <c r="H31" i="17"/>
  <c r="B32" i="17"/>
  <c r="D32" i="17"/>
  <c r="H32" i="17"/>
  <c r="B33" i="17"/>
  <c r="D33" i="17"/>
  <c r="H33" i="17"/>
  <c r="B34" i="17"/>
  <c r="D34" i="17"/>
  <c r="H34" i="17"/>
  <c r="B35" i="17"/>
  <c r="D35" i="17"/>
  <c r="H35" i="17"/>
  <c r="B36" i="17"/>
  <c r="D36" i="17"/>
  <c r="H36" i="17"/>
  <c r="B37" i="17"/>
  <c r="D37" i="17"/>
  <c r="H37" i="17"/>
  <c r="B38" i="17"/>
  <c r="D38" i="17"/>
  <c r="H38" i="17"/>
  <c r="B39" i="17"/>
  <c r="D39" i="17"/>
  <c r="H39" i="17"/>
  <c r="B40" i="17"/>
  <c r="D40" i="17"/>
  <c r="H40" i="17"/>
  <c r="B41" i="17"/>
  <c r="D41" i="17"/>
  <c r="H41" i="17"/>
  <c r="B42" i="17"/>
  <c r="D42" i="17"/>
  <c r="H42" i="17"/>
  <c r="B43" i="17"/>
  <c r="D43" i="17"/>
  <c r="H43" i="17"/>
  <c r="B44" i="17"/>
  <c r="D44" i="17"/>
  <c r="H44" i="17"/>
  <c r="B45" i="17"/>
  <c r="D45" i="17"/>
  <c r="H45" i="17"/>
  <c r="B46" i="17"/>
  <c r="D46" i="17"/>
  <c r="H46" i="17"/>
  <c r="B47" i="17"/>
  <c r="D47" i="17"/>
  <c r="H47" i="17"/>
  <c r="B48" i="17"/>
  <c r="D48" i="17"/>
  <c r="H48" i="17"/>
  <c r="B49" i="17"/>
  <c r="D49" i="17"/>
  <c r="H49" i="17"/>
  <c r="B50" i="17"/>
  <c r="D50" i="17"/>
  <c r="H50" i="17"/>
  <c r="B51" i="17"/>
  <c r="D51" i="17"/>
  <c r="H51" i="17"/>
  <c r="B52" i="17"/>
  <c r="D52" i="17"/>
  <c r="H52" i="17"/>
  <c r="B53" i="17"/>
  <c r="D53" i="17"/>
  <c r="H53" i="17"/>
  <c r="B54" i="17"/>
  <c r="D54" i="17"/>
  <c r="H54" i="17"/>
  <c r="B55" i="17"/>
  <c r="D55" i="17"/>
  <c r="H55" i="17"/>
  <c r="B56" i="17"/>
  <c r="D56" i="17"/>
  <c r="H56" i="17"/>
  <c r="B57" i="17"/>
  <c r="D57" i="17"/>
  <c r="H57" i="17"/>
  <c r="B58" i="17"/>
  <c r="D58" i="17"/>
  <c r="H58" i="17"/>
  <c r="B59" i="17"/>
  <c r="D59" i="17"/>
  <c r="H59" i="17"/>
  <c r="B60" i="17"/>
  <c r="D60" i="17"/>
  <c r="H60" i="17"/>
  <c r="B61" i="17"/>
  <c r="D61" i="17"/>
  <c r="H61" i="17"/>
  <c r="B62" i="17"/>
  <c r="D62" i="17"/>
  <c r="H62" i="17"/>
  <c r="B63" i="17"/>
  <c r="D63" i="17"/>
  <c r="H63" i="17"/>
  <c r="B64" i="17"/>
  <c r="D64" i="17"/>
  <c r="H64" i="17"/>
  <c r="B65" i="17"/>
  <c r="D65" i="17"/>
  <c r="H65" i="17"/>
  <c r="B66" i="17"/>
  <c r="D66" i="17"/>
  <c r="H66" i="17"/>
  <c r="B67" i="17"/>
  <c r="D67" i="17"/>
  <c r="H67" i="17"/>
  <c r="B68" i="17"/>
  <c r="D68" i="17"/>
  <c r="H68" i="17"/>
  <c r="B69" i="17"/>
  <c r="D69" i="17"/>
  <c r="H69" i="17"/>
  <c r="B70" i="17"/>
  <c r="D70" i="17"/>
  <c r="H70" i="17"/>
  <c r="B71" i="17"/>
  <c r="D71" i="17"/>
  <c r="H71" i="17"/>
  <c r="B72" i="17"/>
  <c r="D72" i="17"/>
  <c r="H72" i="17"/>
  <c r="B73" i="17"/>
  <c r="D73" i="17"/>
  <c r="H73" i="17"/>
  <c r="B74" i="17"/>
  <c r="D74" i="17"/>
  <c r="H74" i="17"/>
  <c r="B75" i="17"/>
  <c r="D75" i="17"/>
  <c r="H75" i="17"/>
  <c r="B76" i="17"/>
  <c r="D76" i="17"/>
  <c r="H76" i="17"/>
  <c r="B77" i="17"/>
  <c r="D77" i="17"/>
  <c r="H77" i="17"/>
  <c r="B78" i="17"/>
  <c r="D78" i="17"/>
  <c r="H78" i="17"/>
  <c r="B79" i="17"/>
  <c r="D79" i="17"/>
  <c r="H79" i="17"/>
  <c r="B80" i="17"/>
  <c r="C80" i="17"/>
  <c r="D80" i="17"/>
  <c r="H80" i="17"/>
  <c r="H4" i="17"/>
  <c r="K10" i="21"/>
  <c r="C13" i="6"/>
  <c r="C14" i="6"/>
  <c r="C16" i="6"/>
  <c r="C22" i="6"/>
  <c r="C5" i="6"/>
  <c r="C7" i="6"/>
  <c r="C23" i="6"/>
  <c r="C24" i="6"/>
  <c r="C8" i="7"/>
  <c r="C22" i="7"/>
  <c r="C23" i="7"/>
  <c r="C9" i="7"/>
  <c r="C11" i="7"/>
  <c r="C24" i="7"/>
  <c r="C25" i="7"/>
  <c r="I10" i="7"/>
  <c r="C5" i="15"/>
  <c r="C30" i="15"/>
  <c r="C31" i="15"/>
  <c r="C6" i="15"/>
  <c r="C8" i="15"/>
  <c r="C10" i="15"/>
  <c r="C11" i="15"/>
  <c r="C13" i="15"/>
  <c r="C15" i="15"/>
  <c r="C32" i="15"/>
  <c r="C33" i="15"/>
  <c r="F10" i="15"/>
  <c r="C5" i="21"/>
  <c r="C30" i="21"/>
  <c r="C25" i="21"/>
  <c r="C31" i="21"/>
  <c r="C6" i="21"/>
  <c r="C8" i="21"/>
  <c r="C10" i="21"/>
  <c r="C11" i="21"/>
  <c r="C13" i="21"/>
  <c r="C15" i="21"/>
  <c r="C32" i="21"/>
  <c r="C33" i="21"/>
  <c r="K28" i="21"/>
  <c r="K27" i="21"/>
  <c r="K29" i="21"/>
  <c r="K49" i="21"/>
  <c r="K51" i="21"/>
  <c r="C35" i="21"/>
  <c r="K50" i="21"/>
  <c r="K52" i="21"/>
  <c r="F66" i="21"/>
  <c r="F49" i="21"/>
  <c r="J47" i="21"/>
  <c r="J36" i="21"/>
  <c r="E46" i="21"/>
  <c r="I26" i="7"/>
  <c r="I29" i="7"/>
  <c r="I17" i="7"/>
  <c r="F17" i="15"/>
  <c r="G17" i="21"/>
  <c r="K9" i="21"/>
  <c r="L17" i="21"/>
  <c r="K17" i="21"/>
  <c r="J25" i="21"/>
  <c r="F26" i="21"/>
  <c r="L16" i="21"/>
  <c r="L18" i="21"/>
  <c r="K18" i="21"/>
  <c r="L10" i="21"/>
  <c r="L11" i="21"/>
  <c r="K11" i="21"/>
  <c r="L7" i="21"/>
  <c r="K7" i="21"/>
  <c r="G37" i="21"/>
  <c r="F37" i="21"/>
  <c r="G16" i="21"/>
  <c r="G10" i="21"/>
  <c r="G9" i="21"/>
  <c r="G17" i="15"/>
  <c r="G37" i="15"/>
  <c r="H38" i="21"/>
  <c r="F29" i="21"/>
  <c r="G39" i="21"/>
  <c r="H39" i="21"/>
  <c r="H37" i="21"/>
  <c r="E40" i="21"/>
  <c r="E37" i="21"/>
  <c r="G40" i="21"/>
  <c r="H40" i="21"/>
  <c r="F40" i="21"/>
  <c r="F17" i="21"/>
  <c r="G11" i="21"/>
  <c r="G16" i="15"/>
  <c r="H37" i="15"/>
  <c r="F26" i="15"/>
  <c r="F29" i="15"/>
  <c r="G39" i="15"/>
  <c r="H39" i="15"/>
  <c r="H40" i="15"/>
  <c r="H38" i="15"/>
  <c r="G40" i="15"/>
  <c r="F40" i="15"/>
  <c r="F37" i="15"/>
  <c r="E34" i="15"/>
  <c r="E34" i="21"/>
  <c r="C1" i="21"/>
  <c r="E23" i="21"/>
  <c r="F7" i="21"/>
  <c r="G7" i="21"/>
  <c r="E63" i="21"/>
  <c r="F56" i="21"/>
  <c r="F57" i="21"/>
  <c r="F58" i="21"/>
  <c r="G18" i="21"/>
  <c r="F9" i="21"/>
  <c r="E14" i="17"/>
  <c r="E15" i="17"/>
  <c r="E5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F10" i="17"/>
  <c r="G10" i="17"/>
  <c r="AL21" i="17" a="1"/>
  <c r="AL21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4" i="17"/>
  <c r="AM21" i="17" a="1"/>
  <c r="AM21" i="17"/>
  <c r="AN21" i="17" a="1"/>
  <c r="AN21" i="17"/>
  <c r="AL22" i="17" a="1"/>
  <c r="AL22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4" i="17"/>
  <c r="AM22" i="17" a="1"/>
  <c r="AM22" i="17"/>
  <c r="AN22" i="17" a="1"/>
  <c r="AN22" i="17"/>
  <c r="AL23" i="17" a="1"/>
  <c r="AL23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4" i="17"/>
  <c r="AM23" i="17" a="1"/>
  <c r="AM23" i="17"/>
  <c r="AN23" i="17" a="1"/>
  <c r="AN23" i="17"/>
  <c r="AL24" i="17" a="1"/>
  <c r="AL24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4" i="17"/>
  <c r="AM24" i="17" a="1"/>
  <c r="AM24" i="17"/>
  <c r="AN24" i="17" a="1"/>
  <c r="AN24" i="17"/>
  <c r="AL25" i="17" a="1"/>
  <c r="AL25" i="17"/>
  <c r="Z63" i="17"/>
  <c r="Z64" i="17"/>
  <c r="Z65" i="17"/>
  <c r="Z66" i="17"/>
  <c r="Z67" i="17"/>
  <c r="Z68" i="17"/>
  <c r="Z69" i="17"/>
  <c r="Z70" i="17"/>
  <c r="Z71" i="17"/>
  <c r="Z72" i="17"/>
  <c r="Z73" i="17"/>
  <c r="Z74" i="17"/>
  <c r="Z75" i="17"/>
  <c r="Z76" i="17"/>
  <c r="Z77" i="17"/>
  <c r="Z78" i="17"/>
  <c r="Z79" i="17"/>
  <c r="Z80" i="17"/>
  <c r="Z4" i="17"/>
  <c r="AM25" i="17" a="1"/>
  <c r="AM25" i="17"/>
  <c r="AN25" i="17" a="1"/>
  <c r="AN25" i="17"/>
  <c r="AL34" i="17" a="1"/>
  <c r="AL34" i="17"/>
  <c r="AI80" i="17"/>
  <c r="AI4" i="17"/>
  <c r="AM34" i="17" a="1"/>
  <c r="AM34" i="17"/>
  <c r="AN34" i="17" a="1"/>
  <c r="AN34" i="17"/>
  <c r="AL33" i="17" a="1"/>
  <c r="AL33" i="17"/>
  <c r="AH79" i="17"/>
  <c r="AH80" i="17"/>
  <c r="AH4" i="17"/>
  <c r="AM33" i="17" a="1"/>
  <c r="AM33" i="17"/>
  <c r="AN33" i="17" a="1"/>
  <c r="AN33" i="17"/>
  <c r="AL32" i="17" a="1"/>
  <c r="AL32" i="17"/>
  <c r="AG77" i="17"/>
  <c r="AG78" i="17"/>
  <c r="AG79" i="17"/>
  <c r="AG80" i="17"/>
  <c r="AG4" i="17"/>
  <c r="AM32" i="17" a="1"/>
  <c r="AM32" i="17"/>
  <c r="AN32" i="17" a="1"/>
  <c r="AN32" i="17"/>
  <c r="AL31" i="17" a="1"/>
  <c r="AL31" i="17"/>
  <c r="AF75" i="17"/>
  <c r="AF76" i="17"/>
  <c r="AF77" i="17"/>
  <c r="AF78" i="17"/>
  <c r="AF79" i="17"/>
  <c r="AF80" i="17"/>
  <c r="AF4" i="17"/>
  <c r="AM31" i="17" a="1"/>
  <c r="AM31" i="17"/>
  <c r="AN31" i="17" a="1"/>
  <c r="AN31" i="17"/>
  <c r="AL30" i="17" a="1"/>
  <c r="AL30" i="17"/>
  <c r="AE73" i="17"/>
  <c r="AE74" i="17"/>
  <c r="AE75" i="17"/>
  <c r="AE76" i="17"/>
  <c r="AE77" i="17"/>
  <c r="AE78" i="17"/>
  <c r="AE79" i="17"/>
  <c r="AE80" i="17"/>
  <c r="AE4" i="17"/>
  <c r="AM30" i="17" a="1"/>
  <c r="AM30" i="17"/>
  <c r="AN30" i="17" a="1"/>
  <c r="AN30" i="17"/>
  <c r="B23" i="17"/>
  <c r="D23" i="17"/>
  <c r="F23" i="17"/>
  <c r="B24" i="17"/>
  <c r="D24" i="17"/>
  <c r="F24" i="17"/>
  <c r="B25" i="17"/>
  <c r="D25" i="17"/>
  <c r="F25" i="17"/>
  <c r="B26" i="17"/>
  <c r="D26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4" i="17"/>
  <c r="AK5" i="17"/>
  <c r="AM5" i="17" a="1"/>
  <c r="AM5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4" i="17"/>
  <c r="AK6" i="17"/>
  <c r="AM6" i="17" a="1"/>
  <c r="AM6" i="17"/>
  <c r="AK7" i="17"/>
  <c r="AM7" i="17" a="1"/>
  <c r="AM7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4" i="17"/>
  <c r="AK8" i="17"/>
  <c r="AM8" i="17" a="1"/>
  <c r="AM8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4" i="17"/>
  <c r="AM9" i="17" a="1"/>
  <c r="AM9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4" i="17"/>
  <c r="AM10" i="17" a="1"/>
  <c r="AM10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4" i="17"/>
  <c r="AM11" i="17" a="1"/>
  <c r="AM11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4" i="17"/>
  <c r="AM12" i="17" a="1"/>
  <c r="AM12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4" i="17"/>
  <c r="AM13" i="17" a="1"/>
  <c r="AM13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4" i="17"/>
  <c r="AM14" i="17" a="1"/>
  <c r="AM14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4" i="17"/>
  <c r="AM15" i="17" a="1"/>
  <c r="AM15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4" i="17"/>
  <c r="AM16" i="17" a="1"/>
  <c r="AM1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4" i="17"/>
  <c r="AM17" i="17" a="1"/>
  <c r="AM17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4" i="17"/>
  <c r="AM18" i="17" a="1"/>
  <c r="AM18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4" i="17"/>
  <c r="AM19" i="17" a="1"/>
  <c r="AM19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4" i="17"/>
  <c r="AM20" i="17" a="1"/>
  <c r="AM20" i="17"/>
  <c r="AN5" i="17" a="1"/>
  <c r="AN5" i="17"/>
  <c r="AN6" i="17" a="1"/>
  <c r="AN6" i="17"/>
  <c r="AN7" i="17" a="1"/>
  <c r="AN7" i="17"/>
  <c r="AN8" i="17" a="1"/>
  <c r="AN8" i="17"/>
  <c r="AN9" i="17" a="1"/>
  <c r="AN9" i="17"/>
  <c r="AN10" i="17" a="1"/>
  <c r="AN10" i="17"/>
  <c r="AN11" i="17" a="1"/>
  <c r="AN11" i="17"/>
  <c r="AN12" i="17" a="1"/>
  <c r="AN12" i="17"/>
  <c r="AN13" i="17" a="1"/>
  <c r="AN13" i="17"/>
  <c r="B22" i="17"/>
  <c r="D22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AN26" i="17" a="1"/>
  <c r="AN26" i="17"/>
  <c r="AN27" i="17" a="1"/>
  <c r="AN27" i="17"/>
  <c r="AN28" i="17" a="1"/>
  <c r="AN28" i="17"/>
  <c r="AN29" i="17" a="1"/>
  <c r="AN29" i="17"/>
  <c r="AB67" i="17"/>
  <c r="AB68" i="17"/>
  <c r="AB69" i="17"/>
  <c r="AB70" i="17"/>
  <c r="AB71" i="17"/>
  <c r="AB72" i="17"/>
  <c r="AB73" i="17"/>
  <c r="AB74" i="17"/>
  <c r="AB75" i="17"/>
  <c r="AB76" i="17"/>
  <c r="AB77" i="17"/>
  <c r="AB78" i="17"/>
  <c r="AB79" i="17"/>
  <c r="AB80" i="17"/>
  <c r="AB4" i="17"/>
  <c r="AC69" i="17"/>
  <c r="AC70" i="17"/>
  <c r="AC71" i="17"/>
  <c r="AC72" i="17"/>
  <c r="AC73" i="17"/>
  <c r="AC74" i="17"/>
  <c r="AC75" i="17"/>
  <c r="AC76" i="17"/>
  <c r="AC77" i="17"/>
  <c r="AC78" i="17"/>
  <c r="AC79" i="17"/>
  <c r="AC80" i="17"/>
  <c r="AC4" i="17"/>
  <c r="AD71" i="17"/>
  <c r="AD72" i="17"/>
  <c r="AD73" i="17"/>
  <c r="AD74" i="17"/>
  <c r="AD75" i="17"/>
  <c r="AD76" i="17"/>
  <c r="AD77" i="17"/>
  <c r="AD78" i="17"/>
  <c r="AD79" i="17"/>
  <c r="AD80" i="17"/>
  <c r="AD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4" i="17"/>
  <c r="AM26" i="17" a="1"/>
  <c r="AM26" i="17"/>
  <c r="AM27" i="17" a="1"/>
  <c r="AM27" i="17"/>
  <c r="AM28" i="17" a="1"/>
  <c r="AM28" i="17"/>
  <c r="AM29" i="17" a="1"/>
  <c r="AM29" i="17"/>
  <c r="AL26" i="17" a="1"/>
  <c r="AL26" i="17"/>
  <c r="AL27" i="17" a="1"/>
  <c r="AL27" i="17"/>
  <c r="AL28" i="17" a="1"/>
  <c r="AL28" i="17"/>
  <c r="AL29" i="17" a="1"/>
  <c r="AL29" i="17"/>
  <c r="AK4" i="17"/>
  <c r="AL4" i="17" a="1"/>
  <c r="AL4" i="17"/>
  <c r="AL5" i="17" a="1"/>
  <c r="AL5" i="17"/>
  <c r="E21" i="17"/>
  <c r="E4" i="17"/>
  <c r="AM4" i="17" a="1"/>
  <c r="AM4" i="17"/>
  <c r="AN4" i="17" a="1"/>
  <c r="AN4" i="17"/>
  <c r="AL3" i="17"/>
  <c r="AL20" i="17" a="1"/>
  <c r="AL20" i="17"/>
  <c r="AL19" i="17" a="1"/>
  <c r="AL19" i="17"/>
  <c r="AL18" i="17" a="1"/>
  <c r="AL18" i="17"/>
  <c r="AL17" i="17" a="1"/>
  <c r="AL17" i="17"/>
  <c r="AL16" i="17" a="1"/>
  <c r="AL16" i="17"/>
  <c r="AL15" i="17" a="1"/>
  <c r="AL15" i="17"/>
  <c r="AL14" i="17" a="1"/>
  <c r="AL14" i="17"/>
  <c r="AL13" i="17" a="1"/>
  <c r="AL13" i="17"/>
  <c r="AL12" i="17" a="1"/>
  <c r="AL12" i="17"/>
  <c r="AL11" i="17" a="1"/>
  <c r="AL11" i="17"/>
  <c r="AL10" i="17" a="1"/>
  <c r="AL10" i="17"/>
  <c r="AL9" i="17" a="1"/>
  <c r="AL9" i="17"/>
  <c r="AL8" i="17" a="1"/>
  <c r="AL8" i="17"/>
  <c r="AL7" i="17" a="1"/>
  <c r="AL7" i="17"/>
  <c r="AL6" i="17" a="1"/>
  <c r="AL6" i="17"/>
  <c r="AN14" i="17" a="1"/>
  <c r="AN14" i="17"/>
  <c r="AN15" i="17" a="1"/>
  <c r="AN15" i="17"/>
  <c r="AN16" i="17" a="1"/>
  <c r="AN16" i="17"/>
  <c r="AN17" i="17" a="1"/>
  <c r="AN17" i="17"/>
  <c r="AN18" i="17" a="1"/>
  <c r="AN18" i="17"/>
  <c r="AN19" i="17" a="1"/>
  <c r="AN19" i="17"/>
  <c r="AN20" i="17" a="1"/>
  <c r="AN20" i="17"/>
  <c r="B2" i="17"/>
  <c r="B3" i="9"/>
  <c r="B2" i="9"/>
  <c r="B1" i="9"/>
  <c r="B3" i="1"/>
  <c r="B8" i="1"/>
  <c r="B4" i="1"/>
  <c r="D8" i="1"/>
  <c r="B9" i="1"/>
  <c r="D9" i="1"/>
  <c r="B10" i="1"/>
  <c r="D10" i="1"/>
  <c r="B11" i="1"/>
  <c r="D11" i="1"/>
  <c r="B12" i="1"/>
  <c r="D12" i="1"/>
  <c r="B13" i="1"/>
  <c r="D13" i="1"/>
  <c r="B14" i="1"/>
  <c r="D14" i="1"/>
  <c r="B15" i="1"/>
  <c r="D15" i="1"/>
  <c r="B16" i="1"/>
  <c r="D16" i="1"/>
  <c r="B17" i="1"/>
  <c r="D17" i="1"/>
  <c r="B18" i="1"/>
  <c r="D18" i="1"/>
  <c r="B19" i="1"/>
  <c r="D19" i="1"/>
  <c r="B20" i="1"/>
  <c r="D20" i="1"/>
  <c r="B21" i="1"/>
  <c r="D21" i="1"/>
  <c r="B22" i="1"/>
  <c r="D22" i="1"/>
  <c r="B23" i="1"/>
  <c r="D23" i="1"/>
  <c r="B24" i="1"/>
  <c r="D24" i="1"/>
  <c r="B25" i="1"/>
  <c r="D25" i="1"/>
  <c r="B26" i="1"/>
  <c r="D26" i="1"/>
  <c r="B27" i="1"/>
  <c r="D27" i="1"/>
  <c r="B28" i="1"/>
  <c r="D28" i="1"/>
  <c r="B29" i="1"/>
  <c r="D29" i="1"/>
  <c r="B30" i="1"/>
  <c r="D30" i="1"/>
  <c r="B31" i="1"/>
  <c r="D31" i="1"/>
  <c r="B32" i="1"/>
  <c r="D32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41" i="1"/>
  <c r="D41" i="1"/>
  <c r="B42" i="1"/>
  <c r="D42" i="1"/>
  <c r="B43" i="1"/>
  <c r="D43" i="1"/>
  <c r="B44" i="1"/>
  <c r="D44" i="1"/>
  <c r="B45" i="1"/>
  <c r="D45" i="1"/>
  <c r="B46" i="1"/>
  <c r="D46" i="1"/>
  <c r="B47" i="1"/>
  <c r="D47" i="1"/>
  <c r="B48" i="1"/>
  <c r="D48" i="1"/>
  <c r="B49" i="1"/>
  <c r="D49" i="1"/>
  <c r="B50" i="1"/>
  <c r="D50" i="1"/>
  <c r="B51" i="1"/>
  <c r="D51" i="1"/>
  <c r="B52" i="1"/>
  <c r="D52" i="1"/>
  <c r="B53" i="1"/>
  <c r="D53" i="1"/>
  <c r="B54" i="1"/>
  <c r="D54" i="1"/>
  <c r="B55" i="1"/>
  <c r="D55" i="1"/>
  <c r="B56" i="1"/>
  <c r="D56" i="1"/>
  <c r="B57" i="1"/>
  <c r="D57" i="1"/>
  <c r="B58" i="1"/>
  <c r="D58" i="1"/>
  <c r="B59" i="1"/>
  <c r="D59" i="1"/>
  <c r="B60" i="1"/>
  <c r="D60" i="1"/>
  <c r="B61" i="1"/>
  <c r="D61" i="1"/>
  <c r="B62" i="1"/>
  <c r="D62" i="1"/>
  <c r="B63" i="1"/>
  <c r="D63" i="1"/>
  <c r="B64" i="1"/>
  <c r="D64" i="1"/>
  <c r="B65" i="1"/>
  <c r="D65" i="1"/>
  <c r="B66" i="1"/>
  <c r="D66" i="1"/>
  <c r="B67" i="1"/>
  <c r="C67" i="1"/>
  <c r="D67" i="1"/>
  <c r="F3" i="1"/>
  <c r="G7" i="1"/>
  <c r="H8" i="1"/>
  <c r="E40" i="15"/>
  <c r="E37" i="15"/>
  <c r="H40" i="7"/>
  <c r="H37" i="7"/>
  <c r="J39" i="7"/>
  <c r="H34" i="7"/>
  <c r="G26" i="6"/>
  <c r="G29" i="6"/>
  <c r="H39" i="6"/>
  <c r="B3" i="16"/>
  <c r="B2" i="1"/>
  <c r="E1" i="1"/>
  <c r="B32" i="7"/>
  <c r="B31" i="7"/>
  <c r="B31" i="6"/>
  <c r="B30" i="6"/>
  <c r="C26" i="6"/>
  <c r="C27" i="7"/>
  <c r="I68" i="7"/>
  <c r="C30" i="6"/>
  <c r="C32" i="6"/>
  <c r="G67" i="6"/>
  <c r="G9" i="6"/>
  <c r="C5" i="7"/>
  <c r="H40" i="6"/>
  <c r="I39" i="6"/>
  <c r="I40" i="6"/>
  <c r="G40" i="6"/>
  <c r="F40" i="6"/>
  <c r="I38" i="6"/>
  <c r="I37" i="6"/>
  <c r="F23" i="6"/>
  <c r="F37" i="6"/>
  <c r="F34" i="6"/>
  <c r="H7" i="6"/>
  <c r="G7" i="6"/>
  <c r="B24" i="6"/>
  <c r="B21" i="6"/>
  <c r="B4" i="9"/>
  <c r="B44" i="9"/>
  <c r="D44" i="9"/>
  <c r="H44" i="9"/>
  <c r="C68" i="1"/>
  <c r="C69" i="1"/>
  <c r="C71" i="1"/>
  <c r="E58" i="15"/>
  <c r="E57" i="15"/>
  <c r="E63" i="15"/>
  <c r="E46" i="15"/>
  <c r="E23" i="15"/>
  <c r="G7" i="15"/>
  <c r="F7" i="15"/>
  <c r="C1" i="15"/>
  <c r="H64" i="7"/>
  <c r="H59" i="7"/>
  <c r="H58" i="7"/>
  <c r="H46" i="7"/>
  <c r="H23" i="7"/>
  <c r="I7" i="7"/>
  <c r="D1" i="7"/>
  <c r="J7" i="7"/>
  <c r="F46" i="6"/>
  <c r="F59" i="6"/>
  <c r="F58" i="6"/>
  <c r="F64" i="6"/>
  <c r="B22" i="5"/>
  <c r="B35" i="5"/>
  <c r="B9" i="5"/>
  <c r="B65" i="9"/>
  <c r="D65" i="9"/>
  <c r="B34" i="9"/>
  <c r="D34" i="9"/>
  <c r="G16" i="6"/>
  <c r="H11" i="6"/>
  <c r="G18" i="15"/>
  <c r="B40" i="9"/>
  <c r="D40" i="9"/>
  <c r="B56" i="9"/>
  <c r="D56" i="9"/>
  <c r="T56" i="9"/>
  <c r="B59" i="9"/>
  <c r="D59" i="9"/>
  <c r="AA59" i="9"/>
  <c r="B62" i="9"/>
  <c r="D62" i="9"/>
  <c r="B63" i="9"/>
  <c r="D63" i="9"/>
  <c r="B20" i="9"/>
  <c r="D20" i="9"/>
  <c r="J20" i="9"/>
  <c r="F20" i="9"/>
  <c r="B21" i="9"/>
  <c r="D21" i="9"/>
  <c r="B24" i="9"/>
  <c r="D24" i="9"/>
  <c r="B25" i="9"/>
  <c r="D25" i="9"/>
  <c r="H25" i="9"/>
  <c r="B31" i="9"/>
  <c r="D31" i="9"/>
  <c r="H31" i="9"/>
  <c r="B33" i="9"/>
  <c r="D33" i="9"/>
  <c r="B35" i="9"/>
  <c r="D35" i="9"/>
  <c r="L35" i="9"/>
  <c r="B37" i="9"/>
  <c r="D37" i="9"/>
  <c r="F44" i="9"/>
  <c r="B47" i="9"/>
  <c r="D47" i="9"/>
  <c r="B48" i="9"/>
  <c r="D48" i="9"/>
  <c r="B49" i="9"/>
  <c r="D49" i="9"/>
  <c r="B50" i="9"/>
  <c r="D50" i="9"/>
  <c r="O63" i="9"/>
  <c r="P63" i="9"/>
  <c r="Z63" i="9"/>
  <c r="B12" i="9"/>
  <c r="D12" i="9"/>
  <c r="B13" i="9"/>
  <c r="D13" i="9"/>
  <c r="B9" i="9"/>
  <c r="D9" i="9"/>
  <c r="E9" i="9"/>
  <c r="E34" i="9"/>
  <c r="J18" i="7"/>
  <c r="J11" i="7"/>
  <c r="H18" i="6"/>
  <c r="E39" i="5"/>
  <c r="C39" i="5"/>
  <c r="E26" i="5"/>
  <c r="C26" i="5"/>
  <c r="V65" i="9"/>
  <c r="Y56" i="9"/>
  <c r="Y65" i="9"/>
  <c r="AG65" i="9"/>
  <c r="Q65" i="9"/>
  <c r="R65" i="9"/>
  <c r="W44" i="9"/>
  <c r="Q47" i="9"/>
  <c r="P47" i="9"/>
  <c r="N47" i="9"/>
  <c r="I35" i="9"/>
  <c r="AB56" i="9"/>
  <c r="R35" i="9"/>
  <c r="O35" i="9"/>
  <c r="G35" i="9"/>
  <c r="C67" i="9"/>
  <c r="AI67" i="9"/>
  <c r="AI4" i="9"/>
  <c r="E37" i="9"/>
  <c r="F35" i="9"/>
  <c r="M49" i="9"/>
  <c r="K35" i="9"/>
  <c r="G40" i="9"/>
  <c r="B46" i="9"/>
  <c r="D46" i="9"/>
  <c r="G46" i="9"/>
  <c r="B45" i="9"/>
  <c r="D45" i="9"/>
  <c r="B43" i="9"/>
  <c r="D43" i="9"/>
  <c r="B27" i="9"/>
  <c r="D27" i="9"/>
  <c r="G27" i="9"/>
  <c r="B22" i="9"/>
  <c r="D22" i="9"/>
  <c r="B60" i="9"/>
  <c r="D60" i="9"/>
  <c r="T46" i="9"/>
  <c r="X46" i="9"/>
  <c r="R46" i="9"/>
  <c r="J46" i="9"/>
  <c r="L27" i="9"/>
  <c r="V46" i="9"/>
  <c r="U49" i="9"/>
  <c r="G49" i="9"/>
  <c r="J49" i="9"/>
  <c r="K49" i="9"/>
  <c r="Q49" i="9"/>
  <c r="J21" i="9"/>
  <c r="K21" i="9"/>
  <c r="F13" i="9"/>
  <c r="O47" i="9"/>
  <c r="W47" i="9"/>
  <c r="L47" i="9"/>
  <c r="X47" i="9"/>
  <c r="S47" i="9"/>
  <c r="O44" i="9"/>
  <c r="I44" i="9"/>
  <c r="N44" i="9"/>
  <c r="H20" i="9"/>
  <c r="E20" i="9"/>
  <c r="K20" i="9"/>
  <c r="G20" i="9"/>
  <c r="R45" i="9"/>
  <c r="O43" i="9"/>
  <c r="I43" i="9"/>
  <c r="W45" i="9"/>
  <c r="K27" i="9"/>
  <c r="N27" i="9"/>
  <c r="L45" i="9"/>
  <c r="T45" i="9"/>
  <c r="E45" i="9"/>
  <c r="K45" i="9"/>
  <c r="V45" i="9"/>
  <c r="N59" i="9"/>
  <c r="P45" i="9"/>
  <c r="M27" i="9"/>
  <c r="E35" i="9"/>
  <c r="R49" i="9"/>
  <c r="G45" i="9"/>
  <c r="E27" i="9"/>
  <c r="J35" i="9"/>
  <c r="K37" i="9"/>
  <c r="E46" i="9"/>
  <c r="L44" i="9"/>
  <c r="G66" i="6"/>
  <c r="G17" i="6"/>
  <c r="G18" i="6"/>
  <c r="K33" i="9"/>
  <c r="F33" i="9"/>
  <c r="J33" i="9"/>
  <c r="G33" i="9"/>
  <c r="O33" i="9"/>
  <c r="L33" i="9"/>
  <c r="I33" i="9"/>
  <c r="M33" i="9"/>
  <c r="Q33" i="9"/>
  <c r="H33" i="9"/>
  <c r="N33" i="9"/>
  <c r="P33" i="9"/>
  <c r="E33" i="9"/>
  <c r="J50" i="9"/>
  <c r="L50" i="9"/>
  <c r="Q50" i="9"/>
  <c r="R50" i="9"/>
  <c r="U50" i="9"/>
  <c r="F50" i="9"/>
  <c r="Z50" i="9"/>
  <c r="W50" i="9"/>
  <c r="K50" i="9"/>
  <c r="M50" i="9"/>
  <c r="S50" i="9"/>
  <c r="V50" i="9"/>
  <c r="Y50" i="9"/>
  <c r="G50" i="9"/>
  <c r="N50" i="9"/>
  <c r="E50" i="9"/>
  <c r="T50" i="9"/>
  <c r="X50" i="9"/>
  <c r="I50" i="9"/>
  <c r="H50" i="9"/>
  <c r="O50" i="9"/>
  <c r="P50" i="9"/>
  <c r="Z62" i="9"/>
  <c r="N62" i="9"/>
  <c r="W62" i="9"/>
  <c r="U62" i="9"/>
  <c r="P62" i="9"/>
  <c r="Y62" i="9"/>
  <c r="L62" i="9"/>
  <c r="S62" i="9"/>
  <c r="F62" i="9"/>
  <c r="T62" i="9"/>
  <c r="AC62" i="9"/>
  <c r="I62" i="9"/>
  <c r="AB62" i="9"/>
  <c r="AD62" i="9"/>
  <c r="J62" i="9"/>
  <c r="AA62" i="9"/>
  <c r="K62" i="9"/>
  <c r="AE62" i="9"/>
  <c r="X62" i="9"/>
  <c r="M62" i="9"/>
  <c r="O62" i="9"/>
  <c r="Q62" i="9"/>
  <c r="V62" i="9"/>
  <c r="G62" i="9"/>
  <c r="H62" i="9"/>
  <c r="R62" i="9"/>
  <c r="AF62" i="9"/>
  <c r="E62" i="9"/>
  <c r="M24" i="9"/>
  <c r="H24" i="9"/>
  <c r="G24" i="9"/>
  <c r="I24" i="9"/>
  <c r="F24" i="9"/>
  <c r="E24" i="9"/>
  <c r="L24" i="9"/>
  <c r="F21" i="9"/>
  <c r="H21" i="9"/>
  <c r="E21" i="9"/>
  <c r="I21" i="9"/>
  <c r="G21" i="9"/>
  <c r="E13" i="9"/>
  <c r="G13" i="9"/>
  <c r="E12" i="9"/>
  <c r="G12" i="9"/>
  <c r="F12" i="9"/>
  <c r="K24" i="9"/>
  <c r="X63" i="9"/>
  <c r="H63" i="9"/>
  <c r="U63" i="9"/>
  <c r="AD63" i="9"/>
  <c r="F63" i="9"/>
  <c r="J63" i="9"/>
  <c r="Q63" i="9"/>
  <c r="G63" i="9"/>
  <c r="S63" i="9"/>
  <c r="W63" i="9"/>
  <c r="T63" i="9"/>
  <c r="AA63" i="9"/>
  <c r="L63" i="9"/>
  <c r="V63" i="9"/>
  <c r="N63" i="9"/>
  <c r="M63" i="9"/>
  <c r="AE60" i="9"/>
  <c r="K60" i="9"/>
  <c r="O60" i="9"/>
  <c r="AC60" i="9"/>
  <c r="S60" i="9"/>
  <c r="W60" i="9"/>
  <c r="P60" i="9"/>
  <c r="X60" i="9"/>
  <c r="F60" i="9"/>
  <c r="AA60" i="9"/>
  <c r="Z60" i="9"/>
  <c r="I60" i="9"/>
  <c r="M60" i="9"/>
  <c r="Q60" i="9"/>
  <c r="G60" i="9"/>
  <c r="U60" i="9"/>
  <c r="N60" i="9"/>
  <c r="H60" i="9"/>
  <c r="V60" i="9"/>
  <c r="J60" i="9"/>
  <c r="R60" i="9"/>
  <c r="AB60" i="9"/>
  <c r="G22" i="9"/>
  <c r="L22" i="9"/>
  <c r="K22" i="9"/>
  <c r="E22" i="9"/>
  <c r="J22" i="9"/>
  <c r="H22" i="9"/>
  <c r="I22" i="9"/>
  <c r="F22" i="9"/>
  <c r="H59" i="9"/>
  <c r="X59" i="9"/>
  <c r="M59" i="9"/>
  <c r="F59" i="9"/>
  <c r="P59" i="9"/>
  <c r="W59" i="9"/>
  <c r="O59" i="9"/>
  <c r="J59" i="9"/>
  <c r="AD59" i="9"/>
  <c r="I59" i="9"/>
  <c r="T59" i="9"/>
  <c r="AC59" i="9"/>
  <c r="K59" i="9"/>
  <c r="Q59" i="9"/>
  <c r="V59" i="9"/>
  <c r="L59" i="9"/>
  <c r="E59" i="9"/>
  <c r="R59" i="9"/>
  <c r="T43" i="9"/>
  <c r="G43" i="9"/>
  <c r="J43" i="9"/>
  <c r="U43" i="9"/>
  <c r="N43" i="9"/>
  <c r="F43" i="9"/>
  <c r="S43" i="9"/>
  <c r="V43" i="9"/>
  <c r="L43" i="9"/>
  <c r="R43" i="9"/>
  <c r="E43" i="9"/>
  <c r="Q43" i="9"/>
  <c r="L49" i="9"/>
  <c r="T49" i="9"/>
  <c r="W49" i="9"/>
  <c r="I49" i="9"/>
  <c r="F49" i="9"/>
  <c r="P49" i="9"/>
  <c r="S49" i="9"/>
  <c r="Y49" i="9"/>
  <c r="V49" i="9"/>
  <c r="E49" i="9"/>
  <c r="H49" i="9"/>
  <c r="P48" i="9"/>
  <c r="T48" i="9"/>
  <c r="Y48" i="9"/>
  <c r="M48" i="9"/>
  <c r="S48" i="9"/>
  <c r="G48" i="9"/>
  <c r="O48" i="9"/>
  <c r="U48" i="9"/>
  <c r="W48" i="9"/>
  <c r="L48" i="9"/>
  <c r="E48" i="9"/>
  <c r="H48" i="9"/>
  <c r="F48" i="9"/>
  <c r="I48" i="9"/>
  <c r="X48" i="9"/>
  <c r="Q48" i="9"/>
  <c r="N48" i="9"/>
  <c r="R48" i="9"/>
  <c r="K48" i="9"/>
  <c r="J48" i="9"/>
  <c r="J40" i="9"/>
  <c r="O40" i="9"/>
  <c r="R40" i="9"/>
  <c r="U40" i="9"/>
  <c r="F40" i="9"/>
  <c r="N40" i="9"/>
  <c r="P40" i="9"/>
  <c r="H40" i="9"/>
  <c r="S40" i="9"/>
  <c r="L40" i="9"/>
  <c r="M40" i="9"/>
  <c r="K40" i="9"/>
  <c r="I40" i="9"/>
  <c r="E40" i="9"/>
  <c r="T40" i="9"/>
  <c r="H43" i="9"/>
  <c r="N49" i="9"/>
  <c r="S59" i="9"/>
  <c r="H47" i="9"/>
  <c r="T47" i="9"/>
  <c r="R47" i="9"/>
  <c r="E47" i="9"/>
  <c r="V47" i="9"/>
  <c r="J47" i="9"/>
  <c r="G47" i="9"/>
  <c r="U47" i="9"/>
  <c r="K47" i="9"/>
  <c r="F47" i="9"/>
  <c r="T60" i="9"/>
  <c r="X49" i="9"/>
  <c r="P46" i="9"/>
  <c r="K46" i="9"/>
  <c r="W46" i="9"/>
  <c r="U46" i="9"/>
  <c r="Q46" i="9"/>
  <c r="I46" i="9"/>
  <c r="N46" i="9"/>
  <c r="M46" i="9"/>
  <c r="H46" i="9"/>
  <c r="S46" i="9"/>
  <c r="G59" i="9"/>
  <c r="Y59" i="9"/>
  <c r="O49" i="9"/>
  <c r="AD60" i="9"/>
  <c r="R63" i="9"/>
  <c r="K63" i="9"/>
  <c r="Y60" i="9"/>
  <c r="Y63" i="9"/>
  <c r="I63" i="9"/>
  <c r="F49" i="15"/>
  <c r="F56" i="15"/>
  <c r="L60" i="9"/>
  <c r="AF63" i="9"/>
  <c r="P43" i="9"/>
  <c r="E60" i="9"/>
  <c r="AE63" i="9"/>
  <c r="R37" i="9"/>
  <c r="P37" i="9"/>
  <c r="J37" i="9"/>
  <c r="M37" i="9"/>
  <c r="G37" i="9"/>
  <c r="F37" i="9"/>
  <c r="I37" i="9"/>
  <c r="Q37" i="9"/>
  <c r="O37" i="9"/>
  <c r="H37" i="9"/>
  <c r="L37" i="9"/>
  <c r="N37" i="9"/>
  <c r="S37" i="9"/>
  <c r="G34" i="9"/>
  <c r="J34" i="9"/>
  <c r="L34" i="9"/>
  <c r="F34" i="9"/>
  <c r="R34" i="9"/>
  <c r="O34" i="9"/>
  <c r="Q34" i="9"/>
  <c r="M34" i="9"/>
  <c r="K34" i="9"/>
  <c r="N34" i="9"/>
  <c r="I34" i="9"/>
  <c r="H34" i="9"/>
  <c r="U59" i="9"/>
  <c r="AC63" i="9"/>
  <c r="K43" i="9"/>
  <c r="AB59" i="9"/>
  <c r="Q40" i="9"/>
  <c r="AB63" i="9"/>
  <c r="K65" i="9"/>
  <c r="AD65" i="9"/>
  <c r="M65" i="9"/>
  <c r="G65" i="9"/>
  <c r="AC65" i="9"/>
  <c r="AE65" i="9"/>
  <c r="AA65" i="9"/>
  <c r="H65" i="9"/>
  <c r="AF65" i="9"/>
  <c r="L65" i="9"/>
  <c r="P65" i="9"/>
  <c r="X65" i="9"/>
  <c r="S65" i="9"/>
  <c r="I65" i="9"/>
  <c r="J65" i="9"/>
  <c r="N65" i="9"/>
  <c r="W65" i="9"/>
  <c r="U65" i="9"/>
  <c r="T65" i="9"/>
  <c r="O65" i="9"/>
  <c r="Z65" i="9"/>
  <c r="AB65" i="9"/>
  <c r="E65" i="9"/>
  <c r="F65" i="9"/>
  <c r="V48" i="9"/>
  <c r="H45" i="9"/>
  <c r="U45" i="9"/>
  <c r="O45" i="9"/>
  <c r="S45" i="9"/>
  <c r="F45" i="9"/>
  <c r="I45" i="9"/>
  <c r="M45" i="9"/>
  <c r="Q45" i="9"/>
  <c r="J45" i="9"/>
  <c r="N45" i="9"/>
  <c r="Z59" i="9"/>
  <c r="G49" i="6"/>
  <c r="G57" i="6"/>
  <c r="G59" i="6"/>
  <c r="L46" i="9"/>
  <c r="P34" i="9"/>
  <c r="J24" i="9"/>
  <c r="I31" i="9"/>
  <c r="K31" i="9"/>
  <c r="N31" i="9"/>
  <c r="J31" i="9"/>
  <c r="L31" i="9"/>
  <c r="P31" i="9"/>
  <c r="E31" i="9"/>
  <c r="M31" i="9"/>
  <c r="F31" i="9"/>
  <c r="O31" i="9"/>
  <c r="G31" i="9"/>
  <c r="M47" i="9"/>
  <c r="F46" i="9"/>
  <c r="M43" i="9"/>
  <c r="I47" i="9"/>
  <c r="O46" i="9"/>
  <c r="E63" i="9"/>
  <c r="AA56" i="9"/>
  <c r="S56" i="9"/>
  <c r="T44" i="9"/>
  <c r="B51" i="9"/>
  <c r="D51" i="9"/>
  <c r="B64" i="9"/>
  <c r="D64" i="9"/>
  <c r="B42" i="9"/>
  <c r="D42" i="9"/>
  <c r="Q35" i="9"/>
  <c r="AC56" i="9"/>
  <c r="H27" i="9"/>
  <c r="O56" i="9"/>
  <c r="P44" i="9"/>
  <c r="I27" i="9"/>
  <c r="E56" i="9"/>
  <c r="F27" i="9"/>
  <c r="H35" i="9"/>
  <c r="B61" i="9"/>
  <c r="D61" i="9"/>
  <c r="E44" i="9"/>
  <c r="I20" i="9"/>
  <c r="B19" i="9"/>
  <c r="D19" i="9"/>
  <c r="B55" i="9"/>
  <c r="D55" i="9"/>
  <c r="B36" i="9"/>
  <c r="D36" i="9"/>
  <c r="B8" i="9"/>
  <c r="D8" i="9"/>
  <c r="E8" i="9"/>
  <c r="B41" i="9"/>
  <c r="D41" i="9"/>
  <c r="M35" i="9"/>
  <c r="J56" i="9"/>
  <c r="B18" i="9"/>
  <c r="D18" i="9"/>
  <c r="B53" i="9"/>
  <c r="D53" i="9"/>
  <c r="B28" i="9"/>
  <c r="D28" i="9"/>
  <c r="B58" i="9"/>
  <c r="D58" i="9"/>
  <c r="L56" i="9"/>
  <c r="B10" i="9"/>
  <c r="D10" i="9"/>
  <c r="G44" i="9"/>
  <c r="E25" i="9"/>
  <c r="K56" i="9"/>
  <c r="F56" i="9"/>
  <c r="B26" i="9"/>
  <c r="D26" i="9"/>
  <c r="K44" i="9"/>
  <c r="B52" i="9"/>
  <c r="D52" i="9"/>
  <c r="I25" i="9"/>
  <c r="B39" i="9"/>
  <c r="D39" i="9"/>
  <c r="B17" i="9"/>
  <c r="D17" i="9"/>
  <c r="J27" i="9"/>
  <c r="V44" i="9"/>
  <c r="B66" i="9"/>
  <c r="D66" i="9"/>
  <c r="M25" i="9"/>
  <c r="B30" i="9"/>
  <c r="D30" i="9"/>
  <c r="S44" i="9"/>
  <c r="B54" i="9"/>
  <c r="D54" i="9"/>
  <c r="R56" i="9"/>
  <c r="G25" i="9"/>
  <c r="Z56" i="9"/>
  <c r="B16" i="9"/>
  <c r="D16" i="9"/>
  <c r="I56" i="9"/>
  <c r="M44" i="9"/>
  <c r="M56" i="9"/>
  <c r="B15" i="9"/>
  <c r="D15" i="9"/>
  <c r="F25" i="9"/>
  <c r="W56" i="9"/>
  <c r="B32" i="9"/>
  <c r="D32" i="9"/>
  <c r="J44" i="9"/>
  <c r="B57" i="9"/>
  <c r="D57" i="9"/>
  <c r="X56" i="9"/>
  <c r="L25" i="9"/>
  <c r="V56" i="9"/>
  <c r="Q56" i="9"/>
  <c r="B14" i="9"/>
  <c r="D14" i="9"/>
  <c r="R44" i="9"/>
  <c r="P35" i="9"/>
  <c r="U44" i="9"/>
  <c r="P56" i="9"/>
  <c r="B23" i="9"/>
  <c r="D23" i="9"/>
  <c r="K25" i="9"/>
  <c r="U56" i="9"/>
  <c r="N56" i="9"/>
  <c r="B67" i="9"/>
  <c r="D67" i="9"/>
  <c r="B38" i="9"/>
  <c r="D38" i="9"/>
  <c r="N35" i="9"/>
  <c r="Q44" i="9"/>
  <c r="J25" i="9"/>
  <c r="G56" i="9"/>
  <c r="H56" i="9"/>
  <c r="B29" i="9"/>
  <c r="D29" i="9"/>
  <c r="B11" i="9"/>
  <c r="D11" i="9"/>
  <c r="F66" i="16"/>
  <c r="F68" i="16"/>
  <c r="G10" i="6"/>
  <c r="K23" i="9"/>
  <c r="I23" i="9"/>
  <c r="L23" i="9"/>
  <c r="J23" i="9"/>
  <c r="E23" i="9"/>
  <c r="H23" i="9"/>
  <c r="F23" i="9"/>
  <c r="G23" i="9"/>
  <c r="G52" i="9"/>
  <c r="J52" i="9"/>
  <c r="O52" i="9"/>
  <c r="K52" i="9"/>
  <c r="H52" i="9"/>
  <c r="AA52" i="9"/>
  <c r="W52" i="9"/>
  <c r="Y52" i="9"/>
  <c r="T52" i="9"/>
  <c r="V52" i="9"/>
  <c r="R52" i="9"/>
  <c r="N52" i="9"/>
  <c r="P52" i="9"/>
  <c r="F52" i="9"/>
  <c r="I52" i="9"/>
  <c r="X52" i="9"/>
  <c r="M52" i="9"/>
  <c r="E52" i="9"/>
  <c r="L52" i="9"/>
  <c r="U52" i="9"/>
  <c r="Q52" i="9"/>
  <c r="S52" i="9"/>
  <c r="Z52" i="9"/>
  <c r="O32" i="9"/>
  <c r="G32" i="9"/>
  <c r="M32" i="9"/>
  <c r="F32" i="9"/>
  <c r="N32" i="9"/>
  <c r="J32" i="9"/>
  <c r="P32" i="9"/>
  <c r="Q32" i="9"/>
  <c r="K32" i="9"/>
  <c r="E32" i="9"/>
  <c r="H32" i="9"/>
  <c r="I32" i="9"/>
  <c r="L32" i="9"/>
  <c r="J26" i="9"/>
  <c r="E26" i="9"/>
  <c r="G26" i="9"/>
  <c r="K26" i="9"/>
  <c r="H26" i="9"/>
  <c r="I26" i="9"/>
  <c r="F26" i="9"/>
  <c r="M26" i="9"/>
  <c r="N26" i="9"/>
  <c r="L26" i="9"/>
  <c r="F18" i="9"/>
  <c r="J18" i="9"/>
  <c r="H18" i="9"/>
  <c r="E18" i="9"/>
  <c r="G18" i="9"/>
  <c r="I18" i="9"/>
  <c r="G8" i="1"/>
  <c r="H64" i="9"/>
  <c r="O64" i="9"/>
  <c r="S64" i="9"/>
  <c r="W64" i="9"/>
  <c r="E64" i="9"/>
  <c r="G64" i="9"/>
  <c r="F64" i="9"/>
  <c r="I64" i="9"/>
  <c r="P64" i="9"/>
  <c r="T64" i="9"/>
  <c r="X64" i="9"/>
  <c r="N64" i="9"/>
  <c r="L64" i="9"/>
  <c r="M64" i="9"/>
  <c r="U64" i="9"/>
  <c r="AC64" i="9"/>
  <c r="R64" i="9"/>
  <c r="Z64" i="9"/>
  <c r="AF64" i="9"/>
  <c r="AF66" i="9"/>
  <c r="AF67" i="9"/>
  <c r="AF4" i="9"/>
  <c r="V64" i="9"/>
  <c r="J64" i="9"/>
  <c r="K64" i="9"/>
  <c r="AB64" i="9"/>
  <c r="Y64" i="9"/>
  <c r="AG64" i="9"/>
  <c r="AD64" i="9"/>
  <c r="AA64" i="9"/>
  <c r="AE64" i="9"/>
  <c r="Q64" i="9"/>
  <c r="I8" i="1"/>
  <c r="AD58" i="9"/>
  <c r="AC58" i="9"/>
  <c r="O58" i="9"/>
  <c r="Q58" i="9"/>
  <c r="K58" i="9"/>
  <c r="V58" i="9"/>
  <c r="L58" i="9"/>
  <c r="S58" i="9"/>
  <c r="I58" i="9"/>
  <c r="Z58" i="9"/>
  <c r="P58" i="9"/>
  <c r="R58" i="9"/>
  <c r="J58" i="9"/>
  <c r="X58" i="9"/>
  <c r="W58" i="9"/>
  <c r="AA58" i="9"/>
  <c r="Y58" i="9"/>
  <c r="T58" i="9"/>
  <c r="E58" i="9"/>
  <c r="U58" i="9"/>
  <c r="F58" i="9"/>
  <c r="G58" i="9"/>
  <c r="H58" i="9"/>
  <c r="N58" i="9"/>
  <c r="M58" i="9"/>
  <c r="AB58" i="9"/>
  <c r="H28" i="9"/>
  <c r="O28" i="9"/>
  <c r="I28" i="9"/>
  <c r="E28" i="9"/>
  <c r="L28" i="9"/>
  <c r="G28" i="9"/>
  <c r="M28" i="9"/>
  <c r="J28" i="9"/>
  <c r="N28" i="9"/>
  <c r="K28" i="9"/>
  <c r="F28" i="9"/>
  <c r="F39" i="9"/>
  <c r="S39" i="9"/>
  <c r="Q39" i="9"/>
  <c r="P39" i="9"/>
  <c r="O39" i="9"/>
  <c r="K39" i="9"/>
  <c r="G39" i="9"/>
  <c r="I39" i="9"/>
  <c r="E39" i="9"/>
  <c r="H39" i="9"/>
  <c r="J39" i="9"/>
  <c r="R39" i="9"/>
  <c r="L39" i="9"/>
  <c r="M39" i="9"/>
  <c r="N39" i="9"/>
  <c r="T39" i="9"/>
  <c r="P36" i="9"/>
  <c r="J36" i="9"/>
  <c r="R36" i="9"/>
  <c r="F36" i="9"/>
  <c r="G36" i="9"/>
  <c r="N36" i="9"/>
  <c r="O36" i="9"/>
  <c r="E36" i="9"/>
  <c r="H36" i="9"/>
  <c r="L36" i="9"/>
  <c r="S36" i="9"/>
  <c r="I36" i="9"/>
  <c r="M36" i="9"/>
  <c r="Q36" i="9"/>
  <c r="K36" i="9"/>
  <c r="H15" i="9"/>
  <c r="E15" i="9"/>
  <c r="F15" i="9"/>
  <c r="G15" i="9"/>
  <c r="E11" i="9"/>
  <c r="F11" i="9"/>
  <c r="G14" i="9"/>
  <c r="H14" i="9"/>
  <c r="F14" i="9"/>
  <c r="E14" i="9"/>
  <c r="F16" i="9"/>
  <c r="E16" i="9"/>
  <c r="G16" i="9"/>
  <c r="H16" i="9"/>
  <c r="I16" i="9"/>
  <c r="E10" i="9"/>
  <c r="F10" i="9"/>
  <c r="F19" i="9"/>
  <c r="G19" i="9"/>
  <c r="I19" i="9"/>
  <c r="J19" i="9"/>
  <c r="H19" i="9"/>
  <c r="E19" i="9"/>
  <c r="H61" i="9"/>
  <c r="O61" i="9"/>
  <c r="F61" i="9"/>
  <c r="J61" i="9"/>
  <c r="Q61" i="9"/>
  <c r="AA61" i="9"/>
  <c r="I61" i="9"/>
  <c r="AC61" i="9"/>
  <c r="U61" i="9"/>
  <c r="G61" i="9"/>
  <c r="P61" i="9"/>
  <c r="E61" i="9"/>
  <c r="AB61" i="9"/>
  <c r="AE61" i="9"/>
  <c r="AD61" i="9"/>
  <c r="R61" i="9"/>
  <c r="N61" i="9"/>
  <c r="M61" i="9"/>
  <c r="Y61" i="9"/>
  <c r="K61" i="9"/>
  <c r="V61" i="9"/>
  <c r="W61" i="9"/>
  <c r="S61" i="9"/>
  <c r="Z61" i="9"/>
  <c r="T61" i="9"/>
  <c r="L61" i="9"/>
  <c r="X61" i="9"/>
  <c r="S53" i="9"/>
  <c r="M53" i="9"/>
  <c r="O53" i="9"/>
  <c r="Q53" i="9"/>
  <c r="G53" i="9"/>
  <c r="P53" i="9"/>
  <c r="T53" i="9"/>
  <c r="U53" i="9"/>
  <c r="V53" i="9"/>
  <c r="W53" i="9"/>
  <c r="E53" i="9"/>
  <c r="H53" i="9"/>
  <c r="AA53" i="9"/>
  <c r="J53" i="9"/>
  <c r="Z53" i="9"/>
  <c r="L53" i="9"/>
  <c r="F53" i="9"/>
  <c r="N53" i="9"/>
  <c r="I53" i="9"/>
  <c r="R53" i="9"/>
  <c r="Y53" i="9"/>
  <c r="K53" i="9"/>
  <c r="X53" i="9"/>
  <c r="L30" i="9"/>
  <c r="O30" i="9"/>
  <c r="H30" i="9"/>
  <c r="G30" i="9"/>
  <c r="N30" i="9"/>
  <c r="K30" i="9"/>
  <c r="J30" i="9"/>
  <c r="F30" i="9"/>
  <c r="M30" i="9"/>
  <c r="P30" i="9"/>
  <c r="I30" i="9"/>
  <c r="E30" i="9"/>
  <c r="I17" i="9"/>
  <c r="E17" i="9"/>
  <c r="F17" i="9"/>
  <c r="G17" i="9"/>
  <c r="H17" i="9"/>
  <c r="H57" i="9"/>
  <c r="T57" i="9"/>
  <c r="V57" i="9"/>
  <c r="W57" i="9"/>
  <c r="E57" i="9"/>
  <c r="U57" i="9"/>
  <c r="AC57" i="9"/>
  <c r="G57" i="9"/>
  <c r="M57" i="9"/>
  <c r="J57" i="9"/>
  <c r="P57" i="9"/>
  <c r="Q57" i="9"/>
  <c r="AA57" i="9"/>
  <c r="L57" i="9"/>
  <c r="N57" i="9"/>
  <c r="Y57" i="9"/>
  <c r="R57" i="9"/>
  <c r="K57" i="9"/>
  <c r="Z57" i="9"/>
  <c r="S57" i="9"/>
  <c r="X57" i="9"/>
  <c r="AB57" i="9"/>
  <c r="O57" i="9"/>
  <c r="F57" i="9"/>
  <c r="I57" i="9"/>
  <c r="I55" i="9"/>
  <c r="AA55" i="9"/>
  <c r="V55" i="9"/>
  <c r="R55" i="9"/>
  <c r="J55" i="9"/>
  <c r="Z55" i="9"/>
  <c r="AB55" i="9"/>
  <c r="N55" i="9"/>
  <c r="Y55" i="9"/>
  <c r="U55" i="9"/>
  <c r="G55" i="9"/>
  <c r="M55" i="9"/>
  <c r="X55" i="9"/>
  <c r="S55" i="9"/>
  <c r="L55" i="9"/>
  <c r="Q55" i="9"/>
  <c r="K55" i="9"/>
  <c r="P55" i="9"/>
  <c r="T55" i="9"/>
  <c r="W55" i="9"/>
  <c r="O55" i="9"/>
  <c r="F55" i="9"/>
  <c r="E55" i="9"/>
  <c r="H55" i="9"/>
  <c r="E29" i="9"/>
  <c r="G29" i="9"/>
  <c r="O29" i="9"/>
  <c r="H29" i="9"/>
  <c r="I29" i="9"/>
  <c r="M29" i="9"/>
  <c r="J29" i="9"/>
  <c r="K29" i="9"/>
  <c r="F29" i="9"/>
  <c r="L29" i="9"/>
  <c r="N29" i="9"/>
  <c r="U42" i="9"/>
  <c r="Q42" i="9"/>
  <c r="G42" i="9"/>
  <c r="F42" i="9"/>
  <c r="S42" i="9"/>
  <c r="I42" i="9"/>
  <c r="V42" i="9"/>
  <c r="H42" i="9"/>
  <c r="R42" i="9"/>
  <c r="N42" i="9"/>
  <c r="O42" i="9"/>
  <c r="E42" i="9"/>
  <c r="K42" i="9"/>
  <c r="J42" i="9"/>
  <c r="L42" i="9"/>
  <c r="M42" i="9"/>
  <c r="P42" i="9"/>
  <c r="T42" i="9"/>
  <c r="H41" i="9"/>
  <c r="J41" i="9"/>
  <c r="E41" i="9"/>
  <c r="F41" i="9"/>
  <c r="I41" i="9"/>
  <c r="P41" i="9"/>
  <c r="O41" i="9"/>
  <c r="M41" i="9"/>
  <c r="N41" i="9"/>
  <c r="U41" i="9"/>
  <c r="L41" i="9"/>
  <c r="Q41" i="9"/>
  <c r="K41" i="9"/>
  <c r="R41" i="9"/>
  <c r="T41" i="9"/>
  <c r="G41" i="9"/>
  <c r="S41" i="9"/>
  <c r="N54" i="9"/>
  <c r="T54" i="9"/>
  <c r="I54" i="9"/>
  <c r="O54" i="9"/>
  <c r="K54" i="9"/>
  <c r="U54" i="9"/>
  <c r="G54" i="9"/>
  <c r="E54" i="9"/>
  <c r="M54" i="9"/>
  <c r="R54" i="9"/>
  <c r="L54" i="9"/>
  <c r="Q54" i="9"/>
  <c r="V54" i="9"/>
  <c r="P54" i="9"/>
  <c r="F54" i="9"/>
  <c r="S54" i="9"/>
  <c r="W54" i="9"/>
  <c r="Y54" i="9"/>
  <c r="AB54" i="9"/>
  <c r="H54" i="9"/>
  <c r="AA54" i="9"/>
  <c r="J54" i="9"/>
  <c r="Z54" i="9"/>
  <c r="X54" i="9"/>
  <c r="AC66" i="9"/>
  <c r="L66" i="9"/>
  <c r="N66" i="9"/>
  <c r="U66" i="9"/>
  <c r="AG66" i="9"/>
  <c r="AE66" i="9"/>
  <c r="E66" i="9"/>
  <c r="Y66" i="9"/>
  <c r="AB66" i="9"/>
  <c r="S66" i="9"/>
  <c r="H66" i="9"/>
  <c r="AD66" i="9"/>
  <c r="J66" i="9"/>
  <c r="W66" i="9"/>
  <c r="T66" i="9"/>
  <c r="K66" i="9"/>
  <c r="I66" i="9"/>
  <c r="R66" i="9"/>
  <c r="G66" i="9"/>
  <c r="M66" i="9"/>
  <c r="V66" i="9"/>
  <c r="Z66" i="9"/>
  <c r="Q66" i="9"/>
  <c r="P66" i="9"/>
  <c r="O66" i="9"/>
  <c r="F66" i="9"/>
  <c r="AH66" i="9"/>
  <c r="AA66" i="9"/>
  <c r="X66" i="9"/>
  <c r="G11" i="6"/>
  <c r="P51" i="9"/>
  <c r="U51" i="9"/>
  <c r="H51" i="9"/>
  <c r="E51" i="9"/>
  <c r="Q51" i="9"/>
  <c r="Z51" i="9"/>
  <c r="M51" i="9"/>
  <c r="V51" i="9"/>
  <c r="X51" i="9"/>
  <c r="X67" i="9"/>
  <c r="X4" i="9"/>
  <c r="G51" i="9"/>
  <c r="Y51" i="9"/>
  <c r="S51" i="9"/>
  <c r="R51" i="9"/>
  <c r="W51" i="9"/>
  <c r="O51" i="9"/>
  <c r="I51" i="9"/>
  <c r="T51" i="9"/>
  <c r="L51" i="9"/>
  <c r="F51" i="9"/>
  <c r="N51" i="9"/>
  <c r="J51" i="9"/>
  <c r="K51" i="9"/>
  <c r="F38" i="9"/>
  <c r="P38" i="9"/>
  <c r="J38" i="9"/>
  <c r="Q38" i="9"/>
  <c r="M38" i="9"/>
  <c r="T38" i="9"/>
  <c r="O38" i="9"/>
  <c r="R38" i="9"/>
  <c r="H38" i="9"/>
  <c r="S38" i="9"/>
  <c r="I38" i="9"/>
  <c r="N38" i="9"/>
  <c r="E38" i="9"/>
  <c r="K38" i="9"/>
  <c r="L38" i="9"/>
  <c r="G38" i="9"/>
  <c r="M67" i="9"/>
  <c r="AD67" i="9"/>
  <c r="P67" i="9"/>
  <c r="W67" i="9"/>
  <c r="V67" i="9"/>
  <c r="L67" i="9"/>
  <c r="G67" i="9"/>
  <c r="AB67" i="9"/>
  <c r="R67" i="9"/>
  <c r="AG67" i="9"/>
  <c r="Q67" i="9"/>
  <c r="J67" i="9"/>
  <c r="Z67" i="9"/>
  <c r="T67" i="9"/>
  <c r="S67" i="9"/>
  <c r="K67" i="9"/>
  <c r="AC67" i="9"/>
  <c r="N67" i="9"/>
  <c r="I67" i="9"/>
  <c r="U67" i="9"/>
  <c r="AE67" i="9"/>
  <c r="E67" i="9"/>
  <c r="AH67" i="9"/>
  <c r="F67" i="9"/>
  <c r="AA67" i="9"/>
  <c r="Y67" i="9"/>
  <c r="H67" i="9"/>
  <c r="O67" i="9"/>
  <c r="M4" i="9"/>
  <c r="R4" i="9"/>
  <c r="E4" i="9"/>
  <c r="AB4" i="9"/>
  <c r="Z4" i="9"/>
  <c r="G4" i="9"/>
  <c r="AE4" i="9"/>
  <c r="L4" i="9"/>
  <c r="K4" i="9"/>
  <c r="AC4" i="9"/>
  <c r="Y4" i="9"/>
  <c r="W4" i="9"/>
  <c r="U4" i="9"/>
  <c r="F4" i="9"/>
  <c r="AA4" i="9"/>
  <c r="Q4" i="9"/>
  <c r="H4" i="9"/>
  <c r="H9" i="1"/>
  <c r="G9" i="1"/>
  <c r="AD4" i="9"/>
  <c r="V4" i="9"/>
  <c r="S4" i="9"/>
  <c r="P4" i="9"/>
  <c r="J4" i="9"/>
  <c r="O4" i="9"/>
  <c r="AG4" i="9"/>
  <c r="I4" i="9"/>
  <c r="T4" i="9"/>
  <c r="AH4" i="9"/>
  <c r="N4" i="9"/>
  <c r="H10" i="1"/>
  <c r="I10" i="1"/>
  <c r="G10" i="1"/>
  <c r="I9" i="1"/>
  <c r="H11" i="1"/>
  <c r="G11" i="1"/>
  <c r="I11" i="1"/>
  <c r="H12" i="1"/>
  <c r="I12" i="1"/>
  <c r="G12" i="1"/>
  <c r="H13" i="1"/>
  <c r="I13" i="1"/>
  <c r="G13" i="1"/>
  <c r="H14" i="1"/>
  <c r="I14" i="1"/>
  <c r="G14" i="1"/>
  <c r="H15" i="1"/>
  <c r="I15" i="1"/>
  <c r="G15" i="1"/>
  <c r="H16" i="1"/>
  <c r="I16" i="1"/>
  <c r="G16" i="1"/>
  <c r="H17" i="1"/>
  <c r="G17" i="1"/>
  <c r="I17" i="1"/>
  <c r="H18" i="1"/>
  <c r="I18" i="1"/>
  <c r="G18" i="1"/>
  <c r="H19" i="1"/>
  <c r="I19" i="1"/>
  <c r="G19" i="1"/>
  <c r="H20" i="1"/>
  <c r="I20" i="1"/>
  <c r="G20" i="1"/>
  <c r="H21" i="1"/>
  <c r="I21" i="1"/>
  <c r="G21" i="1"/>
  <c r="H22" i="1"/>
  <c r="I22" i="1"/>
  <c r="G22" i="1"/>
  <c r="H23" i="1"/>
  <c r="I23" i="1"/>
  <c r="G23" i="1"/>
  <c r="H24" i="1"/>
  <c r="G24" i="1"/>
  <c r="H25" i="1"/>
  <c r="G25" i="1"/>
  <c r="I25" i="1"/>
  <c r="I24" i="1"/>
  <c r="H26" i="1"/>
  <c r="G26" i="1"/>
  <c r="I26" i="1"/>
  <c r="H27" i="1"/>
  <c r="I27" i="1"/>
  <c r="G27" i="1"/>
  <c r="H28" i="1"/>
  <c r="G28" i="1"/>
  <c r="I28" i="1"/>
  <c r="H29" i="1"/>
  <c r="G29" i="1"/>
  <c r="I29" i="1"/>
  <c r="H30" i="1"/>
  <c r="G30" i="1"/>
  <c r="I30" i="1"/>
  <c r="H31" i="1"/>
  <c r="G31" i="1"/>
  <c r="I31" i="1"/>
  <c r="H32" i="1"/>
  <c r="I32" i="1"/>
  <c r="G32" i="1"/>
  <c r="H33" i="1"/>
  <c r="I33" i="1"/>
  <c r="G33" i="1"/>
  <c r="H34" i="1"/>
  <c r="G34" i="1"/>
  <c r="I34" i="1"/>
  <c r="H35" i="1"/>
  <c r="G35" i="1"/>
  <c r="I35" i="1"/>
  <c r="H36" i="1"/>
  <c r="I36" i="1"/>
  <c r="G36" i="1"/>
  <c r="H37" i="1"/>
  <c r="G37" i="1"/>
  <c r="I37" i="1"/>
  <c r="H38" i="1"/>
  <c r="G38" i="1"/>
  <c r="I38" i="1"/>
  <c r="H39" i="1"/>
  <c r="I39" i="1"/>
  <c r="G39" i="1"/>
  <c r="H40" i="1"/>
  <c r="I40" i="1"/>
  <c r="G40" i="1"/>
  <c r="H41" i="1"/>
  <c r="G41" i="1"/>
  <c r="H42" i="1"/>
  <c r="I42" i="1"/>
  <c r="G42" i="1"/>
  <c r="I41" i="1"/>
  <c r="H43" i="1"/>
  <c r="G43" i="1"/>
  <c r="I43" i="1"/>
  <c r="H44" i="1"/>
  <c r="I44" i="1"/>
  <c r="G44" i="1"/>
  <c r="H45" i="1"/>
  <c r="G45" i="1"/>
  <c r="I45" i="1"/>
  <c r="H46" i="1"/>
  <c r="G46" i="1"/>
  <c r="I46" i="1"/>
  <c r="H47" i="1"/>
  <c r="I47" i="1"/>
  <c r="G47" i="1"/>
  <c r="H48" i="1"/>
  <c r="G48" i="1"/>
  <c r="I48" i="1"/>
  <c r="H49" i="1"/>
  <c r="I49" i="1"/>
  <c r="G49" i="1"/>
  <c r="H50" i="1"/>
  <c r="I50" i="1"/>
  <c r="G50" i="1"/>
  <c r="H51" i="1"/>
  <c r="G51" i="1"/>
  <c r="I51" i="1"/>
  <c r="H52" i="1"/>
  <c r="I52" i="1"/>
  <c r="G52" i="1"/>
  <c r="H53" i="1"/>
  <c r="G53" i="1"/>
  <c r="H54" i="1"/>
  <c r="G54" i="1"/>
  <c r="I54" i="1"/>
  <c r="I53" i="1"/>
  <c r="H55" i="1"/>
  <c r="I55" i="1"/>
  <c r="G55" i="1"/>
  <c r="H56" i="1"/>
  <c r="G56" i="1"/>
  <c r="H57" i="1"/>
  <c r="G57" i="1"/>
  <c r="I57" i="1"/>
  <c r="I56" i="1"/>
  <c r="H58" i="1"/>
  <c r="I58" i="1"/>
  <c r="G58" i="1"/>
  <c r="H59" i="1"/>
  <c r="I59" i="1"/>
  <c r="G59" i="1"/>
  <c r="H60" i="1"/>
  <c r="G60" i="1"/>
  <c r="I60" i="1"/>
  <c r="H61" i="1"/>
  <c r="I61" i="1"/>
  <c r="G61" i="1"/>
  <c r="H62" i="1"/>
  <c r="I62" i="1"/>
  <c r="G62" i="1"/>
  <c r="H63" i="1"/>
  <c r="G63" i="1"/>
  <c r="I63" i="1"/>
  <c r="H64" i="1"/>
  <c r="G64" i="1"/>
  <c r="I64" i="1"/>
  <c r="H65" i="1"/>
  <c r="G65" i="1"/>
  <c r="I65" i="1"/>
  <c r="H66" i="1"/>
  <c r="I66" i="1"/>
  <c r="G66" i="1"/>
  <c r="H67" i="1"/>
  <c r="H68" i="1"/>
  <c r="G67" i="1"/>
  <c r="G68" i="1"/>
  <c r="I67" i="1"/>
  <c r="C32" i="7"/>
  <c r="I49" i="7"/>
  <c r="I57" i="7"/>
  <c r="I59" i="7"/>
  <c r="I67" i="7"/>
  <c r="I69" i="7"/>
  <c r="C31" i="7"/>
  <c r="C33" i="7"/>
  <c r="I18" i="7"/>
  <c r="F57" i="15"/>
  <c r="I11" i="7"/>
  <c r="F58" i="15"/>
  <c r="G68" i="6"/>
  <c r="F65" i="21"/>
  <c r="F67" i="21"/>
  <c r="F18" i="21"/>
  <c r="F10" i="21"/>
  <c r="F11" i="21"/>
  <c r="C35" i="15"/>
  <c r="F66" i="15"/>
  <c r="G10" i="15"/>
  <c r="G11" i="15"/>
  <c r="F18" i="15"/>
  <c r="F11" i="15"/>
  <c r="F65" i="15"/>
  <c r="F6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Antle, Rick</author>
  </authors>
  <commentList>
    <comment ref="F10" authorId="0" shapeId="0" xr:uid="{323E294B-2A71-496C-A8A4-252AB77819AF}">
      <text>
        <r>
          <rPr>
            <b/>
            <sz val="10"/>
            <color indexed="81"/>
            <rFont val="Tahoma"/>
            <family val="2"/>
          </rPr>
          <t>Antle, Rick:</t>
        </r>
        <r>
          <rPr>
            <sz val="10"/>
            <color indexed="81"/>
            <rFont val="Tahoma"/>
            <family val="2"/>
          </rPr>
          <t xml:space="preserve">
Held-to-maturity accounting.</t>
        </r>
      </text>
    </comment>
    <comment ref="K10" authorId="0" shapeId="0" xr:uid="{8CFC64B8-579F-481E-B955-036B52688A4B}">
      <text>
        <r>
          <rPr>
            <b/>
            <sz val="10"/>
            <color indexed="81"/>
            <rFont val="Tahoma"/>
            <family val="2"/>
          </rPr>
          <t>Antle, Rick:</t>
        </r>
        <r>
          <rPr>
            <sz val="10"/>
            <color indexed="81"/>
            <rFont val="Tahoma"/>
            <family val="2"/>
          </rPr>
          <t xml:space="preserve">
Fair Value accounting.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<sst xmlns="http://schemas.openxmlformats.org/spreadsheetml/2006/main" count="442" uniqueCount="180">
  <si>
    <t>This workbook contains the analysis of the first 6 months of operations for 165WA, the first year, and the first two years.</t>
  </si>
  <si>
    <t>Recall that on:</t>
  </si>
  <si>
    <t>we established 165 Whitney Associates LLC, raised $50,000 cash in exchange for equity in 165 WA and used the $50,000 to buy 30 year U.S Governments bonds that we assume have a:</t>
  </si>
  <si>
    <t>We assume the bonds have a:</t>
  </si>
  <si>
    <t>year Term, and a</t>
  </si>
  <si>
    <t>coupon, payable semi-annually.</t>
  </si>
  <si>
    <t>The bonds were priced to yield a semi-annually compounded return of:</t>
  </si>
  <si>
    <t>Our $50,000 cash bought bonds with a face value of:</t>
  </si>
  <si>
    <t>We construct financial statements for the first 6 months, the first year</t>
  </si>
  <si>
    <t>and the second year of 165WA's life:</t>
  </si>
  <si>
    <t>Balance Sheets</t>
  </si>
  <si>
    <t>Income Statements</t>
  </si>
  <si>
    <t>Statements of Changes in Members' Equity</t>
  </si>
  <si>
    <t>Cash Flow Statements</t>
  </si>
  <si>
    <t>Reconciliations of Net Income and Cash Flow from Operations</t>
  </si>
  <si>
    <t>We then explore the effects of changes in interest rates.</t>
  </si>
  <si>
    <t>Face Value</t>
  </si>
  <si>
    <t>Coupon</t>
  </si>
  <si>
    <t>semi-annual</t>
  </si>
  <si>
    <t>Term</t>
  </si>
  <si>
    <t>years</t>
  </si>
  <si>
    <t>Time</t>
  </si>
  <si>
    <t>Face</t>
  </si>
  <si>
    <t>CashFlow</t>
  </si>
  <si>
    <t>Total cash</t>
  </si>
  <si>
    <t>Repay amt loaned</t>
  </si>
  <si>
    <t>Total interest</t>
  </si>
  <si>
    <t>Date</t>
  </si>
  <si>
    <t>Coupons</t>
  </si>
  <si>
    <t>semi annual</t>
  </si>
  <si>
    <t>PV at time 0</t>
  </si>
  <si>
    <t>Yield</t>
  </si>
  <si>
    <t>Comp semi-annually</t>
  </si>
  <si>
    <t>Time (years)</t>
  </si>
  <si>
    <t>PV of Cash Flow</t>
  </si>
  <si>
    <t>Bond Value</t>
  </si>
  <si>
    <t>Interest Income</t>
  </si>
  <si>
    <t>Check</t>
  </si>
  <si>
    <t>Total Coupon Payments</t>
  </si>
  <si>
    <t>Total Interest Revenue</t>
  </si>
  <si>
    <t>Total Cash Flows</t>
  </si>
  <si>
    <t>Cost</t>
  </si>
  <si>
    <t>PV @ Time</t>
  </si>
  <si>
    <t>Interest Rate</t>
  </si>
  <si>
    <t>Cash in Jar</t>
  </si>
  <si>
    <t>Constant Rate</t>
  </si>
  <si>
    <t>One Change (rate increase)</t>
  </si>
  <si>
    <t>Random</t>
  </si>
  <si>
    <t>J</t>
  </si>
  <si>
    <t>Oscillating</t>
  </si>
  <si>
    <t>K</t>
  </si>
  <si>
    <t>One Change (rate decrease)</t>
  </si>
  <si>
    <t>L</t>
  </si>
  <si>
    <t>M</t>
  </si>
  <si>
    <t>Parameters for random changes:</t>
  </si>
  <si>
    <t>N</t>
  </si>
  <si>
    <t>Decrease</t>
  </si>
  <si>
    <t>O</t>
  </si>
  <si>
    <t>Increase</t>
  </si>
  <si>
    <t>P</t>
  </si>
  <si>
    <t>Q</t>
  </si>
  <si>
    <t>R</t>
  </si>
  <si>
    <t>S</t>
  </si>
  <si>
    <t>Total Cash Flow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</si>
  <si>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</si>
  <si>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</si>
  <si>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</si>
  <si>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</si>
  <si>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</si>
  <si>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</si>
  <si>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</si>
  <si>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</si>
  <si>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</si>
  <si>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</si>
  <si>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 xml:space="preserve"> </t>
  </si>
  <si>
    <t>D</t>
  </si>
  <si>
    <t>E</t>
  </si>
  <si>
    <t>F</t>
  </si>
  <si>
    <t>G</t>
  </si>
  <si>
    <t>H</t>
  </si>
  <si>
    <t>I</t>
  </si>
  <si>
    <t>165 Whitney Associates LLC</t>
  </si>
  <si>
    <t>Balance Sheet</t>
  </si>
  <si>
    <t>as of Open of Business on</t>
  </si>
  <si>
    <t>Assets</t>
  </si>
  <si>
    <t>Liabilities</t>
  </si>
  <si>
    <t>Cash</t>
  </si>
  <si>
    <t>Payables</t>
  </si>
  <si>
    <t>Equities</t>
  </si>
  <si>
    <t>Total assets</t>
  </si>
  <si>
    <t>Total Liab &amp; Equities</t>
  </si>
  <si>
    <t>as of 9:30 am on</t>
  </si>
  <si>
    <t>as of Close of Business on</t>
  </si>
  <si>
    <t>U.S Govt 30 year Bonds</t>
  </si>
  <si>
    <t>Question 1: How much interest did 165WA earn over this first six months?</t>
  </si>
  <si>
    <t>Accounting statements:</t>
  </si>
  <si>
    <t>Interest revenue</t>
  </si>
  <si>
    <t>Amount of investment at beg of period:</t>
  </si>
  <si>
    <t xml:space="preserve"> Balance Sheets</t>
  </si>
  <si>
    <t>Interest rate:</t>
  </si>
  <si>
    <t>Semi-annual factor</t>
  </si>
  <si>
    <t>Interest earned</t>
  </si>
  <si>
    <t>Question 2: How much cash did 165WA get?</t>
  </si>
  <si>
    <t>U.S. Govt 30 Year Bonds</t>
  </si>
  <si>
    <t>Coupon payment</t>
  </si>
  <si>
    <t>Total Assets</t>
  </si>
  <si>
    <t>Face value of bonds</t>
  </si>
  <si>
    <t>Liabilites</t>
  </si>
  <si>
    <t>Coupon rate</t>
  </si>
  <si>
    <t>Equity</t>
  </si>
  <si>
    <t>Cash received</t>
  </si>
  <si>
    <t>Contributed</t>
  </si>
  <si>
    <t>Retained Earnings</t>
  </si>
  <si>
    <t>Question 3: How did the value of the bond change over these 6 months?</t>
  </si>
  <si>
    <t>Income Statement</t>
  </si>
  <si>
    <t>For the Six Months Ended</t>
  </si>
  <si>
    <t>Revenues</t>
  </si>
  <si>
    <t>Change in value</t>
  </si>
  <si>
    <t>Interest income</t>
  </si>
  <si>
    <t>Alternatively:</t>
  </si>
  <si>
    <t>Expenses</t>
  </si>
  <si>
    <t>PV of remaining cash flows at:</t>
  </si>
  <si>
    <t>Net Income</t>
  </si>
  <si>
    <t>Statement of Changes in Members' Equity</t>
  </si>
  <si>
    <t>Earned and Retained</t>
  </si>
  <si>
    <t>Total</t>
  </si>
  <si>
    <t>Issued equity to members</t>
  </si>
  <si>
    <t>Net income</t>
  </si>
  <si>
    <t>Cash Flow Statement (Direct Method)</t>
  </si>
  <si>
    <t>Operations</t>
  </si>
  <si>
    <t>Investing</t>
  </si>
  <si>
    <t>Bought bonds</t>
  </si>
  <si>
    <t>Financing</t>
  </si>
  <si>
    <t>Issued shares</t>
  </si>
  <si>
    <t>Total cash flows</t>
  </si>
  <si>
    <t xml:space="preserve">Cash at </t>
  </si>
  <si>
    <t>Reconciliation of Net Income and Cash Flow from Operations</t>
  </si>
  <si>
    <t>Amortization of bond discount</t>
  </si>
  <si>
    <t>Cash flow from operations</t>
  </si>
  <si>
    <t>Now we zoom ahead another six months to the end of the day on</t>
  </si>
  <si>
    <t>Question 3: How much interest revenue did 165WA earn over the second six months?</t>
  </si>
  <si>
    <t>First, what about the cash of:</t>
  </si>
  <si>
    <t>Assume it is held in a jar in the Dean's office. I.e., it is not earning anything.</t>
  </si>
  <si>
    <t>Question 4: How much cash did 165WA receive during the second six months?</t>
  </si>
  <si>
    <t>Semi-annual adjustment factor</t>
  </si>
  <si>
    <t>Payment received</t>
  </si>
  <si>
    <t>Question 5: By how much did the value of the bonds change over these 6 months?</t>
  </si>
  <si>
    <t>Value at the beginning</t>
  </si>
  <si>
    <t>For the Year Ended</t>
  </si>
  <si>
    <t>Value of bond at end of year</t>
  </si>
  <si>
    <t>Alternatively</t>
  </si>
  <si>
    <t>Present value of remaining cash flows on:</t>
  </si>
  <si>
    <t>Increase in value</t>
  </si>
  <si>
    <t>Coupon payments</t>
  </si>
  <si>
    <t>Issued equity</t>
  </si>
  <si>
    <t>Cash on</t>
  </si>
  <si>
    <t>Now we zoom ahead one year to the end of the day on</t>
  </si>
  <si>
    <t>Question 6: How much interest revenue did 165WA earn over the second year?</t>
  </si>
  <si>
    <t>First half of Yr</t>
  </si>
  <si>
    <t>as of</t>
  </si>
  <si>
    <t>Second half of Yr</t>
  </si>
  <si>
    <t>Total over the year</t>
  </si>
  <si>
    <t>Question 7: How much cash did 165WA receive during the year?</t>
  </si>
  <si>
    <t>Payment received each 6 months</t>
  </si>
  <si>
    <t>Number of coupon payments</t>
  </si>
  <si>
    <t>Cash received during year</t>
  </si>
  <si>
    <t>Question 8: By how much did the value of the bonds change over the year?</t>
  </si>
  <si>
    <t>Change</t>
  </si>
  <si>
    <t>Cash Flow Statement (Direct method)</t>
  </si>
  <si>
    <t>Bond discount amortization</t>
  </si>
  <si>
    <t>Question 9: How much interest revenue did 165WA earn over the second year?</t>
  </si>
  <si>
    <t>Question 10: How much cash did 165WA receive during the year?</t>
  </si>
  <si>
    <t>Question 11: By how much did the value of the bonds change over the year?</t>
  </si>
  <si>
    <t>Holding gain (loss) on U.S. Govt 30 Year Bonds</t>
  </si>
  <si>
    <t>Net Income (Loss)</t>
  </si>
  <si>
    <t>Cash Flow Statement</t>
  </si>
  <si>
    <t>Cash at the beginning of the period</t>
  </si>
  <si>
    <t>Cash at the end of the period</t>
  </si>
  <si>
    <t>Holding (Gain) Loss on U.S. Govt 30 year bonds</t>
  </si>
  <si>
    <t>Present value of cash flow at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</si>
</sst>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0.0"/>
    <numFmt numFmtId="167" formatCode="&quot;$&quot;#,##0.00"/>
    <numFmt numFmtId="168" formatCode="[$-409]d\-mmm\-yyyy;@"/>
    <numFmt numFmtId="169" formatCode="_(&quot;$&quot;* #,##0_);_(&quot;$&quot;* \(#,##0\);_(&quot;$&quot;* &quot;-&quot;??_);_(@_)"/>
    <numFmt numFmtId="170" formatCode="mmmm\ dd\,\ yyyy"/>
    <numFmt numFmtId="171" formatCode="0.0%"/>
    <numFmt numFmtId="172" formatCode="_([$$-409]* #,##0.0_);_([$$-409]* \(#,##0.0\);_([$$-409]* &quot;-&quot;??_);_(@_)"/>
    <numFmt numFmtId="173" formatCode="[$-409]mmmm\ d\,\ yyyy;@"/>
  </numFmts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5">
    <xf numFmtId="0" fontId="0" fillId="0" borderId="0" xfId="0"/>
    <xf numFmtId="10" fontId="0" fillId="0" borderId="0" xfId="0" applyNumberFormat="1"/>
    <xf numFmtId="166" fontId="0" fillId="0" borderId="0" xfId="0" applyNumberFormat="1"/>
    <xf numFmtId="44" fontId="0" fillId="0" borderId="0" xfId="0" applyNumberFormat="1"/>
    <xf numFmtId="167" fontId="0" fillId="0" borderId="0" xfId="0" applyNumberFormat="1"/>
    <xf numFmtId="6" fontId="0" fillId="0" borderId="0" xfId="0" applyNumberFormat="1"/>
    <xf numFmtId="6" fontId="0" fillId="0" borderId="1" xfId="0" applyNumberForma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/>
    <xf numFmtId="8" fontId="0" fillId="0" borderId="0" xfId="0" applyNumberFormat="1"/>
    <xf numFmtId="8" fontId="0" fillId="0" borderId="1" xfId="0" applyNumberFormat="1" applyBorder="1"/>
    <xf numFmtId="44" fontId="0" fillId="0" borderId="2" xfId="0" applyNumberFormat="1" applyBorder="1"/>
    <xf numFmtId="44" fontId="0" fillId="0" borderId="3" xfId="0" applyNumberFormat="1" applyBorder="1"/>
    <xf numFmtId="0" fontId="0" fillId="0" borderId="2" xfId="0" applyBorder="1"/>
    <xf numFmtId="164" fontId="0" fillId="0" borderId="1" xfId="0" applyNumberFormat="1" applyBorder="1"/>
    <xf numFmtId="165" fontId="0" fillId="0" borderId="0" xfId="0" applyNumberFormat="1"/>
    <xf numFmtId="166" fontId="0" fillId="0" borderId="4" xfId="0" applyNumberFormat="1" applyBorder="1"/>
    <xf numFmtId="44" fontId="0" fillId="0" borderId="4" xfId="0" applyNumberFormat="1" applyBorder="1"/>
    <xf numFmtId="167" fontId="0" fillId="0" borderId="4" xfId="0" applyNumberFormat="1" applyBorder="1"/>
    <xf numFmtId="44" fontId="0" fillId="0" borderId="5" xfId="0" applyNumberFormat="1" applyBorder="1"/>
    <xf numFmtId="165" fontId="0" fillId="0" borderId="1" xfId="0" applyNumberFormat="1" applyBorder="1"/>
    <xf numFmtId="167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2" borderId="0" xfId="0" applyFill="1" applyAlignment="1">
      <alignment horizontal="center"/>
    </xf>
    <xf numFmtId="0" fontId="0" fillId="2" borderId="0" xfId="0" applyFill="1"/>
    <xf numFmtId="167" fontId="0" fillId="2" borderId="0" xfId="0" applyNumberFormat="1" applyFill="1"/>
    <xf numFmtId="15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center"/>
    </xf>
    <xf numFmtId="169" fontId="0" fillId="0" borderId="0" xfId="0" applyNumberFormat="1"/>
    <xf numFmtId="44" fontId="1" fillId="0" borderId="0" xfId="0" applyNumberFormat="1" applyFont="1"/>
    <xf numFmtId="44" fontId="1" fillId="0" borderId="1" xfId="0" applyNumberFormat="1" applyFont="1" applyBorder="1"/>
    <xf numFmtId="44" fontId="1" fillId="0" borderId="2" xfId="0" applyNumberFormat="1" applyFont="1" applyBorder="1"/>
    <xf numFmtId="0" fontId="1" fillId="0" borderId="4" xfId="0" applyFont="1" applyBorder="1" applyAlignment="1">
      <alignment horizontal="center"/>
    </xf>
    <xf numFmtId="10" fontId="1" fillId="3" borderId="0" xfId="0" applyNumberFormat="1" applyFont="1" applyFill="1"/>
    <xf numFmtId="170" fontId="0" fillId="0" borderId="0" xfId="0" applyNumberFormat="1"/>
    <xf numFmtId="170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44" fontId="0" fillId="0" borderId="0" xfId="40" applyFont="1"/>
    <xf numFmtId="43" fontId="0" fillId="0" borderId="0" xfId="41" applyFont="1"/>
    <xf numFmtId="43" fontId="0" fillId="0" borderId="4" xfId="41" applyFont="1" applyBorder="1"/>
    <xf numFmtId="44" fontId="0" fillId="0" borderId="6" xfId="0" applyNumberFormat="1" applyBorder="1"/>
    <xf numFmtId="8" fontId="0" fillId="0" borderId="2" xfId="0" applyNumberFormat="1" applyBorder="1"/>
    <xf numFmtId="43" fontId="0" fillId="0" borderId="2" xfId="41" applyFont="1" applyBorder="1"/>
    <xf numFmtId="14" fontId="1" fillId="0" borderId="0" xfId="0" applyNumberFormat="1" applyFont="1" applyAlignment="1">
      <alignment horizontal="center"/>
    </xf>
    <xf numFmtId="10" fontId="1" fillId="0" borderId="0" xfId="42" applyNumberFormat="1" applyFont="1" applyAlignment="1">
      <alignment horizontal="center"/>
    </xf>
    <xf numFmtId="44" fontId="1" fillId="0" borderId="0" xfId="40" applyFont="1" applyAlignment="1"/>
    <xf numFmtId="168" fontId="1" fillId="0" borderId="2" xfId="0" applyNumberFormat="1" applyFont="1" applyBorder="1"/>
    <xf numFmtId="168" fontId="1" fillId="0" borderId="2" xfId="0" applyNumberFormat="1" applyFont="1" applyBorder="1" applyAlignment="1">
      <alignment horizontal="center"/>
    </xf>
    <xf numFmtId="170" fontId="1" fillId="0" borderId="0" xfId="0" applyNumberFormat="1" applyFont="1" applyAlignment="1">
      <alignment horizontal="centerContinuous"/>
    </xf>
    <xf numFmtId="0" fontId="0" fillId="0" borderId="0" xfId="0" applyAlignment="1">
      <alignment horizontal="left" indent="2"/>
    </xf>
    <xf numFmtId="171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72" fontId="0" fillId="0" borderId="0" xfId="0" applyNumberFormat="1"/>
    <xf numFmtId="0" fontId="0" fillId="4" borderId="0" xfId="0" applyFill="1"/>
    <xf numFmtId="0" fontId="1" fillId="4" borderId="0" xfId="0" applyFont="1" applyFill="1"/>
    <xf numFmtId="168" fontId="1" fillId="4" borderId="2" xfId="0" applyNumberFormat="1" applyFont="1" applyFill="1" applyBorder="1"/>
    <xf numFmtId="44" fontId="0" fillId="4" borderId="0" xfId="0" applyNumberFormat="1" applyFill="1"/>
    <xf numFmtId="44" fontId="0" fillId="4" borderId="1" xfId="0" applyNumberFormat="1" applyFill="1" applyBorder="1"/>
    <xf numFmtId="43" fontId="0" fillId="4" borderId="0" xfId="41" applyFont="1" applyFill="1"/>
    <xf numFmtId="168" fontId="0" fillId="4" borderId="0" xfId="0" applyNumberFormat="1" applyFill="1"/>
    <xf numFmtId="43" fontId="0" fillId="4" borderId="0" xfId="41" applyFont="1" applyFill="1" applyBorder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70" fontId="1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168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73" fontId="1" fillId="4" borderId="0" xfId="0" applyNumberFormat="1" applyFont="1" applyFill="1" applyAlignment="1">
      <alignment horizontal="center"/>
    </xf>
    <xf numFmtId="0" fontId="1" fillId="0" borderId="0" xfId="0" applyFont="1" applyAlignment="1"/>
  </cellXfs>
  <cellStyles count="43">
    <cellStyle name="Comma" xfId="41" builtinId="3"/>
    <cellStyle name="Currency" xfId="40" builtinId="4"/>
    <cellStyle name="Followed Hyperlink" xfId="14" builtinId="9" hidden="1"/>
    <cellStyle name="Followed Hyperlink" xfId="6" builtinId="9" hidden="1"/>
    <cellStyle name="Followed Hyperlink" xfId="2" builtinId="9" hidden="1"/>
    <cellStyle name="Followed Hyperlink" xfId="18" builtinId="9" hidden="1"/>
    <cellStyle name="Followed Hyperlink" xfId="4" builtinId="9" hidden="1"/>
    <cellStyle name="Followed Hyperlink" xfId="16" builtinId="9" hidden="1"/>
    <cellStyle name="Followed Hyperlink" xfId="12" builtinId="9" hidden="1"/>
    <cellStyle name="Followed Hyperlink" xfId="10" builtinId="9" hidden="1"/>
    <cellStyle name="Followed Hyperlink" xfId="20" builtinId="9" hidden="1"/>
    <cellStyle name="Followed Hyperlink" xfId="8" builtinId="9" hidden="1"/>
    <cellStyle name="Followed Hyperlink" xfId="22" builtinId="9" hidden="1"/>
    <cellStyle name="Followed Hyperlink" xfId="38" builtinId="9" hidden="1"/>
    <cellStyle name="Followed Hyperlink" xfId="28" builtinId="9" hidden="1"/>
    <cellStyle name="Followed Hyperlink" xfId="24" builtinId="9" hidden="1"/>
    <cellStyle name="Followed Hyperlink" xfId="32" builtinId="9" hidden="1"/>
    <cellStyle name="Followed Hyperlink" xfId="37" builtinId="9" hidden="1"/>
    <cellStyle name="Followed Hyperlink" xfId="26" builtinId="9" hidden="1"/>
    <cellStyle name="Followed Hyperlink" xfId="39" builtinId="9" hidden="1"/>
    <cellStyle name="Followed Hyperlink" xfId="30" builtinId="9" hidden="1"/>
    <cellStyle name="Followed Hyperlink" xfId="36" builtinId="9" hidden="1"/>
    <cellStyle name="Followed Hyperlink" xfId="34" builtinId="9" hidden="1"/>
    <cellStyle name="Hyperlink" xfId="17" builtinId="8" hidden="1"/>
    <cellStyle name="Hyperlink" xfId="29" builtinId="8" hidden="1"/>
    <cellStyle name="Hyperlink" xfId="15" builtinId="8" hidden="1"/>
    <cellStyle name="Hyperlink" xfId="3" builtinId="8" hidden="1"/>
    <cellStyle name="Hyperlink" xfId="5" builtinId="8" hidden="1"/>
    <cellStyle name="Hyperlink" xfId="13" builtinId="8" hidden="1"/>
    <cellStyle name="Hyperlink" xfId="23" builtinId="8" hidden="1"/>
    <cellStyle name="Hyperlink" xfId="9" builtinId="8" hidden="1"/>
    <cellStyle name="Hyperlink" xfId="35" builtinId="8" hidden="1"/>
    <cellStyle name="Hyperlink" xfId="7" builtinId="8" hidden="1"/>
    <cellStyle name="Hyperlink" xfId="33" builtinId="8" hidden="1"/>
    <cellStyle name="Hyperlink" xfId="25" builtinId="8" hidden="1"/>
    <cellStyle name="Hyperlink" xfId="19" builtinId="8" hidden="1"/>
    <cellStyle name="Hyperlink" xfId="21" builtinId="8" hidden="1"/>
    <cellStyle name="Hyperlink" xfId="31" builtinId="8" hidden="1"/>
    <cellStyle name="Hyperlink" xfId="11" builtinId="8" hidden="1"/>
    <cellStyle name="Hyperlink" xfId="27" builtinId="8" hidden="1"/>
    <cellStyle name="Hyperlink" xfId="1" builtinId="8" hidden="1"/>
    <cellStyle name="Normal" xfId="0" builtinId="0"/>
    <cellStyle name="Percent" xfId="42" builtinId="5"/>
  </cellStyles>
  <dxfs count="1">
    <dxf>
      <font>
        <color theme="0" tint="-4.9989318521683403E-2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hartsheet" Target="chartsheets/sheet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chartsheet" Target="chart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9.xml"/><Relationship Id="rId5" Type="http://schemas.openxmlformats.org/officeDocument/2006/relationships/chartsheet" Target="chartsheets/sheet1.xml"/><Relationship Id="rId15" Type="http://schemas.openxmlformats.org/officeDocument/2006/relationships/theme" Target="theme/theme1.xml"/><Relationship Id="rId10" Type="http://schemas.openxmlformats.org/officeDocument/2006/relationships/worksheet" Target="worksheets/sheet8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 Values Through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PVs_thru_Time_Calculations!$AM$3</c:f>
              <c:strCache>
                <c:ptCount val="1"/>
                <c:pt idx="0">
                  <c:v>PV @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05684564811927E-2"/>
                  <c:y val="-2.22526747412390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AB-4CB3-B695-2AC4B94EB8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AB-4CB3-B695-2AC4B94EB8B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AB-4CB3-B695-2AC4B94EB8B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AB-4CB3-B695-2AC4B94EB8B9}"/>
                </c:ext>
              </c:extLst>
            </c:dLbl>
            <c:dLbl>
              <c:idx val="30"/>
              <c:layout>
                <c:manualLayout>
                  <c:x val="-3.047265412796572E-2"/>
                  <c:y val="-2.83215860343041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AB-4CB3-B695-2AC4B94EB8B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PVs_thru_Time_Calculations!$AL$4:$AL$34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PVs_thru_Time_Calculations!$AM$4:$AM$34</c:f>
              <c:numCache>
                <c:formatCode>_([$$-409]* #,##0.0_);_([$$-409]* \(#,##0.0\);_([$$-409]* "-"??_);_(@_)</c:formatCode>
                <c:ptCount val="31"/>
                <c:pt idx="0">
                  <c:v>50.000001827595938</c:v>
                </c:pt>
                <c:pt idx="1">
                  <c:v>59.206670628959557</c:v>
                </c:pt>
                <c:pt idx="2">
                  <c:v>43.106558155565949</c:v>
                </c:pt>
                <c:pt idx="3">
                  <c:v>50.379243899473927</c:v>
                </c:pt>
                <c:pt idx="4">
                  <c:v>59.128679822127026</c:v>
                </c:pt>
                <c:pt idx="5">
                  <c:v>50.664252317887744</c:v>
                </c:pt>
                <c:pt idx="6">
                  <c:v>50.81737768223384</c:v>
                </c:pt>
                <c:pt idx="7">
                  <c:v>38.828505251524668</c:v>
                </c:pt>
                <c:pt idx="8">
                  <c:v>44.621555698126194</c:v>
                </c:pt>
                <c:pt idx="9">
                  <c:v>39.568464371100845</c:v>
                </c:pt>
                <c:pt idx="10">
                  <c:v>35.509751795404455</c:v>
                </c:pt>
                <c:pt idx="11">
                  <c:v>32.222691834279495</c:v>
                </c:pt>
                <c:pt idx="12">
                  <c:v>36.524845155956406</c:v>
                </c:pt>
                <c:pt idx="13">
                  <c:v>41.384953576093203</c:v>
                </c:pt>
                <c:pt idx="14">
                  <c:v>37.709394805934991</c:v>
                </c:pt>
                <c:pt idx="15">
                  <c:v>34.759192351923645</c:v>
                </c:pt>
                <c:pt idx="16">
                  <c:v>39.091689211349511</c:v>
                </c:pt>
                <c:pt idx="17">
                  <c:v>36.398452182524721</c:v>
                </c:pt>
                <c:pt idx="18">
                  <c:v>44.467377746317844</c:v>
                </c:pt>
                <c:pt idx="19">
                  <c:v>45.218910630328743</c:v>
                </c:pt>
                <c:pt idx="20">
                  <c:v>49.79865048102883</c:v>
                </c:pt>
                <c:pt idx="21">
                  <c:v>54.266084116208447</c:v>
                </c:pt>
                <c:pt idx="22">
                  <c:v>54.596754296247205</c:v>
                </c:pt>
                <c:pt idx="23">
                  <c:v>48.788211822169401</c:v>
                </c:pt>
                <c:pt idx="24">
                  <c:v>52.491768392658749</c:v>
                </c:pt>
                <c:pt idx="25">
                  <c:v>50.968773262972377</c:v>
                </c:pt>
                <c:pt idx="26">
                  <c:v>50.338006869609039</c:v>
                </c:pt>
                <c:pt idx="27">
                  <c:v>50.61425367449128</c:v>
                </c:pt>
                <c:pt idx="28">
                  <c:v>54.845005462507572</c:v>
                </c:pt>
                <c:pt idx="29">
                  <c:v>56.321726167059666</c:v>
                </c:pt>
                <c:pt idx="30">
                  <c:v>57.90164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9-40D2-B4B1-35720F39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968328"/>
        <c:axId val="1686984712"/>
      </c:lineChart>
      <c:lineChart>
        <c:grouping val="standard"/>
        <c:varyColors val="0"/>
        <c:ser>
          <c:idx val="2"/>
          <c:order val="1"/>
          <c:tx>
            <c:strRef>
              <c:f>PVs_thru_Time_Calculations!$AN$3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5400" cap="rnd">
              <a:solidFill>
                <a:schemeClr val="tx1">
                  <a:lumMod val="85000"/>
                  <a:lumOff val="1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PVs_thru_Time_Calculations!$AN$4:$AN$34</c:f>
              <c:numCache>
                <c:formatCode>0.0%</c:formatCode>
                <c:ptCount val="31"/>
                <c:pt idx="0">
                  <c:v>4.87E-2</c:v>
                </c:pt>
                <c:pt idx="1">
                  <c:v>3.8699999999999998E-2</c:v>
                </c:pt>
                <c:pt idx="2">
                  <c:v>5.8700000000000002E-2</c:v>
                </c:pt>
                <c:pt idx="3">
                  <c:v>4.87E-2</c:v>
                </c:pt>
                <c:pt idx="4">
                  <c:v>3.8699999999999998E-2</c:v>
                </c:pt>
                <c:pt idx="5">
                  <c:v>4.87E-2</c:v>
                </c:pt>
                <c:pt idx="6">
                  <c:v>4.87E-2</c:v>
                </c:pt>
                <c:pt idx="7">
                  <c:v>6.8699999999999997E-2</c:v>
                </c:pt>
                <c:pt idx="8">
                  <c:v>5.8699999999999995E-2</c:v>
                </c:pt>
                <c:pt idx="9">
                  <c:v>6.8699999999999997E-2</c:v>
                </c:pt>
                <c:pt idx="10">
                  <c:v>7.8699999999999992E-2</c:v>
                </c:pt>
                <c:pt idx="11">
                  <c:v>8.8699999999999987E-2</c:v>
                </c:pt>
                <c:pt idx="12">
                  <c:v>7.8699999999999992E-2</c:v>
                </c:pt>
                <c:pt idx="13">
                  <c:v>6.8699999999999997E-2</c:v>
                </c:pt>
                <c:pt idx="14">
                  <c:v>7.8699999999999992E-2</c:v>
                </c:pt>
                <c:pt idx="15">
                  <c:v>8.8699999999999987E-2</c:v>
                </c:pt>
                <c:pt idx="16">
                  <c:v>7.8699999999999992E-2</c:v>
                </c:pt>
                <c:pt idx="17">
                  <c:v>8.8699999999999987E-2</c:v>
                </c:pt>
                <c:pt idx="18">
                  <c:v>6.8699999999999983E-2</c:v>
                </c:pt>
                <c:pt idx="19">
                  <c:v>6.8699999999999983E-2</c:v>
                </c:pt>
                <c:pt idx="20">
                  <c:v>5.8699999999999981E-2</c:v>
                </c:pt>
                <c:pt idx="21">
                  <c:v>4.8699999999999979E-2</c:v>
                </c:pt>
                <c:pt idx="22">
                  <c:v>4.8699999999999979E-2</c:v>
                </c:pt>
                <c:pt idx="23">
                  <c:v>6.8699999999999983E-2</c:v>
                </c:pt>
                <c:pt idx="24">
                  <c:v>5.8699999999999981E-2</c:v>
                </c:pt>
                <c:pt idx="25">
                  <c:v>6.8699999999999983E-2</c:v>
                </c:pt>
                <c:pt idx="26">
                  <c:v>7.8699999999999978E-2</c:v>
                </c:pt>
                <c:pt idx="27">
                  <c:v>8.8699999999999973E-2</c:v>
                </c:pt>
                <c:pt idx="28">
                  <c:v>6.8699999999999969E-2</c:v>
                </c:pt>
                <c:pt idx="29">
                  <c:v>6.8699999999999969E-2</c:v>
                </c:pt>
                <c:pt idx="30">
                  <c:v>5.8699999999999967E-2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9-40D2-B4B1-35720F39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38408"/>
        <c:axId val="1275451400"/>
      </c:lineChart>
      <c:catAx>
        <c:axId val="1686968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r>
                  <a:rPr lang="en-US" baseline="0"/>
                  <a:t> (January 29, 20XX)</a:t>
                </a:r>
                <a:endParaRPr lang="en-US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84712"/>
        <c:crosses val="autoZero"/>
        <c:auto val="1"/>
        <c:lblAlgn val="ctr"/>
        <c:lblOffset val="100"/>
        <c:noMultiLvlLbl val="0"/>
      </c:catAx>
      <c:valAx>
        <c:axId val="168698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PV @ Time (Thousands)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_);_([$$-409]* \(#,##0.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68328"/>
        <c:crosses val="autoZero"/>
        <c:crossBetween val="between"/>
      </c:valAx>
      <c:valAx>
        <c:axId val="1275451400"/>
        <c:scaling>
          <c:orientation val="minMax"/>
          <c:max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Interest Rate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38408"/>
        <c:crosses val="max"/>
        <c:crossBetween val="between"/>
      </c:valAx>
      <c:catAx>
        <c:axId val="12848384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275451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 Values,</a:t>
            </a:r>
            <a:r>
              <a:rPr lang="en-US" baseline="0"/>
              <a:t> Interest Rates and Accumulated Cash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PVs_thru_Time_Calculations!$AM$3</c:f>
              <c:strCache>
                <c:ptCount val="1"/>
                <c:pt idx="0">
                  <c:v>PV @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05684564811927E-2"/>
                  <c:y val="-2.22526747412390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E0-4611-AA23-4A91C42D7C9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E0-4611-AA23-4A91C42D7C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E0-4611-AA23-4A91C42D7C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E0-4611-AA23-4A91C42D7C94}"/>
                </c:ext>
              </c:extLst>
            </c:dLbl>
            <c:dLbl>
              <c:idx val="30"/>
              <c:layout>
                <c:manualLayout>
                  <c:x val="-3.047265412796572E-2"/>
                  <c:y val="-2.83215860343041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E0-4611-AA23-4A91C42D7C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PVs_thru_Time_Calculations!$AL$4:$AL$34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PVs_thru_Time_Calculations!$AM$4:$AM$34</c:f>
              <c:numCache>
                <c:formatCode>_([$$-409]* #,##0.0_);_([$$-409]* \(#,##0.0\);_([$$-409]* "-"??_);_(@_)</c:formatCode>
                <c:ptCount val="31"/>
                <c:pt idx="0">
                  <c:v>50.000001827595938</c:v>
                </c:pt>
                <c:pt idx="1">
                  <c:v>59.206670628959557</c:v>
                </c:pt>
                <c:pt idx="2">
                  <c:v>43.106558155565949</c:v>
                </c:pt>
                <c:pt idx="3">
                  <c:v>50.379243899473927</c:v>
                </c:pt>
                <c:pt idx="4">
                  <c:v>59.128679822127026</c:v>
                </c:pt>
                <c:pt idx="5">
                  <c:v>50.664252317887744</c:v>
                </c:pt>
                <c:pt idx="6">
                  <c:v>50.81737768223384</c:v>
                </c:pt>
                <c:pt idx="7">
                  <c:v>38.828505251524668</c:v>
                </c:pt>
                <c:pt idx="8">
                  <c:v>44.621555698126194</c:v>
                </c:pt>
                <c:pt idx="9">
                  <c:v>39.568464371100845</c:v>
                </c:pt>
                <c:pt idx="10">
                  <c:v>35.509751795404455</c:v>
                </c:pt>
                <c:pt idx="11">
                  <c:v>32.222691834279495</c:v>
                </c:pt>
                <c:pt idx="12">
                  <c:v>36.524845155956406</c:v>
                </c:pt>
                <c:pt idx="13">
                  <c:v>41.384953576093203</c:v>
                </c:pt>
                <c:pt idx="14">
                  <c:v>37.709394805934991</c:v>
                </c:pt>
                <c:pt idx="15">
                  <c:v>34.759192351923645</c:v>
                </c:pt>
                <c:pt idx="16">
                  <c:v>39.091689211349511</c:v>
                </c:pt>
                <c:pt idx="17">
                  <c:v>36.398452182524721</c:v>
                </c:pt>
                <c:pt idx="18">
                  <c:v>44.467377746317844</c:v>
                </c:pt>
                <c:pt idx="19">
                  <c:v>45.218910630328743</c:v>
                </c:pt>
                <c:pt idx="20">
                  <c:v>49.79865048102883</c:v>
                </c:pt>
                <c:pt idx="21">
                  <c:v>54.266084116208447</c:v>
                </c:pt>
                <c:pt idx="22">
                  <c:v>54.596754296247205</c:v>
                </c:pt>
                <c:pt idx="23">
                  <c:v>48.788211822169401</c:v>
                </c:pt>
                <c:pt idx="24">
                  <c:v>52.491768392658749</c:v>
                </c:pt>
                <c:pt idx="25">
                  <c:v>50.968773262972377</c:v>
                </c:pt>
                <c:pt idx="26">
                  <c:v>50.338006869609039</c:v>
                </c:pt>
                <c:pt idx="27">
                  <c:v>50.61425367449128</c:v>
                </c:pt>
                <c:pt idx="28">
                  <c:v>54.845005462507572</c:v>
                </c:pt>
                <c:pt idx="29">
                  <c:v>56.321726167059666</c:v>
                </c:pt>
                <c:pt idx="30">
                  <c:v>57.90164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E0-4611-AA23-4A91C42D7C94}"/>
            </c:ext>
          </c:extLst>
        </c:ser>
        <c:ser>
          <c:idx val="0"/>
          <c:order val="2"/>
          <c:tx>
            <c:strRef>
              <c:f>PVs_thru_Time_Calculations!$AO$3</c:f>
              <c:strCache>
                <c:ptCount val="1"/>
                <c:pt idx="0">
                  <c:v>Cash in Jar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PVs_thru_Time_Calculations!$AL$4:$AL$34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PVs_thru_Time_Calculations!$AO$4:$AO$34</c:f>
              <c:numCache>
                <c:formatCode>_("$"* #,##0.00_);_("$"* \(#,##0.00\);_("$"* "-"??_);_(@_)</c:formatCode>
                <c:ptCount val="31"/>
                <c:pt idx="0">
                  <c:v>0</c:v>
                </c:pt>
                <c:pt idx="1">
                  <c:v>2.3160655999999999</c:v>
                </c:pt>
                <c:pt idx="2">
                  <c:v>4.6321311999999999</c:v>
                </c:pt>
                <c:pt idx="3">
                  <c:v>6.9481967999999998</c:v>
                </c:pt>
                <c:pt idx="4">
                  <c:v>9.2642623999999998</c:v>
                </c:pt>
                <c:pt idx="5">
                  <c:v>11.580328</c:v>
                </c:pt>
                <c:pt idx="6">
                  <c:v>13.8963936</c:v>
                </c:pt>
                <c:pt idx="7">
                  <c:v>16.212459199999998</c:v>
                </c:pt>
                <c:pt idx="8">
                  <c:v>18.5285248</c:v>
                </c:pt>
                <c:pt idx="9">
                  <c:v>20.844590400000001</c:v>
                </c:pt>
                <c:pt idx="10">
                  <c:v>23.160656000000003</c:v>
                </c:pt>
                <c:pt idx="11">
                  <c:v>25.476721600000005</c:v>
                </c:pt>
                <c:pt idx="12">
                  <c:v>27.792787200000006</c:v>
                </c:pt>
                <c:pt idx="13">
                  <c:v>30.108852800000008</c:v>
                </c:pt>
                <c:pt idx="14">
                  <c:v>32.42491840000001</c:v>
                </c:pt>
                <c:pt idx="15">
                  <c:v>34.740984000000012</c:v>
                </c:pt>
                <c:pt idx="16">
                  <c:v>37.057049600000013</c:v>
                </c:pt>
                <c:pt idx="17">
                  <c:v>39.373115200000015</c:v>
                </c:pt>
                <c:pt idx="18">
                  <c:v>41.689180800000017</c:v>
                </c:pt>
                <c:pt idx="19">
                  <c:v>44.005246400000019</c:v>
                </c:pt>
                <c:pt idx="20">
                  <c:v>46.32131200000002</c:v>
                </c:pt>
                <c:pt idx="21">
                  <c:v>48.637377600000022</c:v>
                </c:pt>
                <c:pt idx="22">
                  <c:v>50.953443200000024</c:v>
                </c:pt>
                <c:pt idx="23">
                  <c:v>53.269508800000025</c:v>
                </c:pt>
                <c:pt idx="24">
                  <c:v>55.585574400000027</c:v>
                </c:pt>
                <c:pt idx="25">
                  <c:v>57.901640000000029</c:v>
                </c:pt>
                <c:pt idx="26">
                  <c:v>60.217705600000031</c:v>
                </c:pt>
                <c:pt idx="27">
                  <c:v>62.533771200000032</c:v>
                </c:pt>
                <c:pt idx="28">
                  <c:v>64.849836800000034</c:v>
                </c:pt>
                <c:pt idx="29">
                  <c:v>67.165902400000036</c:v>
                </c:pt>
                <c:pt idx="30">
                  <c:v>127.38360800000004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5E0-4611-AA23-4A91C42D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968328"/>
        <c:axId val="1686984712"/>
      </c:lineChart>
      <c:lineChart>
        <c:grouping val="standard"/>
        <c:varyColors val="0"/>
        <c:ser>
          <c:idx val="2"/>
          <c:order val="1"/>
          <c:tx>
            <c:strRef>
              <c:f>PVs_thru_Time_Calculations!$AN$3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5400" cap="rnd">
              <a:solidFill>
                <a:schemeClr val="tx1">
                  <a:lumMod val="85000"/>
                  <a:lumOff val="1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PVs_thru_Time_Calculations!$AL$4:$AL$34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PVs_thru_Time_Calculations!$AN$4:$AN$34</c:f>
              <c:numCache>
                <c:formatCode>0.0%</c:formatCode>
                <c:ptCount val="31"/>
                <c:pt idx="0">
                  <c:v>4.87E-2</c:v>
                </c:pt>
                <c:pt idx="1">
                  <c:v>3.8699999999999998E-2</c:v>
                </c:pt>
                <c:pt idx="2">
                  <c:v>5.8700000000000002E-2</c:v>
                </c:pt>
                <c:pt idx="3">
                  <c:v>4.87E-2</c:v>
                </c:pt>
                <c:pt idx="4">
                  <c:v>3.8699999999999998E-2</c:v>
                </c:pt>
                <c:pt idx="5">
                  <c:v>4.87E-2</c:v>
                </c:pt>
                <c:pt idx="6">
                  <c:v>4.87E-2</c:v>
                </c:pt>
                <c:pt idx="7">
                  <c:v>6.8699999999999997E-2</c:v>
                </c:pt>
                <c:pt idx="8">
                  <c:v>5.8699999999999995E-2</c:v>
                </c:pt>
                <c:pt idx="9">
                  <c:v>6.8699999999999997E-2</c:v>
                </c:pt>
                <c:pt idx="10">
                  <c:v>7.8699999999999992E-2</c:v>
                </c:pt>
                <c:pt idx="11">
                  <c:v>8.8699999999999987E-2</c:v>
                </c:pt>
                <c:pt idx="12">
                  <c:v>7.8699999999999992E-2</c:v>
                </c:pt>
                <c:pt idx="13">
                  <c:v>6.8699999999999997E-2</c:v>
                </c:pt>
                <c:pt idx="14">
                  <c:v>7.8699999999999992E-2</c:v>
                </c:pt>
                <c:pt idx="15">
                  <c:v>8.8699999999999987E-2</c:v>
                </c:pt>
                <c:pt idx="16">
                  <c:v>7.8699999999999992E-2</c:v>
                </c:pt>
                <c:pt idx="17">
                  <c:v>8.8699999999999987E-2</c:v>
                </c:pt>
                <c:pt idx="18">
                  <c:v>6.8699999999999983E-2</c:v>
                </c:pt>
                <c:pt idx="19">
                  <c:v>6.8699999999999983E-2</c:v>
                </c:pt>
                <c:pt idx="20">
                  <c:v>5.8699999999999981E-2</c:v>
                </c:pt>
                <c:pt idx="21">
                  <c:v>4.8699999999999979E-2</c:v>
                </c:pt>
                <c:pt idx="22">
                  <c:v>4.8699999999999979E-2</c:v>
                </c:pt>
                <c:pt idx="23">
                  <c:v>6.8699999999999983E-2</c:v>
                </c:pt>
                <c:pt idx="24">
                  <c:v>5.8699999999999981E-2</c:v>
                </c:pt>
                <c:pt idx="25">
                  <c:v>6.8699999999999983E-2</c:v>
                </c:pt>
                <c:pt idx="26">
                  <c:v>7.8699999999999978E-2</c:v>
                </c:pt>
                <c:pt idx="27">
                  <c:v>8.8699999999999973E-2</c:v>
                </c:pt>
                <c:pt idx="28">
                  <c:v>6.8699999999999969E-2</c:v>
                </c:pt>
                <c:pt idx="29">
                  <c:v>6.8699999999999969E-2</c:v>
                </c:pt>
                <c:pt idx="30">
                  <c:v>5.8699999999999967E-2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E0-4611-AA23-4A91C42D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38408"/>
        <c:axId val="1275451400"/>
      </c:lineChart>
      <c:catAx>
        <c:axId val="1686968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r>
                  <a:rPr lang="en-US" baseline="0"/>
                  <a:t> (January 29, 20XX)</a:t>
                </a:r>
                <a:endParaRPr lang="en-US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84712"/>
        <c:crosses val="autoZero"/>
        <c:auto val="1"/>
        <c:lblAlgn val="ctr"/>
        <c:lblOffset val="100"/>
        <c:noMultiLvlLbl val="0"/>
      </c:catAx>
      <c:valAx>
        <c:axId val="1686984712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PV @ Time (Thousands)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_);_([$$-409]* \(#,##0.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68328"/>
        <c:crosses val="autoZero"/>
        <c:crossBetween val="between"/>
      </c:valAx>
      <c:valAx>
        <c:axId val="1275451400"/>
        <c:scaling>
          <c:orientation val="minMax"/>
          <c:max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Interest Rate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38408"/>
        <c:crosses val="max"/>
        <c:crossBetween val="between"/>
      </c:valAx>
      <c:catAx>
        <c:axId val="1284838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5451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 Values Through 2028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PVs_thru_Time_Calculations!$AM$3</c:f>
              <c:strCache>
                <c:ptCount val="1"/>
                <c:pt idx="0">
                  <c:v>PV @ Time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D6-4528-B018-D25F1BA632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ED6-4528-B018-D25F1BA632A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D6-4528-B018-D25F1BA632A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D6-4528-B018-D25F1BA632A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PVs_thru_Time_Calculations!$AL$4:$AL$34</c:f>
              <c:numCache>
                <c:formatCode>General</c:formatCode>
                <c:ptCount val="3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</c:numCache>
            </c:numRef>
          </c:cat>
          <c:val>
            <c:numRef>
              <c:f>PVs_thru_Time_Calculations!$AM$4:$AM$7</c:f>
              <c:numCache>
                <c:formatCode>_([$$-409]* #,##0.0_);_([$$-409]* \(#,##0.0\);_([$$-409]* "-"??_);_(@_)</c:formatCode>
                <c:ptCount val="4"/>
                <c:pt idx="0">
                  <c:v>50.000001827595938</c:v>
                </c:pt>
                <c:pt idx="1">
                  <c:v>59.206670628959557</c:v>
                </c:pt>
                <c:pt idx="2">
                  <c:v>43.106558155565949</c:v>
                </c:pt>
                <c:pt idx="3">
                  <c:v>50.379243899473927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D6-4528-B018-D25F1BA6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968328"/>
        <c:axId val="1686984712"/>
      </c:lineChart>
      <c:lineChart>
        <c:grouping val="standard"/>
        <c:varyColors val="0"/>
        <c:ser>
          <c:idx val="2"/>
          <c:order val="1"/>
          <c:tx>
            <c:strRef>
              <c:f>PVs_thru_Time_Calculations!$AN$3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5400" cap="rnd">
              <a:noFill/>
              <a:prstDash val="sysDot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PVs_thru_Time_Calculations!$AN$4:$AN$7</c:f>
              <c:numCache>
                <c:formatCode>0.0%</c:formatCode>
                <c:ptCount val="4"/>
                <c:pt idx="0">
                  <c:v>4.87E-2</c:v>
                </c:pt>
                <c:pt idx="1">
                  <c:v>3.8699999999999998E-2</c:v>
                </c:pt>
                <c:pt idx="2">
                  <c:v>5.8700000000000002E-2</c:v>
                </c:pt>
                <c:pt idx="3">
                  <c:v>4.87E-2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D6-4528-B018-D25F1BA6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38408"/>
        <c:axId val="1275451400"/>
      </c:lineChart>
      <c:catAx>
        <c:axId val="1686968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r>
                  <a:rPr lang="en-US" baseline="0"/>
                  <a:t> (January 29, 20XX)</a:t>
                </a:r>
                <a:endParaRPr lang="en-US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84712"/>
        <c:crosses val="autoZero"/>
        <c:auto val="1"/>
        <c:lblAlgn val="ctr"/>
        <c:lblOffset val="100"/>
        <c:noMultiLvlLbl val="0"/>
      </c:catAx>
      <c:valAx>
        <c:axId val="1686984712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PV @ Time (Thousands)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_);_([$$-409]* \(#,##0.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68328"/>
        <c:crosses val="autoZero"/>
        <c:crossBetween val="between"/>
      </c:valAx>
      <c:valAx>
        <c:axId val="1275451400"/>
        <c:scaling>
          <c:orientation val="minMax"/>
          <c:max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Interest Rate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38408"/>
        <c:crosses val="max"/>
        <c:crossBetween val="between"/>
      </c:valAx>
      <c:catAx>
        <c:axId val="12848384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275451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 of 165WA's</a:t>
            </a:r>
            <a:r>
              <a:rPr lang="en-US" baseline="0"/>
              <a:t> Bond over 30 Years if Interest Rate is Unchanged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dLbls>
            <c:dLbl>
              <c:idx val="0"/>
              <c:layout>
                <c:manualLayout>
                  <c:x val="-4.4459552134776302E-3"/>
                  <c:y val="-3.0520000384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DC-4C4A-8A27-8C8AA0C1648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DC-4C4A-8A27-8C8AA0C1648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DC-4C4A-8A27-8C8AA0C1648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DC-4C4A-8A27-8C8AA0C164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DC-4C4A-8A27-8C8AA0C164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DC-4C4A-8A27-8C8AA0C1648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DC-4C4A-8A27-8C8AA0C1648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DC-4C4A-8A27-8C8AA0C1648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DC-4C4A-8A27-8C8AA0C1648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DC-4C4A-8A27-8C8AA0C1648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DC-4C4A-8A27-8C8AA0C1648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CDC-4C4A-8A27-8C8AA0C1648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DC-4C4A-8A27-8C8AA0C1648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CDC-4C4A-8A27-8C8AA0C1648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CDC-4C4A-8A27-8C8AA0C16489}"/>
                </c:ext>
              </c:extLst>
            </c:dLbl>
            <c:dLbl>
              <c:idx val="15"/>
              <c:layout>
                <c:manualLayout>
                  <c:x val="-5.4338824882429601E-17"/>
                  <c:y val="-2.1800000274645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CDC-4C4A-8A27-8C8AA0C1648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CDC-4C4A-8A27-8C8AA0C1648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CDC-4C4A-8A27-8C8AA0C1648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CDC-4C4A-8A27-8C8AA0C1648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CDC-4C4A-8A27-8C8AA0C1648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CDC-4C4A-8A27-8C8AA0C1648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CDC-4C4A-8A27-8C8AA0C1648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CDC-4C4A-8A27-8C8AA0C1648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CDC-4C4A-8A27-8C8AA0C16489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CDC-4C4A-8A27-8C8AA0C1648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CDC-4C4A-8A27-8C8AA0C1648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CDC-4C4A-8A27-8C8AA0C1648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CDC-4C4A-8A27-8C8AA0C1648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CDC-4C4A-8A27-8C8AA0C16489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CDC-4C4A-8A27-8C8AA0C164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'Values thru time @Constant Rate'!$E$3:$AI$3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'Values thru time @Constant Rate'!$E$4:$AI$4</c:f>
              <c:numCache>
                <c:formatCode>"$"#,##0.00</c:formatCode>
                <c:ptCount val="31"/>
                <c:pt idx="0">
                  <c:v>50000.001827595937</c:v>
                </c:pt>
                <c:pt idx="1">
                  <c:v>50120.384344003491</c:v>
                </c:pt>
                <c:pt idx="2">
                  <c:v>50246.700866462685</c:v>
                </c:pt>
                <c:pt idx="3">
                  <c:v>50379.243899473928</c:v>
                </c:pt>
                <c:pt idx="4">
                  <c:v>50518.320365939311</c:v>
                </c:pt>
                <c:pt idx="5">
                  <c:v>50664.252317887745</c:v>
                </c:pt>
                <c:pt idx="6">
                  <c:v>50817.37768223384</c:v>
                </c:pt>
                <c:pt idx="7">
                  <c:v>50978.051043297441</c:v>
                </c:pt>
                <c:pt idx="8">
                  <c:v>51146.644463895762</c:v>
                </c:pt>
                <c:pt idx="9">
                  <c:v>51323.548346909636</c:v>
                </c:pt>
                <c:pt idx="10">
                  <c:v>51509.172339318873</c:v>
                </c:pt>
                <c:pt idx="11">
                  <c:v>51703.946280800075</c:v>
                </c:pt>
                <c:pt idx="12">
                  <c:v>51908.321199083723</c:v>
                </c:pt>
                <c:pt idx="13">
                  <c:v>52122.770354375287</c:v>
                </c:pt>
                <c:pt idx="14">
                  <c:v>52347.790335258818</c:v>
                </c:pt>
                <c:pt idx="15">
                  <c:v>52583.902208620988</c:v>
                </c:pt>
                <c:pt idx="16">
                  <c:v>52831.652726258137</c:v>
                </c:pt>
                <c:pt idx="17">
                  <c:v>53091.6155909605</c:v>
                </c:pt>
                <c:pt idx="18">
                  <c:v>53364.392785005526</c:v>
                </c:pt>
                <c:pt idx="19">
                  <c:v>53650.615964136377</c:v>
                </c:pt>
                <c:pt idx="20">
                  <c:v>53950.94792025382</c:v>
                </c:pt>
                <c:pt idx="21">
                  <c:v>54266.084116208447</c:v>
                </c:pt>
                <c:pt idx="22">
                  <c:v>54596.754296247207</c:v>
                </c:pt>
                <c:pt idx="23">
                  <c:v>54943.724175843672</c:v>
                </c:pt>
                <c:pt idx="24">
                  <c:v>55307.797214824925</c:v>
                </c:pt>
                <c:pt idx="25">
                  <c:v>55689.816477901026</c:v>
                </c:pt>
                <c:pt idx="26">
                  <c:v>56090.666586905434</c:v>
                </c:pt>
                <c:pt idx="27">
                  <c:v>56511.275769267122</c:v>
                </c:pt>
                <c:pt idx="28">
                  <c:v>56952.618007457742</c:v>
                </c:pt>
                <c:pt idx="29">
                  <c:v>57415.715294391484</c:v>
                </c:pt>
                <c:pt idx="30">
                  <c:v>57901.64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CDC-4C4A-8A27-8C8AA0C16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583416"/>
        <c:axId val="482583808"/>
      </c:scatterChart>
      <c:valAx>
        <c:axId val="482583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Since</a:t>
                </a:r>
                <a:r>
                  <a:rPr lang="en-US" baseline="0"/>
                  <a:t> Bond Purchase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2583808"/>
        <c:crosses val="autoZero"/>
        <c:crossBetween val="midCat"/>
      </c:valAx>
      <c:valAx>
        <c:axId val="48258380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PV</a:t>
                </a:r>
                <a:r>
                  <a:rPr lang="en-US" baseline="0"/>
                  <a:t> of Remaining Cash Flows</a:t>
                </a:r>
                <a:endParaRPr lang="en-US"/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482583416"/>
        <c:crosses val="autoZero"/>
        <c:crossBetween val="midCat"/>
      </c:valAx>
    </c:plotArea>
    <c:plotVisOnly val="1"/>
    <c:dispBlanksAs val="gap"/>
    <c:showDLblsOverMax val="0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BEFB9C-5858-41B6-84C4-61D5EDC46D8C}">
  <sheetPr/>
  <sheetViews>
    <sheetView zoomScale="13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FEF942-1FEB-46A9-B5BE-82268CF31196}">
  <sheetPr/>
  <sheetViews>
    <sheetView zoomScale="13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037A7D-0429-43CE-A4EB-34315DE6756C}">
  <sheetPr/>
  <sheetViews>
    <sheetView zoomScale="16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155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DC21E-B377-7DF6-B70E-92C1DEC392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8A317-AEFF-27A5-DADC-C3D03A4713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1481668</xdr:colOff>
      <xdr:row>1</xdr:row>
      <xdr:rowOff>186266</xdr:rowOff>
    </xdr:from>
    <xdr:ext cx="3665881" cy="48683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319868" y="389466"/>
          <a:ext cx="3665881" cy="48683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This is the balance sheet</a:t>
          </a:r>
          <a:r>
            <a:rPr lang="en-US" sz="1100" baseline="0"/>
            <a:t> immediately after 165WA is formed</a:t>
          </a:r>
        </a:p>
        <a:p>
          <a:r>
            <a:rPr lang="en-US" sz="1100" baseline="0"/>
            <a:t>but before it pulls in any cash by selling shares.</a:t>
          </a:r>
          <a:endParaRPr lang="en-US" sz="1100"/>
        </a:p>
      </xdr:txBody>
    </xdr:sp>
    <xdr:clientData/>
  </xdr:oneCellAnchor>
  <xdr:oneCellAnchor>
    <xdr:from>
      <xdr:col>5</xdr:col>
      <xdr:colOff>508001</xdr:colOff>
      <xdr:row>8</xdr:row>
      <xdr:rowOff>160867</xdr:rowOff>
    </xdr:from>
    <xdr:ext cx="1244599" cy="33443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925734" y="1718734"/>
          <a:ext cx="1244599" cy="33443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A balance sheet is a "still"</a:t>
          </a:r>
          <a:r>
            <a:rPr lang="en-US" sz="1100" baseline="0"/>
            <a:t> picture, i.e. it is for a point in time. We want to see how the balance sheets evolve, but we don't want to over-complicate the interest on the bond. So we will assume</a:t>
          </a:r>
        </a:p>
        <a:p>
          <a:r>
            <a:rPr lang="en-US" sz="1100" baseline="0"/>
            <a:t>each transaction takes one second, but interest calculations are done to the nearest day.</a:t>
          </a:r>
        </a:p>
      </xdr:txBody>
    </xdr:sp>
    <xdr:clientData/>
  </xdr:oneCellAnchor>
  <xdr:oneCellAnchor>
    <xdr:from>
      <xdr:col>1</xdr:col>
      <xdr:colOff>1600201</xdr:colOff>
      <xdr:row>14</xdr:row>
      <xdr:rowOff>93132</xdr:rowOff>
    </xdr:from>
    <xdr:ext cx="3095719" cy="45296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438401" y="2747432"/>
          <a:ext cx="3095719" cy="45296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This is the balance sheet immediately after 165WA</a:t>
          </a:r>
        </a:p>
        <a:p>
          <a:pPr marL="0" indent="0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issues shares in exchange for $50,000 cash.</a:t>
          </a:r>
        </a:p>
      </xdr:txBody>
    </xdr:sp>
    <xdr:clientData/>
  </xdr:oneCellAnchor>
  <xdr:oneCellAnchor>
    <xdr:from>
      <xdr:col>1</xdr:col>
      <xdr:colOff>1515534</xdr:colOff>
      <xdr:row>27</xdr:row>
      <xdr:rowOff>25400</xdr:rowOff>
    </xdr:from>
    <xdr:ext cx="3121367" cy="66674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353734" y="5130800"/>
          <a:ext cx="3121367" cy="6667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This is the balance sheet immediately after 165WA</a:t>
          </a:r>
        </a:p>
        <a:p>
          <a:r>
            <a:rPr lang="en-US" sz="1100"/>
            <a:t>purchases</a:t>
          </a:r>
          <a:r>
            <a:rPr lang="en-US" sz="1100" baseline="0"/>
            <a:t> the 30 year U.S. government bonds for </a:t>
          </a:r>
        </a:p>
        <a:p>
          <a:r>
            <a:rPr lang="en-US" sz="1100" baseline="0"/>
            <a:t>$50,000.</a:t>
          </a:r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4823" cy="62779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BF068-997F-05C2-6E3C-3449B8E6F3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7303" cy="627789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5"/>
  <sheetViews>
    <sheetView topLeftCell="A5" zoomScale="130" zoomScaleNormal="130" workbookViewId="0">
      <selection activeCell="B15" sqref="B15"/>
    </sheetView>
  </sheetViews>
  <sheetFormatPr defaultColWidth="8.625" defaultRowHeight="15.95"/>
  <cols>
    <col min="2" max="2" width="19.125" customWidth="1"/>
    <col min="11" max="11" width="11" bestFit="1" customWidth="1"/>
  </cols>
  <sheetData>
    <row r="2" spans="2:11">
      <c r="B2" t="s">
        <v>0</v>
      </c>
      <c r="K2" s="29"/>
    </row>
    <row r="3" spans="2:11">
      <c r="K3" s="29"/>
    </row>
    <row r="4" spans="2:11">
      <c r="B4" t="s">
        <v>1</v>
      </c>
    </row>
    <row r="5" spans="2:11">
      <c r="B5" s="46">
        <v>46055</v>
      </c>
    </row>
    <row r="6" spans="2:11">
      <c r="B6" t="s">
        <v>2</v>
      </c>
    </row>
    <row r="8" spans="2:11">
      <c r="B8" t="s">
        <v>3</v>
      </c>
    </row>
    <row r="9" spans="2:11">
      <c r="B9" s="39">
        <v>30</v>
      </c>
      <c r="C9" t="s">
        <v>4</v>
      </c>
    </row>
    <row r="10" spans="2:11">
      <c r="B10" s="47">
        <v>0.04</v>
      </c>
      <c r="C10" t="s">
        <v>5</v>
      </c>
    </row>
    <row r="11" spans="2:11">
      <c r="B11" t="s">
        <v>6</v>
      </c>
    </row>
    <row r="12" spans="2:11">
      <c r="B12" s="47">
        <v>4.87E-2</v>
      </c>
    </row>
    <row r="13" spans="2:11">
      <c r="B13" t="s">
        <v>7</v>
      </c>
    </row>
    <row r="14" spans="2:11">
      <c r="B14" s="48">
        <v>57901.64</v>
      </c>
    </row>
    <row r="16" spans="2:11">
      <c r="B16" t="s">
        <v>8</v>
      </c>
    </row>
    <row r="17" spans="2:2">
      <c r="B17" t="s">
        <v>9</v>
      </c>
    </row>
    <row r="19" spans="2:2">
      <c r="B19" s="52" t="s">
        <v>10</v>
      </c>
    </row>
    <row r="20" spans="2:2">
      <c r="B20" s="52" t="s">
        <v>11</v>
      </c>
    </row>
    <row r="21" spans="2:2">
      <c r="B21" s="52" t="s">
        <v>12</v>
      </c>
    </row>
    <row r="22" spans="2:2">
      <c r="B22" s="52" t="s">
        <v>13</v>
      </c>
    </row>
    <row r="23" spans="2:2">
      <c r="B23" s="52" t="s">
        <v>14</v>
      </c>
    </row>
    <row r="25" spans="2:2">
      <c r="B25" s="5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08C9-BBC6-47C4-9F1F-684B7007C123}">
  <dimension ref="A1:H75"/>
  <sheetViews>
    <sheetView workbookViewId="0"/>
  </sheetViews>
  <sheetFormatPr defaultColWidth="8.875" defaultRowHeight="15.95"/>
  <cols>
    <col min="1" max="1" width="9.625" bestFit="1" customWidth="1"/>
    <col min="2" max="2" width="15.375" bestFit="1" customWidth="1"/>
    <col min="3" max="3" width="10.625" style="8" bestFit="1" customWidth="1"/>
    <col min="4" max="4" width="10.125" bestFit="1" customWidth="1"/>
    <col min="5" max="5" width="11.375" bestFit="1" customWidth="1"/>
    <col min="6" max="6" width="12.375" bestFit="1" customWidth="1"/>
    <col min="8" max="8" width="12.875" customWidth="1"/>
  </cols>
  <sheetData>
    <row r="1" spans="1:8">
      <c r="A1" s="9" t="s">
        <v>16</v>
      </c>
      <c r="B1" s="40">
        <f>Face_Value</f>
        <v>57901.64</v>
      </c>
    </row>
    <row r="2" spans="1:8">
      <c r="A2" s="9" t="s">
        <v>17</v>
      </c>
      <c r="B2" s="1">
        <f>CouponRate</f>
        <v>0.04</v>
      </c>
      <c r="C2" s="8" t="s">
        <v>18</v>
      </c>
    </row>
    <row r="3" spans="1:8">
      <c r="A3" s="9" t="s">
        <v>19</v>
      </c>
      <c r="B3">
        <f>Term</f>
        <v>30</v>
      </c>
      <c r="C3" s="8" t="s">
        <v>20</v>
      </c>
    </row>
    <row r="4" spans="1:8" ht="17.100000000000001" thickBot="1">
      <c r="C4" s="23" t="s">
        <v>21</v>
      </c>
      <c r="D4" s="23" t="s">
        <v>17</v>
      </c>
      <c r="E4" s="23" t="s">
        <v>22</v>
      </c>
      <c r="F4" s="35" t="s">
        <v>23</v>
      </c>
      <c r="H4" s="35"/>
    </row>
    <row r="5" spans="1:8">
      <c r="C5" s="8">
        <v>0</v>
      </c>
      <c r="F5" s="9"/>
      <c r="H5" s="3"/>
    </row>
    <row r="6" spans="1:8">
      <c r="C6" s="8">
        <v>1</v>
      </c>
      <c r="D6" s="3">
        <f>($B$2/2)*$B$1</f>
        <v>1158.0328</v>
      </c>
      <c r="F6" s="32">
        <f>D6+E6</f>
        <v>1158.0328</v>
      </c>
      <c r="H6" s="3"/>
    </row>
    <row r="7" spans="1:8">
      <c r="C7" s="8">
        <v>2</v>
      </c>
      <c r="D7" s="3">
        <f t="shared" ref="D7:D65" si="0">($B$2/2)*$B$1</f>
        <v>1158.0328</v>
      </c>
      <c r="F7" s="32">
        <f t="shared" ref="F7:F65" si="1">D7+E7</f>
        <v>1158.0328</v>
      </c>
      <c r="H7" s="3"/>
    </row>
    <row r="8" spans="1:8">
      <c r="C8" s="8">
        <v>3</v>
      </c>
      <c r="D8" s="3">
        <f t="shared" si="0"/>
        <v>1158.0328</v>
      </c>
      <c r="F8" s="32">
        <f t="shared" si="1"/>
        <v>1158.0328</v>
      </c>
      <c r="H8" s="3"/>
    </row>
    <row r="9" spans="1:8">
      <c r="C9" s="8">
        <v>4</v>
      </c>
      <c r="D9" s="3">
        <f t="shared" si="0"/>
        <v>1158.0328</v>
      </c>
      <c r="F9" s="32">
        <f t="shared" si="1"/>
        <v>1158.0328</v>
      </c>
      <c r="H9" s="3"/>
    </row>
    <row r="10" spans="1:8">
      <c r="C10" s="8">
        <v>5</v>
      </c>
      <c r="D10" s="3">
        <f t="shared" si="0"/>
        <v>1158.0328</v>
      </c>
      <c r="F10" s="32">
        <f t="shared" si="1"/>
        <v>1158.0328</v>
      </c>
      <c r="H10" s="3"/>
    </row>
    <row r="11" spans="1:8">
      <c r="C11" s="8">
        <v>6</v>
      </c>
      <c r="D11" s="3">
        <f t="shared" si="0"/>
        <v>1158.0328</v>
      </c>
      <c r="F11" s="32">
        <f t="shared" si="1"/>
        <v>1158.0328</v>
      </c>
      <c r="H11" s="3"/>
    </row>
    <row r="12" spans="1:8">
      <c r="C12" s="8">
        <v>7</v>
      </c>
      <c r="D12" s="3">
        <f t="shared" si="0"/>
        <v>1158.0328</v>
      </c>
      <c r="F12" s="32">
        <f t="shared" si="1"/>
        <v>1158.0328</v>
      </c>
      <c r="H12" s="3"/>
    </row>
    <row r="13" spans="1:8">
      <c r="C13" s="8">
        <v>8</v>
      </c>
      <c r="D13" s="3">
        <f t="shared" si="0"/>
        <v>1158.0328</v>
      </c>
      <c r="F13" s="32">
        <f t="shared" si="1"/>
        <v>1158.0328</v>
      </c>
      <c r="H13" s="3"/>
    </row>
    <row r="14" spans="1:8">
      <c r="C14" s="8">
        <v>9</v>
      </c>
      <c r="D14" s="3">
        <f t="shared" si="0"/>
        <v>1158.0328</v>
      </c>
      <c r="F14" s="32">
        <f t="shared" si="1"/>
        <v>1158.0328</v>
      </c>
      <c r="H14" s="3"/>
    </row>
    <row r="15" spans="1:8">
      <c r="C15" s="8">
        <v>10</v>
      </c>
      <c r="D15" s="3">
        <f t="shared" si="0"/>
        <v>1158.0328</v>
      </c>
      <c r="F15" s="32">
        <f t="shared" si="1"/>
        <v>1158.0328</v>
      </c>
      <c r="H15" s="3"/>
    </row>
    <row r="16" spans="1:8">
      <c r="C16" s="8">
        <v>11</v>
      </c>
      <c r="D16" s="3">
        <f t="shared" si="0"/>
        <v>1158.0328</v>
      </c>
      <c r="F16" s="32">
        <f t="shared" si="1"/>
        <v>1158.0328</v>
      </c>
      <c r="H16" s="3"/>
    </row>
    <row r="17" spans="3:8">
      <c r="C17" s="8">
        <v>12</v>
      </c>
      <c r="D17" s="3">
        <f t="shared" si="0"/>
        <v>1158.0328</v>
      </c>
      <c r="F17" s="32">
        <f t="shared" si="1"/>
        <v>1158.0328</v>
      </c>
      <c r="H17" s="3"/>
    </row>
    <row r="18" spans="3:8">
      <c r="C18" s="8">
        <v>13</v>
      </c>
      <c r="D18" s="3">
        <f t="shared" si="0"/>
        <v>1158.0328</v>
      </c>
      <c r="F18" s="32">
        <f t="shared" si="1"/>
        <v>1158.0328</v>
      </c>
      <c r="H18" s="3"/>
    </row>
    <row r="19" spans="3:8">
      <c r="C19" s="8">
        <v>14</v>
      </c>
      <c r="D19" s="3">
        <f t="shared" si="0"/>
        <v>1158.0328</v>
      </c>
      <c r="F19" s="32">
        <f t="shared" si="1"/>
        <v>1158.0328</v>
      </c>
      <c r="H19" s="3"/>
    </row>
    <row r="20" spans="3:8">
      <c r="C20" s="8">
        <v>15</v>
      </c>
      <c r="D20" s="3">
        <f t="shared" si="0"/>
        <v>1158.0328</v>
      </c>
      <c r="F20" s="32">
        <f t="shared" si="1"/>
        <v>1158.0328</v>
      </c>
      <c r="H20" s="3"/>
    </row>
    <row r="21" spans="3:8">
      <c r="C21" s="8">
        <v>16</v>
      </c>
      <c r="D21" s="3">
        <f t="shared" si="0"/>
        <v>1158.0328</v>
      </c>
      <c r="F21" s="32">
        <f t="shared" si="1"/>
        <v>1158.0328</v>
      </c>
      <c r="H21" s="3"/>
    </row>
    <row r="22" spans="3:8">
      <c r="C22" s="8">
        <v>17</v>
      </c>
      <c r="D22" s="3">
        <f t="shared" si="0"/>
        <v>1158.0328</v>
      </c>
      <c r="F22" s="32">
        <f t="shared" si="1"/>
        <v>1158.0328</v>
      </c>
      <c r="H22" s="3"/>
    </row>
    <row r="23" spans="3:8">
      <c r="C23" s="8">
        <v>18</v>
      </c>
      <c r="D23" s="3">
        <f t="shared" si="0"/>
        <v>1158.0328</v>
      </c>
      <c r="F23" s="32">
        <f t="shared" si="1"/>
        <v>1158.0328</v>
      </c>
      <c r="H23" s="3"/>
    </row>
    <row r="24" spans="3:8">
      <c r="C24" s="8">
        <v>19</v>
      </c>
      <c r="D24" s="3">
        <f t="shared" si="0"/>
        <v>1158.0328</v>
      </c>
      <c r="F24" s="32">
        <f t="shared" si="1"/>
        <v>1158.0328</v>
      </c>
      <c r="H24" s="3"/>
    </row>
    <row r="25" spans="3:8">
      <c r="C25" s="8">
        <v>20</v>
      </c>
      <c r="D25" s="3">
        <f t="shared" si="0"/>
        <v>1158.0328</v>
      </c>
      <c r="F25" s="32">
        <f t="shared" si="1"/>
        <v>1158.0328</v>
      </c>
      <c r="H25" s="3"/>
    </row>
    <row r="26" spans="3:8">
      <c r="C26" s="8">
        <v>21</v>
      </c>
      <c r="D26" s="3">
        <f t="shared" si="0"/>
        <v>1158.0328</v>
      </c>
      <c r="F26" s="32">
        <f t="shared" si="1"/>
        <v>1158.0328</v>
      </c>
      <c r="H26" s="3"/>
    </row>
    <row r="27" spans="3:8">
      <c r="C27" s="8">
        <v>22</v>
      </c>
      <c r="D27" s="3">
        <f t="shared" si="0"/>
        <v>1158.0328</v>
      </c>
      <c r="F27" s="32">
        <f t="shared" si="1"/>
        <v>1158.0328</v>
      </c>
      <c r="H27" s="3"/>
    </row>
    <row r="28" spans="3:8">
      <c r="C28" s="8">
        <v>23</v>
      </c>
      <c r="D28" s="3">
        <f t="shared" si="0"/>
        <v>1158.0328</v>
      </c>
      <c r="F28" s="32">
        <f t="shared" si="1"/>
        <v>1158.0328</v>
      </c>
      <c r="H28" s="3"/>
    </row>
    <row r="29" spans="3:8">
      <c r="C29" s="8">
        <v>24</v>
      </c>
      <c r="D29" s="3">
        <f t="shared" si="0"/>
        <v>1158.0328</v>
      </c>
      <c r="F29" s="32">
        <f t="shared" si="1"/>
        <v>1158.0328</v>
      </c>
      <c r="H29" s="3"/>
    </row>
    <row r="30" spans="3:8">
      <c r="C30" s="8">
        <v>25</v>
      </c>
      <c r="D30" s="3">
        <f t="shared" si="0"/>
        <v>1158.0328</v>
      </c>
      <c r="F30" s="32">
        <f t="shared" si="1"/>
        <v>1158.0328</v>
      </c>
      <c r="H30" s="3"/>
    </row>
    <row r="31" spans="3:8">
      <c r="C31" s="8">
        <v>26</v>
      </c>
      <c r="D31" s="3">
        <f t="shared" si="0"/>
        <v>1158.0328</v>
      </c>
      <c r="F31" s="32">
        <f t="shared" si="1"/>
        <v>1158.0328</v>
      </c>
      <c r="H31" s="3"/>
    </row>
    <row r="32" spans="3:8">
      <c r="C32" s="8">
        <v>27</v>
      </c>
      <c r="D32" s="3">
        <f t="shared" si="0"/>
        <v>1158.0328</v>
      </c>
      <c r="F32" s="32">
        <f t="shared" si="1"/>
        <v>1158.0328</v>
      </c>
      <c r="H32" s="3"/>
    </row>
    <row r="33" spans="3:8">
      <c r="C33" s="8">
        <v>28</v>
      </c>
      <c r="D33" s="3">
        <f t="shared" si="0"/>
        <v>1158.0328</v>
      </c>
      <c r="F33" s="32">
        <f t="shared" si="1"/>
        <v>1158.0328</v>
      </c>
      <c r="H33" s="3"/>
    </row>
    <row r="34" spans="3:8">
      <c r="C34" s="8">
        <v>29</v>
      </c>
      <c r="D34" s="3">
        <f t="shared" si="0"/>
        <v>1158.0328</v>
      </c>
      <c r="F34" s="32">
        <f t="shared" si="1"/>
        <v>1158.0328</v>
      </c>
      <c r="H34" s="3"/>
    </row>
    <row r="35" spans="3:8">
      <c r="C35" s="8">
        <v>30</v>
      </c>
      <c r="D35" s="3">
        <f t="shared" si="0"/>
        <v>1158.0328</v>
      </c>
      <c r="F35" s="32">
        <f t="shared" si="1"/>
        <v>1158.0328</v>
      </c>
      <c r="H35" s="3"/>
    </row>
    <row r="36" spans="3:8">
      <c r="C36" s="8">
        <v>31</v>
      </c>
      <c r="D36" s="3">
        <f t="shared" si="0"/>
        <v>1158.0328</v>
      </c>
      <c r="F36" s="32">
        <f t="shared" si="1"/>
        <v>1158.0328</v>
      </c>
      <c r="H36" s="3"/>
    </row>
    <row r="37" spans="3:8">
      <c r="C37" s="8">
        <v>32</v>
      </c>
      <c r="D37" s="3">
        <f t="shared" si="0"/>
        <v>1158.0328</v>
      </c>
      <c r="F37" s="32">
        <f t="shared" si="1"/>
        <v>1158.0328</v>
      </c>
      <c r="H37" s="3"/>
    </row>
    <row r="38" spans="3:8">
      <c r="C38" s="8">
        <v>33</v>
      </c>
      <c r="D38" s="3">
        <f t="shared" si="0"/>
        <v>1158.0328</v>
      </c>
      <c r="F38" s="32">
        <f t="shared" si="1"/>
        <v>1158.0328</v>
      </c>
      <c r="H38" s="3"/>
    </row>
    <row r="39" spans="3:8">
      <c r="C39" s="8">
        <v>34</v>
      </c>
      <c r="D39" s="3">
        <f t="shared" si="0"/>
        <v>1158.0328</v>
      </c>
      <c r="F39" s="32">
        <f t="shared" si="1"/>
        <v>1158.0328</v>
      </c>
      <c r="H39" s="3"/>
    </row>
    <row r="40" spans="3:8">
      <c r="C40" s="8">
        <v>35</v>
      </c>
      <c r="D40" s="3">
        <f t="shared" si="0"/>
        <v>1158.0328</v>
      </c>
      <c r="F40" s="32">
        <f t="shared" si="1"/>
        <v>1158.0328</v>
      </c>
      <c r="H40" s="3"/>
    </row>
    <row r="41" spans="3:8">
      <c r="C41" s="8">
        <v>36</v>
      </c>
      <c r="D41" s="3">
        <f t="shared" si="0"/>
        <v>1158.0328</v>
      </c>
      <c r="F41" s="32">
        <f t="shared" si="1"/>
        <v>1158.0328</v>
      </c>
      <c r="H41" s="3"/>
    </row>
    <row r="42" spans="3:8">
      <c r="C42" s="8">
        <v>37</v>
      </c>
      <c r="D42" s="3">
        <f t="shared" si="0"/>
        <v>1158.0328</v>
      </c>
      <c r="F42" s="32">
        <f t="shared" si="1"/>
        <v>1158.0328</v>
      </c>
      <c r="H42" s="3"/>
    </row>
    <row r="43" spans="3:8">
      <c r="C43" s="8">
        <v>38</v>
      </c>
      <c r="D43" s="3">
        <f t="shared" si="0"/>
        <v>1158.0328</v>
      </c>
      <c r="F43" s="32">
        <f t="shared" si="1"/>
        <v>1158.0328</v>
      </c>
      <c r="H43" s="3"/>
    </row>
    <row r="44" spans="3:8">
      <c r="C44" s="8">
        <v>39</v>
      </c>
      <c r="D44" s="3">
        <f t="shared" si="0"/>
        <v>1158.0328</v>
      </c>
      <c r="F44" s="32">
        <f t="shared" si="1"/>
        <v>1158.0328</v>
      </c>
      <c r="H44" s="3"/>
    </row>
    <row r="45" spans="3:8">
      <c r="C45" s="8">
        <v>40</v>
      </c>
      <c r="D45" s="3">
        <f t="shared" si="0"/>
        <v>1158.0328</v>
      </c>
      <c r="F45" s="32">
        <f t="shared" si="1"/>
        <v>1158.0328</v>
      </c>
      <c r="H45" s="3"/>
    </row>
    <row r="46" spans="3:8">
      <c r="C46" s="8">
        <v>41</v>
      </c>
      <c r="D46" s="3">
        <f t="shared" si="0"/>
        <v>1158.0328</v>
      </c>
      <c r="F46" s="32">
        <f t="shared" si="1"/>
        <v>1158.0328</v>
      </c>
      <c r="H46" s="3"/>
    </row>
    <row r="47" spans="3:8">
      <c r="C47" s="8">
        <v>42</v>
      </c>
      <c r="D47" s="3">
        <f t="shared" si="0"/>
        <v>1158.0328</v>
      </c>
      <c r="F47" s="32">
        <f t="shared" si="1"/>
        <v>1158.0328</v>
      </c>
      <c r="H47" s="3"/>
    </row>
    <row r="48" spans="3:8">
      <c r="C48" s="8">
        <v>43</v>
      </c>
      <c r="D48" s="3">
        <f t="shared" si="0"/>
        <v>1158.0328</v>
      </c>
      <c r="F48" s="32">
        <f t="shared" si="1"/>
        <v>1158.0328</v>
      </c>
      <c r="H48" s="3"/>
    </row>
    <row r="49" spans="3:8">
      <c r="C49" s="8">
        <v>44</v>
      </c>
      <c r="D49" s="3">
        <f t="shared" si="0"/>
        <v>1158.0328</v>
      </c>
      <c r="F49" s="32">
        <f t="shared" si="1"/>
        <v>1158.0328</v>
      </c>
      <c r="H49" s="3"/>
    </row>
    <row r="50" spans="3:8">
      <c r="C50" s="8">
        <v>45</v>
      </c>
      <c r="D50" s="3">
        <f t="shared" si="0"/>
        <v>1158.0328</v>
      </c>
      <c r="F50" s="32">
        <f t="shared" si="1"/>
        <v>1158.0328</v>
      </c>
      <c r="H50" s="3"/>
    </row>
    <row r="51" spans="3:8">
      <c r="C51" s="8">
        <v>46</v>
      </c>
      <c r="D51" s="3">
        <f t="shared" si="0"/>
        <v>1158.0328</v>
      </c>
      <c r="F51" s="32">
        <f t="shared" si="1"/>
        <v>1158.0328</v>
      </c>
      <c r="H51" s="3"/>
    </row>
    <row r="52" spans="3:8">
      <c r="C52" s="8">
        <v>47</v>
      </c>
      <c r="D52" s="3">
        <f t="shared" si="0"/>
        <v>1158.0328</v>
      </c>
      <c r="F52" s="32">
        <f t="shared" si="1"/>
        <v>1158.0328</v>
      </c>
      <c r="H52" s="3"/>
    </row>
    <row r="53" spans="3:8">
      <c r="C53" s="8">
        <v>48</v>
      </c>
      <c r="D53" s="3">
        <f t="shared" si="0"/>
        <v>1158.0328</v>
      </c>
      <c r="F53" s="32">
        <f t="shared" si="1"/>
        <v>1158.0328</v>
      </c>
      <c r="H53" s="3"/>
    </row>
    <row r="54" spans="3:8">
      <c r="C54" s="8">
        <v>49</v>
      </c>
      <c r="D54" s="3">
        <f t="shared" si="0"/>
        <v>1158.0328</v>
      </c>
      <c r="F54" s="32">
        <f t="shared" si="1"/>
        <v>1158.0328</v>
      </c>
      <c r="H54" s="3"/>
    </row>
    <row r="55" spans="3:8">
      <c r="C55" s="8">
        <v>50</v>
      </c>
      <c r="D55" s="3">
        <f t="shared" si="0"/>
        <v>1158.0328</v>
      </c>
      <c r="F55" s="32">
        <f t="shared" si="1"/>
        <v>1158.0328</v>
      </c>
      <c r="H55" s="3"/>
    </row>
    <row r="56" spans="3:8">
      <c r="C56" s="8">
        <v>51</v>
      </c>
      <c r="D56" s="3">
        <f t="shared" si="0"/>
        <v>1158.0328</v>
      </c>
      <c r="F56" s="32">
        <f t="shared" si="1"/>
        <v>1158.0328</v>
      </c>
      <c r="H56" s="3"/>
    </row>
    <row r="57" spans="3:8">
      <c r="C57" s="8">
        <v>52</v>
      </c>
      <c r="D57" s="3">
        <f t="shared" si="0"/>
        <v>1158.0328</v>
      </c>
      <c r="F57" s="32">
        <f t="shared" si="1"/>
        <v>1158.0328</v>
      </c>
      <c r="H57" s="3"/>
    </row>
    <row r="58" spans="3:8">
      <c r="C58" s="8">
        <v>53</v>
      </c>
      <c r="D58" s="3">
        <f t="shared" si="0"/>
        <v>1158.0328</v>
      </c>
      <c r="F58" s="32">
        <f t="shared" si="1"/>
        <v>1158.0328</v>
      </c>
      <c r="H58" s="3"/>
    </row>
    <row r="59" spans="3:8">
      <c r="C59" s="8">
        <v>54</v>
      </c>
      <c r="D59" s="3">
        <f t="shared" si="0"/>
        <v>1158.0328</v>
      </c>
      <c r="F59" s="32">
        <f t="shared" si="1"/>
        <v>1158.0328</v>
      </c>
      <c r="H59" s="3"/>
    </row>
    <row r="60" spans="3:8">
      <c r="C60" s="8">
        <v>55</v>
      </c>
      <c r="D60" s="3">
        <f t="shared" si="0"/>
        <v>1158.0328</v>
      </c>
      <c r="F60" s="32">
        <f t="shared" si="1"/>
        <v>1158.0328</v>
      </c>
      <c r="H60" s="3"/>
    </row>
    <row r="61" spans="3:8">
      <c r="C61" s="8">
        <v>56</v>
      </c>
      <c r="D61" s="3">
        <f t="shared" si="0"/>
        <v>1158.0328</v>
      </c>
      <c r="F61" s="32">
        <f t="shared" si="1"/>
        <v>1158.0328</v>
      </c>
      <c r="H61" s="3"/>
    </row>
    <row r="62" spans="3:8">
      <c r="C62" s="8">
        <v>57</v>
      </c>
      <c r="D62" s="3">
        <f t="shared" si="0"/>
        <v>1158.0328</v>
      </c>
      <c r="F62" s="32">
        <f t="shared" si="1"/>
        <v>1158.0328</v>
      </c>
      <c r="H62" s="3"/>
    </row>
    <row r="63" spans="3:8">
      <c r="C63" s="8">
        <v>58</v>
      </c>
      <c r="D63" s="3">
        <f t="shared" si="0"/>
        <v>1158.0328</v>
      </c>
      <c r="F63" s="32">
        <f t="shared" si="1"/>
        <v>1158.0328</v>
      </c>
      <c r="H63" s="3"/>
    </row>
    <row r="64" spans="3:8">
      <c r="C64" s="8">
        <v>59</v>
      </c>
      <c r="D64" s="3">
        <f t="shared" si="0"/>
        <v>1158.0328</v>
      </c>
      <c r="F64" s="32">
        <f t="shared" si="1"/>
        <v>1158.0328</v>
      </c>
      <c r="H64" s="3"/>
    </row>
    <row r="65" spans="2:8">
      <c r="C65" s="8">
        <v>60</v>
      </c>
      <c r="D65" s="3">
        <f t="shared" si="0"/>
        <v>1158.0328</v>
      </c>
      <c r="E65" s="3">
        <f>B1</f>
        <v>57901.64</v>
      </c>
      <c r="F65" s="34">
        <f t="shared" si="1"/>
        <v>59059.6728</v>
      </c>
      <c r="H65" s="3"/>
    </row>
    <row r="66" spans="2:8">
      <c r="B66" t="s">
        <v>24</v>
      </c>
      <c r="D66" s="3"/>
      <c r="F66" s="32">
        <f>SUM(F6:F65)</f>
        <v>127383.60800000004</v>
      </c>
    </row>
    <row r="67" spans="2:8">
      <c r="B67" t="s">
        <v>25</v>
      </c>
      <c r="D67" s="3"/>
      <c r="F67" s="32">
        <v>-50000</v>
      </c>
    </row>
    <row r="68" spans="2:8" ht="17.100000000000001" thickBot="1">
      <c r="B68" t="s">
        <v>26</v>
      </c>
      <c r="D68" s="3"/>
      <c r="F68" s="33">
        <f>F66+F67</f>
        <v>77383.608000000037</v>
      </c>
    </row>
    <row r="69" spans="2:8" ht="17.100000000000001" thickTop="1">
      <c r="D69" s="3"/>
    </row>
    <row r="70" spans="2:8">
      <c r="D70" s="3"/>
    </row>
    <row r="71" spans="2:8">
      <c r="D71" s="3"/>
    </row>
    <row r="72" spans="2:8">
      <c r="D72" s="3"/>
    </row>
    <row r="73" spans="2:8">
      <c r="D73" s="3"/>
    </row>
    <row r="74" spans="2:8">
      <c r="D74" s="3"/>
    </row>
    <row r="75" spans="2:8">
      <c r="D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topLeftCell="A58" workbookViewId="0">
      <selection activeCell="J70" sqref="J70"/>
    </sheetView>
  </sheetViews>
  <sheetFormatPr defaultColWidth="11" defaultRowHeight="15.95"/>
  <cols>
    <col min="2" max="3" width="11.5" bestFit="1" customWidth="1"/>
    <col min="4" max="4" width="14.125" bestFit="1" customWidth="1"/>
    <col min="6" max="6" width="12.625" bestFit="1" customWidth="1"/>
    <col min="7" max="7" width="14.5" customWidth="1"/>
    <col min="8" max="8" width="14.125" bestFit="1" customWidth="1"/>
    <col min="10" max="10" width="19.125" bestFit="1" customWidth="1"/>
    <col min="11" max="11" width="13.125" bestFit="1" customWidth="1"/>
  </cols>
  <sheetData>
    <row r="1" spans="1:9">
      <c r="A1" t="s">
        <v>16</v>
      </c>
      <c r="B1" s="31">
        <f>Face_Value</f>
        <v>57901.64</v>
      </c>
      <c r="D1" t="s">
        <v>27</v>
      </c>
      <c r="E1" s="28">
        <f>Date</f>
        <v>46055</v>
      </c>
    </row>
    <row r="2" spans="1:9">
      <c r="A2" t="s">
        <v>19</v>
      </c>
      <c r="B2">
        <f>Term</f>
        <v>30</v>
      </c>
      <c r="C2" t="s">
        <v>20</v>
      </c>
    </row>
    <row r="3" spans="1:9">
      <c r="A3" t="s">
        <v>28</v>
      </c>
      <c r="B3" s="1">
        <f>CouponRate</f>
        <v>0.04</v>
      </c>
      <c r="C3" t="s">
        <v>29</v>
      </c>
      <c r="E3" t="s">
        <v>30</v>
      </c>
      <c r="F3" s="4">
        <f>SUM(D8:D67)</f>
        <v>50000.001827595937</v>
      </c>
    </row>
    <row r="4" spans="1:9">
      <c r="A4" s="9" t="s">
        <v>31</v>
      </c>
      <c r="B4" s="36">
        <f>InterestRate</f>
        <v>4.87E-2</v>
      </c>
      <c r="C4" t="s">
        <v>32</v>
      </c>
    </row>
    <row r="5" spans="1:9">
      <c r="B5" s="1"/>
    </row>
    <row r="6" spans="1:9" ht="17.100000000000001" thickBot="1">
      <c r="A6" s="23" t="s">
        <v>33</v>
      </c>
      <c r="B6" s="23" t="s">
        <v>17</v>
      </c>
      <c r="C6" s="23" t="s">
        <v>22</v>
      </c>
      <c r="D6" s="23" t="s">
        <v>34</v>
      </c>
      <c r="E6" s="24"/>
      <c r="F6" s="23" t="s">
        <v>33</v>
      </c>
      <c r="G6" s="23" t="s">
        <v>35</v>
      </c>
      <c r="H6" s="24" t="s">
        <v>36</v>
      </c>
      <c r="I6" s="25" t="s">
        <v>37</v>
      </c>
    </row>
    <row r="7" spans="1:9">
      <c r="A7" s="2">
        <v>0</v>
      </c>
      <c r="F7" s="2">
        <v>0</v>
      </c>
      <c r="G7" s="4">
        <f>F3</f>
        <v>50000.001827595937</v>
      </c>
      <c r="I7" s="26"/>
    </row>
    <row r="8" spans="1:9">
      <c r="A8" s="2">
        <v>0.5</v>
      </c>
      <c r="B8" s="3">
        <f>$B$1*$B$3/2</f>
        <v>1158.0328</v>
      </c>
      <c r="D8" s="4">
        <f t="shared" ref="D8:D39" si="0">(B8+C8)/(1+$B$4/2)^(2*A8)</f>
        <v>1130.5050031727435</v>
      </c>
      <c r="F8" s="2">
        <v>0.5</v>
      </c>
      <c r="G8" s="4">
        <f t="shared" ref="G8:G39" si="1">G7+H8-B8</f>
        <v>50059.469072097898</v>
      </c>
      <c r="H8" s="4">
        <f>G7*($B$4/2)</f>
        <v>1217.5000445019612</v>
      </c>
      <c r="I8" s="27">
        <f>G7-B8+H8</f>
        <v>50059.469072097898</v>
      </c>
    </row>
    <row r="9" spans="1:9">
      <c r="A9" s="2">
        <v>1</v>
      </c>
      <c r="B9" s="3">
        <f t="shared" ref="B9:B67" si="2">$B$1*$B$3/2</f>
        <v>1158.0328</v>
      </c>
      <c r="D9" s="4">
        <f t="shared" si="0"/>
        <v>1103.6315743376222</v>
      </c>
      <c r="F9" s="2">
        <v>1</v>
      </c>
      <c r="G9" s="4">
        <f t="shared" si="1"/>
        <v>50120.384344003483</v>
      </c>
      <c r="H9" s="4">
        <f>G8*($B$4/2)</f>
        <v>1218.9480719055839</v>
      </c>
      <c r="I9" s="27">
        <f t="shared" ref="I9:I67" si="3">G8-B9+H9</f>
        <v>50120.384344003483</v>
      </c>
    </row>
    <row r="10" spans="1:9">
      <c r="A10" s="2">
        <v>1.5</v>
      </c>
      <c r="B10" s="3">
        <f t="shared" si="2"/>
        <v>1158.0328</v>
      </c>
      <c r="D10" s="4">
        <f t="shared" si="0"/>
        <v>1077.3969584005683</v>
      </c>
      <c r="F10" s="2">
        <v>1.5</v>
      </c>
      <c r="G10" s="4">
        <f t="shared" si="1"/>
        <v>50182.782902779967</v>
      </c>
      <c r="H10" s="4">
        <f t="shared" ref="H10:H67" si="4">G9*($B$4/2)</f>
        <v>1220.4313587764848</v>
      </c>
      <c r="I10" s="27">
        <f t="shared" si="3"/>
        <v>50182.782902779967</v>
      </c>
    </row>
    <row r="11" spans="1:9">
      <c r="A11" s="2">
        <v>2</v>
      </c>
      <c r="B11" s="3">
        <f t="shared" si="2"/>
        <v>1158.0328</v>
      </c>
      <c r="D11" s="4">
        <f t="shared" si="0"/>
        <v>1051.7859700303297</v>
      </c>
      <c r="F11" s="2">
        <v>2</v>
      </c>
      <c r="G11" s="4">
        <f t="shared" si="1"/>
        <v>50246.700866462656</v>
      </c>
      <c r="H11" s="4">
        <f t="shared" si="4"/>
        <v>1221.9507636826922</v>
      </c>
      <c r="I11" s="27">
        <f t="shared" si="3"/>
        <v>50246.700866462656</v>
      </c>
    </row>
    <row r="12" spans="1:9">
      <c r="A12" s="2">
        <v>2.5</v>
      </c>
      <c r="B12" s="3">
        <f t="shared" si="2"/>
        <v>1158.0328</v>
      </c>
      <c r="D12" s="4">
        <f t="shared" si="0"/>
        <v>1026.7837848687748</v>
      </c>
      <c r="F12" s="2">
        <v>2.5</v>
      </c>
      <c r="G12" s="4">
        <f t="shared" si="1"/>
        <v>50312.175232561021</v>
      </c>
      <c r="H12" s="4">
        <f t="shared" si="4"/>
        <v>1223.5071660983656</v>
      </c>
      <c r="I12" s="27">
        <f t="shared" si="3"/>
        <v>50312.175232561021</v>
      </c>
    </row>
    <row r="13" spans="1:9">
      <c r="A13" s="2">
        <v>3</v>
      </c>
      <c r="B13" s="3">
        <f t="shared" si="2"/>
        <v>1158.0328</v>
      </c>
      <c r="D13" s="4">
        <f t="shared" si="0"/>
        <v>1002.3759309501388</v>
      </c>
      <c r="F13" s="2">
        <v>3</v>
      </c>
      <c r="G13" s="4">
        <f t="shared" si="1"/>
        <v>50379.243899473884</v>
      </c>
      <c r="H13" s="4">
        <f t="shared" si="4"/>
        <v>1225.1014669128608</v>
      </c>
      <c r="I13" s="27">
        <f t="shared" si="3"/>
        <v>50379.243899473884</v>
      </c>
    </row>
    <row r="14" spans="1:9">
      <c r="A14" s="2">
        <v>3.5</v>
      </c>
      <c r="B14" s="3">
        <f t="shared" si="2"/>
        <v>1158.0328</v>
      </c>
      <c r="D14" s="4">
        <f t="shared" si="0"/>
        <v>978.54828032424336</v>
      </c>
      <c r="F14" s="2">
        <v>3.5</v>
      </c>
      <c r="G14" s="4">
        <f t="shared" si="1"/>
        <v>50447.945688426073</v>
      </c>
      <c r="H14" s="4">
        <f t="shared" si="4"/>
        <v>1226.7345889521891</v>
      </c>
      <c r="I14" s="27">
        <f t="shared" si="3"/>
        <v>50447.945688426073</v>
      </c>
    </row>
    <row r="15" spans="1:9">
      <c r="A15" s="2">
        <v>4</v>
      </c>
      <c r="B15" s="3">
        <f t="shared" si="2"/>
        <v>1158.0328</v>
      </c>
      <c r="D15" s="4">
        <f t="shared" si="0"/>
        <v>955.28704087884341</v>
      </c>
      <c r="F15" s="2">
        <v>4</v>
      </c>
      <c r="G15" s="4">
        <f t="shared" si="1"/>
        <v>50518.320365939246</v>
      </c>
      <c r="H15" s="4">
        <f t="shared" si="4"/>
        <v>1228.4074775131749</v>
      </c>
      <c r="I15" s="27">
        <f t="shared" si="3"/>
        <v>50518.320365939246</v>
      </c>
    </row>
    <row r="16" spans="1:9">
      <c r="A16" s="2">
        <v>4.5</v>
      </c>
      <c r="B16" s="3">
        <f t="shared" si="2"/>
        <v>1158.0328</v>
      </c>
      <c r="D16" s="4">
        <f t="shared" si="0"/>
        <v>932.57874835636574</v>
      </c>
      <c r="F16" s="2">
        <v>4.5</v>
      </c>
      <c r="G16" s="4">
        <f t="shared" si="1"/>
        <v>50590.408666849864</v>
      </c>
      <c r="H16" s="4">
        <f t="shared" si="4"/>
        <v>1230.1211009106207</v>
      </c>
      <c r="I16" s="27">
        <f t="shared" si="3"/>
        <v>50590.408666849864</v>
      </c>
    </row>
    <row r="17" spans="1:9">
      <c r="A17" s="2">
        <v>5</v>
      </c>
      <c r="B17" s="3">
        <f t="shared" si="2"/>
        <v>1158.0328</v>
      </c>
      <c r="D17" s="4">
        <f t="shared" si="0"/>
        <v>910.41025856041938</v>
      </c>
      <c r="F17" s="2">
        <v>5</v>
      </c>
      <c r="G17" s="4">
        <f t="shared" si="1"/>
        <v>50664.252317887658</v>
      </c>
      <c r="H17" s="4">
        <f t="shared" si="4"/>
        <v>1231.8764510377941</v>
      </c>
      <c r="I17" s="27">
        <f t="shared" si="3"/>
        <v>50664.252317887658</v>
      </c>
    </row>
    <row r="18" spans="1:9">
      <c r="A18" s="2">
        <v>5.5</v>
      </c>
      <c r="B18" s="3">
        <f t="shared" si="2"/>
        <v>1158.0328</v>
      </c>
      <c r="D18" s="4">
        <f t="shared" si="0"/>
        <v>888.7687397475662</v>
      </c>
      <c r="F18" s="2">
        <v>5.5</v>
      </c>
      <c r="G18" s="4">
        <f t="shared" si="1"/>
        <v>50739.894061828221</v>
      </c>
      <c r="H18" s="4">
        <f t="shared" si="4"/>
        <v>1233.6745439405645</v>
      </c>
      <c r="I18" s="27">
        <f t="shared" si="3"/>
        <v>50739.894061828221</v>
      </c>
    </row>
    <row r="19" spans="1:9">
      <c r="A19" s="2">
        <v>6</v>
      </c>
      <c r="B19" s="3">
        <f t="shared" si="2"/>
        <v>1158.0328</v>
      </c>
      <c r="D19" s="4">
        <f t="shared" si="0"/>
        <v>867.64166519994728</v>
      </c>
      <c r="F19" s="2">
        <v>6</v>
      </c>
      <c r="G19" s="4">
        <f t="shared" si="1"/>
        <v>50817.377682233739</v>
      </c>
      <c r="H19" s="4">
        <f t="shared" si="4"/>
        <v>1235.5164204055172</v>
      </c>
      <c r="I19" s="27">
        <f t="shared" si="3"/>
        <v>50817.377682233739</v>
      </c>
    </row>
    <row r="20" spans="1:9">
      <c r="A20" s="2">
        <v>6.5</v>
      </c>
      <c r="B20" s="3">
        <f t="shared" si="2"/>
        <v>1158.0328</v>
      </c>
      <c r="D20" s="4">
        <f t="shared" si="0"/>
        <v>847.01680597446887</v>
      </c>
      <c r="F20" s="2">
        <v>6.5</v>
      </c>
      <c r="G20" s="4">
        <f t="shared" si="1"/>
        <v>50896.74802879613</v>
      </c>
      <c r="H20" s="4">
        <f t="shared" si="4"/>
        <v>1237.4031465623916</v>
      </c>
      <c r="I20" s="27">
        <f t="shared" si="3"/>
        <v>50896.74802879613</v>
      </c>
    </row>
    <row r="21" spans="1:9">
      <c r="A21" s="2">
        <v>7</v>
      </c>
      <c r="B21" s="3">
        <f t="shared" si="2"/>
        <v>1158.0328</v>
      </c>
      <c r="D21" s="4">
        <f t="shared" si="0"/>
        <v>826.88222382434594</v>
      </c>
      <c r="F21" s="2">
        <v>7</v>
      </c>
      <c r="G21" s="4">
        <f t="shared" si="1"/>
        <v>50978.051043297317</v>
      </c>
      <c r="H21" s="4">
        <f t="shared" si="4"/>
        <v>1239.3358145011857</v>
      </c>
      <c r="I21" s="27">
        <f t="shared" si="3"/>
        <v>50978.051043297317</v>
      </c>
    </row>
    <row r="22" spans="1:9">
      <c r="A22" s="2">
        <v>7.5</v>
      </c>
      <c r="B22" s="3">
        <f t="shared" si="2"/>
        <v>1158.0328</v>
      </c>
      <c r="D22" s="4">
        <f t="shared" si="0"/>
        <v>807.2262642889109</v>
      </c>
      <c r="F22" s="2">
        <v>7.5</v>
      </c>
      <c r="G22" s="4">
        <f t="shared" si="1"/>
        <v>51061.333786201605</v>
      </c>
      <c r="H22" s="4">
        <f t="shared" si="4"/>
        <v>1241.3155429042897</v>
      </c>
      <c r="I22" s="27">
        <f t="shared" si="3"/>
        <v>51061.333786201605</v>
      </c>
    </row>
    <row r="23" spans="1:9">
      <c r="A23" s="2">
        <v>8</v>
      </c>
      <c r="B23" s="3">
        <f t="shared" si="2"/>
        <v>1158.0328</v>
      </c>
      <c r="D23" s="4">
        <f t="shared" si="0"/>
        <v>788.03754994768462</v>
      </c>
      <c r="F23" s="2">
        <v>8</v>
      </c>
      <c r="G23" s="4">
        <f t="shared" si="1"/>
        <v>51146.644463895616</v>
      </c>
      <c r="H23" s="4">
        <f t="shared" si="4"/>
        <v>1243.3434776940092</v>
      </c>
      <c r="I23" s="27">
        <f t="shared" si="3"/>
        <v>51146.644463895616</v>
      </c>
    </row>
    <row r="24" spans="1:9">
      <c r="A24" s="2">
        <v>8.5</v>
      </c>
      <c r="B24" s="3">
        <f t="shared" si="2"/>
        <v>1158.0328</v>
      </c>
      <c r="D24" s="4">
        <f t="shared" si="0"/>
        <v>769.30497383480702</v>
      </c>
      <c r="F24" s="2">
        <v>8.5</v>
      </c>
      <c r="G24" s="4">
        <f t="shared" si="1"/>
        <v>51234.032456591471</v>
      </c>
      <c r="H24" s="4">
        <f t="shared" si="4"/>
        <v>1245.4207926958582</v>
      </c>
      <c r="I24" s="27">
        <f t="shared" si="3"/>
        <v>51234.032456591471</v>
      </c>
    </row>
    <row r="25" spans="1:9">
      <c r="A25" s="2">
        <v>9</v>
      </c>
      <c r="B25" s="3">
        <f t="shared" si="2"/>
        <v>1158.0328</v>
      </c>
      <c r="D25" s="4">
        <f t="shared" si="0"/>
        <v>751.01769301001298</v>
      </c>
      <c r="F25" s="2">
        <v>9</v>
      </c>
      <c r="G25" s="4">
        <f t="shared" si="1"/>
        <v>51323.548346909469</v>
      </c>
      <c r="H25" s="4">
        <f t="shared" si="4"/>
        <v>1247.5486903180024</v>
      </c>
      <c r="I25" s="27">
        <f t="shared" si="3"/>
        <v>51323.548346909469</v>
      </c>
    </row>
    <row r="26" spans="1:9">
      <c r="A26" s="2">
        <v>9.5</v>
      </c>
      <c r="B26" s="3">
        <f t="shared" si="2"/>
        <v>1158.0328</v>
      </c>
      <c r="D26" s="4">
        <f t="shared" si="0"/>
        <v>733.16512228243573</v>
      </c>
      <c r="F26" s="2">
        <v>9.5</v>
      </c>
      <c r="G26" s="4">
        <f t="shared" si="1"/>
        <v>51415.243949156713</v>
      </c>
      <c r="H26" s="4">
        <f t="shared" si="4"/>
        <v>1249.7284022472456</v>
      </c>
      <c r="I26" s="27">
        <f t="shared" si="3"/>
        <v>51415.243949156713</v>
      </c>
    </row>
    <row r="27" spans="1:9">
      <c r="A27" s="2">
        <v>10</v>
      </c>
      <c r="B27" s="3">
        <f t="shared" si="2"/>
        <v>1158.0328</v>
      </c>
      <c r="D27" s="4">
        <f t="shared" si="0"/>
        <v>715.73692808359999</v>
      </c>
      <c r="F27" s="2">
        <v>10</v>
      </c>
      <c r="G27" s="4">
        <f t="shared" si="1"/>
        <v>51509.172339318677</v>
      </c>
      <c r="H27" s="4">
        <f t="shared" si="4"/>
        <v>1251.961190161966</v>
      </c>
      <c r="I27" s="27">
        <f t="shared" si="3"/>
        <v>51509.172339318677</v>
      </c>
    </row>
    <row r="28" spans="1:9">
      <c r="A28" s="2">
        <v>10.5</v>
      </c>
      <c r="B28" s="3">
        <f t="shared" si="2"/>
        <v>1158.0328</v>
      </c>
      <c r="D28" s="4">
        <f t="shared" si="0"/>
        <v>698.72302248606422</v>
      </c>
      <c r="F28" s="2">
        <v>10.5</v>
      </c>
      <c r="G28" s="4">
        <f t="shared" si="1"/>
        <v>51605.387885781085</v>
      </c>
      <c r="H28" s="4">
        <f t="shared" si="4"/>
        <v>1254.2483464624097</v>
      </c>
      <c r="I28" s="27">
        <f t="shared" si="3"/>
        <v>51605.387885781085</v>
      </c>
    </row>
    <row r="29" spans="1:9">
      <c r="A29" s="2">
        <v>11</v>
      </c>
      <c r="B29" s="3">
        <f t="shared" si="2"/>
        <v>1158.0328</v>
      </c>
      <c r="D29" s="4">
        <f t="shared" si="0"/>
        <v>682.11355736424468</v>
      </c>
      <c r="F29" s="2">
        <v>11</v>
      </c>
      <c r="G29" s="4">
        <f t="shared" si="1"/>
        <v>51703.946280799857</v>
      </c>
      <c r="H29" s="4">
        <f t="shared" si="4"/>
        <v>1256.5911950187694</v>
      </c>
      <c r="I29" s="27">
        <f t="shared" si="3"/>
        <v>51703.946280799857</v>
      </c>
    </row>
    <row r="30" spans="1:9">
      <c r="A30" s="2">
        <v>11.5</v>
      </c>
      <c r="B30" s="3">
        <f t="shared" si="2"/>
        <v>1158.0328</v>
      </c>
      <c r="D30" s="4">
        <f t="shared" si="0"/>
        <v>665.89891869404471</v>
      </c>
      <c r="F30" s="2">
        <v>11.5</v>
      </c>
      <c r="G30" s="4">
        <f t="shared" si="1"/>
        <v>51804.90457273733</v>
      </c>
      <c r="H30" s="4">
        <f t="shared" si="4"/>
        <v>1258.9910919374765</v>
      </c>
      <c r="I30" s="27">
        <f t="shared" si="3"/>
        <v>51804.90457273733</v>
      </c>
    </row>
    <row r="31" spans="1:9">
      <c r="A31" s="2">
        <v>12</v>
      </c>
      <c r="B31" s="3">
        <f t="shared" si="2"/>
        <v>1158.0328</v>
      </c>
      <c r="D31" s="4">
        <f t="shared" si="0"/>
        <v>650.06972098798713</v>
      </c>
      <c r="F31" s="2">
        <v>12</v>
      </c>
      <c r="G31" s="4">
        <f t="shared" si="1"/>
        <v>51908.321199083482</v>
      </c>
      <c r="H31" s="4">
        <f t="shared" si="4"/>
        <v>1261.449426346154</v>
      </c>
      <c r="I31" s="27">
        <f t="shared" si="3"/>
        <v>51908.321199083482</v>
      </c>
    </row>
    <row r="32" spans="1:9">
      <c r="A32" s="2">
        <v>12.5</v>
      </c>
      <c r="B32" s="3">
        <f t="shared" si="2"/>
        <v>1158.0328</v>
      </c>
      <c r="D32" s="4">
        <f t="shared" si="0"/>
        <v>634.61680186263197</v>
      </c>
      <c r="F32" s="2">
        <v>12.5</v>
      </c>
      <c r="G32" s="4">
        <f t="shared" si="1"/>
        <v>52014.256020281166</v>
      </c>
      <c r="H32" s="4">
        <f t="shared" si="4"/>
        <v>1263.9676211976828</v>
      </c>
      <c r="I32" s="27">
        <f t="shared" si="3"/>
        <v>52014.256020281166</v>
      </c>
    </row>
    <row r="33" spans="1:9">
      <c r="A33" s="2">
        <v>13</v>
      </c>
      <c r="B33" s="3">
        <f t="shared" si="2"/>
        <v>1158.0328</v>
      </c>
      <c r="D33" s="4">
        <f t="shared" si="0"/>
        <v>619.53121673513147</v>
      </c>
      <c r="F33" s="2">
        <v>13</v>
      </c>
      <c r="G33" s="4">
        <f t="shared" si="1"/>
        <v>52122.77035437501</v>
      </c>
      <c r="H33" s="4">
        <f t="shared" si="4"/>
        <v>1266.5471340938464</v>
      </c>
      <c r="I33" s="27">
        <f t="shared" si="3"/>
        <v>52122.77035437501</v>
      </c>
    </row>
    <row r="34" spans="1:9">
      <c r="A34" s="2">
        <v>13.5</v>
      </c>
      <c r="B34" s="3">
        <f t="shared" si="2"/>
        <v>1158.0328</v>
      </c>
      <c r="D34" s="4">
        <f t="shared" si="0"/>
        <v>604.80423364585488</v>
      </c>
      <c r="F34" s="2">
        <v>13.5</v>
      </c>
      <c r="G34" s="4">
        <f t="shared" si="1"/>
        <v>52233.927012504042</v>
      </c>
      <c r="H34" s="4">
        <f t="shared" si="4"/>
        <v>1269.1894581290314</v>
      </c>
      <c r="I34" s="27">
        <f t="shared" si="3"/>
        <v>52233.927012504042</v>
      </c>
    </row>
    <row r="35" spans="1:9">
      <c r="A35" s="2">
        <v>14</v>
      </c>
      <c r="B35" s="3">
        <f t="shared" si="2"/>
        <v>1158.0328</v>
      </c>
      <c r="D35" s="4">
        <f t="shared" si="0"/>
        <v>590.42732820408526</v>
      </c>
      <c r="F35" s="2">
        <v>14</v>
      </c>
      <c r="G35" s="4">
        <f t="shared" si="1"/>
        <v>52347.790335258513</v>
      </c>
      <c r="H35" s="4">
        <f t="shared" si="4"/>
        <v>1271.8961227544735</v>
      </c>
      <c r="I35" s="27">
        <f t="shared" si="3"/>
        <v>52347.790335258513</v>
      </c>
    </row>
    <row r="36" spans="1:9">
      <c r="A36" s="2">
        <v>14.5</v>
      </c>
      <c r="B36" s="3">
        <f t="shared" si="2"/>
        <v>1158.0328</v>
      </c>
      <c r="D36" s="4">
        <f t="shared" si="0"/>
        <v>576.39217865386365</v>
      </c>
      <c r="F36" s="2">
        <v>14.5</v>
      </c>
      <c r="G36" s="4">
        <f t="shared" si="1"/>
        <v>52464.426229922057</v>
      </c>
      <c r="H36" s="4">
        <f t="shared" si="4"/>
        <v>1274.6686946635448</v>
      </c>
      <c r="I36" s="27">
        <f t="shared" si="3"/>
        <v>52464.426229922057</v>
      </c>
    </row>
    <row r="37" spans="1:9">
      <c r="A37" s="2">
        <v>15</v>
      </c>
      <c r="B37" s="3">
        <f t="shared" si="2"/>
        <v>1158.0328</v>
      </c>
      <c r="D37" s="4">
        <f t="shared" si="0"/>
        <v>562.6906610571225</v>
      </c>
      <c r="F37" s="2">
        <v>15</v>
      </c>
      <c r="G37" s="4">
        <f t="shared" si="1"/>
        <v>52583.902208620661</v>
      </c>
      <c r="H37" s="4">
        <f t="shared" si="4"/>
        <v>1277.5087786986021</v>
      </c>
      <c r="I37" s="27">
        <f t="shared" si="3"/>
        <v>52583.902208620661</v>
      </c>
    </row>
    <row r="38" spans="1:9">
      <c r="A38" s="2">
        <v>15.5</v>
      </c>
      <c r="B38" s="3">
        <f t="shared" si="2"/>
        <v>1158.0328</v>
      </c>
      <c r="D38" s="4">
        <f t="shared" si="0"/>
        <v>549.31484459132378</v>
      </c>
      <c r="F38" s="2">
        <v>15.5</v>
      </c>
      <c r="G38" s="4">
        <f t="shared" si="1"/>
        <v>52706.287427400574</v>
      </c>
      <c r="H38" s="4">
        <f t="shared" si="4"/>
        <v>1280.4180187799132</v>
      </c>
      <c r="I38" s="27">
        <f t="shared" si="3"/>
        <v>52706.287427400574</v>
      </c>
    </row>
    <row r="39" spans="1:9">
      <c r="A39" s="2">
        <v>16</v>
      </c>
      <c r="B39" s="3">
        <f t="shared" si="2"/>
        <v>1158.0328</v>
      </c>
      <c r="D39" s="4">
        <f t="shared" si="0"/>
        <v>536.25698695887502</v>
      </c>
      <c r="F39" s="2">
        <v>16</v>
      </c>
      <c r="G39" s="4">
        <f t="shared" si="1"/>
        <v>52831.652726257773</v>
      </c>
      <c r="H39" s="4">
        <f t="shared" si="4"/>
        <v>1283.3980988572039</v>
      </c>
      <c r="I39" s="27">
        <f t="shared" si="3"/>
        <v>52831.652726257773</v>
      </c>
    </row>
    <row r="40" spans="1:9">
      <c r="A40" s="2">
        <v>16.5</v>
      </c>
      <c r="B40" s="3">
        <f t="shared" si="2"/>
        <v>1158.0328</v>
      </c>
      <c r="D40" s="4">
        <f t="shared" ref="D40:D67" si="5">(B40+C40)/(1+$B$4/2)^(2*A40)</f>
        <v>523.5095299056718</v>
      </c>
      <c r="F40" s="2">
        <v>16.5</v>
      </c>
      <c r="G40" s="4">
        <f t="shared" ref="G40:G67" si="6">G39+H40-B40</f>
        <v>52960.070670142151</v>
      </c>
      <c r="H40" s="4">
        <f t="shared" si="4"/>
        <v>1286.4507438843768</v>
      </c>
      <c r="I40" s="27">
        <f t="shared" si="3"/>
        <v>52960.070670142151</v>
      </c>
    </row>
    <row r="41" spans="1:9">
      <c r="A41" s="2">
        <v>17</v>
      </c>
      <c r="B41" s="3">
        <f t="shared" si="2"/>
        <v>1158.0328</v>
      </c>
      <c r="D41" s="4">
        <f t="shared" si="5"/>
        <v>511.06509484616765</v>
      </c>
      <c r="F41" s="2">
        <v>17</v>
      </c>
      <c r="G41" s="4">
        <f t="shared" si="6"/>
        <v>53091.615590960115</v>
      </c>
      <c r="H41" s="4">
        <f t="shared" si="4"/>
        <v>1289.5777208179613</v>
      </c>
      <c r="I41" s="27">
        <f t="shared" si="3"/>
        <v>53091.615590960115</v>
      </c>
    </row>
    <row r="42" spans="1:9">
      <c r="A42" s="2">
        <v>17.5</v>
      </c>
      <c r="B42" s="3">
        <f t="shared" si="2"/>
        <v>1158.0328</v>
      </c>
      <c r="D42" s="4">
        <f t="shared" si="5"/>
        <v>498.91647859244159</v>
      </c>
      <c r="F42" s="2">
        <v>17.5</v>
      </c>
      <c r="G42" s="4">
        <f t="shared" si="6"/>
        <v>53226.36363059999</v>
      </c>
      <c r="H42" s="4">
        <f t="shared" si="4"/>
        <v>1292.7808396398789</v>
      </c>
      <c r="I42" s="27">
        <f t="shared" si="3"/>
        <v>53226.36363059999</v>
      </c>
    </row>
    <row r="43" spans="1:9">
      <c r="A43" s="2">
        <v>18</v>
      </c>
      <c r="B43" s="3">
        <f t="shared" si="2"/>
        <v>1158.0328</v>
      </c>
      <c r="D43" s="4">
        <f t="shared" si="5"/>
        <v>487.05664918479187</v>
      </c>
      <c r="F43" s="2">
        <v>18</v>
      </c>
      <c r="G43" s="4">
        <f t="shared" si="6"/>
        <v>53364.392785005097</v>
      </c>
      <c r="H43" s="4">
        <f t="shared" si="4"/>
        <v>1296.0619544051096</v>
      </c>
      <c r="I43" s="27">
        <f t="shared" si="3"/>
        <v>53364.392785005097</v>
      </c>
    </row>
    <row r="44" spans="1:9">
      <c r="A44" s="2">
        <v>18.5</v>
      </c>
      <c r="B44" s="3">
        <f t="shared" si="2"/>
        <v>1158.0328</v>
      </c>
      <c r="D44" s="4">
        <f t="shared" si="5"/>
        <v>475.47874182143977</v>
      </c>
      <c r="F44" s="2">
        <v>18.5</v>
      </c>
      <c r="G44" s="4">
        <f t="shared" si="6"/>
        <v>53505.782949319968</v>
      </c>
      <c r="H44" s="4">
        <f t="shared" si="4"/>
        <v>1299.4229643148742</v>
      </c>
      <c r="I44" s="27">
        <f t="shared" si="3"/>
        <v>53505.782949319968</v>
      </c>
    </row>
    <row r="45" spans="1:9">
      <c r="A45" s="2">
        <v>19</v>
      </c>
      <c r="B45" s="3">
        <f t="shared" si="2"/>
        <v>1158.0328</v>
      </c>
      <c r="D45" s="4">
        <f t="shared" si="5"/>
        <v>464.17605488499021</v>
      </c>
      <c r="F45" s="2">
        <v>19</v>
      </c>
      <c r="G45" s="4">
        <f t="shared" si="6"/>
        <v>53650.615964135912</v>
      </c>
      <c r="H45" s="4">
        <f t="shared" si="4"/>
        <v>1302.8658148159411</v>
      </c>
      <c r="I45" s="27">
        <f t="shared" si="3"/>
        <v>53650.615964135912</v>
      </c>
    </row>
    <row r="46" spans="1:9">
      <c r="A46" s="2">
        <v>19.5</v>
      </c>
      <c r="B46" s="3">
        <f t="shared" si="2"/>
        <v>1158.0328</v>
      </c>
      <c r="D46" s="4">
        <f t="shared" si="5"/>
        <v>453.14204606334761</v>
      </c>
      <c r="F46" s="2">
        <v>19.5</v>
      </c>
      <c r="G46" s="4">
        <f t="shared" si="6"/>
        <v>53798.97566286262</v>
      </c>
      <c r="H46" s="4">
        <f t="shared" si="4"/>
        <v>1306.3924987267094</v>
      </c>
      <c r="I46" s="27">
        <f t="shared" si="3"/>
        <v>53798.97566286262</v>
      </c>
    </row>
    <row r="47" spans="1:9">
      <c r="A47" s="2">
        <v>20</v>
      </c>
      <c r="B47" s="3">
        <f t="shared" si="2"/>
        <v>1158.0328</v>
      </c>
      <c r="D47" s="4">
        <f t="shared" si="5"/>
        <v>442.37032856284236</v>
      </c>
      <c r="F47" s="2">
        <v>20</v>
      </c>
      <c r="G47" s="4">
        <f t="shared" si="6"/>
        <v>53950.947920253326</v>
      </c>
      <c r="H47" s="4">
        <f t="shared" si="4"/>
        <v>1310.0050573907049</v>
      </c>
      <c r="I47" s="27">
        <f t="shared" si="3"/>
        <v>53950.947920253326</v>
      </c>
    </row>
    <row r="48" spans="1:9">
      <c r="A48" s="2">
        <v>20.5</v>
      </c>
      <c r="B48" s="3">
        <f t="shared" si="2"/>
        <v>1158.0328</v>
      </c>
      <c r="D48" s="4">
        <f t="shared" si="5"/>
        <v>431.85466741137532</v>
      </c>
      <c r="F48" s="2">
        <v>20.5</v>
      </c>
      <c r="G48" s="4">
        <f t="shared" si="6"/>
        <v>54106.620702111497</v>
      </c>
      <c r="H48" s="4">
        <f t="shared" si="4"/>
        <v>1313.7055818581684</v>
      </c>
      <c r="I48" s="27">
        <f t="shared" si="3"/>
        <v>54106.620702111497</v>
      </c>
    </row>
    <row r="49" spans="1:9">
      <c r="A49" s="2">
        <v>21</v>
      </c>
      <c r="B49" s="3">
        <f t="shared" si="2"/>
        <v>1158.0328</v>
      </c>
      <c r="D49" s="4">
        <f t="shared" si="5"/>
        <v>421.58897584944128</v>
      </c>
      <c r="F49" s="2">
        <v>21</v>
      </c>
      <c r="G49" s="4">
        <f t="shared" si="6"/>
        <v>54266.084116207909</v>
      </c>
      <c r="H49" s="4">
        <f t="shared" si="4"/>
        <v>1317.4962140964149</v>
      </c>
      <c r="I49" s="27">
        <f t="shared" si="3"/>
        <v>54266.084116207909</v>
      </c>
    </row>
    <row r="50" spans="1:9">
      <c r="A50" s="2">
        <v>21.5</v>
      </c>
      <c r="B50" s="3">
        <f t="shared" si="2"/>
        <v>1158.0328</v>
      </c>
      <c r="D50" s="4">
        <f t="shared" si="5"/>
        <v>411.56731180694231</v>
      </c>
      <c r="F50" s="2">
        <v>21.5</v>
      </c>
      <c r="G50" s="4">
        <f t="shared" si="6"/>
        <v>54429.430464437573</v>
      </c>
      <c r="H50" s="4">
        <f t="shared" si="4"/>
        <v>1321.3791482296626</v>
      </c>
      <c r="I50" s="27">
        <f t="shared" si="3"/>
        <v>54429.430464437573</v>
      </c>
    </row>
    <row r="51" spans="1:9">
      <c r="A51" s="2">
        <v>22</v>
      </c>
      <c r="B51" s="3">
        <f t="shared" si="2"/>
        <v>1158.0328</v>
      </c>
      <c r="D51" s="4">
        <f t="shared" si="5"/>
        <v>401.7838744637499</v>
      </c>
      <c r="F51" s="2">
        <v>22</v>
      </c>
      <c r="G51" s="4">
        <f t="shared" si="6"/>
        <v>54596.754296246625</v>
      </c>
      <c r="H51" s="4">
        <f t="shared" si="4"/>
        <v>1325.356631809055</v>
      </c>
      <c r="I51" s="27">
        <f t="shared" si="3"/>
        <v>54596.754296246625</v>
      </c>
    </row>
    <row r="52" spans="1:9">
      <c r="A52" s="2">
        <v>22.5</v>
      </c>
      <c r="B52" s="3">
        <f t="shared" si="2"/>
        <v>1158.0328</v>
      </c>
      <c r="D52" s="4">
        <f t="shared" si="5"/>
        <v>392.23300089202894</v>
      </c>
      <c r="F52" s="2">
        <v>22.5</v>
      </c>
      <c r="G52" s="4">
        <f t="shared" si="6"/>
        <v>54768.152463360231</v>
      </c>
      <c r="H52" s="4">
        <f t="shared" si="4"/>
        <v>1329.4309671136052</v>
      </c>
      <c r="I52" s="27">
        <f t="shared" si="3"/>
        <v>54768.152463360231</v>
      </c>
    </row>
    <row r="53" spans="1:9">
      <c r="A53" s="2">
        <v>23</v>
      </c>
      <c r="B53" s="3">
        <f t="shared" si="2"/>
        <v>1158.0328</v>
      </c>
      <c r="D53" s="4">
        <f t="shared" si="5"/>
        <v>382.9091627783755</v>
      </c>
      <c r="F53" s="2">
        <v>23</v>
      </c>
      <c r="G53" s="4">
        <f t="shared" si="6"/>
        <v>54943.724175843054</v>
      </c>
      <c r="H53" s="4">
        <f t="shared" si="4"/>
        <v>1333.6045124828217</v>
      </c>
      <c r="I53" s="27">
        <f t="shared" si="3"/>
        <v>54943.724175843054</v>
      </c>
    </row>
    <row r="54" spans="1:9">
      <c r="A54" s="2">
        <v>23.5</v>
      </c>
      <c r="B54" s="3">
        <f t="shared" si="2"/>
        <v>1158.0328</v>
      </c>
      <c r="D54" s="4">
        <f t="shared" si="5"/>
        <v>373.80696322387405</v>
      </c>
      <c r="F54" s="2">
        <v>23.5</v>
      </c>
      <c r="G54" s="4">
        <f t="shared" si="6"/>
        <v>55123.571059524831</v>
      </c>
      <c r="H54" s="4">
        <f t="shared" si="4"/>
        <v>1337.8796836817783</v>
      </c>
      <c r="I54" s="27">
        <f t="shared" si="3"/>
        <v>55123.571059524831</v>
      </c>
    </row>
    <row r="55" spans="1:9">
      <c r="A55" s="2">
        <v>24</v>
      </c>
      <c r="B55" s="3">
        <f t="shared" si="2"/>
        <v>1158.0328</v>
      </c>
      <c r="D55" s="4">
        <f t="shared" si="5"/>
        <v>364.92113362022167</v>
      </c>
      <c r="F55" s="2">
        <v>24</v>
      </c>
      <c r="G55" s="4">
        <f t="shared" si="6"/>
        <v>55307.797214824262</v>
      </c>
      <c r="H55" s="4">
        <f t="shared" si="4"/>
        <v>1342.2589552994295</v>
      </c>
      <c r="I55" s="27">
        <f t="shared" si="3"/>
        <v>55307.797214824262</v>
      </c>
    </row>
    <row r="56" spans="1:9">
      <c r="A56" s="2">
        <v>24.5</v>
      </c>
      <c r="B56" s="3">
        <f t="shared" si="2"/>
        <v>1158.0328</v>
      </c>
      <c r="D56" s="4">
        <f t="shared" si="5"/>
        <v>356.24653060010894</v>
      </c>
      <c r="F56" s="2">
        <v>24.5</v>
      </c>
      <c r="G56" s="4">
        <f t="shared" si="6"/>
        <v>55496.509277005229</v>
      </c>
      <c r="H56" s="4">
        <f t="shared" si="4"/>
        <v>1346.7448621809708</v>
      </c>
      <c r="I56" s="27">
        <f t="shared" si="3"/>
        <v>55496.509277005229</v>
      </c>
    </row>
    <row r="57" spans="1:9">
      <c r="A57" s="2">
        <v>25</v>
      </c>
      <c r="B57" s="3">
        <f t="shared" si="2"/>
        <v>1158.0328</v>
      </c>
      <c r="D57" s="4">
        <f t="shared" si="5"/>
        <v>347.77813306009551</v>
      </c>
      <c r="F57" s="2">
        <v>25</v>
      </c>
      <c r="G57" s="4">
        <f t="shared" si="6"/>
        <v>55689.816477900305</v>
      </c>
      <c r="H57" s="4">
        <f t="shared" si="4"/>
        <v>1351.3400008950773</v>
      </c>
      <c r="I57" s="27">
        <f t="shared" si="3"/>
        <v>55689.816477900305</v>
      </c>
    </row>
    <row r="58" spans="1:9">
      <c r="A58" s="2">
        <v>25.5</v>
      </c>
      <c r="B58" s="3">
        <f t="shared" si="2"/>
        <v>1158.0328</v>
      </c>
      <c r="D58" s="4">
        <f t="shared" si="5"/>
        <v>339.51103925425446</v>
      </c>
      <c r="F58" s="2">
        <v>25.5</v>
      </c>
      <c r="G58" s="4">
        <f t="shared" si="6"/>
        <v>55887.830709137175</v>
      </c>
      <c r="H58" s="4">
        <f t="shared" si="4"/>
        <v>1356.0470312368725</v>
      </c>
      <c r="I58" s="27">
        <f t="shared" si="3"/>
        <v>55887.830709137175</v>
      </c>
    </row>
    <row r="59" spans="1:9">
      <c r="A59" s="2">
        <v>26</v>
      </c>
      <c r="B59" s="3">
        <f t="shared" si="2"/>
        <v>1158.0328</v>
      </c>
      <c r="D59" s="4">
        <f t="shared" si="5"/>
        <v>331.44046395690378</v>
      </c>
      <c r="F59" s="2">
        <v>26</v>
      </c>
      <c r="G59" s="4">
        <f t="shared" si="6"/>
        <v>56090.666586904663</v>
      </c>
      <c r="H59" s="4">
        <f t="shared" si="4"/>
        <v>1360.8686777674902</v>
      </c>
      <c r="I59" s="27">
        <f t="shared" si="3"/>
        <v>56090.666586904663</v>
      </c>
    </row>
    <row r="60" spans="1:9">
      <c r="A60" s="2">
        <v>26.5</v>
      </c>
      <c r="B60" s="3">
        <f t="shared" si="2"/>
        <v>1158.0328</v>
      </c>
      <c r="D60" s="4">
        <f t="shared" si="5"/>
        <v>323.56173569278445</v>
      </c>
      <c r="F60" s="2">
        <v>26.5</v>
      </c>
      <c r="G60" s="4">
        <f t="shared" si="6"/>
        <v>56298.441518295789</v>
      </c>
      <c r="H60" s="4">
        <f t="shared" si="4"/>
        <v>1365.8077313911285</v>
      </c>
      <c r="I60" s="27">
        <f t="shared" si="3"/>
        <v>56298.441518295789</v>
      </c>
    </row>
    <row r="61" spans="1:9">
      <c r="A61" s="2">
        <v>27</v>
      </c>
      <c r="B61" s="3">
        <f t="shared" si="2"/>
        <v>1158.0328</v>
      </c>
      <c r="D61" s="4">
        <f t="shared" si="5"/>
        <v>315.87029403307895</v>
      </c>
      <c r="F61" s="2">
        <v>27</v>
      </c>
      <c r="G61" s="4">
        <f t="shared" si="6"/>
        <v>56511.275769266293</v>
      </c>
      <c r="H61" s="4">
        <f t="shared" si="4"/>
        <v>1370.8670509705025</v>
      </c>
      <c r="I61" s="27">
        <f t="shared" si="3"/>
        <v>56511.275769266293</v>
      </c>
    </row>
    <row r="62" spans="1:9">
      <c r="A62" s="2">
        <v>27.5</v>
      </c>
      <c r="B62" s="3">
        <f t="shared" si="2"/>
        <v>1158.0328</v>
      </c>
      <c r="D62" s="4">
        <f t="shared" si="5"/>
        <v>308.3616869557074</v>
      </c>
      <c r="F62" s="2">
        <v>27.5</v>
      </c>
      <c r="G62" s="4">
        <f t="shared" si="6"/>
        <v>56729.292534247928</v>
      </c>
      <c r="H62" s="4">
        <f t="shared" si="4"/>
        <v>1376.0495649816341</v>
      </c>
      <c r="I62" s="27">
        <f t="shared" si="3"/>
        <v>56729.292534247928</v>
      </c>
    </row>
    <row r="63" spans="1:9">
      <c r="A63" s="2">
        <v>28</v>
      </c>
      <c r="B63" s="3">
        <f t="shared" si="2"/>
        <v>1158.0328</v>
      </c>
      <c r="D63" s="4">
        <f t="shared" si="5"/>
        <v>301.0315682683725</v>
      </c>
      <c r="F63" s="2">
        <v>28</v>
      </c>
      <c r="G63" s="4">
        <f t="shared" si="6"/>
        <v>56952.618007456862</v>
      </c>
      <c r="H63" s="4">
        <f t="shared" si="4"/>
        <v>1381.3582732089371</v>
      </c>
      <c r="I63" s="27">
        <f t="shared" si="3"/>
        <v>56952.618007456862</v>
      </c>
    </row>
    <row r="64" spans="1:9">
      <c r="A64" s="2">
        <v>28.5</v>
      </c>
      <c r="B64" s="3">
        <f t="shared" si="2"/>
        <v>1158.0328</v>
      </c>
      <c r="D64" s="4">
        <f t="shared" si="5"/>
        <v>293.87569509286129</v>
      </c>
      <c r="F64" s="2">
        <v>28.5</v>
      </c>
      <c r="G64" s="4">
        <f t="shared" si="6"/>
        <v>57181.381455938434</v>
      </c>
      <c r="H64" s="4">
        <f t="shared" si="4"/>
        <v>1386.7962484815746</v>
      </c>
      <c r="I64" s="27">
        <f t="shared" si="3"/>
        <v>57181.381455938434</v>
      </c>
    </row>
    <row r="65" spans="1:9">
      <c r="A65" s="2">
        <v>29</v>
      </c>
      <c r="B65" s="3">
        <f t="shared" si="2"/>
        <v>1158.0328</v>
      </c>
      <c r="D65" s="4">
        <f t="shared" si="5"/>
        <v>286.88992540914847</v>
      </c>
      <c r="F65" s="2">
        <v>29</v>
      </c>
      <c r="G65" s="4">
        <f t="shared" si="6"/>
        <v>57415.715294390531</v>
      </c>
      <c r="H65" s="4">
        <f t="shared" si="4"/>
        <v>1392.3666384521009</v>
      </c>
      <c r="I65" s="27">
        <f t="shared" si="3"/>
        <v>57415.715294390531</v>
      </c>
    </row>
    <row r="66" spans="1:9">
      <c r="A66" s="2">
        <v>29.5</v>
      </c>
      <c r="B66" s="3">
        <f t="shared" si="2"/>
        <v>1158.0328</v>
      </c>
      <c r="D66" s="4">
        <f t="shared" si="5"/>
        <v>280.07021565787915</v>
      </c>
      <c r="F66" s="2">
        <v>29.5</v>
      </c>
      <c r="G66" s="4">
        <f t="shared" si="6"/>
        <v>57655.755161808942</v>
      </c>
      <c r="H66" s="4">
        <f t="shared" si="4"/>
        <v>1398.0726674184095</v>
      </c>
      <c r="I66" s="27">
        <f t="shared" si="3"/>
        <v>57655.755161808942</v>
      </c>
    </row>
    <row r="67" spans="1:9" ht="17.100000000000001" thickBot="1">
      <c r="A67" s="17">
        <v>30</v>
      </c>
      <c r="B67" s="18">
        <f t="shared" si="2"/>
        <v>1158.0328</v>
      </c>
      <c r="C67" s="18">
        <f>B1</f>
        <v>57901.64</v>
      </c>
      <c r="D67" s="19">
        <f t="shared" si="5"/>
        <v>13944.043538391988</v>
      </c>
      <c r="F67" s="2">
        <v>30</v>
      </c>
      <c r="G67" s="4">
        <f t="shared" si="6"/>
        <v>57901.639999998988</v>
      </c>
      <c r="H67" s="4">
        <f t="shared" si="4"/>
        <v>1403.9176381900477</v>
      </c>
      <c r="I67" s="27">
        <f t="shared" si="3"/>
        <v>57901.639999998988</v>
      </c>
    </row>
    <row r="68" spans="1:9" ht="17.100000000000001" thickBot="1">
      <c r="A68" t="s">
        <v>38</v>
      </c>
      <c r="C68" s="20">
        <f>SUM(B8:B67)</f>
        <v>69481.968000000037</v>
      </c>
      <c r="G68" s="4">
        <f>G67-C67</f>
        <v>-1.0113581083714962E-9</v>
      </c>
      <c r="H68" s="22">
        <f>SUM(H8:H67)</f>
        <v>77383.606172403117</v>
      </c>
      <c r="I68" t="s">
        <v>39</v>
      </c>
    </row>
    <row r="69" spans="1:9" ht="17.100000000000001" thickTop="1">
      <c r="A69" t="s">
        <v>40</v>
      </c>
      <c r="C69" s="16">
        <f>C67+C68</f>
        <v>127383.60800000004</v>
      </c>
    </row>
    <row r="70" spans="1:9">
      <c r="A70" t="s">
        <v>41</v>
      </c>
      <c r="C70" s="16">
        <v>-50000</v>
      </c>
    </row>
    <row r="71" spans="1:9" ht="17.100000000000001" thickBot="1">
      <c r="A71" t="s">
        <v>39</v>
      </c>
      <c r="C71" s="21">
        <f>C69+C70</f>
        <v>77383.608000000037</v>
      </c>
    </row>
    <row r="72" spans="1:9" ht="17.100000000000001" thickTop="1"/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6685-9C91-457B-96C8-08BE49431256}">
  <dimension ref="A1:AP80"/>
  <sheetViews>
    <sheetView tabSelected="1" workbookViewId="0">
      <selection activeCell="C9" sqref="C9"/>
    </sheetView>
  </sheetViews>
  <sheetFormatPr defaultColWidth="11" defaultRowHeight="15.95"/>
  <cols>
    <col min="1" max="1" width="11.125" bestFit="1" customWidth="1"/>
    <col min="2" max="3" width="11.5" bestFit="1" customWidth="1"/>
    <col min="4" max="4" width="14" bestFit="1" customWidth="1"/>
    <col min="5" max="5" width="14.125" bestFit="1" customWidth="1"/>
    <col min="39" max="39" width="11.625" bestFit="1" customWidth="1"/>
    <col min="41" max="41" width="12.125" bestFit="1" customWidth="1"/>
  </cols>
  <sheetData>
    <row r="1" spans="1:41">
      <c r="A1" s="9" t="s">
        <v>16</v>
      </c>
      <c r="B1" s="3">
        <f>Face_Value</f>
        <v>57901.64</v>
      </c>
    </row>
    <row r="2" spans="1:41">
      <c r="A2" s="9" t="s">
        <v>19</v>
      </c>
      <c r="B2">
        <f>Term</f>
        <v>30</v>
      </c>
      <c r="C2" t="s">
        <v>20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</row>
    <row r="3" spans="1:41">
      <c r="A3" s="9" t="s">
        <v>28</v>
      </c>
      <c r="B3" s="1">
        <f>CouponRate</f>
        <v>0.04</v>
      </c>
      <c r="C3" t="s">
        <v>29</v>
      </c>
      <c r="D3" s="9" t="s">
        <v>21</v>
      </c>
      <c r="E3" s="8">
        <v>0</v>
      </c>
      <c r="F3">
        <v>1</v>
      </c>
      <c r="G3">
        <v>2</v>
      </c>
      <c r="H3" s="8">
        <v>3</v>
      </c>
      <c r="I3" s="8">
        <v>4</v>
      </c>
      <c r="J3" s="8">
        <v>5</v>
      </c>
      <c r="K3" s="8">
        <v>6</v>
      </c>
      <c r="L3" s="8">
        <v>7</v>
      </c>
      <c r="M3" s="8">
        <v>8</v>
      </c>
      <c r="N3" s="8">
        <v>9</v>
      </c>
      <c r="O3" s="8">
        <v>10</v>
      </c>
      <c r="P3">
        <v>11</v>
      </c>
      <c r="Q3">
        <v>12</v>
      </c>
      <c r="R3" s="8">
        <v>13</v>
      </c>
      <c r="S3" s="8">
        <v>14</v>
      </c>
      <c r="T3" s="8">
        <v>15</v>
      </c>
      <c r="U3" s="8">
        <v>16</v>
      </c>
      <c r="V3" s="8">
        <v>17</v>
      </c>
      <c r="W3" s="8">
        <v>18</v>
      </c>
      <c r="X3" s="8">
        <v>19</v>
      </c>
      <c r="Y3" s="8">
        <v>20</v>
      </c>
      <c r="Z3">
        <v>21</v>
      </c>
      <c r="AA3">
        <v>22</v>
      </c>
      <c r="AB3" s="8">
        <v>23</v>
      </c>
      <c r="AC3" s="8">
        <v>24</v>
      </c>
      <c r="AD3" s="8">
        <v>25</v>
      </c>
      <c r="AE3" s="8">
        <v>26</v>
      </c>
      <c r="AF3" s="8">
        <v>27</v>
      </c>
      <c r="AG3" s="8">
        <v>28</v>
      </c>
      <c r="AH3" s="8">
        <v>29</v>
      </c>
      <c r="AI3" s="8">
        <v>30</v>
      </c>
      <c r="AL3" s="9" t="str">
        <f>D3</f>
        <v>Time</v>
      </c>
      <c r="AM3" s="9" t="s">
        <v>42</v>
      </c>
      <c r="AN3" s="9" t="s">
        <v>43</v>
      </c>
      <c r="AO3" s="9" t="s">
        <v>44</v>
      </c>
    </row>
    <row r="4" spans="1:41">
      <c r="A4" s="9" t="s">
        <v>31</v>
      </c>
      <c r="B4" s="1">
        <f>InterestRate</f>
        <v>4.87E-2</v>
      </c>
      <c r="D4" s="9" t="s">
        <v>42</v>
      </c>
      <c r="E4" s="4">
        <f t="shared" ref="E4:AI4" ca="1" si="0">SUM(E21:E80)</f>
        <v>50000.001827595937</v>
      </c>
      <c r="F4" s="4">
        <f t="shared" ca="1" si="0"/>
        <v>59206.67062895956</v>
      </c>
      <c r="G4" s="4">
        <f t="shared" ca="1" si="0"/>
        <v>43106.558155565952</v>
      </c>
      <c r="H4" s="4">
        <f t="shared" ca="1" si="0"/>
        <v>50379.243899473928</v>
      </c>
      <c r="I4" s="4">
        <f t="shared" ca="1" si="0"/>
        <v>59128.679822127029</v>
      </c>
      <c r="J4" s="4">
        <f t="shared" ca="1" si="0"/>
        <v>50664.252317887745</v>
      </c>
      <c r="K4" s="4">
        <f t="shared" ca="1" si="0"/>
        <v>50817.37768223384</v>
      </c>
      <c r="L4" s="4">
        <f t="shared" ca="1" si="0"/>
        <v>38828.505251524664</v>
      </c>
      <c r="M4" s="4">
        <f t="shared" ca="1" si="0"/>
        <v>44621.555698126191</v>
      </c>
      <c r="N4" s="4">
        <f t="shared" ca="1" si="0"/>
        <v>39568.464371100847</v>
      </c>
      <c r="O4" s="4">
        <f t="shared" ca="1" si="0"/>
        <v>35509.751795404452</v>
      </c>
      <c r="P4" s="4">
        <f t="shared" ca="1" si="0"/>
        <v>32222.691834279496</v>
      </c>
      <c r="Q4" s="4">
        <f t="shared" ca="1" si="0"/>
        <v>36524.845155956406</v>
      </c>
      <c r="R4" s="4">
        <f t="shared" ca="1" si="0"/>
        <v>41384.953576093205</v>
      </c>
      <c r="S4" s="4">
        <f t="shared" ca="1" si="0"/>
        <v>37709.394805934993</v>
      </c>
      <c r="T4" s="4">
        <f t="shared" ca="1" si="0"/>
        <v>34759.192351923644</v>
      </c>
      <c r="U4" s="4">
        <f t="shared" ca="1" si="0"/>
        <v>39091.689211349512</v>
      </c>
      <c r="V4" s="4">
        <f t="shared" ca="1" si="0"/>
        <v>36398.452182524721</v>
      </c>
      <c r="W4" s="4">
        <f t="shared" ca="1" si="0"/>
        <v>44467.377746317841</v>
      </c>
      <c r="X4" s="4">
        <f t="shared" ca="1" si="0"/>
        <v>45218.910630328741</v>
      </c>
      <c r="Y4" s="4">
        <f t="shared" ca="1" si="0"/>
        <v>49798.650481028832</v>
      </c>
      <c r="Z4" s="4">
        <f t="shared" ca="1" si="0"/>
        <v>54266.084116208447</v>
      </c>
      <c r="AA4" s="4">
        <f t="shared" ca="1" si="0"/>
        <v>54596.754296247207</v>
      </c>
      <c r="AB4" s="4">
        <f t="shared" ca="1" si="0"/>
        <v>48788.211822169404</v>
      </c>
      <c r="AC4" s="4">
        <f t="shared" ca="1" si="0"/>
        <v>52491.768392658749</v>
      </c>
      <c r="AD4" s="4">
        <f t="shared" ca="1" si="0"/>
        <v>50968.773262972376</v>
      </c>
      <c r="AE4" s="4">
        <f t="shared" ca="1" si="0"/>
        <v>50338.006869609038</v>
      </c>
      <c r="AF4" s="4">
        <f t="shared" ca="1" si="0"/>
        <v>50614.25367449128</v>
      </c>
      <c r="AG4" s="4">
        <f t="shared" ca="1" si="0"/>
        <v>54845.005462507572</v>
      </c>
      <c r="AH4" s="4">
        <f t="shared" ca="1" si="0"/>
        <v>56321.726167059664</v>
      </c>
      <c r="AI4" s="4">
        <f t="shared" si="0"/>
        <v>57901.64</v>
      </c>
      <c r="AK4" t="str">
        <f>CHAR(68+ROW(A1))</f>
        <v>E</v>
      </c>
      <c r="AL4" cm="1">
        <f t="array" aca="1" ref="AL4" ca="1">INDIRECT($AK4&amp;3)+25</f>
        <v>25</v>
      </c>
      <c r="AM4" s="55" cm="1">
        <f t="array" aca="1" ref="AM4" ca="1">INDIRECT($AK4&amp;4)/1000</f>
        <v>50.000001827595938</v>
      </c>
      <c r="AN4" s="53" cm="1">
        <f t="array" aca="1" ref="AN4" ca="1">INDIRECT($AK4&amp;5)</f>
        <v>4.87E-2</v>
      </c>
      <c r="AO4" s="3">
        <f>0</f>
        <v>0</v>
      </c>
    </row>
    <row r="5" spans="1:41">
      <c r="B5" s="1"/>
      <c r="D5" s="9" t="s">
        <v>43</v>
      </c>
      <c r="E5" s="1" cm="1">
        <f t="array" aca="1" ref="E5:AI5" ca="1">_xlfn.IFS(C7,E7:AI7,C8,E8:AI8,C9,E9:AI9,C10,E10:AI10,C11,E11:AI11,NOT(OR(C7,C8,C9,C10,C11)),E7:AI7)</f>
        <v>4.87E-2</v>
      </c>
      <c r="F5" s="1">
        <f ca="1"/>
        <v>3.8699999999999998E-2</v>
      </c>
      <c r="G5" s="1">
        <f ca="1"/>
        <v>5.8700000000000002E-2</v>
      </c>
      <c r="H5" s="1">
        <f ca="1"/>
        <v>4.87E-2</v>
      </c>
      <c r="I5" s="1">
        <f ca="1"/>
        <v>3.8699999999999998E-2</v>
      </c>
      <c r="J5" s="1">
        <f ca="1"/>
        <v>4.87E-2</v>
      </c>
      <c r="K5" s="1">
        <f ca="1"/>
        <v>4.87E-2</v>
      </c>
      <c r="L5" s="1">
        <f ca="1"/>
        <v>6.8699999999999997E-2</v>
      </c>
      <c r="M5" s="1">
        <f ca="1"/>
        <v>5.8699999999999995E-2</v>
      </c>
      <c r="N5" s="1">
        <f ca="1"/>
        <v>6.8699999999999997E-2</v>
      </c>
      <c r="O5" s="1">
        <f ca="1"/>
        <v>7.8699999999999992E-2</v>
      </c>
      <c r="P5" s="1">
        <f ca="1"/>
        <v>8.8699999999999987E-2</v>
      </c>
      <c r="Q5" s="1">
        <f ca="1"/>
        <v>7.8699999999999992E-2</v>
      </c>
      <c r="R5" s="1">
        <f ca="1"/>
        <v>6.8699999999999997E-2</v>
      </c>
      <c r="S5" s="1">
        <f ca="1"/>
        <v>7.8699999999999992E-2</v>
      </c>
      <c r="T5" s="1">
        <f ca="1"/>
        <v>8.8699999999999987E-2</v>
      </c>
      <c r="U5" s="1">
        <f ca="1"/>
        <v>7.8699999999999992E-2</v>
      </c>
      <c r="V5" s="1">
        <f ca="1"/>
        <v>8.8699999999999987E-2</v>
      </c>
      <c r="W5" s="1">
        <f ca="1"/>
        <v>6.8699999999999983E-2</v>
      </c>
      <c r="X5" s="1">
        <f ca="1"/>
        <v>6.8699999999999983E-2</v>
      </c>
      <c r="Y5" s="1">
        <f ca="1"/>
        <v>5.8699999999999981E-2</v>
      </c>
      <c r="Z5" s="1">
        <f ca="1"/>
        <v>4.8699999999999979E-2</v>
      </c>
      <c r="AA5" s="1">
        <f ca="1"/>
        <v>4.8699999999999979E-2</v>
      </c>
      <c r="AB5" s="1">
        <f ca="1"/>
        <v>6.8699999999999983E-2</v>
      </c>
      <c r="AC5" s="1">
        <f ca="1"/>
        <v>5.8699999999999981E-2</v>
      </c>
      <c r="AD5" s="1">
        <f ca="1"/>
        <v>6.8699999999999983E-2</v>
      </c>
      <c r="AE5" s="1">
        <f ca="1"/>
        <v>7.8699999999999978E-2</v>
      </c>
      <c r="AF5" s="1">
        <f ca="1"/>
        <v>8.8699999999999973E-2</v>
      </c>
      <c r="AG5" s="1">
        <f ca="1"/>
        <v>6.8699999999999969E-2</v>
      </c>
      <c r="AH5" s="1">
        <f ca="1"/>
        <v>6.8699999999999969E-2</v>
      </c>
      <c r="AI5" s="1">
        <f ca="1"/>
        <v>5.8699999999999967E-2</v>
      </c>
      <c r="AK5" t="str">
        <f>CHAR(68+ROW(A2))</f>
        <v>F</v>
      </c>
      <c r="AL5" cm="1">
        <f t="array" aca="1" ref="AL5" ca="1">INDIRECT($AK5&amp;3)+25</f>
        <v>26</v>
      </c>
      <c r="AM5" s="55" cm="1">
        <f t="array" aca="1" ref="AM5" ca="1">INDIRECT($AK5&amp;4)/1000</f>
        <v>59.206670628959557</v>
      </c>
      <c r="AN5" s="53" cm="1">
        <f t="array" aca="1" ref="AN5" ca="1">INDIRECT($AK5&amp;5)</f>
        <v>3.8699999999999998E-2</v>
      </c>
      <c r="AO5" s="3">
        <f>(AO4+(2*$D$21)/1000)</f>
        <v>2.3160655999999999</v>
      </c>
    </row>
    <row r="6" spans="1:41">
      <c r="AK6" t="str">
        <f>CHAR(68+ROW(A3))</f>
        <v>G</v>
      </c>
      <c r="AL6" cm="1">
        <f t="array" aca="1" ref="AL6" ca="1">INDIRECT($AK6&amp;3)+25</f>
        <v>27</v>
      </c>
      <c r="AM6" s="55" cm="1">
        <f t="array" aca="1" ref="AM6" ca="1">INDIRECT($AK6&amp;4)/1000</f>
        <v>43.106558155565949</v>
      </c>
      <c r="AN6" s="53" cm="1">
        <f t="array" aca="1" ref="AN6" ca="1">INDIRECT($AK6&amp;5)</f>
        <v>5.8700000000000002E-2</v>
      </c>
      <c r="AO6" s="3">
        <f t="shared" ref="AO6:AO33" si="1">(AO5+(2*$D$21)/1000)</f>
        <v>4.6321311999999999</v>
      </c>
    </row>
    <row r="7" spans="1:41">
      <c r="C7" s="54" t="b">
        <v>0</v>
      </c>
      <c r="D7" s="9" t="s">
        <v>45</v>
      </c>
      <c r="E7" s="1">
        <f>$B$4</f>
        <v>4.87E-2</v>
      </c>
      <c r="F7" s="1">
        <f>E7</f>
        <v>4.87E-2</v>
      </c>
      <c r="G7" s="1">
        <f t="shared" ref="G7:AI7" si="2">F7</f>
        <v>4.87E-2</v>
      </c>
      <c r="H7" s="1">
        <f t="shared" si="2"/>
        <v>4.87E-2</v>
      </c>
      <c r="I7" s="1">
        <f t="shared" si="2"/>
        <v>4.87E-2</v>
      </c>
      <c r="J7" s="1">
        <f t="shared" si="2"/>
        <v>4.87E-2</v>
      </c>
      <c r="K7" s="1">
        <f t="shared" si="2"/>
        <v>4.87E-2</v>
      </c>
      <c r="L7" s="1">
        <f t="shared" si="2"/>
        <v>4.87E-2</v>
      </c>
      <c r="M7" s="1">
        <f t="shared" si="2"/>
        <v>4.87E-2</v>
      </c>
      <c r="N7" s="1">
        <f t="shared" si="2"/>
        <v>4.87E-2</v>
      </c>
      <c r="O7" s="1">
        <f t="shared" si="2"/>
        <v>4.87E-2</v>
      </c>
      <c r="P7" s="1">
        <f t="shared" si="2"/>
        <v>4.87E-2</v>
      </c>
      <c r="Q7" s="1">
        <f t="shared" si="2"/>
        <v>4.87E-2</v>
      </c>
      <c r="R7" s="1">
        <f t="shared" si="2"/>
        <v>4.87E-2</v>
      </c>
      <c r="S7" s="1">
        <f t="shared" si="2"/>
        <v>4.87E-2</v>
      </c>
      <c r="T7" s="1">
        <f t="shared" si="2"/>
        <v>4.87E-2</v>
      </c>
      <c r="U7" s="1">
        <f t="shared" si="2"/>
        <v>4.87E-2</v>
      </c>
      <c r="V7" s="1">
        <f t="shared" si="2"/>
        <v>4.87E-2</v>
      </c>
      <c r="W7" s="1">
        <f t="shared" si="2"/>
        <v>4.87E-2</v>
      </c>
      <c r="X7" s="1">
        <f t="shared" si="2"/>
        <v>4.87E-2</v>
      </c>
      <c r="Y7" s="1">
        <f t="shared" si="2"/>
        <v>4.87E-2</v>
      </c>
      <c r="Z7" s="1">
        <f t="shared" si="2"/>
        <v>4.87E-2</v>
      </c>
      <c r="AA7" s="1">
        <f t="shared" si="2"/>
        <v>4.87E-2</v>
      </c>
      <c r="AB7" s="1">
        <f t="shared" si="2"/>
        <v>4.87E-2</v>
      </c>
      <c r="AC7" s="1">
        <f t="shared" si="2"/>
        <v>4.87E-2</v>
      </c>
      <c r="AD7" s="1">
        <f t="shared" si="2"/>
        <v>4.87E-2</v>
      </c>
      <c r="AE7" s="1">
        <f t="shared" si="2"/>
        <v>4.87E-2</v>
      </c>
      <c r="AF7" s="1">
        <f t="shared" si="2"/>
        <v>4.87E-2</v>
      </c>
      <c r="AG7" s="1">
        <f t="shared" si="2"/>
        <v>4.87E-2</v>
      </c>
      <c r="AH7" s="1">
        <f t="shared" si="2"/>
        <v>4.87E-2</v>
      </c>
      <c r="AI7" s="1">
        <f t="shared" si="2"/>
        <v>4.87E-2</v>
      </c>
      <c r="AK7" t="str">
        <f>CHAR(68+ROW(A4))</f>
        <v>H</v>
      </c>
      <c r="AL7" cm="1">
        <f t="array" aca="1" ref="AL7" ca="1">INDIRECT($AK7&amp;3)+25</f>
        <v>28</v>
      </c>
      <c r="AM7" s="55" cm="1">
        <f t="array" aca="1" ref="AM7" ca="1">INDIRECT($AK7&amp;4)/1000</f>
        <v>50.379243899473927</v>
      </c>
      <c r="AN7" s="53" cm="1">
        <f t="array" aca="1" ref="AN7" ca="1">INDIRECT($AK7&amp;5)</f>
        <v>4.87E-2</v>
      </c>
      <c r="AO7" s="3">
        <f t="shared" si="1"/>
        <v>6.9481967999999998</v>
      </c>
    </row>
    <row r="8" spans="1:41">
      <c r="C8" s="54" t="b">
        <v>0</v>
      </c>
      <c r="D8" s="9" t="s">
        <v>46</v>
      </c>
      <c r="E8" s="1">
        <f>$B$4</f>
        <v>4.87E-2</v>
      </c>
      <c r="F8" s="1">
        <f t="shared" ref="F8:G8" si="3">F7</f>
        <v>4.87E-2</v>
      </c>
      <c r="G8" s="1">
        <f t="shared" si="3"/>
        <v>4.87E-2</v>
      </c>
      <c r="H8" s="1">
        <f t="shared" ref="H8:I8" si="4">H7+0.04</f>
        <v>8.8700000000000001E-2</v>
      </c>
      <c r="I8" s="1">
        <f t="shared" si="4"/>
        <v>8.8700000000000001E-2</v>
      </c>
      <c r="J8" s="1">
        <f>J7+0.04</f>
        <v>8.8700000000000001E-2</v>
      </c>
      <c r="K8" s="1">
        <f t="shared" ref="K8:AI8" si="5">K7+0.04</f>
        <v>8.8700000000000001E-2</v>
      </c>
      <c r="L8" s="1">
        <f t="shared" si="5"/>
        <v>8.8700000000000001E-2</v>
      </c>
      <c r="M8" s="1">
        <f t="shared" si="5"/>
        <v>8.8700000000000001E-2</v>
      </c>
      <c r="N8" s="1">
        <f t="shared" si="5"/>
        <v>8.8700000000000001E-2</v>
      </c>
      <c r="O8" s="1">
        <f t="shared" si="5"/>
        <v>8.8700000000000001E-2</v>
      </c>
      <c r="P8" s="1">
        <f t="shared" si="5"/>
        <v>8.8700000000000001E-2</v>
      </c>
      <c r="Q8" s="1">
        <f t="shared" si="5"/>
        <v>8.8700000000000001E-2</v>
      </c>
      <c r="R8" s="1">
        <f t="shared" si="5"/>
        <v>8.8700000000000001E-2</v>
      </c>
      <c r="S8" s="1">
        <f t="shared" si="5"/>
        <v>8.8700000000000001E-2</v>
      </c>
      <c r="T8" s="1">
        <f t="shared" si="5"/>
        <v>8.8700000000000001E-2</v>
      </c>
      <c r="U8" s="1">
        <f t="shared" si="5"/>
        <v>8.8700000000000001E-2</v>
      </c>
      <c r="V8" s="1">
        <f t="shared" si="5"/>
        <v>8.8700000000000001E-2</v>
      </c>
      <c r="W8" s="1">
        <f t="shared" si="5"/>
        <v>8.8700000000000001E-2</v>
      </c>
      <c r="X8" s="1">
        <f t="shared" si="5"/>
        <v>8.8700000000000001E-2</v>
      </c>
      <c r="Y8" s="1">
        <f t="shared" si="5"/>
        <v>8.8700000000000001E-2</v>
      </c>
      <c r="Z8" s="1">
        <f t="shared" si="5"/>
        <v>8.8700000000000001E-2</v>
      </c>
      <c r="AA8" s="1">
        <f t="shared" si="5"/>
        <v>8.8700000000000001E-2</v>
      </c>
      <c r="AB8" s="1">
        <f t="shared" si="5"/>
        <v>8.8700000000000001E-2</v>
      </c>
      <c r="AC8" s="1">
        <f t="shared" si="5"/>
        <v>8.8700000000000001E-2</v>
      </c>
      <c r="AD8" s="1">
        <f t="shared" si="5"/>
        <v>8.8700000000000001E-2</v>
      </c>
      <c r="AE8" s="1">
        <f t="shared" si="5"/>
        <v>8.8700000000000001E-2</v>
      </c>
      <c r="AF8" s="1">
        <f t="shared" si="5"/>
        <v>8.8700000000000001E-2</v>
      </c>
      <c r="AG8" s="1">
        <f t="shared" si="5"/>
        <v>8.8700000000000001E-2</v>
      </c>
      <c r="AH8" s="1">
        <f t="shared" si="5"/>
        <v>8.8700000000000001E-2</v>
      </c>
      <c r="AI8" s="1">
        <f t="shared" si="5"/>
        <v>8.8700000000000001E-2</v>
      </c>
      <c r="AK8" t="str">
        <f>CHAR(68+ROW(A5))</f>
        <v>I</v>
      </c>
      <c r="AL8" cm="1">
        <f t="array" aca="1" ref="AL8" ca="1">INDIRECT($AK8&amp;3)+25</f>
        <v>29</v>
      </c>
      <c r="AM8" s="55" cm="1">
        <f t="array" aca="1" ref="AM8" ca="1">INDIRECT($AK8&amp;4)/1000</f>
        <v>59.128679822127026</v>
      </c>
      <c r="AN8" s="53" cm="1">
        <f t="array" aca="1" ref="AN8" ca="1">INDIRECT($AK8&amp;5)</f>
        <v>3.8699999999999998E-2</v>
      </c>
      <c r="AO8" s="3">
        <f t="shared" si="1"/>
        <v>9.2642623999999998</v>
      </c>
    </row>
    <row r="9" spans="1:41">
      <c r="C9" s="54" t="b">
        <v>1</v>
      </c>
      <c r="D9" s="9" t="s">
        <v>47</v>
      </c>
      <c r="E9" s="1">
        <f>$B$4</f>
        <v>4.87E-2</v>
      </c>
      <c r="F9" s="1">
        <f ca="1">E9+RANDBETWEEN(F14,F15)/100</f>
        <v>3.8699999999999998E-2</v>
      </c>
      <c r="G9" s="1">
        <f t="shared" ref="G9:AI9" ca="1" si="6">F9+RANDBETWEEN(G14,G15)/100</f>
        <v>5.8700000000000002E-2</v>
      </c>
      <c r="H9" s="1">
        <f t="shared" ca="1" si="6"/>
        <v>4.87E-2</v>
      </c>
      <c r="I9" s="1">
        <f t="shared" ca="1" si="6"/>
        <v>3.8699999999999998E-2</v>
      </c>
      <c r="J9" s="1">
        <f t="shared" ca="1" si="6"/>
        <v>4.87E-2</v>
      </c>
      <c r="K9" s="1">
        <f t="shared" ca="1" si="6"/>
        <v>4.87E-2</v>
      </c>
      <c r="L9" s="1">
        <f t="shared" ca="1" si="6"/>
        <v>6.8699999999999997E-2</v>
      </c>
      <c r="M9" s="1">
        <f t="shared" ca="1" si="6"/>
        <v>5.8699999999999995E-2</v>
      </c>
      <c r="N9" s="1">
        <f t="shared" ca="1" si="6"/>
        <v>6.8699999999999997E-2</v>
      </c>
      <c r="O9" s="1">
        <f t="shared" ca="1" si="6"/>
        <v>7.8699999999999992E-2</v>
      </c>
      <c r="P9" s="1">
        <f t="shared" ca="1" si="6"/>
        <v>8.8699999999999987E-2</v>
      </c>
      <c r="Q9" s="1">
        <f t="shared" ca="1" si="6"/>
        <v>7.8699999999999992E-2</v>
      </c>
      <c r="R9" s="1">
        <f t="shared" ca="1" si="6"/>
        <v>6.8699999999999997E-2</v>
      </c>
      <c r="S9" s="1">
        <f t="shared" ca="1" si="6"/>
        <v>7.8699999999999992E-2</v>
      </c>
      <c r="T9" s="1">
        <f t="shared" ca="1" si="6"/>
        <v>8.8699999999999987E-2</v>
      </c>
      <c r="U9" s="1">
        <f ca="1">T9+RANDBETWEEN(U14,U15)/100</f>
        <v>7.8699999999999992E-2</v>
      </c>
      <c r="V9" s="1">
        <f t="shared" ca="1" si="6"/>
        <v>8.8699999999999987E-2</v>
      </c>
      <c r="W9" s="1">
        <f t="shared" ca="1" si="6"/>
        <v>6.8699999999999983E-2</v>
      </c>
      <c r="X9" s="1">
        <f t="shared" ca="1" si="6"/>
        <v>6.8699999999999983E-2</v>
      </c>
      <c r="Y9" s="1">
        <f t="shared" ca="1" si="6"/>
        <v>5.8699999999999981E-2</v>
      </c>
      <c r="Z9" s="1">
        <f t="shared" ca="1" si="6"/>
        <v>4.8699999999999979E-2</v>
      </c>
      <c r="AA9" s="1">
        <f t="shared" ca="1" si="6"/>
        <v>4.8699999999999979E-2</v>
      </c>
      <c r="AB9" s="1">
        <f t="shared" ca="1" si="6"/>
        <v>6.8699999999999983E-2</v>
      </c>
      <c r="AC9" s="1">
        <f t="shared" ca="1" si="6"/>
        <v>5.8699999999999981E-2</v>
      </c>
      <c r="AD9" s="1">
        <f t="shared" ca="1" si="6"/>
        <v>6.8699999999999983E-2</v>
      </c>
      <c r="AE9" s="1">
        <f t="shared" ca="1" si="6"/>
        <v>7.8699999999999978E-2</v>
      </c>
      <c r="AF9" s="1">
        <f ca="1">AE9+RANDBETWEEN(AF14,AF15)/100</f>
        <v>8.8699999999999973E-2</v>
      </c>
      <c r="AG9" s="1">
        <f t="shared" ca="1" si="6"/>
        <v>6.8699999999999969E-2</v>
      </c>
      <c r="AH9" s="1">
        <f t="shared" ca="1" si="6"/>
        <v>6.8699999999999969E-2</v>
      </c>
      <c r="AI9" s="1">
        <f t="shared" ca="1" si="6"/>
        <v>5.8699999999999967E-2</v>
      </c>
      <c r="AK9" t="s">
        <v>48</v>
      </c>
      <c r="AL9" cm="1">
        <f t="array" aca="1" ref="AL9" ca="1">INDIRECT($AK9&amp;3)+25</f>
        <v>30</v>
      </c>
      <c r="AM9" s="55" cm="1">
        <f t="array" aca="1" ref="AM9" ca="1">INDIRECT($AK9&amp;4)/1000</f>
        <v>50.664252317887744</v>
      </c>
      <c r="AN9" s="53" cm="1">
        <f t="array" aca="1" ref="AN9" ca="1">INDIRECT($AK9&amp;5)</f>
        <v>4.87E-2</v>
      </c>
      <c r="AO9" s="3">
        <f t="shared" si="1"/>
        <v>11.580328</v>
      </c>
    </row>
    <row r="10" spans="1:41">
      <c r="C10" s="54" t="b">
        <v>0</v>
      </c>
      <c r="D10" s="9" t="s">
        <v>49</v>
      </c>
      <c r="E10" s="1">
        <f>$B$4</f>
        <v>4.87E-2</v>
      </c>
      <c r="F10" s="1">
        <f>InterestRate-0.03</f>
        <v>1.8700000000000001E-2</v>
      </c>
      <c r="G10" s="1">
        <f>InterestRate+0.03</f>
        <v>7.8699999999999992E-2</v>
      </c>
      <c r="H10" s="1">
        <f>InterestRate-0.03</f>
        <v>1.8700000000000001E-2</v>
      </c>
      <c r="I10" s="1">
        <f>InterestRate+0.03</f>
        <v>7.8699999999999992E-2</v>
      </c>
      <c r="J10" s="1">
        <f>InterestRate-0.03</f>
        <v>1.8700000000000001E-2</v>
      </c>
      <c r="K10" s="1">
        <f>InterestRate+0.03</f>
        <v>7.8699999999999992E-2</v>
      </c>
      <c r="L10" s="1">
        <f>InterestRate-0.03</f>
        <v>1.8700000000000001E-2</v>
      </c>
      <c r="M10" s="1">
        <f>InterestRate+0.03</f>
        <v>7.8699999999999992E-2</v>
      </c>
      <c r="N10" s="1">
        <f>InterestRate-0.03</f>
        <v>1.8700000000000001E-2</v>
      </c>
      <c r="O10" s="1">
        <f>InterestRate+0.03</f>
        <v>7.8699999999999992E-2</v>
      </c>
      <c r="P10" s="1">
        <f>InterestRate-0.03</f>
        <v>1.8700000000000001E-2</v>
      </c>
      <c r="Q10" s="1">
        <f>InterestRate+0.03</f>
        <v>7.8699999999999992E-2</v>
      </c>
      <c r="R10" s="1">
        <f>InterestRate-0.03</f>
        <v>1.8700000000000001E-2</v>
      </c>
      <c r="S10" s="1">
        <f>InterestRate+0.03</f>
        <v>7.8699999999999992E-2</v>
      </c>
      <c r="T10" s="1">
        <f>InterestRate-0.03</f>
        <v>1.8700000000000001E-2</v>
      </c>
      <c r="U10" s="1">
        <f>InterestRate+0.03</f>
        <v>7.8699999999999992E-2</v>
      </c>
      <c r="V10" s="1">
        <f>InterestRate-0.03</f>
        <v>1.8700000000000001E-2</v>
      </c>
      <c r="W10" s="1">
        <f>InterestRate+0.03</f>
        <v>7.8699999999999992E-2</v>
      </c>
      <c r="X10" s="1">
        <f>InterestRate-0.03</f>
        <v>1.8700000000000001E-2</v>
      </c>
      <c r="Y10" s="1">
        <f>InterestRate+0.03</f>
        <v>7.8699999999999992E-2</v>
      </c>
      <c r="Z10" s="1">
        <f>InterestRate-0.03</f>
        <v>1.8700000000000001E-2</v>
      </c>
      <c r="AA10" s="1">
        <f>InterestRate+0.03</f>
        <v>7.8699999999999992E-2</v>
      </c>
      <c r="AB10" s="1">
        <f>InterestRate-0.03</f>
        <v>1.8700000000000001E-2</v>
      </c>
      <c r="AC10" s="1">
        <f>InterestRate+0.03</f>
        <v>7.8699999999999992E-2</v>
      </c>
      <c r="AD10" s="1">
        <f>InterestRate-0.03</f>
        <v>1.8700000000000001E-2</v>
      </c>
      <c r="AE10" s="1">
        <f>InterestRate+0.03</f>
        <v>7.8699999999999992E-2</v>
      </c>
      <c r="AF10" s="1">
        <f>InterestRate-0.03</f>
        <v>1.8700000000000001E-2</v>
      </c>
      <c r="AG10" s="1">
        <f>InterestRate+0.03</f>
        <v>7.8699999999999992E-2</v>
      </c>
      <c r="AH10" s="1">
        <f>InterestRate-0.03</f>
        <v>1.8700000000000001E-2</v>
      </c>
      <c r="AI10" s="1">
        <f>InterestRate+0.03</f>
        <v>7.8699999999999992E-2</v>
      </c>
      <c r="AK10" t="s">
        <v>50</v>
      </c>
      <c r="AL10" cm="1">
        <f t="array" aca="1" ref="AL10" ca="1">INDIRECT($AK10&amp;3)+25</f>
        <v>31</v>
      </c>
      <c r="AM10" s="55" cm="1">
        <f t="array" aca="1" ref="AM10" ca="1">INDIRECT($AK10&amp;4)/1000</f>
        <v>50.81737768223384</v>
      </c>
      <c r="AN10" s="53" cm="1">
        <f t="array" aca="1" ref="AN10" ca="1">INDIRECT($AK10&amp;5)</f>
        <v>4.87E-2</v>
      </c>
      <c r="AO10" s="3">
        <f t="shared" si="1"/>
        <v>13.8963936</v>
      </c>
    </row>
    <row r="11" spans="1:41">
      <c r="C11" s="54" t="b">
        <v>0</v>
      </c>
      <c r="D11" s="9" t="s">
        <v>51</v>
      </c>
      <c r="E11" s="1">
        <f>$B$4</f>
        <v>4.87E-2</v>
      </c>
      <c r="F11" s="1">
        <f>F7</f>
        <v>4.87E-2</v>
      </c>
      <c r="G11" s="1">
        <f>G7</f>
        <v>4.87E-2</v>
      </c>
      <c r="H11" s="1">
        <f t="shared" ref="H11:AI11" si="7">H7-0.01</f>
        <v>3.8699999999999998E-2</v>
      </c>
      <c r="I11" s="1">
        <f t="shared" si="7"/>
        <v>3.8699999999999998E-2</v>
      </c>
      <c r="J11" s="1">
        <f t="shared" si="7"/>
        <v>3.8699999999999998E-2</v>
      </c>
      <c r="K11" s="1">
        <f t="shared" si="7"/>
        <v>3.8699999999999998E-2</v>
      </c>
      <c r="L11" s="1">
        <f t="shared" si="7"/>
        <v>3.8699999999999998E-2</v>
      </c>
      <c r="M11" s="1">
        <f t="shared" si="7"/>
        <v>3.8699999999999998E-2</v>
      </c>
      <c r="N11" s="1">
        <f t="shared" si="7"/>
        <v>3.8699999999999998E-2</v>
      </c>
      <c r="O11" s="1">
        <f t="shared" si="7"/>
        <v>3.8699999999999998E-2</v>
      </c>
      <c r="P11" s="1">
        <f t="shared" si="7"/>
        <v>3.8699999999999998E-2</v>
      </c>
      <c r="Q11" s="1">
        <f t="shared" si="7"/>
        <v>3.8699999999999998E-2</v>
      </c>
      <c r="R11" s="1">
        <f t="shared" si="7"/>
        <v>3.8699999999999998E-2</v>
      </c>
      <c r="S11" s="1">
        <f t="shared" si="7"/>
        <v>3.8699999999999998E-2</v>
      </c>
      <c r="T11" s="1">
        <f t="shared" si="7"/>
        <v>3.8699999999999998E-2</v>
      </c>
      <c r="U11" s="1">
        <f t="shared" si="7"/>
        <v>3.8699999999999998E-2</v>
      </c>
      <c r="V11" s="1">
        <f t="shared" si="7"/>
        <v>3.8699999999999998E-2</v>
      </c>
      <c r="W11" s="1">
        <f t="shared" si="7"/>
        <v>3.8699999999999998E-2</v>
      </c>
      <c r="X11" s="1">
        <f t="shared" si="7"/>
        <v>3.8699999999999998E-2</v>
      </c>
      <c r="Y11" s="1">
        <f t="shared" si="7"/>
        <v>3.8699999999999998E-2</v>
      </c>
      <c r="Z11" s="1">
        <f t="shared" si="7"/>
        <v>3.8699999999999998E-2</v>
      </c>
      <c r="AA11" s="1">
        <f t="shared" si="7"/>
        <v>3.8699999999999998E-2</v>
      </c>
      <c r="AB11" s="1">
        <f t="shared" si="7"/>
        <v>3.8699999999999998E-2</v>
      </c>
      <c r="AC11" s="1">
        <f t="shared" si="7"/>
        <v>3.8699999999999998E-2</v>
      </c>
      <c r="AD11" s="1">
        <f t="shared" si="7"/>
        <v>3.8699999999999998E-2</v>
      </c>
      <c r="AE11" s="1">
        <f t="shared" si="7"/>
        <v>3.8699999999999998E-2</v>
      </c>
      <c r="AF11" s="1">
        <f t="shared" si="7"/>
        <v>3.8699999999999998E-2</v>
      </c>
      <c r="AG11" s="1">
        <f t="shared" si="7"/>
        <v>3.8699999999999998E-2</v>
      </c>
      <c r="AH11" s="1">
        <f t="shared" si="7"/>
        <v>3.8699999999999998E-2</v>
      </c>
      <c r="AI11" s="1">
        <f t="shared" si="7"/>
        <v>3.8699999999999998E-2</v>
      </c>
      <c r="AK11" t="s">
        <v>52</v>
      </c>
      <c r="AL11" cm="1">
        <f t="array" aca="1" ref="AL11" ca="1">INDIRECT($AK11&amp;3)+25</f>
        <v>32</v>
      </c>
      <c r="AM11" s="55" cm="1">
        <f t="array" aca="1" ref="AM11" ca="1">INDIRECT($AK11&amp;4)/1000</f>
        <v>38.828505251524668</v>
      </c>
      <c r="AN11" s="53" cm="1">
        <f t="array" aca="1" ref="AN11" ca="1">INDIRECT($AK11&amp;5)</f>
        <v>6.8699999999999997E-2</v>
      </c>
      <c r="AO11" s="3">
        <f t="shared" si="1"/>
        <v>16.212459199999998</v>
      </c>
    </row>
    <row r="12" spans="1:41">
      <c r="AK12" t="s">
        <v>53</v>
      </c>
      <c r="AL12" cm="1">
        <f t="array" aca="1" ref="AL12" ca="1">INDIRECT($AK12&amp;3)+25</f>
        <v>33</v>
      </c>
      <c r="AM12" s="55" cm="1">
        <f t="array" aca="1" ref="AM12" ca="1">INDIRECT($AK12&amp;4)/1000</f>
        <v>44.621555698126194</v>
      </c>
      <c r="AN12" s="53" cm="1">
        <f t="array" aca="1" ref="AN12" ca="1">INDIRECT($AK12&amp;5)</f>
        <v>5.8699999999999995E-2</v>
      </c>
      <c r="AO12" s="3">
        <f t="shared" si="1"/>
        <v>18.5285248</v>
      </c>
    </row>
    <row r="13" spans="1:41">
      <c r="D13" s="9" t="s">
        <v>54</v>
      </c>
      <c r="AK13" t="s">
        <v>55</v>
      </c>
      <c r="AL13" cm="1">
        <f t="array" aca="1" ref="AL13" ca="1">INDIRECT($AK13&amp;3)+25</f>
        <v>34</v>
      </c>
      <c r="AM13" s="55" cm="1">
        <f t="array" aca="1" ref="AM13" ca="1">INDIRECT($AK13&amp;4)/1000</f>
        <v>39.568464371100845</v>
      </c>
      <c r="AN13" s="53" cm="1">
        <f t="array" aca="1" ref="AN13" ca="1">INDIRECT($AK13&amp;5)</f>
        <v>6.8699999999999997E-2</v>
      </c>
      <c r="AO13" s="3">
        <f t="shared" si="1"/>
        <v>20.844590400000001</v>
      </c>
    </row>
    <row r="14" spans="1:41">
      <c r="D14" s="9" t="s">
        <v>56</v>
      </c>
      <c r="E14" s="41">
        <f>-(25*$B$4)</f>
        <v>-1.2175</v>
      </c>
      <c r="F14" s="41">
        <f>-(25*E9)</f>
        <v>-1.2175</v>
      </c>
      <c r="G14" s="41">
        <f t="shared" ref="G14:AI14" ca="1" si="8">-(25*F9)</f>
        <v>-0.96749999999999992</v>
      </c>
      <c r="H14" s="41">
        <f t="shared" ca="1" si="8"/>
        <v>-1.4675</v>
      </c>
      <c r="I14" s="41">
        <f t="shared" ca="1" si="8"/>
        <v>-1.2175</v>
      </c>
      <c r="J14" s="41">
        <f t="shared" ca="1" si="8"/>
        <v>-0.96749999999999992</v>
      </c>
      <c r="K14" s="41">
        <f t="shared" ca="1" si="8"/>
        <v>-1.2175</v>
      </c>
      <c r="L14" s="41">
        <f t="shared" ca="1" si="8"/>
        <v>-1.2175</v>
      </c>
      <c r="M14" s="41">
        <f t="shared" ca="1" si="8"/>
        <v>-1.7175</v>
      </c>
      <c r="N14" s="41">
        <f t="shared" ca="1" si="8"/>
        <v>-1.4674999999999998</v>
      </c>
      <c r="O14" s="41">
        <f t="shared" ca="1" si="8"/>
        <v>-1.7175</v>
      </c>
      <c r="P14" s="41">
        <f t="shared" ca="1" si="8"/>
        <v>-1.9674999999999998</v>
      </c>
      <c r="Q14" s="41">
        <f t="shared" ca="1" si="8"/>
        <v>-2.2174999999999998</v>
      </c>
      <c r="R14" s="41">
        <f t="shared" ca="1" si="8"/>
        <v>-1.9674999999999998</v>
      </c>
      <c r="S14" s="41">
        <f t="shared" ca="1" si="8"/>
        <v>-1.7175</v>
      </c>
      <c r="T14" s="41">
        <f t="shared" ca="1" si="8"/>
        <v>-1.9674999999999998</v>
      </c>
      <c r="U14" s="41">
        <f ca="1">-(25*T9)</f>
        <v>-2.2174999999999998</v>
      </c>
      <c r="V14" s="41">
        <f t="shared" ca="1" si="8"/>
        <v>-1.9674999999999998</v>
      </c>
      <c r="W14" s="41">
        <f t="shared" ca="1" si="8"/>
        <v>-2.2174999999999998</v>
      </c>
      <c r="X14" s="41">
        <f t="shared" ca="1" si="8"/>
        <v>-1.7174999999999996</v>
      </c>
      <c r="Y14" s="41">
        <f t="shared" ca="1" si="8"/>
        <v>-1.7174999999999996</v>
      </c>
      <c r="Z14" s="41">
        <f t="shared" ca="1" si="8"/>
        <v>-1.4674999999999996</v>
      </c>
      <c r="AA14" s="41">
        <f t="shared" ca="1" si="8"/>
        <v>-1.2174999999999996</v>
      </c>
      <c r="AB14" s="41">
        <f t="shared" ca="1" si="8"/>
        <v>-1.2174999999999996</v>
      </c>
      <c r="AC14" s="41">
        <f t="shared" ca="1" si="8"/>
        <v>-1.7174999999999996</v>
      </c>
      <c r="AD14" s="41">
        <f t="shared" ca="1" si="8"/>
        <v>-1.4674999999999996</v>
      </c>
      <c r="AE14" s="41">
        <f t="shared" ca="1" si="8"/>
        <v>-1.7174999999999996</v>
      </c>
      <c r="AF14" s="41">
        <f t="shared" ca="1" si="8"/>
        <v>-1.9674999999999994</v>
      </c>
      <c r="AG14" s="41">
        <f t="shared" ca="1" si="8"/>
        <v>-2.2174999999999994</v>
      </c>
      <c r="AH14" s="41">
        <f t="shared" ca="1" si="8"/>
        <v>-1.7174999999999991</v>
      </c>
      <c r="AI14" s="41">
        <f t="shared" ca="1" si="8"/>
        <v>-1.7174999999999991</v>
      </c>
      <c r="AK14" t="s">
        <v>57</v>
      </c>
      <c r="AL14" cm="1">
        <f t="array" aca="1" ref="AL14" ca="1">INDIRECT($AK14&amp;3)+25</f>
        <v>35</v>
      </c>
      <c r="AM14" s="55" cm="1">
        <f t="array" aca="1" ref="AM14" ca="1">INDIRECT($AK14&amp;4)/1000</f>
        <v>35.509751795404455</v>
      </c>
      <c r="AN14" s="53" cm="1">
        <f t="array" aca="1" ref="AN14" ca="1">INDIRECT($AK14&amp;5)</f>
        <v>7.8699999999999992E-2</v>
      </c>
      <c r="AO14" s="3">
        <f t="shared" si="1"/>
        <v>23.160656000000003</v>
      </c>
    </row>
    <row r="15" spans="1:41">
      <c r="D15" s="9" t="s">
        <v>58</v>
      </c>
      <c r="E15" s="41">
        <f>25*B4</f>
        <v>1.2175</v>
      </c>
      <c r="F15">
        <f>0.1/E9</f>
        <v>2.0533880903490762</v>
      </c>
      <c r="G15">
        <f t="shared" ref="G15:AI15" ca="1" si="9">0.1/F9</f>
        <v>2.5839793281653751</v>
      </c>
      <c r="H15">
        <f t="shared" ca="1" si="9"/>
        <v>1.7035775127768313</v>
      </c>
      <c r="I15">
        <f t="shared" ca="1" si="9"/>
        <v>2.0533880903490762</v>
      </c>
      <c r="J15">
        <f t="shared" ca="1" si="9"/>
        <v>2.5839793281653751</v>
      </c>
      <c r="K15">
        <f t="shared" ca="1" si="9"/>
        <v>2.0533880903490762</v>
      </c>
      <c r="L15">
        <f t="shared" ca="1" si="9"/>
        <v>2.0533880903490762</v>
      </c>
      <c r="M15">
        <f t="shared" ca="1" si="9"/>
        <v>1.4556040756914121</v>
      </c>
      <c r="N15">
        <f t="shared" ca="1" si="9"/>
        <v>1.7035775127768316</v>
      </c>
      <c r="O15">
        <f t="shared" ca="1" si="9"/>
        <v>1.4556040756914121</v>
      </c>
      <c r="P15">
        <f t="shared" ca="1" si="9"/>
        <v>1.270648030495553</v>
      </c>
      <c r="Q15">
        <f ca="1">0.1/P9</f>
        <v>1.1273957158962797</v>
      </c>
      <c r="R15">
        <f t="shared" ca="1" si="9"/>
        <v>1.270648030495553</v>
      </c>
      <c r="S15">
        <f t="shared" ca="1" si="9"/>
        <v>1.4556040756914121</v>
      </c>
      <c r="T15">
        <f t="shared" ca="1" si="9"/>
        <v>1.270648030495553</v>
      </c>
      <c r="U15">
        <f t="shared" ca="1" si="9"/>
        <v>1.1273957158962797</v>
      </c>
      <c r="V15">
        <f t="shared" ca="1" si="9"/>
        <v>1.270648030495553</v>
      </c>
      <c r="W15">
        <f t="shared" ca="1" si="9"/>
        <v>1.1273957158962797</v>
      </c>
      <c r="X15">
        <f t="shared" ca="1" si="9"/>
        <v>1.4556040756914124</v>
      </c>
      <c r="Y15">
        <f t="shared" ca="1" si="9"/>
        <v>1.4556040756914124</v>
      </c>
      <c r="Z15">
        <f ca="1">0.1/Y9</f>
        <v>1.703577512776832</v>
      </c>
      <c r="AA15">
        <f t="shared" ca="1" si="9"/>
        <v>2.0533880903490771</v>
      </c>
      <c r="AB15">
        <f t="shared" ca="1" si="9"/>
        <v>2.0533880903490771</v>
      </c>
      <c r="AC15">
        <f t="shared" ca="1" si="9"/>
        <v>1.4556040756914124</v>
      </c>
      <c r="AD15">
        <f t="shared" ca="1" si="9"/>
        <v>1.703577512776832</v>
      </c>
      <c r="AE15">
        <f t="shared" ca="1" si="9"/>
        <v>1.4556040756914124</v>
      </c>
      <c r="AF15">
        <f t="shared" ca="1" si="9"/>
        <v>1.2706480304955532</v>
      </c>
      <c r="AG15">
        <f t="shared" ca="1" si="9"/>
        <v>1.12739571589628</v>
      </c>
      <c r="AH15">
        <f t="shared" ca="1" si="9"/>
        <v>1.4556040756914126</v>
      </c>
      <c r="AI15">
        <f t="shared" ca="1" si="9"/>
        <v>1.4556040756914126</v>
      </c>
      <c r="AK15" t="s">
        <v>59</v>
      </c>
      <c r="AL15" cm="1">
        <f t="array" aca="1" ref="AL15" ca="1">INDIRECT($AK15&amp;3)+25</f>
        <v>36</v>
      </c>
      <c r="AM15" s="55" cm="1">
        <f t="array" aca="1" ref="AM15" ca="1">INDIRECT($AK15&amp;4)/1000</f>
        <v>32.222691834279495</v>
      </c>
      <c r="AN15" s="53" cm="1">
        <f t="array" aca="1" ref="AN15" ca="1">INDIRECT($AK15&amp;5)</f>
        <v>8.8699999999999987E-2</v>
      </c>
      <c r="AO15" s="3">
        <f t="shared" si="1"/>
        <v>25.476721600000005</v>
      </c>
    </row>
    <row r="16" spans="1:41">
      <c r="AK16" t="s">
        <v>60</v>
      </c>
      <c r="AL16" cm="1">
        <f t="array" aca="1" ref="AL16" ca="1">INDIRECT($AK16&amp;3)+25</f>
        <v>37</v>
      </c>
      <c r="AM16" s="55" cm="1">
        <f t="array" aca="1" ref="AM16" ca="1">INDIRECT($AK16&amp;4)/1000</f>
        <v>36.524845155956406</v>
      </c>
      <c r="AN16" s="53" cm="1">
        <f t="array" aca="1" ref="AN16" ca="1">INDIRECT($AK16&amp;5)</f>
        <v>7.8699999999999992E-2</v>
      </c>
      <c r="AO16" s="3">
        <f t="shared" si="1"/>
        <v>27.792787200000006</v>
      </c>
    </row>
    <row r="17" spans="1:42">
      <c r="AK17" t="s">
        <v>61</v>
      </c>
      <c r="AL17" cm="1">
        <f t="array" aca="1" ref="AL17" ca="1">INDIRECT($AK17&amp;3)+25</f>
        <v>38</v>
      </c>
      <c r="AM17" s="55" cm="1">
        <f t="array" aca="1" ref="AM17" ca="1">INDIRECT($AK17&amp;4)/1000</f>
        <v>41.384953576093203</v>
      </c>
      <c r="AN17" s="53" cm="1">
        <f t="array" aca="1" ref="AN17" ca="1">INDIRECT($AK17&amp;5)</f>
        <v>6.8699999999999997E-2</v>
      </c>
      <c r="AO17" s="3">
        <f t="shared" si="1"/>
        <v>30.108852800000008</v>
      </c>
    </row>
    <row r="18" spans="1:42">
      <c r="AK18" t="s">
        <v>62</v>
      </c>
      <c r="AL18" cm="1">
        <f t="array" aca="1" ref="AL18" ca="1">INDIRECT($AK18&amp;3)+25</f>
        <v>39</v>
      </c>
      <c r="AM18" s="55" cm="1">
        <f t="array" aca="1" ref="AM18" ca="1">INDIRECT($AK18&amp;4)/1000</f>
        <v>37.709394805934991</v>
      </c>
      <c r="AN18" s="53" cm="1">
        <f t="array" aca="1" ref="AN18" ca="1">INDIRECT($AK18&amp;5)</f>
        <v>7.8699999999999992E-2</v>
      </c>
      <c r="AO18" s="3">
        <f t="shared" si="1"/>
        <v>32.42491840000001</v>
      </c>
    </row>
    <row r="19" spans="1:42">
      <c r="A19" s="9" t="s">
        <v>33</v>
      </c>
      <c r="B19" s="9" t="s">
        <v>17</v>
      </c>
      <c r="C19" s="9" t="s">
        <v>22</v>
      </c>
      <c r="D19" s="9" t="s">
        <v>63</v>
      </c>
      <c r="AK19" t="s">
        <v>64</v>
      </c>
      <c r="AL19" cm="1">
        <f t="array" aca="1" ref="AL19" ca="1">INDIRECT($AK19&amp;3)+25</f>
        <v>40</v>
      </c>
      <c r="AM19" s="55" cm="1">
        <f t="array" aca="1" ref="AM19" ca="1">INDIRECT($AK19&amp;4)/1000</f>
        <v>34.759192351923645</v>
      </c>
      <c r="AN19" s="53" cm="1">
        <f t="array" aca="1" ref="AN19" ca="1">INDIRECT($AK19&amp;5)</f>
        <v>8.8699999999999987E-2</v>
      </c>
      <c r="AO19" s="3">
        <f t="shared" si="1"/>
        <v>34.740984000000012</v>
      </c>
    </row>
    <row r="20" spans="1:42">
      <c r="A20" s="2">
        <v>0</v>
      </c>
      <c r="AK20" t="s">
        <v>65</v>
      </c>
      <c r="AL20" cm="1">
        <f t="array" aca="1" ref="AL20" ca="1">INDIRECT($AK20&amp;3)+25</f>
        <v>41</v>
      </c>
      <c r="AM20" s="55" cm="1">
        <f t="array" aca="1" ref="AM20" ca="1">INDIRECT($AK20&amp;4)/1000</f>
        <v>39.091689211349511</v>
      </c>
      <c r="AN20" s="53" cm="1">
        <f t="array" aca="1" ref="AN20" ca="1">INDIRECT($AK20&amp;5)</f>
        <v>7.8699999999999992E-2</v>
      </c>
      <c r="AO20" s="3">
        <f t="shared" si="1"/>
        <v>37.057049600000013</v>
      </c>
    </row>
    <row r="21" spans="1:42">
      <c r="A21" s="2">
        <v>0.5</v>
      </c>
      <c r="B21" s="3">
        <f>$B$1*$B$3/2</f>
        <v>1158.0328</v>
      </c>
      <c r="D21" s="3">
        <f t="shared" ref="D21:D52" si="10">B21+C21</f>
        <v>1158.0328</v>
      </c>
      <c r="E21" s="4">
        <f t="shared" ref="E21:E52" ca="1" si="11">(D21)/(1+$E$5/2)^(2*A21)</f>
        <v>1130.5050031727435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K21" t="s">
        <v>66</v>
      </c>
      <c r="AL21" cm="1">
        <f t="array" aca="1" ref="AL21" ca="1">INDIRECT($AK21&amp;3)+25</f>
        <v>42</v>
      </c>
      <c r="AM21" s="55" cm="1">
        <f t="array" aca="1" ref="AM21" ca="1">INDIRECT($AK21&amp;4)/1000</f>
        <v>36.398452182524721</v>
      </c>
      <c r="AN21" s="53" cm="1">
        <f t="array" aca="1" ref="AN21" ca="1">INDIRECT($AK21&amp;5)</f>
        <v>8.8699999999999987E-2</v>
      </c>
      <c r="AO21" s="3">
        <f t="shared" si="1"/>
        <v>39.373115200000015</v>
      </c>
    </row>
    <row r="22" spans="1:42">
      <c r="A22" s="2">
        <v>1</v>
      </c>
      <c r="B22" s="3">
        <f t="shared" ref="B22:B80" si="12">$B$1*$B$3/2</f>
        <v>1158.0328</v>
      </c>
      <c r="D22" s="3">
        <f t="shared" si="10"/>
        <v>1158.0328</v>
      </c>
      <c r="E22" s="4">
        <f t="shared" ca="1" si="11"/>
        <v>1103.6315743376222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K22" t="s">
        <v>67</v>
      </c>
      <c r="AL22" cm="1">
        <f t="array" aca="1" ref="AL22" ca="1">INDIRECT($AK22&amp;3)+25</f>
        <v>43</v>
      </c>
      <c r="AM22" s="55" cm="1">
        <f t="array" aca="1" ref="AM22" ca="1">INDIRECT($AK22&amp;4)/1000</f>
        <v>44.467377746317844</v>
      </c>
      <c r="AN22" s="53" cm="1">
        <f t="array" aca="1" ref="AN22" ca="1">INDIRECT($AK22&amp;5)</f>
        <v>6.8699999999999983E-2</v>
      </c>
      <c r="AO22" s="3">
        <f t="shared" si="1"/>
        <v>41.689180800000017</v>
      </c>
    </row>
    <row r="23" spans="1:42">
      <c r="A23" s="2">
        <v>1.5</v>
      </c>
      <c r="B23" s="3">
        <f t="shared" si="12"/>
        <v>1158.0328</v>
      </c>
      <c r="D23" s="3">
        <f t="shared" si="10"/>
        <v>1158.0328</v>
      </c>
      <c r="E23" s="4">
        <f t="shared" ca="1" si="11"/>
        <v>1077.3969584005683</v>
      </c>
      <c r="F23" s="4">
        <f t="shared" ref="F23:F54" ca="1" si="13">($D23)/((1+$F$5/2)^(2*($A23-F$3)))</f>
        <v>1136.0502280865257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K23" t="s">
        <v>68</v>
      </c>
      <c r="AL23" cm="1">
        <f t="array" aca="1" ref="AL23" ca="1">INDIRECT($AK23&amp;3)+25</f>
        <v>44</v>
      </c>
      <c r="AM23" s="55" cm="1">
        <f t="array" aca="1" ref="AM23" ca="1">INDIRECT($AK23&amp;4)/1000</f>
        <v>45.218910630328743</v>
      </c>
      <c r="AN23" s="53" cm="1">
        <f t="array" aca="1" ref="AN23" ca="1">INDIRECT($AK23&amp;5)</f>
        <v>6.8699999999999983E-2</v>
      </c>
      <c r="AO23" s="3">
        <f t="shared" si="1"/>
        <v>44.005246400000019</v>
      </c>
    </row>
    <row r="24" spans="1:42">
      <c r="A24" s="2">
        <v>2</v>
      </c>
      <c r="B24" s="3">
        <f t="shared" si="12"/>
        <v>1158.0328</v>
      </c>
      <c r="D24" s="3">
        <f t="shared" si="10"/>
        <v>1158.0328</v>
      </c>
      <c r="E24" s="4">
        <f t="shared" ca="1" si="11"/>
        <v>1051.7859700303297</v>
      </c>
      <c r="F24" s="4">
        <f t="shared" ca="1" si="13"/>
        <v>1114.4849444121508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K24" t="s">
        <v>69</v>
      </c>
      <c r="AL24" cm="1">
        <f t="array" aca="1" ref="AL24" ca="1">INDIRECT($AK24&amp;3)+25</f>
        <v>45</v>
      </c>
      <c r="AM24" s="55" cm="1">
        <f t="array" aca="1" ref="AM24" ca="1">INDIRECT($AK24&amp;4)/1000</f>
        <v>49.79865048102883</v>
      </c>
      <c r="AN24" s="53" cm="1">
        <f t="array" aca="1" ref="AN24" ca="1">INDIRECT($AK24&amp;5)</f>
        <v>5.8699999999999981E-2</v>
      </c>
      <c r="AO24" s="3">
        <f t="shared" si="1"/>
        <v>46.32131200000002</v>
      </c>
    </row>
    <row r="25" spans="1:42">
      <c r="A25" s="2">
        <v>2.5</v>
      </c>
      <c r="B25" s="3">
        <f t="shared" si="12"/>
        <v>1158.0328</v>
      </c>
      <c r="D25" s="3">
        <f t="shared" si="10"/>
        <v>1158.0328</v>
      </c>
      <c r="E25" s="4">
        <f t="shared" ca="1" si="11"/>
        <v>1026.7837848687748</v>
      </c>
      <c r="F25" s="4">
        <f t="shared" ca="1" si="13"/>
        <v>1093.3290277256592</v>
      </c>
      <c r="G25" s="4">
        <f t="shared" ref="G25:G56" ca="1" si="14">($D25)/((1+$G$5/2)^(2*($A25-G$3)))</f>
        <v>1125.0136493903919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K25" t="s">
        <v>70</v>
      </c>
      <c r="AL25" cm="1">
        <f t="array" aca="1" ref="AL25" ca="1">INDIRECT($AK25&amp;3)+25</f>
        <v>46</v>
      </c>
      <c r="AM25" s="55" cm="1">
        <f t="array" aca="1" ref="AM25" ca="1">INDIRECT($AK25&amp;4)/1000</f>
        <v>54.266084116208447</v>
      </c>
      <c r="AN25" s="53" cm="1">
        <f t="array" aca="1" ref="AN25" ca="1">INDIRECT($AK25&amp;5)</f>
        <v>4.8699999999999979E-2</v>
      </c>
      <c r="AO25" s="3">
        <f t="shared" si="1"/>
        <v>48.637377600000022</v>
      </c>
    </row>
    <row r="26" spans="1:42">
      <c r="A26" s="2">
        <v>3</v>
      </c>
      <c r="B26" s="3">
        <f t="shared" si="12"/>
        <v>1158.0328</v>
      </c>
      <c r="D26" s="3">
        <f t="shared" si="10"/>
        <v>1158.0328</v>
      </c>
      <c r="E26" s="4">
        <f t="shared" ca="1" si="11"/>
        <v>1002.3759309501388</v>
      </c>
      <c r="F26" s="4">
        <f t="shared" ca="1" si="13"/>
        <v>1072.5747071424528</v>
      </c>
      <c r="G26" s="4">
        <f t="shared" ca="1" si="14"/>
        <v>1092.9359784236576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K26" t="s">
        <v>71</v>
      </c>
      <c r="AL26" cm="1">
        <f t="array" aca="1" ref="AL26" ca="1">INDIRECT("a"&amp;$AK26&amp;3)+25</f>
        <v>47</v>
      </c>
      <c r="AM26" s="55" cm="1">
        <f t="array" aca="1" ref="AM26" ca="1">INDIRECT("a"&amp;$AK26&amp;4)/1000</f>
        <v>54.596754296247205</v>
      </c>
      <c r="AN26" s="53" cm="1">
        <f t="array" aca="1" ref="AN26" ca="1">INDIRECT("a"&amp;$AK26&amp;5)</f>
        <v>4.8699999999999979E-2</v>
      </c>
      <c r="AO26" s="3">
        <f t="shared" si="1"/>
        <v>50.953443200000024</v>
      </c>
    </row>
    <row r="27" spans="1:42">
      <c r="A27" s="2">
        <v>3.5</v>
      </c>
      <c r="B27" s="3">
        <f t="shared" si="12"/>
        <v>1158.0328</v>
      </c>
      <c r="D27" s="3">
        <f t="shared" si="10"/>
        <v>1158.0328</v>
      </c>
      <c r="E27" s="4">
        <f t="shared" ca="1" si="11"/>
        <v>978.54828032424336</v>
      </c>
      <c r="F27" s="4">
        <f t="shared" ca="1" si="13"/>
        <v>1052.2143592901875</v>
      </c>
      <c r="G27" s="4">
        <f t="shared" ca="1" si="14"/>
        <v>1061.7729425595351</v>
      </c>
      <c r="H27" s="4">
        <f t="shared" ref="H27:H58" ca="1" si="15">($D27)/((1+$H$5/2)^(2*($A27-H$3)))</f>
        <v>1130.5050031727435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K27" t="s">
        <v>72</v>
      </c>
      <c r="AL27" cm="1">
        <f t="array" aca="1" ref="AL27" ca="1">INDIRECT("a"&amp;$AK27&amp;3)+25</f>
        <v>48</v>
      </c>
      <c r="AM27" s="55" cm="1">
        <f t="array" aca="1" ref="AM27" ca="1">INDIRECT("a"&amp;$AK27&amp;4)/1000</f>
        <v>48.788211822169401</v>
      </c>
      <c r="AN27" s="53" cm="1">
        <f t="array" aca="1" ref="AN27" ca="1">INDIRECT("a"&amp;$AK27&amp;5)</f>
        <v>6.8699999999999983E-2</v>
      </c>
      <c r="AO27" s="3">
        <f t="shared" si="1"/>
        <v>53.269508800000025</v>
      </c>
    </row>
    <row r="28" spans="1:42">
      <c r="A28" s="2">
        <v>4</v>
      </c>
      <c r="B28" s="3">
        <f t="shared" si="12"/>
        <v>1158.0328</v>
      </c>
      <c r="D28" s="3">
        <f t="shared" si="10"/>
        <v>1158.0328</v>
      </c>
      <c r="E28" s="4">
        <f t="shared" ca="1" si="11"/>
        <v>955.28704087884341</v>
      </c>
      <c r="F28" s="4">
        <f t="shared" ca="1" si="13"/>
        <v>1032.2405055085962</v>
      </c>
      <c r="G28" s="4">
        <f t="shared" ca="1" si="14"/>
        <v>1031.4984626798805</v>
      </c>
      <c r="H28" s="4">
        <f t="shared" ca="1" si="15"/>
        <v>1103.6315743376222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K28" t="s">
        <v>73</v>
      </c>
      <c r="AL28" cm="1">
        <f t="array" aca="1" ref="AL28" ca="1">INDIRECT("a"&amp;$AK28&amp;3)+25</f>
        <v>49</v>
      </c>
      <c r="AM28" s="55" cm="1">
        <f t="array" aca="1" ref="AM28" ca="1">INDIRECT("a"&amp;$AK28&amp;4)/1000</f>
        <v>52.491768392658749</v>
      </c>
      <c r="AN28" s="53" cm="1">
        <f t="array" aca="1" ref="AN28" ca="1">INDIRECT("a"&amp;$AK28&amp;5)</f>
        <v>5.8699999999999981E-2</v>
      </c>
      <c r="AO28" s="3">
        <f t="shared" si="1"/>
        <v>55.585574400000027</v>
      </c>
      <c r="AP28" t="s">
        <v>74</v>
      </c>
    </row>
    <row r="29" spans="1:42">
      <c r="A29" s="2">
        <v>4.5</v>
      </c>
      <c r="B29" s="3">
        <f t="shared" si="12"/>
        <v>1158.0328</v>
      </c>
      <c r="D29" s="3">
        <f t="shared" si="10"/>
        <v>1158.0328</v>
      </c>
      <c r="E29" s="4">
        <f t="shared" ca="1" si="11"/>
        <v>932.57874835636574</v>
      </c>
      <c r="F29" s="4">
        <f t="shared" ca="1" si="13"/>
        <v>1012.6458091024638</v>
      </c>
      <c r="G29" s="4">
        <f t="shared" ca="1" si="14"/>
        <v>1002.0872032640799</v>
      </c>
      <c r="H29" s="4">
        <f t="shared" ca="1" si="15"/>
        <v>1077.3969584005683</v>
      </c>
      <c r="I29" s="4">
        <f t="shared" ref="I29:I60" ca="1" si="16">($D29)/((1+$I$5/2)^(2*($A29-I$3)))</f>
        <v>1136.0502280865257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K29" t="s">
        <v>75</v>
      </c>
      <c r="AL29" cm="1">
        <f t="array" aca="1" ref="AL29" ca="1">INDIRECT("a"&amp;$AK29&amp;3)+25</f>
        <v>50</v>
      </c>
      <c r="AM29" s="55" cm="1">
        <f t="array" aca="1" ref="AM29" ca="1">INDIRECT("a"&amp;$AK29&amp;4)/1000</f>
        <v>50.968773262972377</v>
      </c>
      <c r="AN29" s="53" cm="1">
        <f t="array" aca="1" ref="AN29" ca="1">INDIRECT("a"&amp;$AK29&amp;5)</f>
        <v>6.8699999999999983E-2</v>
      </c>
      <c r="AO29" s="3">
        <f t="shared" si="1"/>
        <v>57.901640000000029</v>
      </c>
    </row>
    <row r="30" spans="1:42">
      <c r="A30" s="2">
        <v>5</v>
      </c>
      <c r="B30" s="3">
        <f t="shared" si="12"/>
        <v>1158.0328</v>
      </c>
      <c r="D30" s="3">
        <f t="shared" si="10"/>
        <v>1158.0328</v>
      </c>
      <c r="E30" s="4">
        <f t="shared" ca="1" si="11"/>
        <v>910.41025856041938</v>
      </c>
      <c r="F30" s="4">
        <f t="shared" ca="1" si="13"/>
        <v>993.42307264674912</v>
      </c>
      <c r="G30" s="4">
        <f t="shared" ca="1" si="14"/>
        <v>973.51455118674869</v>
      </c>
      <c r="H30" s="4">
        <f t="shared" ca="1" si="15"/>
        <v>1051.7859700303297</v>
      </c>
      <c r="I30" s="4">
        <f t="shared" ca="1" si="16"/>
        <v>1114.4849444121508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K30" t="s">
        <v>76</v>
      </c>
      <c r="AL30" cm="1">
        <f t="array" aca="1" ref="AL30" ca="1">INDIRECT("a"&amp;$AK30&amp;3)+25</f>
        <v>51</v>
      </c>
      <c r="AM30" s="55" cm="1">
        <f t="array" aca="1" ref="AM30" ca="1">INDIRECT("a"&amp;$AK30&amp;4)/1000</f>
        <v>50.338006869609039</v>
      </c>
      <c r="AN30" s="53" cm="1">
        <f t="array" aca="1" ref="AN30" ca="1">INDIRECT("a"&amp;$AK30&amp;5)</f>
        <v>7.8699999999999978E-2</v>
      </c>
      <c r="AO30" s="3">
        <f t="shared" si="1"/>
        <v>60.217705600000031</v>
      </c>
    </row>
    <row r="31" spans="1:42">
      <c r="A31" s="2">
        <v>5.5</v>
      </c>
      <c r="B31" s="3">
        <f t="shared" si="12"/>
        <v>1158.0328</v>
      </c>
      <c r="D31" s="3">
        <f t="shared" si="10"/>
        <v>1158.0328</v>
      </c>
      <c r="E31" s="4">
        <f t="shared" ca="1" si="11"/>
        <v>888.7687397475662</v>
      </c>
      <c r="F31" s="4">
        <f t="shared" ca="1" si="13"/>
        <v>974.56523534286464</v>
      </c>
      <c r="G31" s="4">
        <f t="shared" ca="1" si="14"/>
        <v>945.75659511997742</v>
      </c>
      <c r="H31" s="4">
        <f t="shared" ca="1" si="15"/>
        <v>1026.7837848687748</v>
      </c>
      <c r="I31" s="4">
        <f t="shared" ca="1" si="16"/>
        <v>1093.3290277256592</v>
      </c>
      <c r="J31" s="4">
        <f t="shared" ref="J31:J62" ca="1" si="17">($D31)/((1+$J$5/2)^(2*($A31-J$3)))</f>
        <v>1130.5050031727435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K31" t="s">
        <v>77</v>
      </c>
      <c r="AL31" cm="1">
        <f t="array" aca="1" ref="AL31" ca="1">INDIRECT("a"&amp;$AK31&amp;3)+25</f>
        <v>52</v>
      </c>
      <c r="AM31" s="55" cm="1">
        <f t="array" aca="1" ref="AM31" ca="1">INDIRECT("a"&amp;$AK31&amp;4)/1000</f>
        <v>50.61425367449128</v>
      </c>
      <c r="AN31" s="53" cm="1">
        <f t="array" aca="1" ref="AN31" ca="1">INDIRECT("a"&amp;$AK31&amp;5)</f>
        <v>8.8699999999999973E-2</v>
      </c>
      <c r="AO31" s="3">
        <f t="shared" si="1"/>
        <v>62.533771200000032</v>
      </c>
    </row>
    <row r="32" spans="1:42">
      <c r="A32" s="2">
        <v>6</v>
      </c>
      <c r="B32" s="3">
        <f t="shared" si="12"/>
        <v>1158.0328</v>
      </c>
      <c r="D32" s="3">
        <f t="shared" si="10"/>
        <v>1158.0328</v>
      </c>
      <c r="E32" s="4">
        <f t="shared" ca="1" si="11"/>
        <v>867.64166519994728</v>
      </c>
      <c r="F32" s="4">
        <f t="shared" ca="1" si="13"/>
        <v>956.06537042513833</v>
      </c>
      <c r="G32" s="4">
        <f t="shared" ca="1" si="14"/>
        <v>918.79010552288082</v>
      </c>
      <c r="H32" s="4">
        <f t="shared" ca="1" si="15"/>
        <v>1002.3759309501388</v>
      </c>
      <c r="I32" s="4">
        <f t="shared" ca="1" si="16"/>
        <v>1072.5747071424528</v>
      </c>
      <c r="J32" s="4">
        <f t="shared" ca="1" si="17"/>
        <v>1103.6315743376222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K32" t="s">
        <v>78</v>
      </c>
      <c r="AL32" cm="1">
        <f t="array" aca="1" ref="AL32" ca="1">INDIRECT("a"&amp;$AK32&amp;3)+25</f>
        <v>53</v>
      </c>
      <c r="AM32" s="55" cm="1">
        <f t="array" aca="1" ref="AM32" ca="1">INDIRECT("a"&amp;$AK32&amp;4)/1000</f>
        <v>54.845005462507572</v>
      </c>
      <c r="AN32" s="53" cm="1">
        <f t="array" aca="1" ref="AN32" ca="1">INDIRECT("a"&amp;$AK32&amp;5)</f>
        <v>6.8699999999999969E-2</v>
      </c>
      <c r="AO32" s="3">
        <f t="shared" si="1"/>
        <v>64.849836800000034</v>
      </c>
    </row>
    <row r="33" spans="1:41">
      <c r="A33" s="2">
        <v>6.5</v>
      </c>
      <c r="B33" s="3">
        <f t="shared" si="12"/>
        <v>1158.0328</v>
      </c>
      <c r="D33" s="3">
        <f t="shared" si="10"/>
        <v>1158.0328</v>
      </c>
      <c r="E33" s="4">
        <f t="shared" ca="1" si="11"/>
        <v>847.01680597446887</v>
      </c>
      <c r="F33" s="4">
        <f t="shared" ca="1" si="13"/>
        <v>937.91668261650909</v>
      </c>
      <c r="G33" s="4">
        <f t="shared" ca="1" si="14"/>
        <v>892.59251520171063</v>
      </c>
      <c r="H33" s="4">
        <f t="shared" ca="1" si="15"/>
        <v>978.54828032424336</v>
      </c>
      <c r="I33" s="4">
        <f t="shared" ca="1" si="16"/>
        <v>1052.2143592901875</v>
      </c>
      <c r="J33" s="4">
        <f t="shared" ca="1" si="17"/>
        <v>1077.3969584005683</v>
      </c>
      <c r="K33" s="4">
        <f t="shared" ref="K33:K80" ca="1" si="18">($D33)/((1+$K$5/2)^(2*($A33-K$3)))</f>
        <v>1130.5050031727435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K33" t="s">
        <v>79</v>
      </c>
      <c r="AL33" cm="1">
        <f t="array" aca="1" ref="AL33" ca="1">INDIRECT("a"&amp;$AK33&amp;3)+25</f>
        <v>54</v>
      </c>
      <c r="AM33" s="55" cm="1">
        <f t="array" aca="1" ref="AM33" ca="1">INDIRECT("a"&amp;$AK33&amp;4)/1000</f>
        <v>56.321726167059666</v>
      </c>
      <c r="AN33" s="53" cm="1">
        <f t="array" aca="1" ref="AN33" ca="1">INDIRECT("a"&amp;$AK33&amp;5)</f>
        <v>6.8699999999999969E-2</v>
      </c>
      <c r="AO33" s="3">
        <f t="shared" si="1"/>
        <v>67.165902400000036</v>
      </c>
    </row>
    <row r="34" spans="1:41">
      <c r="A34" s="2">
        <v>7</v>
      </c>
      <c r="B34" s="3">
        <f t="shared" si="12"/>
        <v>1158.0328</v>
      </c>
      <c r="D34" s="3">
        <f t="shared" si="10"/>
        <v>1158.0328</v>
      </c>
      <c r="E34" s="4">
        <f t="shared" ca="1" si="11"/>
        <v>826.88222382434594</v>
      </c>
      <c r="F34" s="4">
        <f t="shared" ca="1" si="13"/>
        <v>920.11250563251974</v>
      </c>
      <c r="G34" s="4">
        <f t="shared" ca="1" si="14"/>
        <v>867.14190042425855</v>
      </c>
      <c r="H34" s="4">
        <f t="shared" ca="1" si="15"/>
        <v>955.28704087884341</v>
      </c>
      <c r="I34" s="4">
        <f t="shared" ca="1" si="16"/>
        <v>1032.2405055085962</v>
      </c>
      <c r="J34" s="4">
        <f t="shared" ca="1" si="17"/>
        <v>1051.7859700303297</v>
      </c>
      <c r="K34" s="4">
        <f t="shared" ca="1" si="18"/>
        <v>1103.6315743376222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K34" t="s">
        <v>80</v>
      </c>
      <c r="AL34" cm="1">
        <f t="array" aca="1" ref="AL34" ca="1">INDIRECT("a"&amp;$AK34&amp;3)+25</f>
        <v>55</v>
      </c>
      <c r="AM34" s="55" cm="1">
        <f t="array" aca="1" ref="AM34" ca="1">INDIRECT("a"&amp;$AK34&amp;4)/1000</f>
        <v>57.90164</v>
      </c>
      <c r="AN34" s="53" cm="1">
        <f t="array" aca="1" ref="AN34" ca="1">INDIRECT("a"&amp;$AK34&amp;5)</f>
        <v>5.8699999999999967E-2</v>
      </c>
      <c r="AO34" s="3">
        <f>AO33+(2*$D$21+Face_Value)/1000</f>
        <v>127.38360800000004</v>
      </c>
    </row>
    <row r="35" spans="1:41">
      <c r="A35" s="2">
        <v>7.5</v>
      </c>
      <c r="B35" s="3">
        <f t="shared" si="12"/>
        <v>1158.0328</v>
      </c>
      <c r="D35" s="3">
        <f t="shared" si="10"/>
        <v>1158.0328</v>
      </c>
      <c r="E35" s="4">
        <f t="shared" ca="1" si="11"/>
        <v>807.2262642889109</v>
      </c>
      <c r="F35" s="4">
        <f t="shared" ca="1" si="13"/>
        <v>902.646299732692</v>
      </c>
      <c r="G35" s="4">
        <f t="shared" ca="1" si="14"/>
        <v>842.41696257274828</v>
      </c>
      <c r="H35" s="4">
        <f t="shared" ca="1" si="15"/>
        <v>932.57874835636574</v>
      </c>
      <c r="I35" s="4">
        <f t="shared" ca="1" si="16"/>
        <v>1012.6458091024638</v>
      </c>
      <c r="J35" s="4">
        <f t="shared" ca="1" si="17"/>
        <v>1026.7837848687748</v>
      </c>
      <c r="K35" s="4">
        <f t="shared" ca="1" si="18"/>
        <v>1077.3969584005683</v>
      </c>
      <c r="L35" s="4">
        <f t="shared" ref="L35:L80" ca="1" si="19">($D35)/((1+$L$5/2)^(2*($A35-L$3)))</f>
        <v>1119.5753855078067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O35" s="3"/>
    </row>
    <row r="36" spans="1:41">
      <c r="A36" s="2">
        <v>8</v>
      </c>
      <c r="B36" s="3">
        <f t="shared" si="12"/>
        <v>1158.0328</v>
      </c>
      <c r="D36" s="3">
        <f t="shared" si="10"/>
        <v>1158.0328</v>
      </c>
      <c r="E36" s="4">
        <f t="shared" ca="1" si="11"/>
        <v>788.03754994768462</v>
      </c>
      <c r="F36" s="4">
        <f t="shared" ca="1" si="13"/>
        <v>885.5116493183815</v>
      </c>
      <c r="G36" s="4">
        <f t="shared" ca="1" si="14"/>
        <v>818.39701031986044</v>
      </c>
      <c r="H36" s="4">
        <f t="shared" ca="1" si="15"/>
        <v>910.41025856041938</v>
      </c>
      <c r="I36" s="4">
        <f t="shared" ca="1" si="16"/>
        <v>993.42307264674912</v>
      </c>
      <c r="J36" s="4">
        <f t="shared" ca="1" si="17"/>
        <v>1002.3759309501388</v>
      </c>
      <c r="K36" s="4">
        <f t="shared" ca="1" si="18"/>
        <v>1051.7859700303297</v>
      </c>
      <c r="L36" s="4">
        <f t="shared" ca="1" si="19"/>
        <v>1082.3951133637613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O36" s="3"/>
    </row>
    <row r="37" spans="1:41">
      <c r="A37" s="2">
        <v>8.5</v>
      </c>
      <c r="B37" s="3">
        <f t="shared" si="12"/>
        <v>1158.0328</v>
      </c>
      <c r="D37" s="3">
        <f t="shared" si="10"/>
        <v>1158.0328</v>
      </c>
      <c r="E37" s="4">
        <f t="shared" ca="1" si="11"/>
        <v>769.30497383480702</v>
      </c>
      <c r="F37" s="4">
        <f t="shared" ca="1" si="13"/>
        <v>868.70226057623142</v>
      </c>
      <c r="G37" s="4">
        <f t="shared" ca="1" si="14"/>
        <v>795.06194231297479</v>
      </c>
      <c r="H37" s="4">
        <f t="shared" ca="1" si="15"/>
        <v>888.7687397475662</v>
      </c>
      <c r="I37" s="4">
        <f t="shared" ca="1" si="16"/>
        <v>974.56523534286464</v>
      </c>
      <c r="J37" s="4">
        <f t="shared" ca="1" si="17"/>
        <v>978.54828032424336</v>
      </c>
      <c r="K37" s="4">
        <f t="shared" ca="1" si="18"/>
        <v>1026.7837848687748</v>
      </c>
      <c r="L37" s="4">
        <f t="shared" ca="1" si="19"/>
        <v>1046.4495706131979</v>
      </c>
      <c r="M37" s="4">
        <f t="shared" ref="M37:M80" ca="1" si="20">($D37)/((1+$M$5/2)^(2*($A37-M$3)))</f>
        <v>1125.0136493903919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O37" s="3"/>
    </row>
    <row r="38" spans="1:41">
      <c r="A38" s="2">
        <v>9</v>
      </c>
      <c r="B38" s="3">
        <f t="shared" si="12"/>
        <v>1158.0328</v>
      </c>
      <c r="D38" s="3">
        <f t="shared" si="10"/>
        <v>1158.0328</v>
      </c>
      <c r="E38" s="4">
        <f t="shared" ca="1" si="11"/>
        <v>751.01769301001298</v>
      </c>
      <c r="F38" s="4">
        <f t="shared" ca="1" si="13"/>
        <v>852.21195916636248</v>
      </c>
      <c r="G38" s="4">
        <f t="shared" ca="1" si="14"/>
        <v>772.39223035213934</v>
      </c>
      <c r="H38" s="4">
        <f t="shared" ca="1" si="15"/>
        <v>867.64166519994728</v>
      </c>
      <c r="I38" s="4">
        <f t="shared" ca="1" si="16"/>
        <v>956.06537042513833</v>
      </c>
      <c r="J38" s="4">
        <f t="shared" ca="1" si="17"/>
        <v>955.28704087884341</v>
      </c>
      <c r="K38" s="4">
        <f t="shared" ca="1" si="18"/>
        <v>1002.3759309501388</v>
      </c>
      <c r="L38" s="4">
        <f t="shared" ca="1" si="19"/>
        <v>1011.6977528043678</v>
      </c>
      <c r="M38" s="4">
        <f t="shared" ca="1" si="20"/>
        <v>1092.9359784236576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O38" s="3"/>
    </row>
    <row r="39" spans="1:41">
      <c r="A39" s="2">
        <v>9.5</v>
      </c>
      <c r="B39" s="3">
        <f t="shared" si="12"/>
        <v>1158.0328</v>
      </c>
      <c r="D39" s="3">
        <f t="shared" si="10"/>
        <v>1158.0328</v>
      </c>
      <c r="E39" s="4">
        <f t="shared" ca="1" si="11"/>
        <v>733.16512228243573</v>
      </c>
      <c r="F39" s="4">
        <f t="shared" ca="1" si="13"/>
        <v>836.03468795444394</v>
      </c>
      <c r="G39" s="4">
        <f t="shared" ca="1" si="14"/>
        <v>750.36890304768963</v>
      </c>
      <c r="H39" s="4">
        <f t="shared" ca="1" si="15"/>
        <v>847.01680597446887</v>
      </c>
      <c r="I39" s="4">
        <f t="shared" ca="1" si="16"/>
        <v>937.91668261650909</v>
      </c>
      <c r="J39" s="4">
        <f t="shared" ca="1" si="17"/>
        <v>932.57874835636574</v>
      </c>
      <c r="K39" s="4">
        <f t="shared" ca="1" si="18"/>
        <v>978.54828032424336</v>
      </c>
      <c r="L39" s="4">
        <f t="shared" ca="1" si="19"/>
        <v>978.10001721309789</v>
      </c>
      <c r="M39" s="4">
        <f t="shared" ca="1" si="20"/>
        <v>1061.7729425595351</v>
      </c>
      <c r="N39" s="4">
        <f t="shared" ref="N39:N80" ca="1" si="21">($D39)/((1+$N$5/2)^(2*($A39-N$3)))</f>
        <v>1119.5753855078067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O39" s="3"/>
    </row>
    <row r="40" spans="1:41">
      <c r="A40" s="2">
        <v>10</v>
      </c>
      <c r="B40" s="3">
        <f t="shared" si="12"/>
        <v>1158.0328</v>
      </c>
      <c r="D40" s="3">
        <f t="shared" si="10"/>
        <v>1158.0328</v>
      </c>
      <c r="E40" s="4">
        <f t="shared" ca="1" si="11"/>
        <v>715.73692808359999</v>
      </c>
      <c r="F40" s="4">
        <f t="shared" ca="1" si="13"/>
        <v>820.16450478681907</v>
      </c>
      <c r="G40" s="4">
        <f t="shared" ca="1" si="14"/>
        <v>728.97352994383789</v>
      </c>
      <c r="H40" s="4">
        <f t="shared" ca="1" si="15"/>
        <v>826.88222382434594</v>
      </c>
      <c r="I40" s="4">
        <f t="shared" ca="1" si="16"/>
        <v>920.11250563251974</v>
      </c>
      <c r="J40" s="4">
        <f t="shared" ca="1" si="17"/>
        <v>910.41025856041938</v>
      </c>
      <c r="K40" s="4">
        <f t="shared" ca="1" si="18"/>
        <v>955.28704087884341</v>
      </c>
      <c r="L40" s="4">
        <f t="shared" ca="1" si="19"/>
        <v>945.61803762082252</v>
      </c>
      <c r="M40" s="4">
        <f t="shared" ca="1" si="20"/>
        <v>1031.4984626798805</v>
      </c>
      <c r="N40" s="4">
        <f t="shared" ca="1" si="21"/>
        <v>1082.3951133637613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41">
      <c r="A41" s="2">
        <v>10.5</v>
      </c>
      <c r="B41" s="3">
        <f t="shared" si="12"/>
        <v>1158.0328</v>
      </c>
      <c r="D41" s="3">
        <f t="shared" si="10"/>
        <v>1158.0328</v>
      </c>
      <c r="E41" s="4">
        <f t="shared" ca="1" si="11"/>
        <v>698.72302248606422</v>
      </c>
      <c r="F41" s="4">
        <f t="shared" ca="1" si="13"/>
        <v>804.59558030786206</v>
      </c>
      <c r="G41" s="4">
        <f t="shared" ca="1" si="14"/>
        <v>708.18820609495117</v>
      </c>
      <c r="H41" s="4">
        <f t="shared" ca="1" si="15"/>
        <v>807.2262642889109</v>
      </c>
      <c r="I41" s="4">
        <f t="shared" ca="1" si="16"/>
        <v>902.646299732692</v>
      </c>
      <c r="J41" s="4">
        <f t="shared" ca="1" si="17"/>
        <v>888.7687397475662</v>
      </c>
      <c r="K41" s="4">
        <f t="shared" ca="1" si="18"/>
        <v>932.57874835636574</v>
      </c>
      <c r="L41" s="4">
        <f t="shared" ca="1" si="19"/>
        <v>914.21476059440465</v>
      </c>
      <c r="M41" s="4">
        <f t="shared" ca="1" si="20"/>
        <v>1002.0872032640799</v>
      </c>
      <c r="N41" s="4">
        <f t="shared" ca="1" si="21"/>
        <v>1046.4495706131979</v>
      </c>
      <c r="O41" s="4">
        <f t="shared" ref="O41:O80" ca="1" si="22">($D41)/((1+$O$5/2)^(2*($A41-O$3)))</f>
        <v>1114.1894453264058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41">
      <c r="A42" s="2">
        <v>11</v>
      </c>
      <c r="B42" s="3">
        <f t="shared" si="12"/>
        <v>1158.0328</v>
      </c>
      <c r="D42" s="3">
        <f t="shared" si="10"/>
        <v>1158.0328</v>
      </c>
      <c r="E42" s="4">
        <f t="shared" ca="1" si="11"/>
        <v>682.11355736424468</v>
      </c>
      <c r="F42" s="4">
        <f t="shared" ca="1" si="13"/>
        <v>789.32219581876882</v>
      </c>
      <c r="G42" s="4">
        <f t="shared" ca="1" si="14"/>
        <v>687.99553708160602</v>
      </c>
      <c r="H42" s="4">
        <f t="shared" ca="1" si="15"/>
        <v>788.03754994768462</v>
      </c>
      <c r="I42" s="4">
        <f t="shared" ca="1" si="16"/>
        <v>885.5116493183815</v>
      </c>
      <c r="J42" s="4">
        <f t="shared" ca="1" si="17"/>
        <v>867.64166519994728</v>
      </c>
      <c r="K42" s="4">
        <f t="shared" ca="1" si="18"/>
        <v>910.41025856041938</v>
      </c>
      <c r="L42" s="4">
        <f t="shared" ca="1" si="19"/>
        <v>883.85436321787085</v>
      </c>
      <c r="M42" s="4">
        <f t="shared" ca="1" si="20"/>
        <v>973.51455118674869</v>
      </c>
      <c r="N42" s="4">
        <f t="shared" ca="1" si="21"/>
        <v>1011.6977528043678</v>
      </c>
      <c r="O42" s="4">
        <f t="shared" ca="1" si="22"/>
        <v>1072.0060088770924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41">
      <c r="A43" s="2">
        <v>11.5</v>
      </c>
      <c r="B43" s="3">
        <f t="shared" si="12"/>
        <v>1158.0328</v>
      </c>
      <c r="D43" s="3">
        <f t="shared" si="10"/>
        <v>1158.0328</v>
      </c>
      <c r="E43" s="4">
        <f t="shared" ca="1" si="11"/>
        <v>665.89891869404471</v>
      </c>
      <c r="F43" s="4">
        <f t="shared" ca="1" si="13"/>
        <v>774.33874117699395</v>
      </c>
      <c r="G43" s="4">
        <f t="shared" ca="1" si="14"/>
        <v>668.37862445388441</v>
      </c>
      <c r="H43" s="4">
        <f t="shared" ca="1" si="15"/>
        <v>769.30497383480702</v>
      </c>
      <c r="I43" s="4">
        <f t="shared" ca="1" si="16"/>
        <v>868.70226057623142</v>
      </c>
      <c r="J43" s="4">
        <f t="shared" ca="1" si="17"/>
        <v>847.01680597446887</v>
      </c>
      <c r="K43" s="4">
        <f t="shared" ca="1" si="18"/>
        <v>888.7687397475662</v>
      </c>
      <c r="L43" s="4">
        <f t="shared" ca="1" si="19"/>
        <v>854.50221222784432</v>
      </c>
      <c r="M43" s="4">
        <f t="shared" ca="1" si="20"/>
        <v>945.75659511997742</v>
      </c>
      <c r="N43" s="4">
        <f t="shared" ca="1" si="21"/>
        <v>978.10001721309789</v>
      </c>
      <c r="O43" s="4">
        <f t="shared" ca="1" si="22"/>
        <v>1031.4196458142997</v>
      </c>
      <c r="P43" s="4">
        <f t="shared" ref="P43:P80" ca="1" si="23">($D43)/((1+$P$5/2)^(2*($A43-P$3)))</f>
        <v>1108.8550773208217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41">
      <c r="A44" s="2">
        <v>12</v>
      </c>
      <c r="B44" s="3">
        <f t="shared" si="12"/>
        <v>1158.0328</v>
      </c>
      <c r="D44" s="3">
        <f t="shared" si="10"/>
        <v>1158.0328</v>
      </c>
      <c r="E44" s="4">
        <f t="shared" ca="1" si="11"/>
        <v>650.06972098798713</v>
      </c>
      <c r="F44" s="4">
        <f t="shared" ca="1" si="13"/>
        <v>759.63971273556092</v>
      </c>
      <c r="G44" s="4">
        <f t="shared" ca="1" si="14"/>
        <v>649.32105158972593</v>
      </c>
      <c r="H44" s="4">
        <f t="shared" ca="1" si="15"/>
        <v>751.01769301001298</v>
      </c>
      <c r="I44" s="4">
        <f t="shared" ca="1" si="16"/>
        <v>852.21195916636248</v>
      </c>
      <c r="J44" s="4">
        <f t="shared" ca="1" si="17"/>
        <v>826.88222382434594</v>
      </c>
      <c r="K44" s="4">
        <f t="shared" ca="1" si="18"/>
        <v>867.64166519994728</v>
      </c>
      <c r="L44" s="4">
        <f t="shared" ca="1" si="19"/>
        <v>826.12482450606103</v>
      </c>
      <c r="M44" s="4">
        <f t="shared" ca="1" si="20"/>
        <v>918.79010552288082</v>
      </c>
      <c r="N44" s="4">
        <f t="shared" ca="1" si="21"/>
        <v>945.61803762082252</v>
      </c>
      <c r="O44" s="4">
        <f t="shared" ca="1" si="22"/>
        <v>992.36989061846305</v>
      </c>
      <c r="P44" s="4">
        <f t="shared" ca="1" si="23"/>
        <v>1061.7657656157626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41">
      <c r="A45" s="2">
        <v>12.5</v>
      </c>
      <c r="B45" s="3">
        <f t="shared" si="12"/>
        <v>1158.0328</v>
      </c>
      <c r="D45" s="3">
        <f t="shared" si="10"/>
        <v>1158.0328</v>
      </c>
      <c r="E45" s="4">
        <f t="shared" ca="1" si="11"/>
        <v>634.61680186263197</v>
      </c>
      <c r="F45" s="4">
        <f t="shared" ca="1" si="13"/>
        <v>745.21971132149019</v>
      </c>
      <c r="G45" s="4">
        <f t="shared" ca="1" si="14"/>
        <v>630.80686995650262</v>
      </c>
      <c r="H45" s="4">
        <f t="shared" ca="1" si="15"/>
        <v>733.16512228243573</v>
      </c>
      <c r="I45" s="4">
        <f t="shared" ca="1" si="16"/>
        <v>836.03468795444394</v>
      </c>
      <c r="J45" s="4">
        <f t="shared" ca="1" si="17"/>
        <v>807.2262642889109</v>
      </c>
      <c r="K45" s="4">
        <f t="shared" ca="1" si="18"/>
        <v>847.01680597446887</v>
      </c>
      <c r="L45" s="4">
        <f t="shared" ca="1" si="19"/>
        <v>798.68982888389905</v>
      </c>
      <c r="M45" s="4">
        <f t="shared" ca="1" si="20"/>
        <v>892.59251520171063</v>
      </c>
      <c r="N45" s="4">
        <f t="shared" ca="1" si="21"/>
        <v>914.21476059440465</v>
      </c>
      <c r="O45" s="4">
        <f t="shared" ca="1" si="22"/>
        <v>954.79856700674759</v>
      </c>
      <c r="P45" s="4">
        <f t="shared" ca="1" si="23"/>
        <v>1016.6761771587713</v>
      </c>
      <c r="Q45" s="4">
        <f t="shared" ref="Q45:Q80" ca="1" si="24">($D45)/((1+$Q$5/2)^(2*($A45-Q$3)))</f>
        <v>1114.1894453264058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41">
      <c r="A46" s="2">
        <v>13</v>
      </c>
      <c r="B46" s="3">
        <f t="shared" si="12"/>
        <v>1158.0328</v>
      </c>
      <c r="D46" s="3">
        <f t="shared" si="10"/>
        <v>1158.0328</v>
      </c>
      <c r="E46" s="4">
        <f t="shared" ca="1" si="11"/>
        <v>619.53121673513147</v>
      </c>
      <c r="F46" s="4">
        <f t="shared" ca="1" si="13"/>
        <v>731.07344025260238</v>
      </c>
      <c r="G46" s="4">
        <f t="shared" ca="1" si="14"/>
        <v>612.82058576431973</v>
      </c>
      <c r="H46" s="4">
        <f t="shared" ca="1" si="15"/>
        <v>715.73692808359999</v>
      </c>
      <c r="I46" s="4">
        <f t="shared" ca="1" si="16"/>
        <v>820.16450478681907</v>
      </c>
      <c r="J46" s="4">
        <f t="shared" ca="1" si="17"/>
        <v>788.03754994768462</v>
      </c>
      <c r="K46" s="4">
        <f t="shared" ca="1" si="18"/>
        <v>826.88222382434594</v>
      </c>
      <c r="L46" s="4">
        <f t="shared" ca="1" si="19"/>
        <v>772.16592921535175</v>
      </c>
      <c r="M46" s="4">
        <f t="shared" ca="1" si="20"/>
        <v>867.14190042425855</v>
      </c>
      <c r="N46" s="4">
        <f t="shared" ca="1" si="21"/>
        <v>883.85436321787085</v>
      </c>
      <c r="O46" s="4">
        <f t="shared" ca="1" si="22"/>
        <v>918.64970126208459</v>
      </c>
      <c r="P46" s="4">
        <f t="shared" ca="1" si="23"/>
        <v>973.50139049051688</v>
      </c>
      <c r="Q46" s="4">
        <f t="shared" ca="1" si="24"/>
        <v>1072.0060088770924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41">
      <c r="A47" s="2">
        <v>13.5</v>
      </c>
      <c r="B47" s="3">
        <f t="shared" si="12"/>
        <v>1158.0328</v>
      </c>
      <c r="D47" s="3">
        <f t="shared" si="10"/>
        <v>1158.0328</v>
      </c>
      <c r="E47" s="4">
        <f t="shared" ca="1" si="11"/>
        <v>604.80423364585488</v>
      </c>
      <c r="F47" s="4">
        <f t="shared" ca="1" si="13"/>
        <v>717.19570339196764</v>
      </c>
      <c r="G47" s="4">
        <f t="shared" ca="1" si="14"/>
        <v>595.34714699987342</v>
      </c>
      <c r="H47" s="4">
        <f t="shared" ca="1" si="15"/>
        <v>698.72302248606422</v>
      </c>
      <c r="I47" s="4">
        <f t="shared" ca="1" si="16"/>
        <v>804.59558030786206</v>
      </c>
      <c r="J47" s="4">
        <f t="shared" ca="1" si="17"/>
        <v>769.30497383480702</v>
      </c>
      <c r="K47" s="4">
        <f t="shared" ca="1" si="18"/>
        <v>807.2262642889109</v>
      </c>
      <c r="L47" s="4">
        <f t="shared" ca="1" si="19"/>
        <v>746.52286867631994</v>
      </c>
      <c r="M47" s="4">
        <f t="shared" ca="1" si="20"/>
        <v>842.41696257274828</v>
      </c>
      <c r="N47" s="4">
        <f t="shared" ca="1" si="21"/>
        <v>854.50221222784432</v>
      </c>
      <c r="O47" s="4">
        <f t="shared" ca="1" si="22"/>
        <v>883.86943884358914</v>
      </c>
      <c r="P47" s="4">
        <f t="shared" ca="1" si="23"/>
        <v>932.16009047782541</v>
      </c>
      <c r="Q47" s="4">
        <f t="shared" ca="1" si="24"/>
        <v>1031.4196458142997</v>
      </c>
      <c r="R47" s="4">
        <f t="shared" ref="R47:R80" ca="1" si="25">($D47)/((1+$R$5/2)^(2*($A47-R$3)))</f>
        <v>1119.5753855078067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41">
      <c r="A48" s="2">
        <v>14</v>
      </c>
      <c r="B48" s="3">
        <f t="shared" si="12"/>
        <v>1158.0328</v>
      </c>
      <c r="D48" s="3">
        <f t="shared" si="10"/>
        <v>1158.0328</v>
      </c>
      <c r="E48" s="4">
        <f t="shared" ca="1" si="11"/>
        <v>590.42732820408526</v>
      </c>
      <c r="F48" s="4">
        <f t="shared" ca="1" si="13"/>
        <v>703.58140323928762</v>
      </c>
      <c r="G48" s="4">
        <f t="shared" ca="1" si="14"/>
        <v>578.3719308300125</v>
      </c>
      <c r="H48" s="4">
        <f t="shared" ca="1" si="15"/>
        <v>682.11355736424468</v>
      </c>
      <c r="I48" s="4">
        <f t="shared" ca="1" si="16"/>
        <v>789.32219581876882</v>
      </c>
      <c r="J48" s="4">
        <f t="shared" ca="1" si="17"/>
        <v>751.01769301001298</v>
      </c>
      <c r="K48" s="4">
        <f t="shared" ca="1" si="18"/>
        <v>788.03754994768462</v>
      </c>
      <c r="L48" s="4">
        <f t="shared" ca="1" si="19"/>
        <v>721.73139524949966</v>
      </c>
      <c r="M48" s="4">
        <f t="shared" ca="1" si="20"/>
        <v>818.39701031986044</v>
      </c>
      <c r="N48" s="4">
        <f t="shared" ca="1" si="21"/>
        <v>826.12482450606103</v>
      </c>
      <c r="O48" s="4">
        <f t="shared" ca="1" si="22"/>
        <v>850.4059641541246</v>
      </c>
      <c r="P48" s="4">
        <f t="shared" ca="1" si="23"/>
        <v>892.57441516524671</v>
      </c>
      <c r="Q48" s="4">
        <f t="shared" ca="1" si="24"/>
        <v>992.36989061846305</v>
      </c>
      <c r="R48" s="4">
        <f t="shared" ca="1" si="25"/>
        <v>1082.3951133637613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2">
        <v>14.5</v>
      </c>
      <c r="B49" s="3">
        <f t="shared" si="12"/>
        <v>1158.0328</v>
      </c>
      <c r="D49" s="3">
        <f t="shared" si="10"/>
        <v>1158.0328</v>
      </c>
      <c r="E49" s="4">
        <f t="shared" ca="1" si="11"/>
        <v>576.39217865386365</v>
      </c>
      <c r="F49" s="4">
        <f t="shared" ca="1" si="13"/>
        <v>690.22553905850555</v>
      </c>
      <c r="G49" s="4">
        <f t="shared" ca="1" si="14"/>
        <v>561.88073136446553</v>
      </c>
      <c r="H49" s="4">
        <f t="shared" ca="1" si="15"/>
        <v>665.89891869404471</v>
      </c>
      <c r="I49" s="4">
        <f t="shared" ca="1" si="16"/>
        <v>774.33874117699395</v>
      </c>
      <c r="J49" s="4">
        <f t="shared" ca="1" si="17"/>
        <v>733.16512228243573</v>
      </c>
      <c r="K49" s="4">
        <f t="shared" ca="1" si="18"/>
        <v>769.30497383480702</v>
      </c>
      <c r="L49" s="4">
        <f t="shared" ca="1" si="19"/>
        <v>697.76322835548854</v>
      </c>
      <c r="M49" s="4">
        <f t="shared" ca="1" si="20"/>
        <v>795.06194231297479</v>
      </c>
      <c r="N49" s="4">
        <f t="shared" ca="1" si="21"/>
        <v>798.68982888389905</v>
      </c>
      <c r="O49" s="4">
        <f t="shared" ca="1" si="22"/>
        <v>818.20942334547999</v>
      </c>
      <c r="P49" s="4">
        <f t="shared" ca="1" si="23"/>
        <v>854.66980913031739</v>
      </c>
      <c r="Q49" s="4">
        <f t="shared" ca="1" si="24"/>
        <v>954.79856700674759</v>
      </c>
      <c r="R49" s="4">
        <f t="shared" ca="1" si="25"/>
        <v>1046.4495706131979</v>
      </c>
      <c r="S49" s="4">
        <f t="shared" ref="S49:S80" ca="1" si="26">($D49)/((1+$S$5/2)^(2*($A49-S$3)))</f>
        <v>1114.1894453264058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2">
        <v>15</v>
      </c>
      <c r="B50" s="3">
        <f t="shared" si="12"/>
        <v>1158.0328</v>
      </c>
      <c r="D50" s="3">
        <f t="shared" si="10"/>
        <v>1158.0328</v>
      </c>
      <c r="E50" s="4">
        <f t="shared" ca="1" si="11"/>
        <v>562.6906610571225</v>
      </c>
      <c r="F50" s="4">
        <f t="shared" ca="1" si="13"/>
        <v>677.12320504096294</v>
      </c>
      <c r="G50" s="4">
        <f t="shared" ca="1" si="14"/>
        <v>545.85974776748958</v>
      </c>
      <c r="H50" s="4">
        <f t="shared" ca="1" si="15"/>
        <v>650.06972098798713</v>
      </c>
      <c r="I50" s="4">
        <f t="shared" ca="1" si="16"/>
        <v>759.63971273556092</v>
      </c>
      <c r="J50" s="4">
        <f t="shared" ca="1" si="17"/>
        <v>715.73692808359999</v>
      </c>
      <c r="K50" s="4">
        <f t="shared" ca="1" si="18"/>
        <v>751.01769301001298</v>
      </c>
      <c r="L50" s="4">
        <f t="shared" ca="1" si="19"/>
        <v>674.59102659205166</v>
      </c>
      <c r="M50" s="4">
        <f t="shared" ca="1" si="20"/>
        <v>772.39223035213934</v>
      </c>
      <c r="N50" s="4">
        <f t="shared" ca="1" si="21"/>
        <v>772.16592921535175</v>
      </c>
      <c r="O50" s="4">
        <f t="shared" ca="1" si="22"/>
        <v>787.23185004616346</v>
      </c>
      <c r="P50" s="4">
        <f t="shared" ca="1" si="23"/>
        <v>818.37488306632576</v>
      </c>
      <c r="Q50" s="4">
        <f t="shared" ca="1" si="24"/>
        <v>918.64970126208459</v>
      </c>
      <c r="R50" s="4">
        <f t="shared" ca="1" si="25"/>
        <v>1011.6977528043678</v>
      </c>
      <c r="S50" s="4">
        <f t="shared" ca="1" si="26"/>
        <v>1072.0060088770924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2">
        <v>15.5</v>
      </c>
      <c r="B51" s="3">
        <f t="shared" si="12"/>
        <v>1158.0328</v>
      </c>
      <c r="D51" s="3">
        <f t="shared" si="10"/>
        <v>1158.0328</v>
      </c>
      <c r="E51" s="4">
        <f t="shared" ca="1" si="11"/>
        <v>549.31484459132378</v>
      </c>
      <c r="F51" s="4">
        <f t="shared" ca="1" si="13"/>
        <v>664.26958850342157</v>
      </c>
      <c r="G51" s="4">
        <f t="shared" ca="1" si="14"/>
        <v>530.29557270849534</v>
      </c>
      <c r="H51" s="4">
        <f t="shared" ca="1" si="15"/>
        <v>634.61680186263197</v>
      </c>
      <c r="I51" s="4">
        <f t="shared" ca="1" si="16"/>
        <v>745.21971132149019</v>
      </c>
      <c r="J51" s="4">
        <f t="shared" ca="1" si="17"/>
        <v>698.72302248606422</v>
      </c>
      <c r="K51" s="4">
        <f t="shared" ca="1" si="18"/>
        <v>733.16512228243573</v>
      </c>
      <c r="L51" s="4">
        <f t="shared" ca="1" si="19"/>
        <v>652.18835654473969</v>
      </c>
      <c r="M51" s="4">
        <f t="shared" ca="1" si="20"/>
        <v>750.36890304768963</v>
      </c>
      <c r="N51" s="4">
        <f t="shared" ca="1" si="21"/>
        <v>746.52286867631994</v>
      </c>
      <c r="O51" s="4">
        <f t="shared" ca="1" si="22"/>
        <v>757.42709390115294</v>
      </c>
      <c r="P51" s="4">
        <f t="shared" ca="1" si="23"/>
        <v>783.62127932812359</v>
      </c>
      <c r="Q51" s="4">
        <f t="shared" ca="1" si="24"/>
        <v>883.86943884358914</v>
      </c>
      <c r="R51" s="4">
        <f t="shared" ca="1" si="25"/>
        <v>978.10001721309789</v>
      </c>
      <c r="S51" s="4">
        <f t="shared" ca="1" si="26"/>
        <v>1031.4196458142997</v>
      </c>
      <c r="T51" s="4">
        <f t="shared" ref="T51:T80" ca="1" si="27">($D51)/((1+$T$5/2)^(2*($A51-T$3)))</f>
        <v>1108.8550773208217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2">
        <v>16</v>
      </c>
      <c r="B52" s="3">
        <f t="shared" si="12"/>
        <v>1158.0328</v>
      </c>
      <c r="D52" s="3">
        <f t="shared" si="10"/>
        <v>1158.0328</v>
      </c>
      <c r="E52" s="4">
        <f t="shared" ca="1" si="11"/>
        <v>536.25698695887502</v>
      </c>
      <c r="F52" s="4">
        <f t="shared" ca="1" si="13"/>
        <v>651.65996812029402</v>
      </c>
      <c r="G52" s="4">
        <f t="shared" ca="1" si="14"/>
        <v>515.17518114197821</v>
      </c>
      <c r="H52" s="4">
        <f t="shared" ca="1" si="15"/>
        <v>619.53121673513147</v>
      </c>
      <c r="I52" s="4">
        <f t="shared" ca="1" si="16"/>
        <v>731.07344025260238</v>
      </c>
      <c r="J52" s="4">
        <f t="shared" ca="1" si="17"/>
        <v>682.11355736424468</v>
      </c>
      <c r="K52" s="4">
        <f t="shared" ca="1" si="18"/>
        <v>715.73692808359999</v>
      </c>
      <c r="L52" s="4">
        <f t="shared" ca="1" si="19"/>
        <v>630.52966263328631</v>
      </c>
      <c r="M52" s="4">
        <f t="shared" ca="1" si="20"/>
        <v>728.97352994383789</v>
      </c>
      <c r="N52" s="4">
        <f t="shared" ca="1" si="21"/>
        <v>721.73139524949966</v>
      </c>
      <c r="O52" s="4">
        <f t="shared" ca="1" si="22"/>
        <v>728.75075181714817</v>
      </c>
      <c r="P52" s="4">
        <f t="shared" ca="1" si="23"/>
        <v>750.34354318774695</v>
      </c>
      <c r="Q52" s="4">
        <f t="shared" ca="1" si="24"/>
        <v>850.4059641541246</v>
      </c>
      <c r="R52" s="4">
        <f t="shared" ca="1" si="25"/>
        <v>945.61803762082252</v>
      </c>
      <c r="S52" s="4">
        <f t="shared" ca="1" si="26"/>
        <v>992.36989061846305</v>
      </c>
      <c r="T52" s="4">
        <f t="shared" ca="1" si="27"/>
        <v>1061.7657656157626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>
      <c r="A53" s="2">
        <v>16.5</v>
      </c>
      <c r="B53" s="3">
        <f t="shared" si="12"/>
        <v>1158.0328</v>
      </c>
      <c r="D53" s="3">
        <f t="shared" ref="D53:D80" si="28">B53+C53</f>
        <v>1158.0328</v>
      </c>
      <c r="E53" s="4">
        <f t="shared" ref="E53:E80" ca="1" si="29">(D53)/(1+$E$5/2)^(2*A53)</f>
        <v>523.5095299056718</v>
      </c>
      <c r="F53" s="4">
        <f t="shared" ca="1" si="13"/>
        <v>639.28971218942866</v>
      </c>
      <c r="G53" s="4">
        <f t="shared" ca="1" si="14"/>
        <v>500.48591940737191</v>
      </c>
      <c r="H53" s="4">
        <f t="shared" ca="1" si="15"/>
        <v>604.80423364585488</v>
      </c>
      <c r="I53" s="4">
        <f t="shared" ca="1" si="16"/>
        <v>717.19570339196764</v>
      </c>
      <c r="J53" s="4">
        <f t="shared" ca="1" si="17"/>
        <v>665.89891869404471</v>
      </c>
      <c r="K53" s="4">
        <f t="shared" ca="1" si="18"/>
        <v>698.72302248606422</v>
      </c>
      <c r="L53" s="4">
        <f t="shared" ca="1" si="19"/>
        <v>609.59023795938162</v>
      </c>
      <c r="M53" s="4">
        <f t="shared" ca="1" si="20"/>
        <v>708.18820609495117</v>
      </c>
      <c r="N53" s="4">
        <f t="shared" ca="1" si="21"/>
        <v>697.76322835548854</v>
      </c>
      <c r="O53" s="4">
        <f t="shared" ca="1" si="22"/>
        <v>701.16010181088984</v>
      </c>
      <c r="P53" s="4">
        <f t="shared" ca="1" si="23"/>
        <v>718.47899955737751</v>
      </c>
      <c r="Q53" s="4">
        <f t="shared" ca="1" si="24"/>
        <v>818.20942334547999</v>
      </c>
      <c r="R53" s="4">
        <f t="shared" ca="1" si="25"/>
        <v>914.21476059440465</v>
      </c>
      <c r="S53" s="4">
        <f t="shared" ca="1" si="26"/>
        <v>954.79856700674759</v>
      </c>
      <c r="T53" s="4">
        <f t="shared" ca="1" si="27"/>
        <v>1016.6761771587713</v>
      </c>
      <c r="U53" s="4">
        <f t="shared" ref="U53:U80" ca="1" si="30">($D53)/((1+$U$5/2)^(2*($A53-U$3)))</f>
        <v>1114.1894453264058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>
      <c r="A54" s="2">
        <v>17</v>
      </c>
      <c r="B54" s="3">
        <f t="shared" si="12"/>
        <v>1158.0328</v>
      </c>
      <c r="D54" s="3">
        <f t="shared" si="28"/>
        <v>1158.0328</v>
      </c>
      <c r="E54" s="4">
        <f t="shared" ca="1" si="29"/>
        <v>511.06509484616765</v>
      </c>
      <c r="F54" s="4">
        <f t="shared" ca="1" si="13"/>
        <v>627.15427693081733</v>
      </c>
      <c r="G54" s="4">
        <f t="shared" ca="1" si="14"/>
        <v>486.21549463969677</v>
      </c>
      <c r="H54" s="4">
        <f t="shared" ca="1" si="15"/>
        <v>590.42732820408526</v>
      </c>
      <c r="I54" s="4">
        <f t="shared" ca="1" si="16"/>
        <v>703.58140323928762</v>
      </c>
      <c r="J54" s="4">
        <f t="shared" ca="1" si="17"/>
        <v>650.06972098798713</v>
      </c>
      <c r="K54" s="4">
        <f t="shared" ca="1" si="18"/>
        <v>682.11355736424468</v>
      </c>
      <c r="L54" s="4">
        <f t="shared" ca="1" si="19"/>
        <v>589.3461961225712</v>
      </c>
      <c r="M54" s="4">
        <f t="shared" ca="1" si="20"/>
        <v>687.99553708160602</v>
      </c>
      <c r="N54" s="4">
        <f t="shared" ca="1" si="21"/>
        <v>674.59102659205166</v>
      </c>
      <c r="O54" s="4">
        <f t="shared" ca="1" si="22"/>
        <v>674.61403936199531</v>
      </c>
      <c r="P54" s="4">
        <f t="shared" ca="1" si="23"/>
        <v>687.96763494745767</v>
      </c>
      <c r="Q54" s="4">
        <f t="shared" ca="1" si="24"/>
        <v>787.23185004616346</v>
      </c>
      <c r="R54" s="4">
        <f t="shared" ca="1" si="25"/>
        <v>883.85436321787085</v>
      </c>
      <c r="S54" s="4">
        <f t="shared" ca="1" si="26"/>
        <v>918.64970126208459</v>
      </c>
      <c r="T54" s="4">
        <f t="shared" ca="1" si="27"/>
        <v>973.50139049051688</v>
      </c>
      <c r="U54" s="4">
        <f t="shared" ca="1" si="30"/>
        <v>1072.0060088770924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>
      <c r="A55" s="2">
        <v>17.5</v>
      </c>
      <c r="B55" s="3">
        <f t="shared" si="12"/>
        <v>1158.0328</v>
      </c>
      <c r="D55" s="3">
        <f t="shared" si="28"/>
        <v>1158.0328</v>
      </c>
      <c r="E55" s="4">
        <f t="shared" ca="1" si="29"/>
        <v>498.91647859244159</v>
      </c>
      <c r="F55" s="4">
        <f t="shared" ref="F55:F80" ca="1" si="31">($D55)/((1+$F$5/2)^(2*($A55-F$3)))</f>
        <v>615.24920481759693</v>
      </c>
      <c r="G55" s="4">
        <f t="shared" ca="1" si="14"/>
        <v>472.35196448214583</v>
      </c>
      <c r="H55" s="4">
        <f t="shared" ca="1" si="15"/>
        <v>576.39217865386365</v>
      </c>
      <c r="I55" s="4">
        <f t="shared" ca="1" si="16"/>
        <v>690.22553905850555</v>
      </c>
      <c r="J55" s="4">
        <f t="shared" ca="1" si="17"/>
        <v>634.61680186263197</v>
      </c>
      <c r="K55" s="4">
        <f t="shared" ca="1" si="18"/>
        <v>665.89891869404471</v>
      </c>
      <c r="L55" s="4">
        <f t="shared" ca="1" si="19"/>
        <v>569.77444397212844</v>
      </c>
      <c r="M55" s="4">
        <f t="shared" ca="1" si="20"/>
        <v>668.37862445388441</v>
      </c>
      <c r="N55" s="4">
        <f t="shared" ca="1" si="21"/>
        <v>652.18835654473969</v>
      </c>
      <c r="O55" s="4">
        <f t="shared" ca="1" si="22"/>
        <v>649.07301617548956</v>
      </c>
      <c r="P55" s="4">
        <f t="shared" ca="1" si="23"/>
        <v>658.75198443764805</v>
      </c>
      <c r="Q55" s="4">
        <f t="shared" ca="1" si="24"/>
        <v>757.42709390115294</v>
      </c>
      <c r="R55" s="4">
        <f t="shared" ca="1" si="25"/>
        <v>854.50221222784432</v>
      </c>
      <c r="S55" s="4">
        <f t="shared" ca="1" si="26"/>
        <v>883.86943884358914</v>
      </c>
      <c r="T55" s="4">
        <f t="shared" ca="1" si="27"/>
        <v>932.16009047782541</v>
      </c>
      <c r="U55" s="4">
        <f t="shared" ca="1" si="30"/>
        <v>1031.4196458142997</v>
      </c>
      <c r="V55" s="4">
        <f t="shared" ref="V55:V80" ca="1" si="32">($D55)/((1+$V$5/2)^(2*($A55-V$3)))</f>
        <v>1108.8550773208217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>
      <c r="A56" s="2">
        <v>18</v>
      </c>
      <c r="B56" s="3">
        <f t="shared" si="12"/>
        <v>1158.0328</v>
      </c>
      <c r="D56" s="3">
        <f t="shared" si="28"/>
        <v>1158.0328</v>
      </c>
      <c r="E56" s="4">
        <f t="shared" ca="1" si="29"/>
        <v>487.05664918479187</v>
      </c>
      <c r="F56" s="4">
        <f t="shared" ca="1" si="31"/>
        <v>603.57012293873242</v>
      </c>
      <c r="G56" s="4">
        <f t="shared" ca="1" si="14"/>
        <v>458.88372709199564</v>
      </c>
      <c r="H56" s="4">
        <f t="shared" ca="1" si="15"/>
        <v>562.6906610571225</v>
      </c>
      <c r="I56" s="4">
        <f t="shared" ca="1" si="16"/>
        <v>677.12320504096294</v>
      </c>
      <c r="J56" s="4">
        <f t="shared" ca="1" si="17"/>
        <v>619.53121673513147</v>
      </c>
      <c r="K56" s="4">
        <f t="shared" ca="1" si="18"/>
        <v>650.06972098798713</v>
      </c>
      <c r="L56" s="4">
        <f t="shared" ca="1" si="19"/>
        <v>550.85265526381636</v>
      </c>
      <c r="M56" s="4">
        <f t="shared" ca="1" si="20"/>
        <v>649.32105158972593</v>
      </c>
      <c r="N56" s="4">
        <f t="shared" ca="1" si="21"/>
        <v>630.52966263328631</v>
      </c>
      <c r="O56" s="4">
        <f t="shared" ca="1" si="22"/>
        <v>624.49898126279868</v>
      </c>
      <c r="P56" s="4">
        <f t="shared" ca="1" si="23"/>
        <v>630.77702344774082</v>
      </c>
      <c r="Q56" s="4">
        <f t="shared" ca="1" si="24"/>
        <v>728.75075181714817</v>
      </c>
      <c r="R56" s="4">
        <f t="shared" ca="1" si="25"/>
        <v>826.12482450606103</v>
      </c>
      <c r="S56" s="4">
        <f t="shared" ca="1" si="26"/>
        <v>850.4059641541246</v>
      </c>
      <c r="T56" s="4">
        <f t="shared" ca="1" si="27"/>
        <v>892.57441516524671</v>
      </c>
      <c r="U56" s="4">
        <f t="shared" ca="1" si="30"/>
        <v>992.36989061846305</v>
      </c>
      <c r="V56" s="4">
        <f t="shared" ca="1" si="32"/>
        <v>1061.7657656157626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>
      <c r="A57" s="2">
        <v>18.5</v>
      </c>
      <c r="B57" s="3">
        <f t="shared" si="12"/>
        <v>1158.0328</v>
      </c>
      <c r="D57" s="3">
        <f t="shared" si="28"/>
        <v>1158.0328</v>
      </c>
      <c r="E57" s="4">
        <f t="shared" ca="1" si="29"/>
        <v>475.47874182143977</v>
      </c>
      <c r="F57" s="4">
        <f t="shared" ca="1" si="31"/>
        <v>592.11274139278214</v>
      </c>
      <c r="G57" s="4">
        <f t="shared" ref="G57:G80" ca="1" si="33">($D57)/((1+$G$5/2)^(2*($A57-G$3)))</f>
        <v>445.79951143148168</v>
      </c>
      <c r="H57" s="4">
        <f t="shared" ca="1" si="15"/>
        <v>549.31484459132378</v>
      </c>
      <c r="I57" s="4">
        <f t="shared" ca="1" si="16"/>
        <v>664.26958850342157</v>
      </c>
      <c r="J57" s="4">
        <f t="shared" ca="1" si="17"/>
        <v>604.80423364585488</v>
      </c>
      <c r="K57" s="4">
        <f t="shared" ca="1" si="18"/>
        <v>634.61680186263197</v>
      </c>
      <c r="L57" s="4">
        <f t="shared" ca="1" si="19"/>
        <v>532.55924519148869</v>
      </c>
      <c r="M57" s="4">
        <f t="shared" ca="1" si="20"/>
        <v>630.80686995650262</v>
      </c>
      <c r="N57" s="4">
        <f t="shared" ca="1" si="21"/>
        <v>609.59023795938162</v>
      </c>
      <c r="O57" s="4">
        <f t="shared" ca="1" si="22"/>
        <v>600.85532425342637</v>
      </c>
      <c r="P57" s="4">
        <f t="shared" ca="1" si="23"/>
        <v>603.99006410469758</v>
      </c>
      <c r="Q57" s="4">
        <f t="shared" ca="1" si="24"/>
        <v>701.16010181088984</v>
      </c>
      <c r="R57" s="4">
        <f t="shared" ca="1" si="25"/>
        <v>798.68982888389905</v>
      </c>
      <c r="S57" s="4">
        <f t="shared" ca="1" si="26"/>
        <v>818.20942334547999</v>
      </c>
      <c r="T57" s="4">
        <f t="shared" ca="1" si="27"/>
        <v>854.66980913031739</v>
      </c>
      <c r="U57" s="4">
        <f t="shared" ca="1" si="30"/>
        <v>954.79856700674759</v>
      </c>
      <c r="V57" s="4">
        <f t="shared" ca="1" si="32"/>
        <v>1016.6761771587713</v>
      </c>
      <c r="W57" s="4">
        <f t="shared" ref="W57:W80" ca="1" si="34">($D57)/((1+$W$5/2)^(2*($A57-W$3)))</f>
        <v>1119.5753855078069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>
      <c r="A58" s="2">
        <v>19</v>
      </c>
      <c r="B58" s="3">
        <f t="shared" si="12"/>
        <v>1158.0328</v>
      </c>
      <c r="D58" s="3">
        <f t="shared" si="28"/>
        <v>1158.0328</v>
      </c>
      <c r="E58" s="4">
        <f t="shared" ca="1" si="29"/>
        <v>464.17605488499021</v>
      </c>
      <c r="F58" s="4">
        <f t="shared" ca="1" si="31"/>
        <v>580.87285171215194</v>
      </c>
      <c r="G58" s="4">
        <f t="shared" ca="1" si="33"/>
        <v>433.08836783550942</v>
      </c>
      <c r="H58" s="4">
        <f t="shared" ca="1" si="15"/>
        <v>536.25698695887502</v>
      </c>
      <c r="I58" s="4">
        <f t="shared" ca="1" si="16"/>
        <v>651.65996812029402</v>
      </c>
      <c r="J58" s="4">
        <f t="shared" ca="1" si="17"/>
        <v>590.42732820408526</v>
      </c>
      <c r="K58" s="4">
        <f t="shared" ca="1" si="18"/>
        <v>619.53121673513147</v>
      </c>
      <c r="L58" s="4">
        <f t="shared" ca="1" si="19"/>
        <v>514.87334576447881</v>
      </c>
      <c r="M58" s="4">
        <f t="shared" ca="1" si="20"/>
        <v>612.82058576431973</v>
      </c>
      <c r="N58" s="4">
        <f t="shared" ca="1" si="21"/>
        <v>589.3461961225712</v>
      </c>
      <c r="O58" s="4">
        <f t="shared" ca="1" si="22"/>
        <v>578.10682085286612</v>
      </c>
      <c r="P58" s="4">
        <f t="shared" ca="1" si="23"/>
        <v>578.34065601062616</v>
      </c>
      <c r="Q58" s="4">
        <f t="shared" ca="1" si="24"/>
        <v>674.61403936199531</v>
      </c>
      <c r="R58" s="4">
        <f t="shared" ca="1" si="25"/>
        <v>772.16592921535175</v>
      </c>
      <c r="S58" s="4">
        <f t="shared" ca="1" si="26"/>
        <v>787.23185004616346</v>
      </c>
      <c r="T58" s="4">
        <f t="shared" ca="1" si="27"/>
        <v>818.37488306632576</v>
      </c>
      <c r="U58" s="4">
        <f t="shared" ca="1" si="30"/>
        <v>918.64970126208459</v>
      </c>
      <c r="V58" s="4">
        <f t="shared" ca="1" si="32"/>
        <v>973.50139049051688</v>
      </c>
      <c r="W58" s="4">
        <f t="shared" ca="1" si="34"/>
        <v>1082.3951133637618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>
      <c r="A59" s="2">
        <v>19.5</v>
      </c>
      <c r="B59" s="3">
        <f t="shared" si="12"/>
        <v>1158.0328</v>
      </c>
      <c r="D59" s="3">
        <f t="shared" si="28"/>
        <v>1158.0328</v>
      </c>
      <c r="E59" s="4">
        <f t="shared" ca="1" si="29"/>
        <v>453.14204606334761</v>
      </c>
      <c r="F59" s="4">
        <f t="shared" ca="1" si="31"/>
        <v>569.84632531726288</v>
      </c>
      <c r="G59" s="4">
        <f t="shared" ca="1" si="33"/>
        <v>420.73965884831148</v>
      </c>
      <c r="H59" s="4">
        <f t="shared" ref="H59:H80" ca="1" si="35">($D59)/((1+$H$5/2)^(2*($A59-H$3)))</f>
        <v>523.5095299056718</v>
      </c>
      <c r="I59" s="4">
        <f t="shared" ca="1" si="16"/>
        <v>639.28971218942866</v>
      </c>
      <c r="J59" s="4">
        <f t="shared" ca="1" si="17"/>
        <v>576.39217865386365</v>
      </c>
      <c r="K59" s="4">
        <f t="shared" ca="1" si="18"/>
        <v>604.80423364585488</v>
      </c>
      <c r="L59" s="4">
        <f t="shared" ca="1" si="19"/>
        <v>497.77478200268649</v>
      </c>
      <c r="M59" s="4">
        <f t="shared" ca="1" si="20"/>
        <v>595.34714699987342</v>
      </c>
      <c r="N59" s="4">
        <f t="shared" ca="1" si="21"/>
        <v>569.77444397212844</v>
      </c>
      <c r="O59" s="4">
        <f t="shared" ca="1" si="22"/>
        <v>556.21958036548415</v>
      </c>
      <c r="P59" s="4">
        <f t="shared" ca="1" si="23"/>
        <v>553.78049122480616</v>
      </c>
      <c r="Q59" s="4">
        <f t="shared" ca="1" si="24"/>
        <v>649.07301617548956</v>
      </c>
      <c r="R59" s="4">
        <f t="shared" ca="1" si="25"/>
        <v>746.52286867631994</v>
      </c>
      <c r="S59" s="4">
        <f t="shared" ca="1" si="26"/>
        <v>757.42709390115294</v>
      </c>
      <c r="T59" s="4">
        <f t="shared" ca="1" si="27"/>
        <v>783.62127932812359</v>
      </c>
      <c r="U59" s="4">
        <f t="shared" ca="1" si="30"/>
        <v>883.86943884358914</v>
      </c>
      <c r="V59" s="4">
        <f t="shared" ca="1" si="32"/>
        <v>932.16009047782541</v>
      </c>
      <c r="W59" s="4">
        <f t="shared" ca="1" si="34"/>
        <v>1046.4495706131986</v>
      </c>
      <c r="X59" s="4">
        <f t="shared" ref="X59:X80" ca="1" si="36">($D59)/((1+$X$5/2)^(2*($A59-X$3)))</f>
        <v>1119.5753855078069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>
      <c r="A60" s="2">
        <v>20</v>
      </c>
      <c r="B60" s="3">
        <f t="shared" si="12"/>
        <v>1158.0328</v>
      </c>
      <c r="D60" s="3">
        <f t="shared" si="28"/>
        <v>1158.0328</v>
      </c>
      <c r="E60" s="4">
        <f t="shared" ca="1" si="29"/>
        <v>442.37032856284236</v>
      </c>
      <c r="F60" s="4">
        <f t="shared" ca="1" si="31"/>
        <v>559.02911200006179</v>
      </c>
      <c r="G60" s="4">
        <f t="shared" ca="1" si="33"/>
        <v>408.74305032137897</v>
      </c>
      <c r="H60" s="4">
        <f t="shared" ca="1" si="35"/>
        <v>511.06509484616765</v>
      </c>
      <c r="I60" s="4">
        <f t="shared" ca="1" si="16"/>
        <v>627.15427693081733</v>
      </c>
      <c r="J60" s="4">
        <f t="shared" ca="1" si="17"/>
        <v>562.6906610571225</v>
      </c>
      <c r="K60" s="4">
        <f t="shared" ca="1" si="18"/>
        <v>590.42732820408526</v>
      </c>
      <c r="L60" s="4">
        <f t="shared" ca="1" si="19"/>
        <v>481.24404892220866</v>
      </c>
      <c r="M60" s="4">
        <f t="shared" ca="1" si="20"/>
        <v>578.3719308300125</v>
      </c>
      <c r="N60" s="4">
        <f t="shared" ca="1" si="21"/>
        <v>550.85265526381636</v>
      </c>
      <c r="O60" s="4">
        <f t="shared" ca="1" si="22"/>
        <v>535.16099520419903</v>
      </c>
      <c r="P60" s="4">
        <f t="shared" ca="1" si="23"/>
        <v>530.26331328080255</v>
      </c>
      <c r="Q60" s="4">
        <f t="shared" ca="1" si="24"/>
        <v>624.49898126279868</v>
      </c>
      <c r="R60" s="4">
        <f t="shared" ca="1" si="25"/>
        <v>721.73139524949966</v>
      </c>
      <c r="S60" s="4">
        <f t="shared" ca="1" si="26"/>
        <v>728.75075181714817</v>
      </c>
      <c r="T60" s="4">
        <f t="shared" ca="1" si="27"/>
        <v>750.34354318774695</v>
      </c>
      <c r="U60" s="4">
        <f t="shared" ca="1" si="30"/>
        <v>850.4059641541246</v>
      </c>
      <c r="V60" s="4">
        <f t="shared" ca="1" si="32"/>
        <v>892.57441516524671</v>
      </c>
      <c r="W60" s="4">
        <f t="shared" ca="1" si="34"/>
        <v>1011.6977528043686</v>
      </c>
      <c r="X60" s="4">
        <f t="shared" ca="1" si="36"/>
        <v>1082.3951133637618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>
      <c r="A61" s="2">
        <v>20.5</v>
      </c>
      <c r="B61" s="3">
        <f t="shared" si="12"/>
        <v>1158.0328</v>
      </c>
      <c r="D61" s="3">
        <f t="shared" si="28"/>
        <v>1158.0328</v>
      </c>
      <c r="E61" s="4">
        <f t="shared" ca="1" si="29"/>
        <v>431.85466741137532</v>
      </c>
      <c r="F61" s="4">
        <f t="shared" ca="1" si="31"/>
        <v>548.41723843631905</v>
      </c>
      <c r="G61" s="4">
        <f t="shared" ca="1" si="33"/>
        <v>397.0885027652198</v>
      </c>
      <c r="H61" s="4">
        <f t="shared" ca="1" si="35"/>
        <v>498.91647859244159</v>
      </c>
      <c r="I61" s="4">
        <f t="shared" ref="I61:I80" ca="1" si="37">($D61)/((1+$I$5/2)^(2*($A61-I$3)))</f>
        <v>615.24920481759693</v>
      </c>
      <c r="J61" s="4">
        <f t="shared" ca="1" si="17"/>
        <v>549.31484459132378</v>
      </c>
      <c r="K61" s="4">
        <f t="shared" ca="1" si="18"/>
        <v>576.39217865386365</v>
      </c>
      <c r="L61" s="4">
        <f t="shared" ca="1" si="19"/>
        <v>465.26228928525995</v>
      </c>
      <c r="M61" s="4">
        <f t="shared" ca="1" si="20"/>
        <v>561.88073136446553</v>
      </c>
      <c r="N61" s="4">
        <f t="shared" ca="1" si="21"/>
        <v>532.55924519148869</v>
      </c>
      <c r="O61" s="4">
        <f t="shared" ca="1" si="22"/>
        <v>514.89969231173234</v>
      </c>
      <c r="P61" s="4">
        <f t="shared" ca="1" si="23"/>
        <v>507.74483006731708</v>
      </c>
      <c r="Q61" s="4">
        <f t="shared" ca="1" si="24"/>
        <v>600.85532425342637</v>
      </c>
      <c r="R61" s="4">
        <f t="shared" ca="1" si="25"/>
        <v>697.76322835548854</v>
      </c>
      <c r="S61" s="4">
        <f t="shared" ca="1" si="26"/>
        <v>701.16010181088984</v>
      </c>
      <c r="T61" s="4">
        <f t="shared" ca="1" si="27"/>
        <v>718.47899955737751</v>
      </c>
      <c r="U61" s="4">
        <f t="shared" ca="1" si="30"/>
        <v>818.20942334547999</v>
      </c>
      <c r="V61" s="4">
        <f t="shared" ca="1" si="32"/>
        <v>854.66980913031739</v>
      </c>
      <c r="W61" s="4">
        <f t="shared" ca="1" si="34"/>
        <v>978.10001721309879</v>
      </c>
      <c r="X61" s="4">
        <f t="shared" ca="1" si="36"/>
        <v>1046.4495706131986</v>
      </c>
      <c r="Y61" s="4">
        <f t="shared" ref="Y61:Y80" ca="1" si="38">($D61)/((1+$Y$5/2)^(2*($A61-Y$3)))</f>
        <v>1125.0136493903919</v>
      </c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A62" s="2">
        <v>21</v>
      </c>
      <c r="B62" s="3">
        <f t="shared" si="12"/>
        <v>1158.0328</v>
      </c>
      <c r="D62" s="3">
        <f t="shared" si="28"/>
        <v>1158.0328</v>
      </c>
      <c r="E62" s="4">
        <f t="shared" ca="1" si="29"/>
        <v>421.58897584944128</v>
      </c>
      <c r="F62" s="4">
        <f t="shared" ca="1" si="31"/>
        <v>538.00680672616772</v>
      </c>
      <c r="G62" s="4">
        <f t="shared" ca="1" si="33"/>
        <v>385.7662629477046</v>
      </c>
      <c r="H62" s="4">
        <f t="shared" ca="1" si="35"/>
        <v>487.05664918479187</v>
      </c>
      <c r="I62" s="4">
        <f t="shared" ca="1" si="37"/>
        <v>603.57012293873242</v>
      </c>
      <c r="J62" s="4">
        <f t="shared" ca="1" si="17"/>
        <v>536.25698695887502</v>
      </c>
      <c r="K62" s="4">
        <f t="shared" ca="1" si="18"/>
        <v>562.6906610571225</v>
      </c>
      <c r="L62" s="4">
        <f t="shared" ca="1" si="19"/>
        <v>449.81127208900267</v>
      </c>
      <c r="M62" s="4">
        <f t="shared" ca="1" si="20"/>
        <v>545.85974776748958</v>
      </c>
      <c r="N62" s="4">
        <f t="shared" ca="1" si="21"/>
        <v>514.87334576447881</v>
      </c>
      <c r="O62" s="4">
        <f t="shared" ca="1" si="22"/>
        <v>495.40548642106353</v>
      </c>
      <c r="P62" s="4">
        <f t="shared" ca="1" si="23"/>
        <v>486.18263040869164</v>
      </c>
      <c r="Q62" s="4">
        <f t="shared" ca="1" si="24"/>
        <v>578.10682085286612</v>
      </c>
      <c r="R62" s="4">
        <f t="shared" ca="1" si="25"/>
        <v>674.59102659205166</v>
      </c>
      <c r="S62" s="4">
        <f t="shared" ca="1" si="26"/>
        <v>674.61403936199531</v>
      </c>
      <c r="T62" s="4">
        <f t="shared" ca="1" si="27"/>
        <v>687.96763494745767</v>
      </c>
      <c r="U62" s="4">
        <f t="shared" ca="1" si="30"/>
        <v>787.23185004616346</v>
      </c>
      <c r="V62" s="4">
        <f t="shared" ca="1" si="32"/>
        <v>818.37488306632576</v>
      </c>
      <c r="W62" s="4">
        <f t="shared" ca="1" si="34"/>
        <v>945.61803762082377</v>
      </c>
      <c r="X62" s="4">
        <f t="shared" ca="1" si="36"/>
        <v>1011.6977528043686</v>
      </c>
      <c r="Y62" s="4">
        <f t="shared" ca="1" si="38"/>
        <v>1092.9359784236576</v>
      </c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>
      <c r="A63" s="2">
        <v>21.5</v>
      </c>
      <c r="B63" s="3">
        <f t="shared" si="12"/>
        <v>1158.0328</v>
      </c>
      <c r="D63" s="3">
        <f t="shared" si="28"/>
        <v>1158.0328</v>
      </c>
      <c r="E63" s="4">
        <f t="shared" ca="1" si="29"/>
        <v>411.56731180694231</v>
      </c>
      <c r="F63" s="4">
        <f t="shared" ca="1" si="31"/>
        <v>527.79399296234635</v>
      </c>
      <c r="G63" s="4">
        <f t="shared" ca="1" si="33"/>
        <v>374.7668557319713</v>
      </c>
      <c r="H63" s="4">
        <f t="shared" ca="1" si="35"/>
        <v>475.47874182143977</v>
      </c>
      <c r="I63" s="4">
        <f t="shared" ca="1" si="37"/>
        <v>592.11274139278214</v>
      </c>
      <c r="J63" s="4">
        <f t="shared" ref="J63:J80" ca="1" si="39">($D63)/((1+$J$5/2)^(2*($A63-J$3)))</f>
        <v>523.5095299056718</v>
      </c>
      <c r="K63" s="4">
        <f t="shared" ca="1" si="18"/>
        <v>549.31484459132378</v>
      </c>
      <c r="L63" s="4">
        <f t="shared" ca="1" si="19"/>
        <v>434.87337176874615</v>
      </c>
      <c r="M63" s="4">
        <f t="shared" ca="1" si="20"/>
        <v>530.29557270849534</v>
      </c>
      <c r="N63" s="4">
        <f t="shared" ca="1" si="21"/>
        <v>497.77478200268649</v>
      </c>
      <c r="O63" s="4">
        <f t="shared" ca="1" si="22"/>
        <v>476.64933508545096</v>
      </c>
      <c r="P63" s="4">
        <f t="shared" ca="1" si="23"/>
        <v>465.5361041879558</v>
      </c>
      <c r="Q63" s="4">
        <f t="shared" ca="1" si="24"/>
        <v>556.21958036548415</v>
      </c>
      <c r="R63" s="4">
        <f t="shared" ca="1" si="25"/>
        <v>652.18835654473969</v>
      </c>
      <c r="S63" s="4">
        <f t="shared" ca="1" si="26"/>
        <v>649.07301617548956</v>
      </c>
      <c r="T63" s="4">
        <f t="shared" ca="1" si="27"/>
        <v>658.75198443764805</v>
      </c>
      <c r="U63" s="4">
        <f t="shared" ca="1" si="30"/>
        <v>757.42709390115294</v>
      </c>
      <c r="V63" s="4">
        <f t="shared" ca="1" si="32"/>
        <v>783.62127932812359</v>
      </c>
      <c r="W63" s="4">
        <f t="shared" ca="1" si="34"/>
        <v>914.2147605944059</v>
      </c>
      <c r="X63" s="4">
        <f t="shared" ca="1" si="36"/>
        <v>978.10001721309879</v>
      </c>
      <c r="Y63" s="4">
        <f t="shared" ca="1" si="38"/>
        <v>1061.7729425595351</v>
      </c>
      <c r="Z63" s="4">
        <f t="shared" ref="Z63:Z80" ca="1" si="40">($D63)/((1+$Z$5/2)^(2*($A63-Z$3)))</f>
        <v>1130.5050031727435</v>
      </c>
      <c r="AA63" s="4"/>
      <c r="AB63" s="4"/>
      <c r="AC63" s="4"/>
      <c r="AD63" s="4"/>
      <c r="AE63" s="4"/>
      <c r="AF63" s="4"/>
      <c r="AG63" s="4"/>
      <c r="AH63" s="4"/>
      <c r="AI63" s="4"/>
    </row>
    <row r="64" spans="1:35">
      <c r="A64" s="2">
        <v>22</v>
      </c>
      <c r="B64" s="3">
        <f t="shared" si="12"/>
        <v>1158.0328</v>
      </c>
      <c r="D64" s="3">
        <f t="shared" si="28"/>
        <v>1158.0328</v>
      </c>
      <c r="E64" s="4">
        <f t="shared" ca="1" si="29"/>
        <v>401.7838744637499</v>
      </c>
      <c r="F64" s="4">
        <f t="shared" ca="1" si="31"/>
        <v>517.77504582562062</v>
      </c>
      <c r="G64" s="4">
        <f t="shared" ca="1" si="33"/>
        <v>364.08107614705517</v>
      </c>
      <c r="H64" s="4">
        <f t="shared" ca="1" si="35"/>
        <v>464.17605488499021</v>
      </c>
      <c r="I64" s="4">
        <f t="shared" ca="1" si="37"/>
        <v>580.87285171215194</v>
      </c>
      <c r="J64" s="4">
        <f t="shared" ca="1" si="39"/>
        <v>511.06509484616765</v>
      </c>
      <c r="K64" s="4">
        <f t="shared" ca="1" si="18"/>
        <v>536.25698695887502</v>
      </c>
      <c r="L64" s="4">
        <f t="shared" ca="1" si="19"/>
        <v>420.4315480917931</v>
      </c>
      <c r="M64" s="4">
        <f t="shared" ca="1" si="20"/>
        <v>515.17518114197821</v>
      </c>
      <c r="N64" s="4">
        <f t="shared" ca="1" si="21"/>
        <v>481.24404892220866</v>
      </c>
      <c r="O64" s="4">
        <f t="shared" ca="1" si="22"/>
        <v>458.60329541102715</v>
      </c>
      <c r="P64" s="4">
        <f t="shared" ca="1" si="23"/>
        <v>445.76636586197719</v>
      </c>
      <c r="Q64" s="4">
        <f t="shared" ca="1" si="24"/>
        <v>535.16099520419903</v>
      </c>
      <c r="R64" s="4">
        <f t="shared" ca="1" si="25"/>
        <v>630.52966263328631</v>
      </c>
      <c r="S64" s="4">
        <f t="shared" ca="1" si="26"/>
        <v>624.49898126279868</v>
      </c>
      <c r="T64" s="4">
        <f t="shared" ca="1" si="27"/>
        <v>630.77702344774082</v>
      </c>
      <c r="U64" s="4">
        <f t="shared" ca="1" si="30"/>
        <v>728.75075181714817</v>
      </c>
      <c r="V64" s="4">
        <f t="shared" ca="1" si="32"/>
        <v>750.34354318774695</v>
      </c>
      <c r="W64" s="4">
        <f t="shared" ca="1" si="34"/>
        <v>883.85436321787222</v>
      </c>
      <c r="X64" s="4">
        <f t="shared" ca="1" si="36"/>
        <v>945.61803762082377</v>
      </c>
      <c r="Y64" s="4">
        <f t="shared" ca="1" si="38"/>
        <v>1031.4984626798805</v>
      </c>
      <c r="Z64" s="4">
        <f t="shared" ca="1" si="40"/>
        <v>1103.6315743376222</v>
      </c>
      <c r="AA64" s="4"/>
      <c r="AB64" s="4"/>
      <c r="AC64" s="4"/>
      <c r="AD64" s="4"/>
      <c r="AE64" s="4"/>
      <c r="AF64" s="4"/>
      <c r="AG64" s="4"/>
      <c r="AH64" s="4"/>
      <c r="AI64" s="4"/>
    </row>
    <row r="65" spans="1:35">
      <c r="A65" s="2">
        <v>22.5</v>
      </c>
      <c r="B65" s="3">
        <f t="shared" si="12"/>
        <v>1158.0328</v>
      </c>
      <c r="D65" s="3">
        <f t="shared" si="28"/>
        <v>1158.0328</v>
      </c>
      <c r="E65" s="4">
        <f t="shared" ca="1" si="29"/>
        <v>392.23300089202894</v>
      </c>
      <c r="F65" s="4">
        <f t="shared" ca="1" si="31"/>
        <v>507.9462852068678</v>
      </c>
      <c r="G65" s="4">
        <f t="shared" ca="1" si="33"/>
        <v>353.69998168461183</v>
      </c>
      <c r="H65" s="4">
        <f t="shared" ca="1" si="35"/>
        <v>453.14204606334761</v>
      </c>
      <c r="I65" s="4">
        <f t="shared" ca="1" si="37"/>
        <v>569.84632531726288</v>
      </c>
      <c r="J65" s="4">
        <f t="shared" ca="1" si="39"/>
        <v>498.91647859244159</v>
      </c>
      <c r="K65" s="4">
        <f t="shared" ca="1" si="18"/>
        <v>523.5095299056718</v>
      </c>
      <c r="L65" s="4">
        <f t="shared" ca="1" si="19"/>
        <v>406.46932671899555</v>
      </c>
      <c r="M65" s="4">
        <f t="shared" ca="1" si="20"/>
        <v>500.48591940737191</v>
      </c>
      <c r="N65" s="4">
        <f t="shared" ca="1" si="21"/>
        <v>465.26228928525995</v>
      </c>
      <c r="O65" s="4">
        <f t="shared" ca="1" si="22"/>
        <v>441.24048242750484</v>
      </c>
      <c r="P65" s="4">
        <f t="shared" ca="1" si="23"/>
        <v>426.83618122466345</v>
      </c>
      <c r="Q65" s="4">
        <f t="shared" ca="1" si="24"/>
        <v>514.89969231173234</v>
      </c>
      <c r="R65" s="4">
        <f t="shared" ca="1" si="25"/>
        <v>609.59023795938162</v>
      </c>
      <c r="S65" s="4">
        <f t="shared" ca="1" si="26"/>
        <v>600.85532425342637</v>
      </c>
      <c r="T65" s="4">
        <f t="shared" ca="1" si="27"/>
        <v>603.99006410469758</v>
      </c>
      <c r="U65" s="4">
        <f t="shared" ca="1" si="30"/>
        <v>701.16010181088984</v>
      </c>
      <c r="V65" s="4">
        <f t="shared" ca="1" si="32"/>
        <v>718.47899955737751</v>
      </c>
      <c r="W65" s="4">
        <f t="shared" ca="1" si="34"/>
        <v>854.5022122278458</v>
      </c>
      <c r="X65" s="4">
        <f t="shared" ca="1" si="36"/>
        <v>914.2147605944059</v>
      </c>
      <c r="Y65" s="4">
        <f t="shared" ca="1" si="38"/>
        <v>1002.0872032640799</v>
      </c>
      <c r="Z65" s="4">
        <f t="shared" ca="1" si="40"/>
        <v>1077.3969584005683</v>
      </c>
      <c r="AA65" s="4">
        <f t="shared" ref="AA65:AA80" ca="1" si="41">($D65)/((1+$AA$5/2)^(2*($A65-AA$3)))</f>
        <v>1130.5050031727435</v>
      </c>
      <c r="AB65" s="4"/>
      <c r="AC65" s="4"/>
      <c r="AD65" s="4"/>
      <c r="AE65" s="4"/>
      <c r="AF65" s="4"/>
      <c r="AG65" s="4"/>
      <c r="AH65" s="4"/>
      <c r="AI65" s="4"/>
    </row>
    <row r="66" spans="1:35">
      <c r="A66" s="2">
        <v>23</v>
      </c>
      <c r="B66" s="3">
        <f t="shared" si="12"/>
        <v>1158.0328</v>
      </c>
      <c r="D66" s="3">
        <f t="shared" si="28"/>
        <v>1158.0328</v>
      </c>
      <c r="E66" s="4">
        <f t="shared" ca="1" si="29"/>
        <v>382.9091627783755</v>
      </c>
      <c r="F66" s="4">
        <f t="shared" ca="1" si="31"/>
        <v>498.30410085531742</v>
      </c>
      <c r="G66" s="4">
        <f t="shared" ca="1" si="33"/>
        <v>343.61488481528329</v>
      </c>
      <c r="H66" s="4">
        <f t="shared" ca="1" si="35"/>
        <v>442.37032856284236</v>
      </c>
      <c r="I66" s="4">
        <f t="shared" ca="1" si="37"/>
        <v>559.02911200006179</v>
      </c>
      <c r="J66" s="4">
        <f t="shared" ca="1" si="39"/>
        <v>487.05664918479187</v>
      </c>
      <c r="K66" s="4">
        <f t="shared" ca="1" si="18"/>
        <v>511.06509484616765</v>
      </c>
      <c r="L66" s="4">
        <f t="shared" ca="1" si="19"/>
        <v>392.97078041184858</v>
      </c>
      <c r="M66" s="4">
        <f t="shared" ca="1" si="20"/>
        <v>486.21549463969677</v>
      </c>
      <c r="N66" s="4">
        <f t="shared" ca="1" si="21"/>
        <v>449.81127208900267</v>
      </c>
      <c r="O66" s="4">
        <f t="shared" ca="1" si="22"/>
        <v>424.53502903497849</v>
      </c>
      <c r="P66" s="4">
        <f t="shared" ca="1" si="23"/>
        <v>408.70989728028292</v>
      </c>
      <c r="Q66" s="4">
        <f t="shared" ca="1" si="24"/>
        <v>495.40548642106353</v>
      </c>
      <c r="R66" s="4">
        <f t="shared" ca="1" si="25"/>
        <v>589.3461961225712</v>
      </c>
      <c r="S66" s="4">
        <f t="shared" ca="1" si="26"/>
        <v>578.10682085286612</v>
      </c>
      <c r="T66" s="4">
        <f t="shared" ca="1" si="27"/>
        <v>578.34065601062616</v>
      </c>
      <c r="U66" s="4">
        <f t="shared" ca="1" si="30"/>
        <v>674.61403936199531</v>
      </c>
      <c r="V66" s="4">
        <f t="shared" ca="1" si="32"/>
        <v>687.96763494745767</v>
      </c>
      <c r="W66" s="4">
        <f t="shared" ca="1" si="34"/>
        <v>826.12482450606262</v>
      </c>
      <c r="X66" s="4">
        <f t="shared" ca="1" si="36"/>
        <v>883.85436321787222</v>
      </c>
      <c r="Y66" s="4">
        <f t="shared" ca="1" si="38"/>
        <v>973.51455118674869</v>
      </c>
      <c r="Z66" s="4">
        <f t="shared" ca="1" si="40"/>
        <v>1051.7859700303297</v>
      </c>
      <c r="AA66" s="4">
        <f t="shared" ca="1" si="41"/>
        <v>1103.6315743376222</v>
      </c>
      <c r="AB66" s="4"/>
      <c r="AC66" s="4"/>
      <c r="AD66" s="4"/>
      <c r="AE66" s="4"/>
      <c r="AF66" s="4"/>
      <c r="AG66" s="4"/>
      <c r="AH66" s="4"/>
      <c r="AI66" s="4"/>
    </row>
    <row r="67" spans="1:35">
      <c r="A67" s="2">
        <v>23.5</v>
      </c>
      <c r="B67" s="3">
        <f t="shared" si="12"/>
        <v>1158.0328</v>
      </c>
      <c r="D67" s="3">
        <f t="shared" si="28"/>
        <v>1158.0328</v>
      </c>
      <c r="E67" s="4">
        <f t="shared" ca="1" si="29"/>
        <v>373.80696322387405</v>
      </c>
      <c r="F67" s="4">
        <f t="shared" ca="1" si="31"/>
        <v>488.8449510524523</v>
      </c>
      <c r="G67" s="4">
        <f t="shared" ca="1" si="33"/>
        <v>333.8173457184468</v>
      </c>
      <c r="H67" s="4">
        <f t="shared" ca="1" si="35"/>
        <v>431.85466741137532</v>
      </c>
      <c r="I67" s="4">
        <f t="shared" ca="1" si="37"/>
        <v>548.41723843631905</v>
      </c>
      <c r="J67" s="4">
        <f t="shared" ca="1" si="39"/>
        <v>475.47874182143977</v>
      </c>
      <c r="K67" s="4">
        <f t="shared" ca="1" si="18"/>
        <v>498.91647859244159</v>
      </c>
      <c r="L67" s="4">
        <f t="shared" ca="1" si="19"/>
        <v>379.9205108636811</v>
      </c>
      <c r="M67" s="4">
        <f t="shared" ca="1" si="20"/>
        <v>472.35196448214583</v>
      </c>
      <c r="N67" s="4">
        <f t="shared" ca="1" si="21"/>
        <v>434.87337176874615</v>
      </c>
      <c r="O67" s="4">
        <f t="shared" ca="1" si="22"/>
        <v>408.46204746714619</v>
      </c>
      <c r="P67" s="4">
        <f t="shared" ca="1" si="23"/>
        <v>391.35337509482736</v>
      </c>
      <c r="Q67" s="4">
        <f t="shared" ca="1" si="24"/>
        <v>476.64933508545096</v>
      </c>
      <c r="R67" s="4">
        <f t="shared" ca="1" si="25"/>
        <v>569.77444397212844</v>
      </c>
      <c r="S67" s="4">
        <f t="shared" ca="1" si="26"/>
        <v>556.21958036548415</v>
      </c>
      <c r="T67" s="4">
        <f t="shared" ca="1" si="27"/>
        <v>553.78049122480616</v>
      </c>
      <c r="U67" s="4">
        <f t="shared" ca="1" si="30"/>
        <v>649.07301617548956</v>
      </c>
      <c r="V67" s="4">
        <f t="shared" ca="1" si="32"/>
        <v>658.75198443764805</v>
      </c>
      <c r="W67" s="4">
        <f t="shared" ca="1" si="34"/>
        <v>798.68982888390076</v>
      </c>
      <c r="X67" s="4">
        <f t="shared" ca="1" si="36"/>
        <v>854.5022122278458</v>
      </c>
      <c r="Y67" s="4">
        <f t="shared" ca="1" si="38"/>
        <v>945.75659511997742</v>
      </c>
      <c r="Z67" s="4">
        <f t="shared" ca="1" si="40"/>
        <v>1026.7837848687748</v>
      </c>
      <c r="AA67" s="4">
        <f t="shared" ca="1" si="41"/>
        <v>1077.3969584005683</v>
      </c>
      <c r="AB67" s="4">
        <f t="shared" ref="AB67:AB80" ca="1" si="42">($D67)/((1+$AB$5/2)^(2*($A67-AB$3)))</f>
        <v>1119.5753855078069</v>
      </c>
      <c r="AC67" s="4"/>
      <c r="AD67" s="4"/>
      <c r="AE67" s="4"/>
      <c r="AF67" s="4"/>
      <c r="AG67" s="4"/>
      <c r="AH67" s="4"/>
      <c r="AI67" s="4"/>
    </row>
    <row r="68" spans="1:35">
      <c r="A68" s="2">
        <v>24</v>
      </c>
      <c r="B68" s="3">
        <f t="shared" si="12"/>
        <v>1158.0328</v>
      </c>
      <c r="D68" s="3">
        <f t="shared" si="28"/>
        <v>1158.0328</v>
      </c>
      <c r="E68" s="4">
        <f t="shared" ca="1" si="29"/>
        <v>364.92113362022167</v>
      </c>
      <c r="F68" s="4">
        <f t="shared" ca="1" si="31"/>
        <v>479.565361311083</v>
      </c>
      <c r="G68" s="4">
        <f t="shared" ca="1" si="33"/>
        <v>324.29916521926145</v>
      </c>
      <c r="H68" s="4">
        <f t="shared" ca="1" si="35"/>
        <v>421.58897584944128</v>
      </c>
      <c r="I68" s="4">
        <f t="shared" ca="1" si="37"/>
        <v>538.00680672616772</v>
      </c>
      <c r="J68" s="4">
        <f t="shared" ca="1" si="39"/>
        <v>464.17605488499021</v>
      </c>
      <c r="K68" s="4">
        <f t="shared" ca="1" si="18"/>
        <v>487.05664918479187</v>
      </c>
      <c r="L68" s="4">
        <f t="shared" ca="1" si="19"/>
        <v>367.30363113422055</v>
      </c>
      <c r="M68" s="4">
        <f t="shared" ca="1" si="20"/>
        <v>458.88372709199564</v>
      </c>
      <c r="N68" s="4">
        <f t="shared" ca="1" si="21"/>
        <v>420.4315480917931</v>
      </c>
      <c r="O68" s="4">
        <f t="shared" ca="1" si="22"/>
        <v>392.99759221354327</v>
      </c>
      <c r="P68" s="4">
        <f t="shared" ca="1" si="23"/>
        <v>374.73392549894896</v>
      </c>
      <c r="Q68" s="4">
        <f t="shared" ca="1" si="24"/>
        <v>458.60329541102715</v>
      </c>
      <c r="R68" s="4">
        <f t="shared" ca="1" si="25"/>
        <v>550.85265526381636</v>
      </c>
      <c r="S68" s="4">
        <f t="shared" ca="1" si="26"/>
        <v>535.16099520419903</v>
      </c>
      <c r="T68" s="4">
        <f t="shared" ca="1" si="27"/>
        <v>530.26331328080255</v>
      </c>
      <c r="U68" s="4">
        <f t="shared" ca="1" si="30"/>
        <v>624.49898126279868</v>
      </c>
      <c r="V68" s="4">
        <f t="shared" ca="1" si="32"/>
        <v>630.77702344774082</v>
      </c>
      <c r="W68" s="4">
        <f t="shared" ca="1" si="34"/>
        <v>772.16592921535346</v>
      </c>
      <c r="X68" s="4">
        <f t="shared" ca="1" si="36"/>
        <v>826.12482450606262</v>
      </c>
      <c r="Y68" s="4">
        <f t="shared" ca="1" si="38"/>
        <v>918.79010552288082</v>
      </c>
      <c r="Z68" s="4">
        <f t="shared" ca="1" si="40"/>
        <v>1002.3759309501388</v>
      </c>
      <c r="AA68" s="4">
        <f t="shared" ca="1" si="41"/>
        <v>1051.7859700303297</v>
      </c>
      <c r="AB68" s="4">
        <f t="shared" ca="1" si="42"/>
        <v>1082.3951133637618</v>
      </c>
      <c r="AC68" s="4"/>
      <c r="AD68" s="4"/>
      <c r="AE68" s="4"/>
      <c r="AF68" s="4"/>
      <c r="AG68" s="4"/>
      <c r="AH68" s="4"/>
      <c r="AI68" s="4"/>
    </row>
    <row r="69" spans="1:35">
      <c r="A69" s="2">
        <v>24.5</v>
      </c>
      <c r="B69" s="3">
        <f t="shared" si="12"/>
        <v>1158.0328</v>
      </c>
      <c r="D69" s="3">
        <f t="shared" si="28"/>
        <v>1158.0328</v>
      </c>
      <c r="E69" s="4">
        <f t="shared" ca="1" si="29"/>
        <v>356.24653060010894</v>
      </c>
      <c r="F69" s="4">
        <f t="shared" ca="1" si="31"/>
        <v>470.4619230991151</v>
      </c>
      <c r="G69" s="4">
        <f t="shared" ca="1" si="33"/>
        <v>315.05237792710113</v>
      </c>
      <c r="H69" s="4">
        <f t="shared" ca="1" si="35"/>
        <v>411.56731180694231</v>
      </c>
      <c r="I69" s="4">
        <f t="shared" ca="1" si="37"/>
        <v>527.79399296234635</v>
      </c>
      <c r="J69" s="4">
        <f t="shared" ca="1" si="39"/>
        <v>453.14204606334761</v>
      </c>
      <c r="K69" s="4">
        <f t="shared" ca="1" si="18"/>
        <v>475.47874182143977</v>
      </c>
      <c r="L69" s="4">
        <f t="shared" ca="1" si="19"/>
        <v>355.10574866749221</v>
      </c>
      <c r="M69" s="4">
        <f t="shared" ca="1" si="20"/>
        <v>445.79951143148168</v>
      </c>
      <c r="N69" s="4">
        <f t="shared" ca="1" si="21"/>
        <v>406.46932671899555</v>
      </c>
      <c r="O69" s="4">
        <f t="shared" ca="1" si="22"/>
        <v>378.1186243455461</v>
      </c>
      <c r="P69" s="4">
        <f t="shared" ca="1" si="23"/>
        <v>358.82024752137602</v>
      </c>
      <c r="Q69" s="4">
        <f t="shared" ca="1" si="24"/>
        <v>441.24048242750484</v>
      </c>
      <c r="R69" s="4">
        <f t="shared" ca="1" si="25"/>
        <v>532.55924519148869</v>
      </c>
      <c r="S69" s="4">
        <f t="shared" ca="1" si="26"/>
        <v>514.89969231173234</v>
      </c>
      <c r="T69" s="4">
        <f t="shared" ca="1" si="27"/>
        <v>507.74483006731708</v>
      </c>
      <c r="U69" s="4">
        <f t="shared" ca="1" si="30"/>
        <v>600.85532425342637</v>
      </c>
      <c r="V69" s="4">
        <f t="shared" ca="1" si="32"/>
        <v>603.99006410469758</v>
      </c>
      <c r="W69" s="4">
        <f t="shared" ca="1" si="34"/>
        <v>746.52286867632188</v>
      </c>
      <c r="X69" s="4">
        <f t="shared" ca="1" si="36"/>
        <v>798.68982888390076</v>
      </c>
      <c r="Y69" s="4">
        <f t="shared" ca="1" si="38"/>
        <v>892.59251520171063</v>
      </c>
      <c r="Z69" s="4">
        <f t="shared" ca="1" si="40"/>
        <v>978.54828032424336</v>
      </c>
      <c r="AA69" s="4">
        <f t="shared" ca="1" si="41"/>
        <v>1026.7837848687748</v>
      </c>
      <c r="AB69" s="4">
        <f t="shared" ca="1" si="42"/>
        <v>1046.4495706131986</v>
      </c>
      <c r="AC69" s="4">
        <f t="shared" ref="AC69:AC80" ca="1" si="43">($D69)/((1+$AC$5/2)^(2*($A69-AC$3)))</f>
        <v>1125.0136493903919</v>
      </c>
      <c r="AD69" s="4"/>
      <c r="AE69" s="4"/>
      <c r="AF69" s="4"/>
      <c r="AG69" s="4"/>
      <c r="AH69" s="4"/>
      <c r="AI69" s="4"/>
    </row>
    <row r="70" spans="1:35">
      <c r="A70" s="2">
        <v>25</v>
      </c>
      <c r="B70" s="3">
        <f t="shared" si="12"/>
        <v>1158.0328</v>
      </c>
      <c r="D70" s="3">
        <f t="shared" si="28"/>
        <v>1158.0328</v>
      </c>
      <c r="E70" s="4">
        <f t="shared" ca="1" si="29"/>
        <v>347.77813306009551</v>
      </c>
      <c r="F70" s="4">
        <f t="shared" ca="1" si="31"/>
        <v>461.53129258754615</v>
      </c>
      <c r="G70" s="4">
        <f t="shared" ca="1" si="33"/>
        <v>306.06924556963236</v>
      </c>
      <c r="H70" s="4">
        <f t="shared" ca="1" si="35"/>
        <v>401.7838744637499</v>
      </c>
      <c r="I70" s="4">
        <f t="shared" ca="1" si="37"/>
        <v>517.77504582562062</v>
      </c>
      <c r="J70" s="4">
        <f t="shared" ca="1" si="39"/>
        <v>442.37032856284236</v>
      </c>
      <c r="K70" s="4">
        <f t="shared" ca="1" si="18"/>
        <v>464.17605488499021</v>
      </c>
      <c r="L70" s="4">
        <f t="shared" ca="1" si="19"/>
        <v>343.31294887368119</v>
      </c>
      <c r="M70" s="4">
        <f t="shared" ca="1" si="20"/>
        <v>433.08836783550942</v>
      </c>
      <c r="N70" s="4">
        <f t="shared" ca="1" si="21"/>
        <v>392.97078041184858</v>
      </c>
      <c r="O70" s="4">
        <f t="shared" ca="1" si="22"/>
        <v>363.80297719300148</v>
      </c>
      <c r="P70" s="4">
        <f t="shared" ca="1" si="23"/>
        <v>343.58236943685159</v>
      </c>
      <c r="Q70" s="4">
        <f t="shared" ca="1" si="24"/>
        <v>424.53502903497849</v>
      </c>
      <c r="R70" s="4">
        <f t="shared" ca="1" si="25"/>
        <v>514.87334576447881</v>
      </c>
      <c r="S70" s="4">
        <f t="shared" ca="1" si="26"/>
        <v>495.40548642106353</v>
      </c>
      <c r="T70" s="4">
        <f t="shared" ca="1" si="27"/>
        <v>486.18263040869164</v>
      </c>
      <c r="U70" s="4">
        <f t="shared" ca="1" si="30"/>
        <v>578.10682085286612</v>
      </c>
      <c r="V70" s="4">
        <f t="shared" ca="1" si="32"/>
        <v>578.34065601062616</v>
      </c>
      <c r="W70" s="4">
        <f t="shared" ca="1" si="34"/>
        <v>721.7313952495017</v>
      </c>
      <c r="X70" s="4">
        <f t="shared" ca="1" si="36"/>
        <v>772.16592921535346</v>
      </c>
      <c r="Y70" s="4">
        <f t="shared" ca="1" si="38"/>
        <v>867.14190042425855</v>
      </c>
      <c r="Z70" s="4">
        <f t="shared" ca="1" si="40"/>
        <v>955.28704087884341</v>
      </c>
      <c r="AA70" s="4">
        <f t="shared" ca="1" si="41"/>
        <v>1002.3759309501388</v>
      </c>
      <c r="AB70" s="4">
        <f t="shared" ca="1" si="42"/>
        <v>1011.6977528043686</v>
      </c>
      <c r="AC70" s="4">
        <f t="shared" ca="1" si="43"/>
        <v>1092.9359784236576</v>
      </c>
      <c r="AD70" s="4"/>
      <c r="AE70" s="4"/>
      <c r="AF70" s="4"/>
      <c r="AG70" s="4"/>
      <c r="AH70" s="4"/>
      <c r="AI70" s="4"/>
    </row>
    <row r="71" spans="1:35">
      <c r="A71" s="2">
        <v>25.5</v>
      </c>
      <c r="B71" s="3">
        <f t="shared" si="12"/>
        <v>1158.0328</v>
      </c>
      <c r="D71" s="3">
        <f t="shared" si="28"/>
        <v>1158.0328</v>
      </c>
      <c r="E71" s="4">
        <f t="shared" ca="1" si="29"/>
        <v>339.51103925425446</v>
      </c>
      <c r="F71" s="4">
        <f t="shared" ca="1" si="31"/>
        <v>452.77018942222611</v>
      </c>
      <c r="G71" s="4">
        <f t="shared" ca="1" si="33"/>
        <v>297.34225051695961</v>
      </c>
      <c r="H71" s="4">
        <f t="shared" ca="1" si="35"/>
        <v>392.23300089202894</v>
      </c>
      <c r="I71" s="4">
        <f t="shared" ca="1" si="37"/>
        <v>507.9462852068678</v>
      </c>
      <c r="J71" s="4">
        <f t="shared" ca="1" si="39"/>
        <v>431.85466741137532</v>
      </c>
      <c r="K71" s="4">
        <f t="shared" ca="1" si="18"/>
        <v>453.14204606334761</v>
      </c>
      <c r="L71" s="4">
        <f t="shared" ca="1" si="19"/>
        <v>331.91177925622969</v>
      </c>
      <c r="M71" s="4">
        <f t="shared" ca="1" si="20"/>
        <v>420.73965884831148</v>
      </c>
      <c r="N71" s="4">
        <f t="shared" ca="1" si="21"/>
        <v>379.9205108636811</v>
      </c>
      <c r="O71" s="4">
        <f t="shared" ca="1" si="22"/>
        <v>350.02932332034578</v>
      </c>
      <c r="P71" s="4">
        <f t="shared" ca="1" si="23"/>
        <v>328.99159231756755</v>
      </c>
      <c r="Q71" s="4">
        <f t="shared" ca="1" si="24"/>
        <v>408.46204746714619</v>
      </c>
      <c r="R71" s="4">
        <f t="shared" ca="1" si="25"/>
        <v>497.77478200268649</v>
      </c>
      <c r="S71" s="4">
        <f t="shared" ca="1" si="26"/>
        <v>476.64933508545096</v>
      </c>
      <c r="T71" s="4">
        <f t="shared" ca="1" si="27"/>
        <v>465.5361041879558</v>
      </c>
      <c r="U71" s="4">
        <f t="shared" ca="1" si="30"/>
        <v>556.21958036548415</v>
      </c>
      <c r="V71" s="4">
        <f t="shared" ca="1" si="32"/>
        <v>553.78049122480616</v>
      </c>
      <c r="W71" s="4">
        <f t="shared" ca="1" si="34"/>
        <v>697.76322835549058</v>
      </c>
      <c r="X71" s="4">
        <f t="shared" ca="1" si="36"/>
        <v>746.52286867632188</v>
      </c>
      <c r="Y71" s="4">
        <f t="shared" ca="1" si="38"/>
        <v>842.41696257274828</v>
      </c>
      <c r="Z71" s="4">
        <f t="shared" ca="1" si="40"/>
        <v>932.57874835636574</v>
      </c>
      <c r="AA71" s="4">
        <f t="shared" ca="1" si="41"/>
        <v>978.54828032424336</v>
      </c>
      <c r="AB71" s="4">
        <f t="shared" ca="1" si="42"/>
        <v>978.10001721309879</v>
      </c>
      <c r="AC71" s="4">
        <f t="shared" ca="1" si="43"/>
        <v>1061.7729425595351</v>
      </c>
      <c r="AD71" s="4">
        <f t="shared" ref="AD71:AD80" ca="1" si="44">($D71)/((1+$AD$5/2)^(2*($A71-AD$3)))</f>
        <v>1119.5753855078069</v>
      </c>
      <c r="AE71" s="4"/>
      <c r="AF71" s="4"/>
      <c r="AG71" s="4"/>
      <c r="AH71" s="4"/>
      <c r="AI71" s="4"/>
    </row>
    <row r="72" spans="1:35">
      <c r="A72" s="2">
        <v>26</v>
      </c>
      <c r="B72" s="3">
        <f t="shared" si="12"/>
        <v>1158.0328</v>
      </c>
      <c r="D72" s="3">
        <f t="shared" si="28"/>
        <v>1158.0328</v>
      </c>
      <c r="E72" s="4">
        <f t="shared" ca="1" si="29"/>
        <v>331.44046395690378</v>
      </c>
      <c r="F72" s="4">
        <f t="shared" ca="1" si="31"/>
        <v>444.17539551893469</v>
      </c>
      <c r="G72" s="4">
        <f t="shared" ca="1" si="33"/>
        <v>288.86408949041584</v>
      </c>
      <c r="H72" s="4">
        <f t="shared" ca="1" si="35"/>
        <v>382.9091627783755</v>
      </c>
      <c r="I72" s="4">
        <f t="shared" ca="1" si="37"/>
        <v>498.30410085531742</v>
      </c>
      <c r="J72" s="4">
        <f t="shared" ca="1" si="39"/>
        <v>421.58897584944128</v>
      </c>
      <c r="K72" s="4">
        <f t="shared" ca="1" si="18"/>
        <v>442.37032856284236</v>
      </c>
      <c r="L72" s="4">
        <f t="shared" ca="1" si="19"/>
        <v>320.88923406606051</v>
      </c>
      <c r="M72" s="4">
        <f t="shared" ca="1" si="20"/>
        <v>408.74305032137897</v>
      </c>
      <c r="N72" s="4">
        <f t="shared" ca="1" si="21"/>
        <v>367.30363113422055</v>
      </c>
      <c r="O72" s="4">
        <f t="shared" ca="1" si="22"/>
        <v>336.7771427530148</v>
      </c>
      <c r="P72" s="4">
        <f t="shared" ca="1" si="23"/>
        <v>315.02043598177579</v>
      </c>
      <c r="Q72" s="4">
        <f t="shared" ca="1" si="24"/>
        <v>392.99759221354327</v>
      </c>
      <c r="R72" s="4">
        <f t="shared" ca="1" si="25"/>
        <v>481.24404892220866</v>
      </c>
      <c r="S72" s="4">
        <f t="shared" ca="1" si="26"/>
        <v>458.60329541102715</v>
      </c>
      <c r="T72" s="4">
        <f t="shared" ca="1" si="27"/>
        <v>445.76636586197719</v>
      </c>
      <c r="U72" s="4">
        <f t="shared" ca="1" si="30"/>
        <v>535.16099520419903</v>
      </c>
      <c r="V72" s="4">
        <f t="shared" ca="1" si="32"/>
        <v>530.26331328080255</v>
      </c>
      <c r="W72" s="4">
        <f t="shared" ca="1" si="34"/>
        <v>674.59102659205371</v>
      </c>
      <c r="X72" s="4">
        <f t="shared" ca="1" si="36"/>
        <v>721.7313952495017</v>
      </c>
      <c r="Y72" s="4">
        <f t="shared" ca="1" si="38"/>
        <v>818.39701031986044</v>
      </c>
      <c r="Z72" s="4">
        <f t="shared" ca="1" si="40"/>
        <v>910.41025856041938</v>
      </c>
      <c r="AA72" s="4">
        <f t="shared" ca="1" si="41"/>
        <v>955.28704087884341</v>
      </c>
      <c r="AB72" s="4">
        <f t="shared" ca="1" si="42"/>
        <v>945.61803762082377</v>
      </c>
      <c r="AC72" s="4">
        <f t="shared" ca="1" si="43"/>
        <v>1031.4984626798805</v>
      </c>
      <c r="AD72" s="4">
        <f t="shared" ca="1" si="44"/>
        <v>1082.3951133637618</v>
      </c>
      <c r="AE72" s="4"/>
      <c r="AF72" s="4"/>
      <c r="AG72" s="4"/>
      <c r="AH72" s="4"/>
      <c r="AI72" s="4"/>
    </row>
    <row r="73" spans="1:35">
      <c r="A73" s="2">
        <v>26.5</v>
      </c>
      <c r="B73" s="3">
        <f t="shared" si="12"/>
        <v>1158.0328</v>
      </c>
      <c r="D73" s="3">
        <f t="shared" si="28"/>
        <v>1158.0328</v>
      </c>
      <c r="E73" s="4">
        <f t="shared" ca="1" si="29"/>
        <v>323.56173569278445</v>
      </c>
      <c r="F73" s="4">
        <f t="shared" ca="1" si="31"/>
        <v>435.74375388133103</v>
      </c>
      <c r="G73" s="4">
        <f t="shared" ca="1" si="33"/>
        <v>280.62766745073674</v>
      </c>
      <c r="H73" s="4">
        <f t="shared" ca="1" si="35"/>
        <v>373.80696322387405</v>
      </c>
      <c r="I73" s="4">
        <f t="shared" ca="1" si="37"/>
        <v>488.8449510524523</v>
      </c>
      <c r="J73" s="4">
        <f t="shared" ca="1" si="39"/>
        <v>411.56731180694231</v>
      </c>
      <c r="K73" s="4">
        <f t="shared" ca="1" si="18"/>
        <v>431.85466741137532</v>
      </c>
      <c r="L73" s="4">
        <f t="shared" ca="1" si="19"/>
        <v>310.23273946542315</v>
      </c>
      <c r="M73" s="4">
        <f t="shared" ca="1" si="20"/>
        <v>397.0885027652198</v>
      </c>
      <c r="N73" s="4">
        <f t="shared" ca="1" si="21"/>
        <v>355.10574866749221</v>
      </c>
      <c r="O73" s="4">
        <f t="shared" ca="1" si="22"/>
        <v>324.02669240680694</v>
      </c>
      <c r="P73" s="4">
        <f t="shared" ca="1" si="23"/>
        <v>301.64258723778028</v>
      </c>
      <c r="Q73" s="4">
        <f t="shared" ca="1" si="24"/>
        <v>378.1186243455461</v>
      </c>
      <c r="R73" s="4">
        <f t="shared" ca="1" si="25"/>
        <v>465.26228928525995</v>
      </c>
      <c r="S73" s="4">
        <f t="shared" ca="1" si="26"/>
        <v>441.24048242750484</v>
      </c>
      <c r="T73" s="4">
        <f t="shared" ca="1" si="27"/>
        <v>426.83618122466345</v>
      </c>
      <c r="U73" s="4">
        <f t="shared" ca="1" si="30"/>
        <v>514.89969231173234</v>
      </c>
      <c r="V73" s="4">
        <f t="shared" ca="1" si="32"/>
        <v>507.74483006731708</v>
      </c>
      <c r="W73" s="4">
        <f t="shared" ca="1" si="34"/>
        <v>652.18835654474185</v>
      </c>
      <c r="X73" s="4">
        <f t="shared" ca="1" si="36"/>
        <v>697.76322835549058</v>
      </c>
      <c r="Y73" s="4">
        <f t="shared" ca="1" si="38"/>
        <v>795.06194231297479</v>
      </c>
      <c r="Z73" s="4">
        <f t="shared" ca="1" si="40"/>
        <v>888.7687397475662</v>
      </c>
      <c r="AA73" s="4">
        <f t="shared" ca="1" si="41"/>
        <v>932.57874835636574</v>
      </c>
      <c r="AB73" s="4">
        <f t="shared" ca="1" si="42"/>
        <v>914.2147605944059</v>
      </c>
      <c r="AC73" s="4">
        <f t="shared" ca="1" si="43"/>
        <v>1002.0872032640799</v>
      </c>
      <c r="AD73" s="4">
        <f t="shared" ca="1" si="44"/>
        <v>1046.4495706131986</v>
      </c>
      <c r="AE73" s="4">
        <f t="shared" ref="AE73:AE80" ca="1" si="45">($D73)/((1+$AE$5/2)^(2*($A73-AE$3)))</f>
        <v>1114.1894453264058</v>
      </c>
      <c r="AF73" s="4"/>
      <c r="AG73" s="4"/>
      <c r="AH73" s="4"/>
      <c r="AI73" s="4"/>
    </row>
    <row r="74" spans="1:35">
      <c r="A74" s="2">
        <v>27</v>
      </c>
      <c r="B74" s="3">
        <f t="shared" si="12"/>
        <v>1158.0328</v>
      </c>
      <c r="D74" s="3">
        <f t="shared" si="28"/>
        <v>1158.0328</v>
      </c>
      <c r="E74" s="4">
        <f t="shared" ca="1" si="29"/>
        <v>315.87029403307895</v>
      </c>
      <c r="F74" s="4">
        <f t="shared" ca="1" si="31"/>
        <v>427.47216744134107</v>
      </c>
      <c r="G74" s="4">
        <f t="shared" ca="1" si="33"/>
        <v>272.626091660501</v>
      </c>
      <c r="H74" s="4">
        <f t="shared" ca="1" si="35"/>
        <v>364.92113362022167</v>
      </c>
      <c r="I74" s="4">
        <f t="shared" ca="1" si="37"/>
        <v>479.565361311083</v>
      </c>
      <c r="J74" s="4">
        <f t="shared" ca="1" si="39"/>
        <v>401.7838744637499</v>
      </c>
      <c r="K74" s="4">
        <f t="shared" ca="1" si="18"/>
        <v>421.58897584944128</v>
      </c>
      <c r="L74" s="4">
        <f t="shared" ca="1" si="19"/>
        <v>299.93013918443779</v>
      </c>
      <c r="M74" s="4">
        <f t="shared" ca="1" si="20"/>
        <v>385.7662629477046</v>
      </c>
      <c r="N74" s="4">
        <f t="shared" ca="1" si="21"/>
        <v>343.31294887368119</v>
      </c>
      <c r="O74" s="4">
        <f t="shared" ca="1" si="22"/>
        <v>311.7589766746591</v>
      </c>
      <c r="P74" s="4">
        <f t="shared" ca="1" si="23"/>
        <v>288.83285032582967</v>
      </c>
      <c r="Q74" s="4">
        <f t="shared" ca="1" si="24"/>
        <v>363.80297719300148</v>
      </c>
      <c r="R74" s="4">
        <f t="shared" ca="1" si="25"/>
        <v>449.81127208900267</v>
      </c>
      <c r="S74" s="4">
        <f t="shared" ca="1" si="26"/>
        <v>424.53502903497849</v>
      </c>
      <c r="T74" s="4">
        <f t="shared" ca="1" si="27"/>
        <v>408.70989728028292</v>
      </c>
      <c r="U74" s="4">
        <f t="shared" ca="1" si="30"/>
        <v>495.40548642106353</v>
      </c>
      <c r="V74" s="4">
        <f t="shared" ca="1" si="32"/>
        <v>486.18263040869164</v>
      </c>
      <c r="W74" s="4">
        <f t="shared" ca="1" si="34"/>
        <v>630.52966263328847</v>
      </c>
      <c r="X74" s="4">
        <f t="shared" ca="1" si="36"/>
        <v>674.59102659205371</v>
      </c>
      <c r="Y74" s="4">
        <f t="shared" ca="1" si="38"/>
        <v>772.39223035213934</v>
      </c>
      <c r="Z74" s="4">
        <f t="shared" ca="1" si="40"/>
        <v>867.64166519994728</v>
      </c>
      <c r="AA74" s="4">
        <f t="shared" ca="1" si="41"/>
        <v>910.41025856041938</v>
      </c>
      <c r="AB74" s="4">
        <f t="shared" ca="1" si="42"/>
        <v>883.85436321787222</v>
      </c>
      <c r="AC74" s="4">
        <f t="shared" ca="1" si="43"/>
        <v>973.51455118674869</v>
      </c>
      <c r="AD74" s="4">
        <f t="shared" ca="1" si="44"/>
        <v>1011.6977528043686</v>
      </c>
      <c r="AE74" s="4">
        <f t="shared" ca="1" si="45"/>
        <v>1072.0060088770924</v>
      </c>
      <c r="AF74" s="4"/>
      <c r="AG74" s="4"/>
      <c r="AH74" s="4"/>
      <c r="AI74" s="4"/>
    </row>
    <row r="75" spans="1:35">
      <c r="A75" s="2">
        <v>27.5</v>
      </c>
      <c r="B75" s="3">
        <f t="shared" si="12"/>
        <v>1158.0328</v>
      </c>
      <c r="D75" s="3">
        <f t="shared" si="28"/>
        <v>1158.0328</v>
      </c>
      <c r="E75" s="4">
        <f t="shared" ca="1" si="29"/>
        <v>308.3616869557074</v>
      </c>
      <c r="F75" s="4">
        <f t="shared" ca="1" si="31"/>
        <v>419.35759792155886</v>
      </c>
      <c r="G75" s="4">
        <f t="shared" ca="1" si="33"/>
        <v>264.8526659158702</v>
      </c>
      <c r="H75" s="4">
        <f t="shared" ca="1" si="35"/>
        <v>356.24653060010894</v>
      </c>
      <c r="I75" s="4">
        <f t="shared" ca="1" si="37"/>
        <v>470.4619230991151</v>
      </c>
      <c r="J75" s="4">
        <f t="shared" ca="1" si="39"/>
        <v>392.23300089202894</v>
      </c>
      <c r="K75" s="4">
        <f t="shared" ca="1" si="18"/>
        <v>411.56731180694231</v>
      </c>
      <c r="L75" s="4">
        <f t="shared" ca="1" si="19"/>
        <v>289.96968065397374</v>
      </c>
      <c r="M75" s="4">
        <f t="shared" ca="1" si="20"/>
        <v>374.7668557319713</v>
      </c>
      <c r="N75" s="4">
        <f t="shared" ca="1" si="21"/>
        <v>331.91177925622969</v>
      </c>
      <c r="O75" s="4">
        <f t="shared" ca="1" si="22"/>
        <v>299.95571912701121</v>
      </c>
      <c r="P75" s="4">
        <f t="shared" ca="1" si="23"/>
        <v>276.56709946457579</v>
      </c>
      <c r="Q75" s="4">
        <f t="shared" ca="1" si="24"/>
        <v>350.02932332034578</v>
      </c>
      <c r="R75" s="4">
        <f t="shared" ca="1" si="25"/>
        <v>434.87337176874615</v>
      </c>
      <c r="S75" s="4">
        <f t="shared" ca="1" si="26"/>
        <v>408.46204746714619</v>
      </c>
      <c r="T75" s="4">
        <f t="shared" ca="1" si="27"/>
        <v>391.35337509482736</v>
      </c>
      <c r="U75" s="4">
        <f t="shared" ca="1" si="30"/>
        <v>476.64933508545096</v>
      </c>
      <c r="V75" s="4">
        <f t="shared" ca="1" si="32"/>
        <v>465.5361041879558</v>
      </c>
      <c r="W75" s="4">
        <f t="shared" ca="1" si="34"/>
        <v>609.59023795938367</v>
      </c>
      <c r="X75" s="4">
        <f t="shared" ca="1" si="36"/>
        <v>652.18835654474185</v>
      </c>
      <c r="Y75" s="4">
        <f t="shared" ca="1" si="38"/>
        <v>750.36890304768963</v>
      </c>
      <c r="Z75" s="4">
        <f t="shared" ca="1" si="40"/>
        <v>847.01680597446887</v>
      </c>
      <c r="AA75" s="4">
        <f t="shared" ca="1" si="41"/>
        <v>888.7687397475662</v>
      </c>
      <c r="AB75" s="4">
        <f t="shared" ca="1" si="42"/>
        <v>854.5022122278458</v>
      </c>
      <c r="AC75" s="4">
        <f t="shared" ca="1" si="43"/>
        <v>945.75659511997742</v>
      </c>
      <c r="AD75" s="4">
        <f t="shared" ca="1" si="44"/>
        <v>978.10001721309879</v>
      </c>
      <c r="AE75" s="4">
        <f t="shared" ca="1" si="45"/>
        <v>1031.4196458142997</v>
      </c>
      <c r="AF75" s="4">
        <f t="shared" ref="AF75:AF80" ca="1" si="46">($D75)/((1+$AF$5/2)^(2*($A75-AF$3)))</f>
        <v>1108.8550773208217</v>
      </c>
      <c r="AG75" s="4"/>
      <c r="AH75" s="4"/>
      <c r="AI75" s="4"/>
    </row>
    <row r="76" spans="1:35">
      <c r="A76" s="2">
        <v>28</v>
      </c>
      <c r="B76" s="3">
        <f t="shared" si="12"/>
        <v>1158.0328</v>
      </c>
      <c r="D76" s="3">
        <f t="shared" si="28"/>
        <v>1158.0328</v>
      </c>
      <c r="E76" s="4">
        <f t="shared" ca="1" si="29"/>
        <v>301.0315682683725</v>
      </c>
      <c r="F76" s="4">
        <f t="shared" ca="1" si="31"/>
        <v>411.3970647192416</v>
      </c>
      <c r="G76" s="4">
        <f t="shared" ca="1" si="33"/>
        <v>257.30088494279909</v>
      </c>
      <c r="H76" s="4">
        <f t="shared" ca="1" si="35"/>
        <v>347.77813306009551</v>
      </c>
      <c r="I76" s="4">
        <f t="shared" ca="1" si="37"/>
        <v>461.53129258754615</v>
      </c>
      <c r="J76" s="4">
        <f t="shared" ca="1" si="39"/>
        <v>382.9091627783755</v>
      </c>
      <c r="K76" s="4">
        <f t="shared" ca="1" si="18"/>
        <v>401.7838744637499</v>
      </c>
      <c r="L76" s="4">
        <f t="shared" ca="1" si="19"/>
        <v>280.3400015990465</v>
      </c>
      <c r="M76" s="4">
        <f t="shared" ca="1" si="20"/>
        <v>364.08107614705517</v>
      </c>
      <c r="N76" s="4">
        <f t="shared" ca="1" si="21"/>
        <v>320.88923406606051</v>
      </c>
      <c r="O76" s="4">
        <f t="shared" ca="1" si="22"/>
        <v>288.59933528360148</v>
      </c>
      <c r="P76" s="4">
        <f t="shared" ca="1" si="23"/>
        <v>264.82223341272157</v>
      </c>
      <c r="Q76" s="4">
        <f t="shared" ca="1" si="24"/>
        <v>336.7771427530148</v>
      </c>
      <c r="R76" s="4">
        <f t="shared" ca="1" si="25"/>
        <v>420.4315480917931</v>
      </c>
      <c r="S76" s="4">
        <f t="shared" ca="1" si="26"/>
        <v>392.99759221354327</v>
      </c>
      <c r="T76" s="4">
        <f t="shared" ca="1" si="27"/>
        <v>374.73392549894896</v>
      </c>
      <c r="U76" s="4">
        <f t="shared" ca="1" si="30"/>
        <v>458.60329541102715</v>
      </c>
      <c r="V76" s="4">
        <f t="shared" ca="1" si="32"/>
        <v>445.76636586197719</v>
      </c>
      <c r="W76" s="4">
        <f t="shared" ca="1" si="34"/>
        <v>589.34619612257347</v>
      </c>
      <c r="X76" s="4">
        <f t="shared" ca="1" si="36"/>
        <v>630.52966263328847</v>
      </c>
      <c r="Y76" s="4">
        <f t="shared" ca="1" si="38"/>
        <v>728.97352994383789</v>
      </c>
      <c r="Z76" s="4">
        <f t="shared" ca="1" si="40"/>
        <v>826.88222382434594</v>
      </c>
      <c r="AA76" s="4">
        <f t="shared" ca="1" si="41"/>
        <v>867.64166519994728</v>
      </c>
      <c r="AB76" s="4">
        <f t="shared" ca="1" si="42"/>
        <v>826.12482450606262</v>
      </c>
      <c r="AC76" s="4">
        <f t="shared" ca="1" si="43"/>
        <v>918.79010552288082</v>
      </c>
      <c r="AD76" s="4">
        <f t="shared" ca="1" si="44"/>
        <v>945.61803762082377</v>
      </c>
      <c r="AE76" s="4">
        <f t="shared" ca="1" si="45"/>
        <v>992.36989061846305</v>
      </c>
      <c r="AF76" s="4">
        <f t="shared" ca="1" si="46"/>
        <v>1061.7657656157626</v>
      </c>
      <c r="AG76" s="4"/>
      <c r="AH76" s="4"/>
      <c r="AI76" s="4"/>
    </row>
    <row r="77" spans="1:35">
      <c r="A77" s="2">
        <v>28.5</v>
      </c>
      <c r="B77" s="3">
        <f t="shared" si="12"/>
        <v>1158.0328</v>
      </c>
      <c r="D77" s="3">
        <f t="shared" si="28"/>
        <v>1158.0328</v>
      </c>
      <c r="E77" s="4">
        <f t="shared" ca="1" si="29"/>
        <v>293.87569509286129</v>
      </c>
      <c r="F77" s="4">
        <f t="shared" ca="1" si="31"/>
        <v>403.58764381148933</v>
      </c>
      <c r="G77" s="4">
        <f t="shared" ca="1" si="33"/>
        <v>249.96442895302766</v>
      </c>
      <c r="H77" s="4">
        <f t="shared" ca="1" si="35"/>
        <v>339.51103925425446</v>
      </c>
      <c r="I77" s="4">
        <f t="shared" ca="1" si="37"/>
        <v>452.77018942222611</v>
      </c>
      <c r="J77" s="4">
        <f t="shared" ca="1" si="39"/>
        <v>373.80696322387405</v>
      </c>
      <c r="K77" s="4">
        <f t="shared" ca="1" si="18"/>
        <v>392.23300089202894</v>
      </c>
      <c r="L77" s="4">
        <f t="shared" ca="1" si="19"/>
        <v>271.03011707743644</v>
      </c>
      <c r="M77" s="4">
        <f t="shared" ca="1" si="20"/>
        <v>353.69998168461183</v>
      </c>
      <c r="N77" s="4">
        <f t="shared" ca="1" si="21"/>
        <v>310.23273946542315</v>
      </c>
      <c r="O77" s="4">
        <f t="shared" ca="1" si="22"/>
        <v>277.67290641612692</v>
      </c>
      <c r="P77" s="4">
        <f t="shared" ca="1" si="23"/>
        <v>253.57613196028311</v>
      </c>
      <c r="Q77" s="4">
        <f t="shared" ca="1" si="24"/>
        <v>324.02669240680694</v>
      </c>
      <c r="R77" s="4">
        <f t="shared" ca="1" si="25"/>
        <v>406.46932671899555</v>
      </c>
      <c r="S77" s="4">
        <f t="shared" ca="1" si="26"/>
        <v>378.1186243455461</v>
      </c>
      <c r="T77" s="4">
        <f t="shared" ca="1" si="27"/>
        <v>358.82024752137602</v>
      </c>
      <c r="U77" s="4">
        <f t="shared" ca="1" si="30"/>
        <v>441.24048242750484</v>
      </c>
      <c r="V77" s="4">
        <f t="shared" ca="1" si="32"/>
        <v>426.83618122466345</v>
      </c>
      <c r="W77" s="4">
        <f t="shared" ca="1" si="34"/>
        <v>569.77444397213071</v>
      </c>
      <c r="X77" s="4">
        <f t="shared" ca="1" si="36"/>
        <v>609.59023795938367</v>
      </c>
      <c r="Y77" s="4">
        <f t="shared" ca="1" si="38"/>
        <v>708.18820609495117</v>
      </c>
      <c r="Z77" s="4">
        <f t="shared" ca="1" si="40"/>
        <v>807.2262642889109</v>
      </c>
      <c r="AA77" s="4">
        <f t="shared" ca="1" si="41"/>
        <v>847.01680597446887</v>
      </c>
      <c r="AB77" s="4">
        <f t="shared" ca="1" si="42"/>
        <v>798.68982888390076</v>
      </c>
      <c r="AC77" s="4">
        <f t="shared" ca="1" si="43"/>
        <v>892.59251520171063</v>
      </c>
      <c r="AD77" s="4">
        <f t="shared" ca="1" si="44"/>
        <v>914.2147605944059</v>
      </c>
      <c r="AE77" s="4">
        <f t="shared" ca="1" si="45"/>
        <v>954.79856700674759</v>
      </c>
      <c r="AF77" s="4">
        <f t="shared" ca="1" si="46"/>
        <v>1016.6761771587713</v>
      </c>
      <c r="AG77" s="4">
        <f ca="1">($D77)/((1+$AG$5/2)^(2*($A77-AG$3)))</f>
        <v>1119.5753855078069</v>
      </c>
      <c r="AH77" s="4"/>
      <c r="AI77" s="4"/>
    </row>
    <row r="78" spans="1:35">
      <c r="A78" s="2">
        <v>29</v>
      </c>
      <c r="B78" s="3">
        <f t="shared" si="12"/>
        <v>1158.0328</v>
      </c>
      <c r="D78" s="3">
        <f t="shared" si="28"/>
        <v>1158.0328</v>
      </c>
      <c r="E78" s="4">
        <f t="shared" ca="1" si="29"/>
        <v>286.88992540914847</v>
      </c>
      <c r="F78" s="4">
        <f t="shared" ca="1" si="31"/>
        <v>395.92646668120796</v>
      </c>
      <c r="G78" s="4">
        <f t="shared" ca="1" si="33"/>
        <v>242.83715835529961</v>
      </c>
      <c r="H78" s="4">
        <f t="shared" ca="1" si="35"/>
        <v>331.44046395690378</v>
      </c>
      <c r="I78" s="4">
        <f t="shared" ca="1" si="37"/>
        <v>444.17539551893469</v>
      </c>
      <c r="J78" s="4">
        <f t="shared" ca="1" si="39"/>
        <v>364.92113362022167</v>
      </c>
      <c r="K78" s="4">
        <f t="shared" ca="1" si="18"/>
        <v>382.9091627783755</v>
      </c>
      <c r="L78" s="4">
        <f t="shared" ca="1" si="19"/>
        <v>262.02940694874701</v>
      </c>
      <c r="M78" s="4">
        <f t="shared" ca="1" si="20"/>
        <v>343.61488481528329</v>
      </c>
      <c r="N78" s="4">
        <f t="shared" ca="1" si="21"/>
        <v>299.93013918443779</v>
      </c>
      <c r="O78" s="4">
        <f t="shared" ca="1" si="22"/>
        <v>267.16015434274004</v>
      </c>
      <c r="P78" s="4">
        <f t="shared" ca="1" si="23"/>
        <v>242.80761426751863</v>
      </c>
      <c r="Q78" s="4">
        <f t="shared" ca="1" si="24"/>
        <v>311.7589766746591</v>
      </c>
      <c r="R78" s="4">
        <f t="shared" ca="1" si="25"/>
        <v>392.97078041184858</v>
      </c>
      <c r="S78" s="4">
        <f t="shared" ca="1" si="26"/>
        <v>363.80297719300148</v>
      </c>
      <c r="T78" s="4">
        <f t="shared" ca="1" si="27"/>
        <v>343.58236943685159</v>
      </c>
      <c r="U78" s="4">
        <f t="shared" ca="1" si="30"/>
        <v>424.53502903497849</v>
      </c>
      <c r="V78" s="4">
        <f t="shared" ca="1" si="32"/>
        <v>408.70989728028292</v>
      </c>
      <c r="W78" s="4">
        <f t="shared" ca="1" si="34"/>
        <v>550.85265526381863</v>
      </c>
      <c r="X78" s="4">
        <f t="shared" ca="1" si="36"/>
        <v>589.34619612257347</v>
      </c>
      <c r="Y78" s="4">
        <f t="shared" ca="1" si="38"/>
        <v>687.99553708160602</v>
      </c>
      <c r="Z78" s="4">
        <f t="shared" ca="1" si="40"/>
        <v>788.03754994768462</v>
      </c>
      <c r="AA78" s="4">
        <f t="shared" ca="1" si="41"/>
        <v>826.88222382434594</v>
      </c>
      <c r="AB78" s="4">
        <f t="shared" ca="1" si="42"/>
        <v>772.16592921535346</v>
      </c>
      <c r="AC78" s="4">
        <f t="shared" ca="1" si="43"/>
        <v>867.14190042425855</v>
      </c>
      <c r="AD78" s="4">
        <f t="shared" ca="1" si="44"/>
        <v>883.85436321787222</v>
      </c>
      <c r="AE78" s="4">
        <f t="shared" ca="1" si="45"/>
        <v>918.64970126208459</v>
      </c>
      <c r="AF78" s="4">
        <f t="shared" ca="1" si="46"/>
        <v>973.50139049051688</v>
      </c>
      <c r="AG78" s="4">
        <f ca="1">($D78)/((1+$AG$5/2)^(2*($A78-AG$3)))</f>
        <v>1082.3951133637618</v>
      </c>
      <c r="AH78" s="4"/>
      <c r="AI78" s="4"/>
    </row>
    <row r="79" spans="1:35">
      <c r="A79" s="2">
        <v>29.5</v>
      </c>
      <c r="B79" s="3">
        <f t="shared" si="12"/>
        <v>1158.0328</v>
      </c>
      <c r="D79" s="3">
        <f t="shared" si="28"/>
        <v>1158.0328</v>
      </c>
      <c r="E79" s="4">
        <f t="shared" ca="1" si="29"/>
        <v>280.07021565787915</v>
      </c>
      <c r="F79" s="4">
        <f t="shared" ca="1" si="31"/>
        <v>388.41071926345995</v>
      </c>
      <c r="G79" s="4">
        <f t="shared" ca="1" si="33"/>
        <v>235.91310861737955</v>
      </c>
      <c r="H79" s="4">
        <f t="shared" ca="1" si="35"/>
        <v>323.56173569278445</v>
      </c>
      <c r="I79" s="4">
        <f t="shared" ca="1" si="37"/>
        <v>435.74375388133103</v>
      </c>
      <c r="J79" s="4">
        <f t="shared" ca="1" si="39"/>
        <v>356.24653060010894</v>
      </c>
      <c r="K79" s="4">
        <f t="shared" ca="1" si="18"/>
        <v>373.80696322387405</v>
      </c>
      <c r="L79" s="4">
        <f t="shared" ca="1" si="19"/>
        <v>253.32760375960461</v>
      </c>
      <c r="M79" s="4">
        <f t="shared" ca="1" si="20"/>
        <v>333.8173457184468</v>
      </c>
      <c r="N79" s="4">
        <f t="shared" ca="1" si="21"/>
        <v>289.96968065397374</v>
      </c>
      <c r="O79" s="4">
        <f t="shared" ca="1" si="22"/>
        <v>257.04541717683168</v>
      </c>
      <c r="P79" s="4">
        <f t="shared" ca="1" si="23"/>
        <v>232.49639897306329</v>
      </c>
      <c r="Q79" s="4">
        <f t="shared" ca="1" si="24"/>
        <v>299.95571912701121</v>
      </c>
      <c r="R79" s="4">
        <f t="shared" ca="1" si="25"/>
        <v>379.9205108636811</v>
      </c>
      <c r="S79" s="4">
        <f t="shared" ca="1" si="26"/>
        <v>350.02932332034578</v>
      </c>
      <c r="T79" s="4">
        <f t="shared" ca="1" si="27"/>
        <v>328.99159231756755</v>
      </c>
      <c r="U79" s="4">
        <f t="shared" ca="1" si="30"/>
        <v>408.46204746714619</v>
      </c>
      <c r="V79" s="4">
        <f t="shared" ca="1" si="32"/>
        <v>391.35337509482736</v>
      </c>
      <c r="W79" s="4">
        <f t="shared" ca="1" si="34"/>
        <v>532.55924519149107</v>
      </c>
      <c r="X79" s="4">
        <f t="shared" ca="1" si="36"/>
        <v>569.77444397213071</v>
      </c>
      <c r="Y79" s="4">
        <f t="shared" ca="1" si="38"/>
        <v>668.37862445388441</v>
      </c>
      <c r="Z79" s="4">
        <f t="shared" ca="1" si="40"/>
        <v>769.30497383480702</v>
      </c>
      <c r="AA79" s="4">
        <f t="shared" ca="1" si="41"/>
        <v>807.2262642889109</v>
      </c>
      <c r="AB79" s="4">
        <f t="shared" ca="1" si="42"/>
        <v>746.52286867632188</v>
      </c>
      <c r="AC79" s="4">
        <f t="shared" ca="1" si="43"/>
        <v>842.41696257274828</v>
      </c>
      <c r="AD79" s="4">
        <f t="shared" ca="1" si="44"/>
        <v>854.5022122278458</v>
      </c>
      <c r="AE79" s="4">
        <f t="shared" ca="1" si="45"/>
        <v>883.86943884358914</v>
      </c>
      <c r="AF79" s="4">
        <f t="shared" ca="1" si="46"/>
        <v>932.16009047782541</v>
      </c>
      <c r="AG79" s="4">
        <f ca="1">($D79)/((1+$AG$5/2)^(2*($A79-AG$3)))</f>
        <v>1046.4495706131986</v>
      </c>
      <c r="AH79" s="4">
        <f ca="1">($D79)/((1+$AH$5/2)^(2*($A79-AH$3)))</f>
        <v>1119.5753855078069</v>
      </c>
      <c r="AI79" s="4"/>
    </row>
    <row r="80" spans="1:35">
      <c r="A80" s="2">
        <v>30</v>
      </c>
      <c r="B80" s="3">
        <f t="shared" si="12"/>
        <v>1158.0328</v>
      </c>
      <c r="C80" s="3">
        <f>B1</f>
        <v>57901.64</v>
      </c>
      <c r="D80" s="3">
        <f t="shared" si="28"/>
        <v>59059.6728</v>
      </c>
      <c r="E80" s="4">
        <f t="shared" ca="1" si="29"/>
        <v>13944.043538391988</v>
      </c>
      <c r="F80" s="4">
        <f t="shared" ca="1" si="31"/>
        <v>19432.919686502635</v>
      </c>
      <c r="G80" s="4">
        <f t="shared" ca="1" si="33"/>
        <v>11688.510749003115</v>
      </c>
      <c r="H80" s="4">
        <f t="shared" ca="1" si="35"/>
        <v>16109.384995687025</v>
      </c>
      <c r="I80" s="4">
        <f t="shared" ca="1" si="37"/>
        <v>21801.080539508395</v>
      </c>
      <c r="J80" s="4">
        <f t="shared" ca="1" si="39"/>
        <v>17736.684786064874</v>
      </c>
      <c r="K80" s="4">
        <f t="shared" ca="1" si="18"/>
        <v>18610.977814631304</v>
      </c>
      <c r="L80" s="4">
        <f t="shared" ca="1" si="19"/>
        <v>12490.653832590357</v>
      </c>
      <c r="M80" s="4">
        <f t="shared" ca="1" si="20"/>
        <v>16539.257426182336</v>
      </c>
      <c r="N80" s="4">
        <f t="shared" ca="1" si="21"/>
        <v>14297.340081551372</v>
      </c>
      <c r="O80" s="4">
        <f t="shared" ca="1" si="22"/>
        <v>12612.994925692425</v>
      </c>
      <c r="P80" s="4">
        <f t="shared" ca="1" si="23"/>
        <v>11353.776365802871</v>
      </c>
      <c r="Q80" s="4">
        <f t="shared" ca="1" si="24"/>
        <v>14718.566099463676</v>
      </c>
      <c r="R80" s="4">
        <f t="shared" ca="1" si="25"/>
        <v>18732.48518784525</v>
      </c>
      <c r="S80" s="4">
        <f t="shared" ca="1" si="26"/>
        <v>17175.634280403756</v>
      </c>
      <c r="T80" s="4">
        <f t="shared" ca="1" si="27"/>
        <v>16066.042235070567</v>
      </c>
      <c r="U80" s="4">
        <f t="shared" ca="1" si="30"/>
        <v>20042.877202890708</v>
      </c>
      <c r="V80" s="4">
        <f t="shared" ca="1" si="32"/>
        <v>19111.430200446397</v>
      </c>
      <c r="W80" s="4">
        <f t="shared" ca="1" si="34"/>
        <v>26258.540633988541</v>
      </c>
      <c r="X80" s="4">
        <f t="shared" ca="1" si="36"/>
        <v>28093.485418454755</v>
      </c>
      <c r="Y80" s="4">
        <f t="shared" ca="1" si="38"/>
        <v>33115.373631076021</v>
      </c>
      <c r="Z80" s="4">
        <f t="shared" ca="1" si="40"/>
        <v>38301.902343510665</v>
      </c>
      <c r="AA80" s="4">
        <f t="shared" ca="1" si="41"/>
        <v>40189.915047331917</v>
      </c>
      <c r="AB80" s="4">
        <f t="shared" ca="1" si="42"/>
        <v>36808.301157724585</v>
      </c>
      <c r="AC80" s="4">
        <f t="shared" ca="1" si="43"/>
        <v>41738.24752631288</v>
      </c>
      <c r="AD80" s="4">
        <f t="shared" ca="1" si="44"/>
        <v>42132.366049809192</v>
      </c>
      <c r="AE80" s="4">
        <f t="shared" ca="1" si="45"/>
        <v>43370.704171860358</v>
      </c>
      <c r="AF80" s="4">
        <f t="shared" ca="1" si="46"/>
        <v>45521.295173427585</v>
      </c>
      <c r="AG80" s="4">
        <f ca="1">($D80)/((1+$AG$5/2)^(2*($A80-AG$3)))</f>
        <v>51596.585393022804</v>
      </c>
      <c r="AH80" s="4">
        <f ca="1">($D80)/((1+$AH$5/2)^(2*($A80-AH$3)))</f>
        <v>55202.150781551856</v>
      </c>
      <c r="AI80" s="4">
        <f>C80</f>
        <v>57901.64</v>
      </c>
    </row>
  </sheetData>
  <mergeCells count="1">
    <mergeCell ref="E2:A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/>
  </sheetViews>
  <sheetFormatPr defaultColWidth="11" defaultRowHeight="15.95"/>
  <cols>
    <col min="2" max="2" width="24" customWidth="1"/>
    <col min="3" max="3" width="11.5" bestFit="1" customWidth="1"/>
    <col min="4" max="4" width="26.125" customWidth="1"/>
    <col min="5" max="5" width="11.5" bestFit="1" customWidth="1"/>
  </cols>
  <sheetData>
    <row r="1" spans="1:5">
      <c r="A1" s="3"/>
    </row>
    <row r="6" spans="1:5">
      <c r="B6" s="64" t="s">
        <v>81</v>
      </c>
      <c r="C6" s="64"/>
      <c r="D6" s="64"/>
      <c r="E6" s="64"/>
    </row>
    <row r="7" spans="1:5">
      <c r="B7" s="64" t="s">
        <v>82</v>
      </c>
      <c r="C7" s="64"/>
      <c r="D7" s="64"/>
      <c r="E7" s="64"/>
    </row>
    <row r="8" spans="1:5">
      <c r="B8" s="64" t="s">
        <v>83</v>
      </c>
      <c r="C8" s="64"/>
      <c r="D8" s="64"/>
      <c r="E8" s="64"/>
    </row>
    <row r="9" spans="1:5">
      <c r="B9" s="65">
        <f>Date</f>
        <v>46055</v>
      </c>
      <c r="C9" s="65"/>
      <c r="D9" s="65"/>
      <c r="E9" s="65"/>
    </row>
    <row r="10" spans="1:5">
      <c r="B10" s="64" t="s">
        <v>84</v>
      </c>
      <c r="C10" s="64"/>
      <c r="D10" s="64" t="s">
        <v>85</v>
      </c>
      <c r="E10" s="64"/>
    </row>
    <row r="11" spans="1:5">
      <c r="B11" t="s">
        <v>86</v>
      </c>
      <c r="C11" s="5">
        <v>0</v>
      </c>
      <c r="D11" t="s">
        <v>87</v>
      </c>
      <c r="E11" s="5">
        <v>0</v>
      </c>
    </row>
    <row r="12" spans="1:5">
      <c r="D12" t="s">
        <v>88</v>
      </c>
      <c r="E12" s="5">
        <v>0</v>
      </c>
    </row>
    <row r="13" spans="1:5" ht="17.100000000000001" thickBot="1">
      <c r="B13" t="s">
        <v>89</v>
      </c>
      <c r="C13" s="6">
        <v>0</v>
      </c>
      <c r="D13" t="s">
        <v>90</v>
      </c>
      <c r="E13" s="6">
        <v>0</v>
      </c>
    </row>
    <row r="14" spans="1:5" ht="17.100000000000001" thickTop="1"/>
    <row r="19" spans="2:5">
      <c r="B19" s="64" t="s">
        <v>81</v>
      </c>
      <c r="C19" s="64"/>
      <c r="D19" s="64"/>
      <c r="E19" s="64"/>
    </row>
    <row r="20" spans="2:5">
      <c r="B20" s="64" t="s">
        <v>82</v>
      </c>
      <c r="C20" s="64"/>
      <c r="D20" s="64"/>
      <c r="E20" s="64"/>
    </row>
    <row r="21" spans="2:5">
      <c r="B21" s="64" t="s">
        <v>91</v>
      </c>
      <c r="C21" s="64"/>
      <c r="D21" s="64"/>
      <c r="E21" s="64"/>
    </row>
    <row r="22" spans="2:5">
      <c r="B22" s="65">
        <f>Date</f>
        <v>46055</v>
      </c>
      <c r="C22" s="65"/>
      <c r="D22" s="65"/>
      <c r="E22" s="65"/>
    </row>
    <row r="23" spans="2:5">
      <c r="B23" s="64" t="s">
        <v>84</v>
      </c>
      <c r="C23" s="64"/>
      <c r="D23" s="64" t="s">
        <v>85</v>
      </c>
      <c r="E23" s="64"/>
    </row>
    <row r="24" spans="2:5">
      <c r="B24" t="s">
        <v>86</v>
      </c>
      <c r="C24" s="3">
        <v>50000</v>
      </c>
      <c r="D24" t="s">
        <v>87</v>
      </c>
      <c r="E24" s="3">
        <v>0</v>
      </c>
    </row>
    <row r="25" spans="2:5">
      <c r="C25" s="3"/>
      <c r="D25" t="s">
        <v>88</v>
      </c>
      <c r="E25" s="3">
        <v>50000</v>
      </c>
    </row>
    <row r="26" spans="2:5" ht="17.100000000000001" thickBot="1">
      <c r="B26" t="s">
        <v>89</v>
      </c>
      <c r="C26" s="7">
        <f>SUM(C24:C25)</f>
        <v>50000</v>
      </c>
      <c r="D26" t="s">
        <v>90</v>
      </c>
      <c r="E26" s="7">
        <f>SUM(E24:E25)</f>
        <v>50000</v>
      </c>
    </row>
    <row r="27" spans="2:5" ht="17.100000000000001" thickTop="1"/>
    <row r="32" spans="2:5">
      <c r="B32" s="64" t="s">
        <v>81</v>
      </c>
      <c r="C32" s="64"/>
      <c r="D32" s="64"/>
      <c r="E32" s="64"/>
    </row>
    <row r="33" spans="2:5">
      <c r="B33" s="64" t="s">
        <v>82</v>
      </c>
      <c r="C33" s="64"/>
      <c r="D33" s="64"/>
      <c r="E33" s="64"/>
    </row>
    <row r="34" spans="2:5">
      <c r="B34" s="64" t="s">
        <v>92</v>
      </c>
      <c r="C34" s="64"/>
      <c r="D34" s="64"/>
      <c r="E34" s="64"/>
    </row>
    <row r="35" spans="2:5">
      <c r="B35" s="65">
        <f>Date</f>
        <v>46055</v>
      </c>
      <c r="C35" s="65"/>
      <c r="D35" s="65"/>
      <c r="E35" s="65"/>
    </row>
    <row r="36" spans="2:5">
      <c r="B36" s="64" t="s">
        <v>84</v>
      </c>
      <c r="C36" s="64"/>
      <c r="D36" s="64" t="s">
        <v>85</v>
      </c>
      <c r="E36" s="64"/>
    </row>
    <row r="37" spans="2:5">
      <c r="B37" t="s">
        <v>86</v>
      </c>
      <c r="C37" s="3">
        <v>0</v>
      </c>
      <c r="D37" t="s">
        <v>87</v>
      </c>
      <c r="E37" s="3">
        <v>0</v>
      </c>
    </row>
    <row r="38" spans="2:5">
      <c r="B38" t="s">
        <v>93</v>
      </c>
      <c r="C38" s="3">
        <v>50000</v>
      </c>
      <c r="D38" t="s">
        <v>88</v>
      </c>
      <c r="E38" s="3">
        <v>50000</v>
      </c>
    </row>
    <row r="39" spans="2:5" ht="17.100000000000001" thickBot="1">
      <c r="B39" t="s">
        <v>89</v>
      </c>
      <c r="C39" s="7">
        <f>SUM(C37:C38)</f>
        <v>50000</v>
      </c>
      <c r="D39" t="s">
        <v>90</v>
      </c>
      <c r="E39" s="7">
        <f>SUM(E37:E38)</f>
        <v>50000</v>
      </c>
    </row>
    <row r="40" spans="2:5" ht="17.100000000000001" thickTop="1"/>
  </sheetData>
  <mergeCells count="18">
    <mergeCell ref="B34:E34"/>
    <mergeCell ref="B36:C36"/>
    <mergeCell ref="D36:E36"/>
    <mergeCell ref="B20:E20"/>
    <mergeCell ref="B21:E21"/>
    <mergeCell ref="B23:C23"/>
    <mergeCell ref="D23:E23"/>
    <mergeCell ref="B32:E32"/>
    <mergeCell ref="B33:E33"/>
    <mergeCell ref="B35:E35"/>
    <mergeCell ref="B22:E22"/>
    <mergeCell ref="B19:E19"/>
    <mergeCell ref="B6:E6"/>
    <mergeCell ref="B7:E7"/>
    <mergeCell ref="B9:E9"/>
    <mergeCell ref="B10:C10"/>
    <mergeCell ref="D10:E10"/>
    <mergeCell ref="B8:E8"/>
  </mergeCells>
  <pageMargins left="0.75" right="0.75" top="1" bottom="1" header="0.5" footer="0.5"/>
  <pageSetup orientation="portrait" horizontalDpi="4294967292" verticalDpi="429496729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1"/>
  <sheetViews>
    <sheetView workbookViewId="0"/>
  </sheetViews>
  <sheetFormatPr defaultColWidth="11" defaultRowHeight="15.95"/>
  <cols>
    <col min="1" max="1" width="18.5" customWidth="1"/>
    <col min="2" max="2" width="33" bestFit="1" customWidth="1"/>
    <col min="3" max="3" width="12.125" bestFit="1" customWidth="1"/>
    <col min="6" max="6" width="33" customWidth="1"/>
    <col min="7" max="7" width="16.5" customWidth="1"/>
    <col min="8" max="8" width="18.625" bestFit="1" customWidth="1"/>
    <col min="9" max="9" width="11.5" bestFit="1" customWidth="1"/>
  </cols>
  <sheetData>
    <row r="1" spans="1:8">
      <c r="A1" s="9" t="s">
        <v>94</v>
      </c>
      <c r="F1" t="s">
        <v>95</v>
      </c>
    </row>
    <row r="3" spans="1:8">
      <c r="A3" t="s">
        <v>96</v>
      </c>
      <c r="F3" s="66" t="s">
        <v>81</v>
      </c>
      <c r="G3" s="66"/>
      <c r="H3" s="66"/>
    </row>
    <row r="4" spans="1:8">
      <c r="B4" t="s">
        <v>97</v>
      </c>
      <c r="C4" s="3">
        <v>50000</v>
      </c>
      <c r="F4" s="66" t="s">
        <v>98</v>
      </c>
      <c r="G4" s="66"/>
      <c r="H4" s="66"/>
    </row>
    <row r="5" spans="1:8">
      <c r="B5" t="s">
        <v>99</v>
      </c>
      <c r="C5" s="1">
        <f>InterestRate</f>
        <v>4.87E-2</v>
      </c>
      <c r="F5" s="66" t="s">
        <v>92</v>
      </c>
      <c r="G5" s="66"/>
      <c r="H5" s="66"/>
    </row>
    <row r="6" spans="1:8">
      <c r="B6" t="s">
        <v>100</v>
      </c>
      <c r="C6">
        <v>2</v>
      </c>
      <c r="F6" s="9"/>
      <c r="G6" s="9"/>
      <c r="H6" s="9"/>
    </row>
    <row r="7" spans="1:8" ht="17.100000000000001" thickBot="1">
      <c r="B7" t="s">
        <v>101</v>
      </c>
      <c r="C7" s="7">
        <f>C4*(C5/2)</f>
        <v>1217.5</v>
      </c>
      <c r="F7" s="9"/>
      <c r="G7" s="50" t="str">
        <f>TEXT(DATE(YEAR(Date),MONTH(Date)+6,DAY(Date)),"mmmm dd, yyyy")</f>
        <v>August 02, 2026</v>
      </c>
      <c r="H7" s="50" t="str">
        <f>TEXT(DATE(YEAR(Date),MONTH(Date),DAY(Date)-1),"mmmm dd, yyyy")</f>
        <v>February 01, 2026</v>
      </c>
    </row>
    <row r="8" spans="1:8" ht="17.100000000000001" thickTop="1">
      <c r="F8" s="9" t="s">
        <v>84</v>
      </c>
    </row>
    <row r="9" spans="1:8">
      <c r="A9" s="9" t="s">
        <v>102</v>
      </c>
      <c r="F9" t="s">
        <v>86</v>
      </c>
      <c r="G9" s="3">
        <f>C16</f>
        <v>1158.0328</v>
      </c>
      <c r="H9" s="3">
        <v>0</v>
      </c>
    </row>
    <row r="10" spans="1:8">
      <c r="F10" t="s">
        <v>103</v>
      </c>
      <c r="G10" s="3">
        <f>C24</f>
        <v>50059.467199999999</v>
      </c>
      <c r="H10" s="3">
        <v>0</v>
      </c>
    </row>
    <row r="11" spans="1:8" ht="17.100000000000001" thickBot="1">
      <c r="A11" t="s">
        <v>104</v>
      </c>
      <c r="F11" t="s">
        <v>105</v>
      </c>
      <c r="G11" s="7">
        <f>SUM(G9:G10)</f>
        <v>51217.5</v>
      </c>
      <c r="H11" s="7">
        <f t="shared" ref="H11" si="0">SUM(H9:H10)</f>
        <v>0</v>
      </c>
    </row>
    <row r="12" spans="1:8" ht="17.100000000000001" thickTop="1"/>
    <row r="13" spans="1:8">
      <c r="B13" t="s">
        <v>106</v>
      </c>
      <c r="C13" s="3">
        <f>'Economics of 165WA''s investment'!B1</f>
        <v>57901.64</v>
      </c>
      <c r="F13" s="9" t="s">
        <v>107</v>
      </c>
      <c r="G13" s="3">
        <v>0</v>
      </c>
      <c r="H13" s="3">
        <v>0</v>
      </c>
    </row>
    <row r="14" spans="1:8">
      <c r="B14" t="s">
        <v>108</v>
      </c>
      <c r="C14" s="1">
        <f>CouponRate</f>
        <v>0.04</v>
      </c>
    </row>
    <row r="15" spans="1:8">
      <c r="B15" t="s">
        <v>100</v>
      </c>
      <c r="C15">
        <v>2</v>
      </c>
      <c r="F15" s="9" t="s">
        <v>109</v>
      </c>
    </row>
    <row r="16" spans="1:8" ht="17.100000000000001" thickBot="1">
      <c r="B16" t="s">
        <v>110</v>
      </c>
      <c r="C16" s="7">
        <f>C13*(C14/C15)</f>
        <v>1158.0328</v>
      </c>
      <c r="F16" t="s">
        <v>111</v>
      </c>
      <c r="G16" s="3">
        <f>50000</f>
        <v>50000</v>
      </c>
      <c r="H16" s="3">
        <v>0</v>
      </c>
    </row>
    <row r="17" spans="1:9" ht="17.100000000000001" thickTop="1">
      <c r="F17" t="s">
        <v>112</v>
      </c>
      <c r="G17" s="3">
        <f>H17+G29</f>
        <v>1217.5</v>
      </c>
      <c r="H17" s="3">
        <v>0</v>
      </c>
    </row>
    <row r="18" spans="1:9" ht="17.100000000000001" thickBot="1">
      <c r="G18" s="7">
        <f t="shared" ref="G18" si="1">SUM(G16:G17)</f>
        <v>51217.5</v>
      </c>
      <c r="H18" s="7">
        <f t="shared" ref="H18" si="2">SUM(H16:H17)</f>
        <v>0</v>
      </c>
    </row>
    <row r="19" spans="1:9" ht="17.100000000000001" thickTop="1">
      <c r="A19" s="9" t="s">
        <v>113</v>
      </c>
    </row>
    <row r="20" spans="1:9">
      <c r="F20" s="66" t="s">
        <v>81</v>
      </c>
      <c r="G20" s="66"/>
    </row>
    <row r="21" spans="1:9">
      <c r="B21" t="str">
        <f>"Value at "&amp;TEXT(Date,"mmmm dd, yyyy")</f>
        <v>Value at February 02, 2026</v>
      </c>
      <c r="C21" s="10">
        <v>50000</v>
      </c>
      <c r="F21" s="66" t="s">
        <v>114</v>
      </c>
      <c r="G21" s="66"/>
    </row>
    <row r="22" spans="1:9">
      <c r="B22" t="s">
        <v>104</v>
      </c>
      <c r="C22" s="3">
        <f>-C16</f>
        <v>-1158.0328</v>
      </c>
      <c r="F22" s="66" t="s">
        <v>115</v>
      </c>
      <c r="G22" s="66"/>
    </row>
    <row r="23" spans="1:9">
      <c r="B23" t="s">
        <v>101</v>
      </c>
      <c r="C23" s="3">
        <f>C7</f>
        <v>1217.5</v>
      </c>
      <c r="F23" s="51">
        <f>DATE(YEAR(Date),MONTH(Date)+6,DAY(Date))</f>
        <v>46236</v>
      </c>
      <c r="G23" s="51"/>
    </row>
    <row r="24" spans="1:9" ht="17.100000000000001" thickBot="1">
      <c r="B24" t="str">
        <f>"Value at "&amp;TEXT(DATE(YEAR(Date),MONTH(Date)+6,DAY(Date)),"mmmm dd, yyyy")</f>
        <v>Value at August 02, 2026</v>
      </c>
      <c r="C24" s="11">
        <f>SUM(C21:C23)</f>
        <v>50059.467199999999</v>
      </c>
    </row>
    <row r="25" spans="1:9" ht="17.100000000000001" thickTop="1">
      <c r="F25" s="9" t="s">
        <v>116</v>
      </c>
    </row>
    <row r="26" spans="1:9">
      <c r="B26" t="s">
        <v>117</v>
      </c>
      <c r="C26" s="3">
        <f>C24-C21</f>
        <v>59.467199999999139</v>
      </c>
      <c r="F26" t="s">
        <v>118</v>
      </c>
      <c r="G26" s="3">
        <f>C7</f>
        <v>1217.5</v>
      </c>
    </row>
    <row r="27" spans="1:9">
      <c r="G27" s="3"/>
    </row>
    <row r="28" spans="1:9">
      <c r="A28" t="s">
        <v>119</v>
      </c>
      <c r="F28" s="9" t="s">
        <v>120</v>
      </c>
      <c r="G28" s="3">
        <v>0</v>
      </c>
    </row>
    <row r="29" spans="1:9" ht="17.100000000000001" thickBot="1">
      <c r="B29" t="s">
        <v>121</v>
      </c>
      <c r="F29" s="9" t="s">
        <v>122</v>
      </c>
      <c r="G29" s="7">
        <f>SUM(G26:G28)</f>
        <v>1217.5</v>
      </c>
    </row>
    <row r="30" spans="1:9" ht="17.100000000000001" thickTop="1">
      <c r="B30" s="38">
        <f>DATE(YEAR(Date),MONTH(Date)+6,DAY(Date))</f>
        <v>46236</v>
      </c>
      <c r="C30" s="10">
        <f>C24</f>
        <v>50059.467199999999</v>
      </c>
    </row>
    <row r="31" spans="1:9">
      <c r="B31" s="38">
        <f>Date</f>
        <v>46055</v>
      </c>
      <c r="C31" s="10">
        <v>50000</v>
      </c>
      <c r="F31" s="67" t="s">
        <v>81</v>
      </c>
      <c r="G31" s="74"/>
      <c r="H31" s="74"/>
      <c r="I31" s="74"/>
    </row>
    <row r="32" spans="1:9" ht="17.100000000000001" thickBot="1">
      <c r="B32" t="s">
        <v>117</v>
      </c>
      <c r="C32" s="11">
        <f>C30-C31</f>
        <v>59.467199999999139</v>
      </c>
      <c r="F32" s="67" t="s">
        <v>123</v>
      </c>
      <c r="G32" s="74"/>
      <c r="H32" s="74"/>
      <c r="I32" s="74"/>
    </row>
    <row r="33" spans="3:9" ht="17.100000000000001" thickTop="1">
      <c r="F33" s="67" t="s">
        <v>115</v>
      </c>
      <c r="G33" s="74"/>
      <c r="H33" s="74"/>
      <c r="I33" s="74"/>
    </row>
    <row r="34" spans="3:9">
      <c r="F34" s="67">
        <f>DATE(YEAR(Date),MONTH(Date)+6,DAY(Date))</f>
        <v>46236</v>
      </c>
      <c r="G34" s="74"/>
      <c r="H34" s="74"/>
      <c r="I34" s="74"/>
    </row>
    <row r="36" spans="3:9" ht="17.100000000000001" thickBot="1">
      <c r="C36" s="10"/>
      <c r="G36" s="35" t="s">
        <v>111</v>
      </c>
      <c r="H36" s="35" t="s">
        <v>124</v>
      </c>
      <c r="I36" s="35" t="s">
        <v>125</v>
      </c>
    </row>
    <row r="37" spans="3:9">
      <c r="C37" s="1"/>
      <c r="F37" t="str">
        <f>"Balance on "&amp;TEXT(Date,"mmmm dd, yyyy")</f>
        <v>Balance on February 02, 2026</v>
      </c>
      <c r="G37" s="40">
        <v>0</v>
      </c>
      <c r="H37" s="40">
        <v>0</v>
      </c>
      <c r="I37" s="3">
        <f>SUM(G37:H37)</f>
        <v>0</v>
      </c>
    </row>
    <row r="38" spans="3:9">
      <c r="F38" t="s">
        <v>126</v>
      </c>
      <c r="G38" s="41">
        <v>50000</v>
      </c>
      <c r="I38" s="41">
        <f t="shared" ref="I38:I39" si="3">SUM(G38:H38)</f>
        <v>50000</v>
      </c>
    </row>
    <row r="39" spans="3:9" ht="17.100000000000001" thickBot="1">
      <c r="F39" t="s">
        <v>127</v>
      </c>
      <c r="G39" s="24"/>
      <c r="H39" s="42">
        <f>G29</f>
        <v>1217.5</v>
      </c>
      <c r="I39" s="42">
        <f t="shared" si="3"/>
        <v>1217.5</v>
      </c>
    </row>
    <row r="40" spans="3:9" ht="17.100000000000001" thickBot="1">
      <c r="F40" t="str">
        <f>"Balance on "&amp;TEXT(DATE(YEAR(Date),MONTH(Date)+6,DAY(Date)),"mmmm dd, yyyy")</f>
        <v>Balance on August 02, 2026</v>
      </c>
      <c r="G40" s="43">
        <f>SUM(G37:G39)</f>
        <v>50000</v>
      </c>
      <c r="H40" s="43">
        <f t="shared" ref="H40:I40" si="4">SUM(H37:H39)</f>
        <v>1217.5</v>
      </c>
      <c r="I40" s="43">
        <f t="shared" si="4"/>
        <v>51217.5</v>
      </c>
    </row>
    <row r="41" spans="3:9" ht="17.100000000000001" thickTop="1"/>
    <row r="43" spans="3:9">
      <c r="F43" s="66" t="s">
        <v>81</v>
      </c>
      <c r="G43" s="66"/>
    </row>
    <row r="44" spans="3:9">
      <c r="F44" s="66" t="s">
        <v>128</v>
      </c>
      <c r="G44" s="66"/>
    </row>
    <row r="45" spans="3:9">
      <c r="F45" s="66" t="s">
        <v>115</v>
      </c>
      <c r="G45" s="66"/>
    </row>
    <row r="46" spans="3:9">
      <c r="F46" s="51">
        <f>DATE(YEAR(Date),MONTH(Date)+6,DAY(Date))</f>
        <v>46236</v>
      </c>
      <c r="G46" s="51"/>
    </row>
    <row r="48" spans="3:9">
      <c r="F48" s="66" t="s">
        <v>129</v>
      </c>
      <c r="G48" s="66"/>
    </row>
    <row r="49" spans="5:7">
      <c r="F49" t="s">
        <v>104</v>
      </c>
      <c r="G49" s="3">
        <f>C16</f>
        <v>1158.0328</v>
      </c>
    </row>
    <row r="51" spans="5:7">
      <c r="F51" s="66" t="s">
        <v>130</v>
      </c>
      <c r="G51" s="66"/>
    </row>
    <row r="52" spans="5:7">
      <c r="F52" t="s">
        <v>131</v>
      </c>
      <c r="G52" s="3">
        <v>-50000</v>
      </c>
    </row>
    <row r="54" spans="5:7">
      <c r="F54" s="66" t="s">
        <v>132</v>
      </c>
      <c r="G54" s="66"/>
    </row>
    <row r="55" spans="5:7">
      <c r="F55" t="s">
        <v>133</v>
      </c>
      <c r="G55" s="12">
        <v>50000</v>
      </c>
    </row>
    <row r="57" spans="5:7">
      <c r="F57" t="s">
        <v>134</v>
      </c>
      <c r="G57" s="3">
        <f>SUM(G49:G56)</f>
        <v>1158.0328000000009</v>
      </c>
    </row>
    <row r="58" spans="5:7">
      <c r="E58" t="s">
        <v>135</v>
      </c>
      <c r="F58" s="38">
        <f>Date</f>
        <v>46055</v>
      </c>
      <c r="G58" s="3">
        <v>0</v>
      </c>
    </row>
    <row r="59" spans="5:7" ht="17.100000000000001" thickBot="1">
      <c r="E59" t="s">
        <v>135</v>
      </c>
      <c r="F59" s="38">
        <f>DATE(YEAR(Date),MONTH(Date)+6,DAY(Date))</f>
        <v>46236</v>
      </c>
      <c r="G59" s="7">
        <f>SUM(G57:G58)</f>
        <v>1158.0328000000009</v>
      </c>
    </row>
    <row r="60" spans="5:7" ht="17.100000000000001" thickTop="1"/>
    <row r="61" spans="5:7">
      <c r="F61" s="66" t="s">
        <v>81</v>
      </c>
      <c r="G61" s="66"/>
    </row>
    <row r="62" spans="5:7">
      <c r="F62" s="66" t="s">
        <v>136</v>
      </c>
      <c r="G62" s="66"/>
    </row>
    <row r="63" spans="5:7">
      <c r="F63" s="66" t="s">
        <v>115</v>
      </c>
      <c r="G63" s="66"/>
    </row>
    <row r="64" spans="5:7">
      <c r="F64" s="51">
        <f>DATE(YEAR(Date),MONTH(Date)+6,DAY(Date))</f>
        <v>46236</v>
      </c>
      <c r="G64" s="51"/>
    </row>
    <row r="66" spans="6:7">
      <c r="F66" t="s">
        <v>127</v>
      </c>
      <c r="G66" s="3">
        <f>C7</f>
        <v>1217.5</v>
      </c>
    </row>
    <row r="67" spans="6:7">
      <c r="F67" t="s">
        <v>137</v>
      </c>
      <c r="G67" s="44">
        <f>-C32</f>
        <v>-59.467199999999139</v>
      </c>
    </row>
    <row r="68" spans="6:7" ht="17.100000000000001" thickBot="1">
      <c r="F68" t="s">
        <v>138</v>
      </c>
      <c r="G68" s="7">
        <f>SUM(G66:G67)</f>
        <v>1158.0328000000009</v>
      </c>
    </row>
    <row r="69" spans="6:7" ht="17.100000000000001" thickTop="1"/>
    <row r="81" spans="6:6">
      <c r="F81" s="30"/>
    </row>
  </sheetData>
  <mergeCells count="19">
    <mergeCell ref="F61:G61"/>
    <mergeCell ref="F62:G62"/>
    <mergeCell ref="F63:G63"/>
    <mergeCell ref="F33:I33"/>
    <mergeCell ref="F34:I34"/>
    <mergeCell ref="F54:G54"/>
    <mergeCell ref="F51:G51"/>
    <mergeCell ref="F3:H3"/>
    <mergeCell ref="F4:H4"/>
    <mergeCell ref="F5:H5"/>
    <mergeCell ref="F48:G48"/>
    <mergeCell ref="F20:G20"/>
    <mergeCell ref="F21:G21"/>
    <mergeCell ref="F22:G22"/>
    <mergeCell ref="F43:G43"/>
    <mergeCell ref="F44:G44"/>
    <mergeCell ref="F45:G45"/>
    <mergeCell ref="F31:I31"/>
    <mergeCell ref="F32:I32"/>
  </mergeCells>
  <pageMargins left="0.75" right="0.75" top="1" bottom="1" header="0.5" footer="0.5"/>
  <pageSetup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workbookViewId="0"/>
  </sheetViews>
  <sheetFormatPr defaultColWidth="11" defaultRowHeight="15.95"/>
  <cols>
    <col min="2" max="2" width="33.5" bestFit="1" customWidth="1"/>
    <col min="3" max="3" width="11.5" bestFit="1" customWidth="1"/>
    <col min="8" max="8" width="32.625" customWidth="1"/>
    <col min="9" max="9" width="19.125" customWidth="1"/>
    <col min="10" max="10" width="17.125" bestFit="1" customWidth="1"/>
  </cols>
  <sheetData>
    <row r="1" spans="1:10">
      <c r="A1" t="s">
        <v>139</v>
      </c>
      <c r="D1" s="68">
        <f>DATE(YEAR(Date)+1,MONTH(Date),DAY(Date))</f>
        <v>46420</v>
      </c>
      <c r="E1" s="68"/>
      <c r="H1" t="s">
        <v>95</v>
      </c>
    </row>
    <row r="3" spans="1:10">
      <c r="A3" s="9" t="s">
        <v>140</v>
      </c>
      <c r="H3" s="66" t="s">
        <v>81</v>
      </c>
      <c r="I3" s="66"/>
      <c r="J3" s="66"/>
    </row>
    <row r="4" spans="1:10">
      <c r="H4" s="66" t="s">
        <v>98</v>
      </c>
      <c r="I4" s="66"/>
      <c r="J4" s="66"/>
    </row>
    <row r="5" spans="1:10">
      <c r="A5" t="s">
        <v>141</v>
      </c>
      <c r="C5" s="3">
        <f>'6 Months Later'!G9</f>
        <v>1158.0328</v>
      </c>
      <c r="H5" s="66" t="s">
        <v>92</v>
      </c>
      <c r="I5" s="66"/>
      <c r="J5" s="66"/>
    </row>
    <row r="6" spans="1:10">
      <c r="A6" t="s">
        <v>142</v>
      </c>
      <c r="H6" s="9"/>
      <c r="I6" s="9"/>
      <c r="J6" s="9"/>
    </row>
    <row r="7" spans="1:10">
      <c r="H7" s="9"/>
      <c r="I7" s="50">
        <f>DATE(YEAR(Date)+1,MONTH(Date),DAY(Date))</f>
        <v>46420</v>
      </c>
      <c r="J7" s="50">
        <f>DATE(YEAR(Date),MONTH(Date),DAY(Date)-1)</f>
        <v>46054</v>
      </c>
    </row>
    <row r="8" spans="1:10">
      <c r="B8" t="s">
        <v>97</v>
      </c>
      <c r="C8" s="10">
        <f>'6 Months Later'!C24</f>
        <v>50059.467199999999</v>
      </c>
      <c r="H8" s="9" t="s">
        <v>84</v>
      </c>
    </row>
    <row r="9" spans="1:10">
      <c r="B9" t="s">
        <v>99</v>
      </c>
      <c r="C9" s="1">
        <f>InterestRate</f>
        <v>4.87E-2</v>
      </c>
      <c r="H9" t="s">
        <v>86</v>
      </c>
      <c r="I9" s="3">
        <f>C18*2</f>
        <v>2316.0655999999999</v>
      </c>
      <c r="J9" s="3">
        <v>0</v>
      </c>
    </row>
    <row r="10" spans="1:10">
      <c r="B10" t="s">
        <v>100</v>
      </c>
      <c r="C10">
        <v>2</v>
      </c>
      <c r="H10" t="s">
        <v>103</v>
      </c>
      <c r="I10" s="3">
        <f>C25</f>
        <v>50120.38242632</v>
      </c>
      <c r="J10" s="3">
        <v>0</v>
      </c>
    </row>
    <row r="11" spans="1:10" ht="17.100000000000001" thickBot="1">
      <c r="B11" t="s">
        <v>101</v>
      </c>
      <c r="C11" s="7">
        <f>C8*(C9/C10)</f>
        <v>1218.9480263200001</v>
      </c>
      <c r="H11" t="s">
        <v>105</v>
      </c>
      <c r="I11" s="7">
        <f t="shared" ref="I11:J11" si="0">SUM(I9:I10)</f>
        <v>52436.448026320002</v>
      </c>
      <c r="J11" s="7">
        <f t="shared" si="0"/>
        <v>0</v>
      </c>
    </row>
    <row r="12" spans="1:10" ht="17.100000000000001" thickTop="1"/>
    <row r="13" spans="1:10">
      <c r="A13" s="9" t="s">
        <v>143</v>
      </c>
      <c r="H13" s="9" t="s">
        <v>107</v>
      </c>
      <c r="I13" s="3">
        <v>0</v>
      </c>
      <c r="J13" s="3">
        <v>0</v>
      </c>
    </row>
    <row r="15" spans="1:10">
      <c r="B15" t="s">
        <v>106</v>
      </c>
      <c r="C15" s="3">
        <f>'Economics of 165WA''s investment'!B1</f>
        <v>57901.64</v>
      </c>
      <c r="H15" s="9" t="s">
        <v>109</v>
      </c>
    </row>
    <row r="16" spans="1:10">
      <c r="B16" t="s">
        <v>108</v>
      </c>
      <c r="C16" s="1">
        <f>CouponRate</f>
        <v>0.04</v>
      </c>
      <c r="H16" t="s">
        <v>111</v>
      </c>
      <c r="I16" s="3">
        <v>50000</v>
      </c>
      <c r="J16" s="3">
        <v>0</v>
      </c>
    </row>
    <row r="17" spans="1:11">
      <c r="B17" t="s">
        <v>144</v>
      </c>
      <c r="C17">
        <v>2</v>
      </c>
      <c r="H17" t="s">
        <v>112</v>
      </c>
      <c r="I17" s="3">
        <f>J17+I29</f>
        <v>2436.4480263200003</v>
      </c>
      <c r="J17" s="3">
        <v>0</v>
      </c>
    </row>
    <row r="18" spans="1:11" ht="17.100000000000001" thickBot="1">
      <c r="B18" t="s">
        <v>145</v>
      </c>
      <c r="C18" s="7">
        <f>C15*(C16/C17)</f>
        <v>1158.0328</v>
      </c>
      <c r="I18" s="7">
        <f t="shared" ref="I18:J18" si="1">SUM(I16:I17)</f>
        <v>52436.448026320002</v>
      </c>
      <c r="J18" s="7">
        <f t="shared" si="1"/>
        <v>0</v>
      </c>
    </row>
    <row r="19" spans="1:11" ht="17.100000000000001" thickTop="1"/>
    <row r="20" spans="1:11">
      <c r="A20" s="9" t="s">
        <v>146</v>
      </c>
      <c r="H20" s="66" t="s">
        <v>81</v>
      </c>
      <c r="I20" s="66"/>
    </row>
    <row r="21" spans="1:11">
      <c r="H21" s="66" t="s">
        <v>114</v>
      </c>
      <c r="I21" s="66"/>
    </row>
    <row r="22" spans="1:11">
      <c r="B22" t="s">
        <v>147</v>
      </c>
      <c r="C22" s="3">
        <f>C8</f>
        <v>50059.467199999999</v>
      </c>
      <c r="H22" s="66" t="s">
        <v>148</v>
      </c>
      <c r="I22" s="66"/>
    </row>
    <row r="23" spans="1:11">
      <c r="B23" t="s">
        <v>104</v>
      </c>
      <c r="C23" s="3">
        <f>-C18</f>
        <v>-1158.0328</v>
      </c>
      <c r="H23" s="67">
        <f>DATE(YEAR(Date)+1,MONTH(Date),DAY(Date))</f>
        <v>46420</v>
      </c>
      <c r="I23" s="67"/>
    </row>
    <row r="24" spans="1:11">
      <c r="B24" t="s">
        <v>101</v>
      </c>
      <c r="C24" s="3">
        <f>C11</f>
        <v>1218.9480263200001</v>
      </c>
    </row>
    <row r="25" spans="1:11" ht="17.100000000000001" thickBot="1">
      <c r="B25" t="s">
        <v>149</v>
      </c>
      <c r="C25" s="7">
        <f>SUM(C22:C24)</f>
        <v>50120.38242632</v>
      </c>
      <c r="H25" s="9" t="s">
        <v>116</v>
      </c>
    </row>
    <row r="26" spans="1:11" ht="17.100000000000001" thickTop="1">
      <c r="H26" t="s">
        <v>118</v>
      </c>
      <c r="I26" s="3">
        <f>'6 Months Later'!C7+C24</f>
        <v>2436.4480263200003</v>
      </c>
    </row>
    <row r="27" spans="1:11">
      <c r="B27" t="s">
        <v>117</v>
      </c>
      <c r="C27" s="3">
        <f>C25-C22</f>
        <v>60.915226320001238</v>
      </c>
      <c r="I27" s="3"/>
    </row>
    <row r="28" spans="1:11">
      <c r="H28" s="9" t="s">
        <v>120</v>
      </c>
      <c r="I28" s="3">
        <v>0</v>
      </c>
    </row>
    <row r="29" spans="1:11" ht="17.100000000000001" thickBot="1">
      <c r="B29" t="s">
        <v>150</v>
      </c>
      <c r="H29" s="9" t="s">
        <v>122</v>
      </c>
      <c r="I29" s="7">
        <f>SUM(I26:I28)</f>
        <v>2436.4480263200003</v>
      </c>
    </row>
    <row r="30" spans="1:11" ht="17.100000000000001" thickTop="1">
      <c r="B30" t="s">
        <v>151</v>
      </c>
    </row>
    <row r="31" spans="1:11">
      <c r="B31" s="37">
        <f>DATE(YEAR(Date)+1,MONTH(Date),DAY(Date))</f>
        <v>46420</v>
      </c>
      <c r="C31" s="3">
        <f>C25</f>
        <v>50120.38242632</v>
      </c>
      <c r="H31" s="67" t="s">
        <v>81</v>
      </c>
      <c r="I31" s="74"/>
      <c r="J31" s="74"/>
      <c r="K31" s="74"/>
    </row>
    <row r="32" spans="1:11">
      <c r="B32" s="37">
        <f>DATE(YEAR(Date),MONTH(Date)+6,DAY(Date))</f>
        <v>46236</v>
      </c>
      <c r="C32" s="3">
        <f>C22</f>
        <v>50059.467199999999</v>
      </c>
      <c r="H32" s="67" t="s">
        <v>123</v>
      </c>
      <c r="I32" s="74"/>
      <c r="J32" s="74"/>
      <c r="K32" s="74"/>
    </row>
    <row r="33" spans="2:11" ht="17.100000000000001" thickBot="1">
      <c r="B33" t="s">
        <v>152</v>
      </c>
      <c r="C33" s="15">
        <f>-C32+C31</f>
        <v>60.915226320001238</v>
      </c>
      <c r="H33" s="67" t="s">
        <v>148</v>
      </c>
      <c r="I33" s="74"/>
      <c r="J33" s="74"/>
      <c r="K33" s="74"/>
    </row>
    <row r="34" spans="2:11" ht="17.100000000000001" thickTop="1">
      <c r="H34" s="67">
        <f>DATE(YEAR(Date)+1,MONTH(Date),DAY(Date))</f>
        <v>46420</v>
      </c>
      <c r="I34" s="74"/>
      <c r="J34" s="74"/>
      <c r="K34" s="74"/>
    </row>
    <row r="36" spans="2:11" ht="17.100000000000001" thickBot="1">
      <c r="I36" s="35" t="s">
        <v>111</v>
      </c>
      <c r="J36" s="35" t="s">
        <v>124</v>
      </c>
      <c r="K36" s="35" t="s">
        <v>125</v>
      </c>
    </row>
    <row r="37" spans="2:11">
      <c r="H37" t="str">
        <f>"Balance on "&amp;TEXT(Date,"mmmm dd, yyyy")</f>
        <v>Balance on February 02, 2026</v>
      </c>
      <c r="I37" s="40">
        <v>0</v>
      </c>
      <c r="J37" s="40">
        <v>0</v>
      </c>
      <c r="K37" s="3">
        <v>0</v>
      </c>
    </row>
    <row r="38" spans="2:11">
      <c r="H38" t="s">
        <v>126</v>
      </c>
      <c r="I38" s="41">
        <v>50000</v>
      </c>
      <c r="K38" s="41">
        <v>50000</v>
      </c>
    </row>
    <row r="39" spans="2:11" ht="17.100000000000001" thickBot="1">
      <c r="H39" t="s">
        <v>127</v>
      </c>
      <c r="I39" s="24"/>
      <c r="J39" s="42">
        <f>I29</f>
        <v>2436.4480263200003</v>
      </c>
      <c r="K39" s="42">
        <v>1197.5</v>
      </c>
    </row>
    <row r="40" spans="2:11" ht="17.100000000000001" thickBot="1">
      <c r="H40" t="str">
        <f>"Balance on "&amp;TEXT(DATE(YEAR(Date)+1,MONTH(Date),DAY(Date)),"mmmm dd, yyyy")</f>
        <v>Balance on February 02, 2027</v>
      </c>
      <c r="I40" s="43">
        <v>50000</v>
      </c>
      <c r="J40" s="43">
        <v>1197.5</v>
      </c>
      <c r="K40" s="43">
        <v>51197.5</v>
      </c>
    </row>
    <row r="41" spans="2:11" ht="17.100000000000001" thickTop="1"/>
    <row r="43" spans="2:11">
      <c r="H43" s="66" t="s">
        <v>81</v>
      </c>
      <c r="I43" s="66"/>
    </row>
    <row r="44" spans="2:11">
      <c r="H44" s="66" t="s">
        <v>128</v>
      </c>
      <c r="I44" s="66"/>
    </row>
    <row r="45" spans="2:11">
      <c r="H45" s="66" t="s">
        <v>148</v>
      </c>
      <c r="I45" s="66"/>
    </row>
    <row r="46" spans="2:11">
      <c r="H46" s="67">
        <f>DATE(YEAR(Date)+1,MONTH(Date),DAY(Date))</f>
        <v>46420</v>
      </c>
      <c r="I46" s="67"/>
    </row>
    <row r="48" spans="2:11">
      <c r="H48" s="66" t="s">
        <v>129</v>
      </c>
      <c r="I48" s="66"/>
    </row>
    <row r="49" spans="7:9">
      <c r="H49" t="s">
        <v>153</v>
      </c>
      <c r="I49" s="3">
        <f>2*C18</f>
        <v>2316.0655999999999</v>
      </c>
    </row>
    <row r="51" spans="7:9">
      <c r="H51" s="66" t="s">
        <v>130</v>
      </c>
      <c r="I51" s="66"/>
    </row>
    <row r="52" spans="7:9">
      <c r="H52" t="s">
        <v>131</v>
      </c>
      <c r="I52" s="3">
        <v>-50000</v>
      </c>
    </row>
    <row r="54" spans="7:9">
      <c r="H54" s="66" t="s">
        <v>132</v>
      </c>
      <c r="I54" s="66"/>
    </row>
    <row r="55" spans="7:9">
      <c r="H55" t="s">
        <v>154</v>
      </c>
      <c r="I55" s="12">
        <v>50000</v>
      </c>
    </row>
    <row r="57" spans="7:9">
      <c r="H57" t="s">
        <v>134</v>
      </c>
      <c r="I57" s="3">
        <f>SUM(I49:I56)</f>
        <v>2316.0656000000017</v>
      </c>
    </row>
    <row r="58" spans="7:9">
      <c r="G58" t="s">
        <v>155</v>
      </c>
      <c r="H58" s="29">
        <f>Date</f>
        <v>46055</v>
      </c>
      <c r="I58" s="3">
        <v>0</v>
      </c>
    </row>
    <row r="59" spans="7:9" ht="17.100000000000001" thickBot="1">
      <c r="G59" t="s">
        <v>155</v>
      </c>
      <c r="H59" s="29">
        <f>DATE(YEAR(Date)+1,MONTH(Date),DAY(Date))</f>
        <v>46420</v>
      </c>
      <c r="I59" s="7">
        <f>SUM(I57:I58)</f>
        <v>2316.0656000000017</v>
      </c>
    </row>
    <row r="60" spans="7:9" ht="17.100000000000001" thickTop="1"/>
    <row r="61" spans="7:9">
      <c r="H61" s="66" t="s">
        <v>81</v>
      </c>
      <c r="I61" s="66"/>
    </row>
    <row r="62" spans="7:9">
      <c r="H62" s="66" t="s">
        <v>136</v>
      </c>
      <c r="I62" s="66"/>
    </row>
    <row r="63" spans="7:9">
      <c r="H63" s="66" t="s">
        <v>148</v>
      </c>
      <c r="I63" s="66"/>
    </row>
    <row r="64" spans="7:9">
      <c r="H64" s="67">
        <f>DATE(YEAR(Date)+1,MONTH(Date),DAY(Date))</f>
        <v>46420</v>
      </c>
      <c r="I64" s="67"/>
    </row>
    <row r="66" spans="8:9">
      <c r="H66" s="66"/>
      <c r="I66" s="66"/>
    </row>
    <row r="67" spans="8:9">
      <c r="H67" t="s">
        <v>127</v>
      </c>
      <c r="I67" s="3">
        <f>I29</f>
        <v>2436.4480263200003</v>
      </c>
    </row>
    <row r="68" spans="8:9">
      <c r="H68" t="s">
        <v>137</v>
      </c>
      <c r="I68" s="45">
        <f>-('6 Months Later'!C26+'1 Year Later'!C27)</f>
        <v>-120.38242632000038</v>
      </c>
    </row>
    <row r="69" spans="8:9" ht="17.100000000000001" thickBot="1">
      <c r="H69" t="s">
        <v>138</v>
      </c>
      <c r="I69" s="7">
        <f>SUM(I67:I68)</f>
        <v>2316.0655999999999</v>
      </c>
    </row>
    <row r="70" spans="8:9" ht="17.100000000000001" thickTop="1"/>
  </sheetData>
  <mergeCells count="24">
    <mergeCell ref="H63:I63"/>
    <mergeCell ref="H66:I66"/>
    <mergeCell ref="H64:I64"/>
    <mergeCell ref="H54:I54"/>
    <mergeCell ref="H3:J3"/>
    <mergeCell ref="H4:J4"/>
    <mergeCell ref="H5:J5"/>
    <mergeCell ref="H20:I20"/>
    <mergeCell ref="H21:I21"/>
    <mergeCell ref="D1:E1"/>
    <mergeCell ref="H23:I23"/>
    <mergeCell ref="H46:I46"/>
    <mergeCell ref="H61:I61"/>
    <mergeCell ref="H62:I62"/>
    <mergeCell ref="H22:I22"/>
    <mergeCell ref="H43:I43"/>
    <mergeCell ref="H44:I44"/>
    <mergeCell ref="H45:I45"/>
    <mergeCell ref="H48:I48"/>
    <mergeCell ref="H31:K31"/>
    <mergeCell ref="H32:K32"/>
    <mergeCell ref="H33:K33"/>
    <mergeCell ref="H34:K34"/>
    <mergeCell ref="H51:I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8"/>
  <sheetViews>
    <sheetView workbookViewId="0"/>
  </sheetViews>
  <sheetFormatPr defaultColWidth="11" defaultRowHeight="15.95"/>
  <cols>
    <col min="1" max="1" width="18.625" customWidth="1"/>
    <col min="2" max="2" width="36.625" customWidth="1"/>
    <col min="3" max="3" width="11.5" bestFit="1" customWidth="1"/>
    <col min="5" max="5" width="35.625" customWidth="1"/>
    <col min="6" max="6" width="18" customWidth="1"/>
    <col min="7" max="7" width="17.375" customWidth="1"/>
    <col min="8" max="8" width="11.5" bestFit="1" customWidth="1"/>
  </cols>
  <sheetData>
    <row r="1" spans="1:7">
      <c r="A1" t="s">
        <v>156</v>
      </c>
      <c r="C1" s="67">
        <f>DATE(YEAR(Date)+2,MONTH(Date),DAY(Date))</f>
        <v>46785</v>
      </c>
      <c r="D1" s="67"/>
      <c r="E1" t="s">
        <v>95</v>
      </c>
    </row>
    <row r="3" spans="1:7">
      <c r="A3" s="9" t="s">
        <v>157</v>
      </c>
      <c r="E3" s="66" t="s">
        <v>81</v>
      </c>
      <c r="F3" s="66"/>
      <c r="G3" s="66"/>
    </row>
    <row r="4" spans="1:7">
      <c r="E4" s="66" t="s">
        <v>98</v>
      </c>
      <c r="F4" s="66"/>
      <c r="G4" s="66"/>
    </row>
    <row r="5" spans="1:7">
      <c r="A5" t="s">
        <v>158</v>
      </c>
      <c r="B5" t="s">
        <v>97</v>
      </c>
      <c r="C5" s="3">
        <f>'1 Year Later'!I10</f>
        <v>50120.38242632</v>
      </c>
      <c r="E5" s="66" t="s">
        <v>159</v>
      </c>
      <c r="F5" s="66"/>
      <c r="G5" s="66"/>
    </row>
    <row r="6" spans="1:7">
      <c r="B6" t="s">
        <v>99</v>
      </c>
      <c r="C6" s="1">
        <f>InterestRate</f>
        <v>4.87E-2</v>
      </c>
      <c r="E6" s="9"/>
      <c r="F6" s="9"/>
      <c r="G6" s="9"/>
    </row>
    <row r="7" spans="1:7">
      <c r="B7" t="s">
        <v>100</v>
      </c>
      <c r="C7">
        <v>2</v>
      </c>
      <c r="E7" s="9"/>
      <c r="F7" s="49">
        <f>DATE(YEAR(Date)+2,MONTH(Date),DAY(Date))</f>
        <v>46785</v>
      </c>
      <c r="G7" s="49">
        <f>DATE(YEAR(Date)+1,MONTH(Date),DAY(Date))</f>
        <v>46420</v>
      </c>
    </row>
    <row r="8" spans="1:7" ht="17.100000000000001" thickBot="1">
      <c r="B8" t="s">
        <v>101</v>
      </c>
      <c r="C8" s="7">
        <f>C5*(C6/C7)</f>
        <v>1220.431312080892</v>
      </c>
      <c r="E8" s="9" t="s">
        <v>84</v>
      </c>
    </row>
    <row r="9" spans="1:7" ht="17.100000000000001" thickTop="1">
      <c r="E9" t="s">
        <v>86</v>
      </c>
      <c r="F9" s="3">
        <f>G9+C25</f>
        <v>4632.1311999999998</v>
      </c>
      <c r="G9" s="3">
        <f>'1 Year Later'!I9</f>
        <v>2316.0655999999999</v>
      </c>
    </row>
    <row r="10" spans="1:7">
      <c r="A10" t="s">
        <v>160</v>
      </c>
      <c r="B10" t="s">
        <v>97</v>
      </c>
      <c r="C10" s="3">
        <f>C5+C8-C23</f>
        <v>50182.780938400894</v>
      </c>
      <c r="E10" t="s">
        <v>103</v>
      </c>
      <c r="F10" s="3">
        <f>C33</f>
        <v>50246.69885425095</v>
      </c>
      <c r="G10" s="10">
        <f>C5</f>
        <v>50120.38242632</v>
      </c>
    </row>
    <row r="11" spans="1:7" ht="17.100000000000001" thickBot="1">
      <c r="B11" t="s">
        <v>99</v>
      </c>
      <c r="C11" s="1">
        <f>InterestRate</f>
        <v>4.87E-2</v>
      </c>
      <c r="E11" t="s">
        <v>105</v>
      </c>
      <c r="F11" s="7">
        <f t="shared" ref="F11:G11" si="0">SUM(F9:F10)</f>
        <v>54878.830054250953</v>
      </c>
      <c r="G11" s="7">
        <f t="shared" si="0"/>
        <v>52436.448026320002</v>
      </c>
    </row>
    <row r="12" spans="1:7" ht="17.100000000000001" thickTop="1">
      <c r="B12" t="s">
        <v>100</v>
      </c>
      <c r="C12">
        <v>2</v>
      </c>
    </row>
    <row r="13" spans="1:7" ht="17.100000000000001" thickBot="1">
      <c r="B13" t="s">
        <v>101</v>
      </c>
      <c r="C13" s="7">
        <f>C10*(C11/C12)</f>
        <v>1221.9507158500617</v>
      </c>
      <c r="E13" s="9" t="s">
        <v>107</v>
      </c>
      <c r="F13" s="3">
        <v>0</v>
      </c>
      <c r="G13" s="3">
        <v>0</v>
      </c>
    </row>
    <row r="14" spans="1:7" ht="17.100000000000001" thickTop="1"/>
    <row r="15" spans="1:7" ht="17.100000000000001" thickBot="1">
      <c r="A15" t="s">
        <v>161</v>
      </c>
      <c r="C15" s="13">
        <f>C8+C13</f>
        <v>2442.3820279309539</v>
      </c>
      <c r="E15" s="9" t="s">
        <v>109</v>
      </c>
    </row>
    <row r="16" spans="1:7" ht="17.100000000000001" thickTop="1">
      <c r="E16" t="s">
        <v>111</v>
      </c>
      <c r="F16" s="3">
        <v>50000</v>
      </c>
      <c r="G16" s="3">
        <f>'1 Year Later'!I16</f>
        <v>50000</v>
      </c>
    </row>
    <row r="17" spans="1:8">
      <c r="E17" t="s">
        <v>112</v>
      </c>
      <c r="F17" s="3">
        <f>'1 Year Later'!I17+C32</f>
        <v>4878.8300542509542</v>
      </c>
      <c r="G17" s="3">
        <f>'1 Year Later'!I17</f>
        <v>2436.4480263200003</v>
      </c>
    </row>
    <row r="18" spans="1:8" ht="17.100000000000001" thickBot="1">
      <c r="A18" s="9" t="s">
        <v>162</v>
      </c>
      <c r="F18" s="7">
        <f t="shared" ref="F18:G18" si="1">SUM(F16:F17)</f>
        <v>54878.830054250953</v>
      </c>
      <c r="G18" s="7">
        <f t="shared" si="1"/>
        <v>52436.448026320002</v>
      </c>
    </row>
    <row r="19" spans="1:8" ht="17.100000000000001" thickTop="1"/>
    <row r="20" spans="1:8">
      <c r="B20" t="s">
        <v>106</v>
      </c>
      <c r="C20" s="3">
        <f>'Economics of 165WA''s investment'!B1</f>
        <v>57901.64</v>
      </c>
      <c r="E20" s="66" t="s">
        <v>81</v>
      </c>
      <c r="F20" s="66"/>
    </row>
    <row r="21" spans="1:8">
      <c r="B21" t="s">
        <v>108</v>
      </c>
      <c r="C21" s="1">
        <f>CouponRate</f>
        <v>0.04</v>
      </c>
      <c r="E21" s="66" t="s">
        <v>114</v>
      </c>
      <c r="F21" s="66"/>
    </row>
    <row r="22" spans="1:8">
      <c r="B22" t="s">
        <v>144</v>
      </c>
      <c r="C22" s="14">
        <v>2</v>
      </c>
      <c r="E22" s="66" t="s">
        <v>148</v>
      </c>
      <c r="F22" s="66"/>
    </row>
    <row r="23" spans="1:8">
      <c r="B23" t="s">
        <v>163</v>
      </c>
      <c r="C23" s="3">
        <f>C20*(C21/C22)</f>
        <v>1158.0328</v>
      </c>
      <c r="E23" s="69">
        <f>DATE(YEAR(Date)+2,MONTH(Date),DAY(Date))</f>
        <v>46785</v>
      </c>
      <c r="F23" s="69"/>
    </row>
    <row r="24" spans="1:8">
      <c r="B24" t="s">
        <v>164</v>
      </c>
      <c r="C24" s="14">
        <v>2</v>
      </c>
    </row>
    <row r="25" spans="1:8" ht="17.100000000000001" thickBot="1">
      <c r="B25" t="s">
        <v>165</v>
      </c>
      <c r="C25" s="7">
        <f>C23*C24</f>
        <v>2316.0655999999999</v>
      </c>
      <c r="E25" s="9" t="s">
        <v>116</v>
      </c>
    </row>
    <row r="26" spans="1:8" ht="17.100000000000001" thickTop="1">
      <c r="E26" t="s">
        <v>118</v>
      </c>
      <c r="F26" s="3">
        <f>C32</f>
        <v>2442.3820279309539</v>
      </c>
    </row>
    <row r="27" spans="1:8">
      <c r="F27" s="3"/>
    </row>
    <row r="28" spans="1:8">
      <c r="A28" s="9" t="s">
        <v>166</v>
      </c>
      <c r="E28" s="9" t="s">
        <v>120</v>
      </c>
      <c r="F28" s="3">
        <v>0</v>
      </c>
    </row>
    <row r="29" spans="1:8" ht="17.100000000000001" thickBot="1">
      <c r="E29" s="9" t="s">
        <v>122</v>
      </c>
      <c r="F29" s="7">
        <f>SUM(F26:F28)</f>
        <v>2442.3820279309539</v>
      </c>
    </row>
    <row r="30" spans="1:8" ht="17.100000000000001" thickTop="1">
      <c r="B30" t="s">
        <v>147</v>
      </c>
      <c r="C30" s="3">
        <f>C5</f>
        <v>50120.38242632</v>
      </c>
    </row>
    <row r="31" spans="1:8">
      <c r="B31" t="s">
        <v>153</v>
      </c>
      <c r="C31" s="3">
        <f>-C25</f>
        <v>-2316.0655999999999</v>
      </c>
      <c r="E31" s="67" t="s">
        <v>81</v>
      </c>
      <c r="F31" s="74"/>
      <c r="G31" s="74"/>
      <c r="H31" s="74"/>
    </row>
    <row r="32" spans="1:8">
      <c r="B32" t="s">
        <v>101</v>
      </c>
      <c r="C32" s="3">
        <f>C15</f>
        <v>2442.3820279309539</v>
      </c>
      <c r="E32" s="67" t="s">
        <v>123</v>
      </c>
      <c r="F32" s="74"/>
      <c r="G32" s="74"/>
      <c r="H32" s="74"/>
    </row>
    <row r="33" spans="2:8" ht="17.100000000000001" thickBot="1">
      <c r="B33" t="s">
        <v>149</v>
      </c>
      <c r="C33" s="7">
        <f>SUM(C30:C32)</f>
        <v>50246.69885425095</v>
      </c>
      <c r="E33" s="67" t="s">
        <v>148</v>
      </c>
      <c r="F33" s="74"/>
      <c r="G33" s="74"/>
      <c r="H33" s="74"/>
    </row>
    <row r="34" spans="2:8" ht="17.100000000000001" thickTop="1">
      <c r="E34" s="67">
        <f>DATE(YEAR(Date)+2,MONTH(Date),DAY(Date))</f>
        <v>46785</v>
      </c>
      <c r="F34" s="74"/>
      <c r="G34" s="74"/>
      <c r="H34" s="74"/>
    </row>
    <row r="35" spans="2:8">
      <c r="B35" t="s">
        <v>167</v>
      </c>
      <c r="C35" s="3">
        <f>C33-C30</f>
        <v>126.31642793094943</v>
      </c>
    </row>
    <row r="36" spans="2:8" ht="17.100000000000001" thickBot="1">
      <c r="F36" s="35" t="s">
        <v>111</v>
      </c>
      <c r="G36" s="35" t="s">
        <v>124</v>
      </c>
      <c r="H36" s="35" t="s">
        <v>125</v>
      </c>
    </row>
    <row r="37" spans="2:8">
      <c r="E37" t="str">
        <f>"Balance on "&amp;TEXT(DATE(YEAR(Date)+1,MONTH(Date),DAY(Date)),"mmmm dd, yyyy")</f>
        <v>Balance on February 02, 2027</v>
      </c>
      <c r="F37" s="40">
        <f>'1 Year Later'!I16</f>
        <v>50000</v>
      </c>
      <c r="G37" s="40">
        <f>G17</f>
        <v>2436.4480263200003</v>
      </c>
      <c r="H37" s="3">
        <f>SUM(F37:G37)</f>
        <v>52436.448026320002</v>
      </c>
    </row>
    <row r="38" spans="2:8">
      <c r="E38" t="s">
        <v>126</v>
      </c>
      <c r="F38" s="41">
        <v>0</v>
      </c>
      <c r="G38" s="41">
        <v>0</v>
      </c>
      <c r="H38" s="3">
        <f t="shared" ref="H38:H39" si="2">SUM(F38:G38)</f>
        <v>0</v>
      </c>
    </row>
    <row r="39" spans="2:8" ht="17.100000000000001" thickBot="1">
      <c r="E39" t="s">
        <v>127</v>
      </c>
      <c r="F39" s="24"/>
      <c r="G39" s="42">
        <f>F29</f>
        <v>2442.3820279309539</v>
      </c>
      <c r="H39" s="3">
        <f t="shared" si="2"/>
        <v>2442.3820279309539</v>
      </c>
    </row>
    <row r="40" spans="2:8" ht="17.100000000000001" thickBot="1">
      <c r="E40" t="str">
        <f>"Balance on "&amp;TEXT(DATE(YEAR(Date)+2,MONTH(Date),DAY(Date)),"mmmm dd, yyyy")</f>
        <v>Balance on February 02, 2028</v>
      </c>
      <c r="F40" s="43">
        <f>SUM(F37:F39)</f>
        <v>50000</v>
      </c>
      <c r="G40" s="43">
        <f>SUM(G37:G39)</f>
        <v>4878.8300542509542</v>
      </c>
      <c r="H40" s="43">
        <f>SUM(H37:H39)</f>
        <v>54878.830054250953</v>
      </c>
    </row>
    <row r="41" spans="2:8" ht="17.100000000000001" thickTop="1"/>
    <row r="43" spans="2:8">
      <c r="E43" s="66" t="s">
        <v>81</v>
      </c>
      <c r="F43" s="66"/>
    </row>
    <row r="44" spans="2:8">
      <c r="E44" s="66" t="s">
        <v>168</v>
      </c>
      <c r="F44" s="66"/>
    </row>
    <row r="45" spans="2:8">
      <c r="E45" s="66" t="s">
        <v>148</v>
      </c>
      <c r="F45" s="66"/>
    </row>
    <row r="46" spans="2:8">
      <c r="E46" s="69">
        <f>DATE(YEAR(Date)+2,MONTH(Date),DAY(Date))</f>
        <v>46785</v>
      </c>
      <c r="F46" s="69"/>
    </row>
    <row r="48" spans="2:8">
      <c r="E48" s="66" t="s">
        <v>129</v>
      </c>
      <c r="F48" s="66"/>
    </row>
    <row r="49" spans="4:6">
      <c r="E49" t="s">
        <v>153</v>
      </c>
      <c r="F49" s="3">
        <f>2*C23</f>
        <v>2316.0655999999999</v>
      </c>
    </row>
    <row r="51" spans="4:6">
      <c r="E51" s="66" t="s">
        <v>130</v>
      </c>
      <c r="F51" s="66"/>
    </row>
    <row r="52" spans="4:6">
      <c r="F52" s="3"/>
    </row>
    <row r="53" spans="4:6">
      <c r="E53" s="66" t="s">
        <v>132</v>
      </c>
      <c r="F53" s="66"/>
    </row>
    <row r="54" spans="4:6">
      <c r="F54" s="12"/>
    </row>
    <row r="56" spans="4:6">
      <c r="E56" t="s">
        <v>134</v>
      </c>
      <c r="F56" s="3">
        <f>SUM(F49:F55)</f>
        <v>2316.0655999999999</v>
      </c>
    </row>
    <row r="57" spans="4:6">
      <c r="D57" t="s">
        <v>155</v>
      </c>
      <c r="E57" s="29">
        <f>DATE(YEAR(Date)+1,MONTH(Date),DAY(Date))</f>
        <v>46420</v>
      </c>
      <c r="F57" s="3">
        <f>G9</f>
        <v>2316.0655999999999</v>
      </c>
    </row>
    <row r="58" spans="4:6" ht="17.100000000000001" thickBot="1">
      <c r="D58" t="s">
        <v>155</v>
      </c>
      <c r="E58" s="29">
        <f>DATE(YEAR(Date)+2,MONTH(Date),DAY(Date))</f>
        <v>46785</v>
      </c>
      <c r="F58" s="7">
        <f>SUM(F56:F57)</f>
        <v>4632.1311999999998</v>
      </c>
    </row>
    <row r="59" spans="4:6" ht="17.100000000000001" thickTop="1"/>
    <row r="60" spans="4:6">
      <c r="E60" s="66" t="s">
        <v>81</v>
      </c>
      <c r="F60" s="66"/>
    </row>
    <row r="61" spans="4:6">
      <c r="E61" s="66" t="s">
        <v>136</v>
      </c>
      <c r="F61" s="66"/>
    </row>
    <row r="62" spans="4:6">
      <c r="E62" s="66" t="s">
        <v>148</v>
      </c>
      <c r="F62" s="66"/>
    </row>
    <row r="63" spans="4:6">
      <c r="E63" s="69">
        <f>DATE(YEAR(Date)+2,MONTH(Date),DAY(Date))</f>
        <v>46785</v>
      </c>
      <c r="F63" s="69"/>
    </row>
    <row r="65" spans="5:6">
      <c r="E65" t="s">
        <v>122</v>
      </c>
      <c r="F65" s="3">
        <f>F29</f>
        <v>2442.3820279309539</v>
      </c>
    </row>
    <row r="66" spans="5:6">
      <c r="E66" t="s">
        <v>169</v>
      </c>
      <c r="F66" s="45">
        <f>-C35</f>
        <v>-126.31642793094943</v>
      </c>
    </row>
    <row r="67" spans="5:6" ht="17.100000000000001" thickBot="1">
      <c r="E67" t="s">
        <v>138</v>
      </c>
      <c r="F67" s="7">
        <f>F65+F66</f>
        <v>2316.0656000000045</v>
      </c>
    </row>
    <row r="68" spans="5:6" ht="17.100000000000001" thickTop="1"/>
  </sheetData>
  <mergeCells count="23">
    <mergeCell ref="C1:D1"/>
    <mergeCell ref="E60:F60"/>
    <mergeCell ref="E61:F61"/>
    <mergeCell ref="E62:F62"/>
    <mergeCell ref="E63:F63"/>
    <mergeCell ref="E53:F53"/>
    <mergeCell ref="E3:G3"/>
    <mergeCell ref="E4:G4"/>
    <mergeCell ref="E5:G5"/>
    <mergeCell ref="E20:F20"/>
    <mergeCell ref="E21:F21"/>
    <mergeCell ref="E22:F22"/>
    <mergeCell ref="E43:F43"/>
    <mergeCell ref="E44:F44"/>
    <mergeCell ref="E45:F45"/>
    <mergeCell ref="E48:F48"/>
    <mergeCell ref="E23:F23"/>
    <mergeCell ref="E51:F51"/>
    <mergeCell ref="E46:F46"/>
    <mergeCell ref="E31:H31"/>
    <mergeCell ref="E32:H32"/>
    <mergeCell ref="E33:H33"/>
    <mergeCell ref="E34:H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F663-4B06-4E35-9EA9-BF8F5889D2A0}">
  <dimension ref="A1:L68"/>
  <sheetViews>
    <sheetView workbookViewId="0"/>
  </sheetViews>
  <sheetFormatPr defaultColWidth="11" defaultRowHeight="15.95"/>
  <cols>
    <col min="1" max="1" width="18.625" customWidth="1"/>
    <col min="2" max="2" width="36.625" customWidth="1"/>
    <col min="3" max="3" width="11.5" bestFit="1" customWidth="1"/>
    <col min="4" max="4" width="9" bestFit="1" customWidth="1"/>
    <col min="5" max="5" width="35.625" customWidth="1"/>
    <col min="6" max="6" width="17.5" customWidth="1"/>
    <col min="7" max="7" width="14.125" customWidth="1"/>
    <col min="8" max="8" width="11.5" bestFit="1" customWidth="1"/>
    <col min="9" max="9" width="11.5" customWidth="1"/>
    <col min="10" max="10" width="40.125" bestFit="1" customWidth="1"/>
    <col min="11" max="11" width="17.5" customWidth="1"/>
    <col min="12" max="12" width="18.625" bestFit="1" customWidth="1"/>
    <col min="13" max="13" width="12" bestFit="1" customWidth="1"/>
  </cols>
  <sheetData>
    <row r="1" spans="1:12">
      <c r="A1" t="s">
        <v>156</v>
      </c>
      <c r="C1" s="67">
        <f>DATE(YEAR(Date)+3,MONTH(Date),DAY(Date))</f>
        <v>47151</v>
      </c>
      <c r="D1" s="67"/>
      <c r="E1" s="9" t="s">
        <v>95</v>
      </c>
    </row>
    <row r="2" spans="1:12">
      <c r="J2" s="56"/>
      <c r="K2" s="56"/>
      <c r="L2" s="56"/>
    </row>
    <row r="3" spans="1:12">
      <c r="A3" s="9" t="s">
        <v>170</v>
      </c>
      <c r="E3" s="66" t="s">
        <v>81</v>
      </c>
      <c r="F3" s="66"/>
      <c r="G3" s="66"/>
      <c r="J3" s="72" t="s">
        <v>81</v>
      </c>
      <c r="K3" s="72"/>
      <c r="L3" s="72"/>
    </row>
    <row r="4" spans="1:12">
      <c r="E4" s="66" t="s">
        <v>98</v>
      </c>
      <c r="F4" s="66"/>
      <c r="G4" s="66"/>
      <c r="H4" s="39"/>
      <c r="I4" s="39"/>
      <c r="J4" s="72" t="s">
        <v>98</v>
      </c>
      <c r="K4" s="72"/>
      <c r="L4" s="72"/>
    </row>
    <row r="5" spans="1:12">
      <c r="A5" t="s">
        <v>158</v>
      </c>
      <c r="B5" t="s">
        <v>97</v>
      </c>
      <c r="C5" s="3">
        <f>'2 Years Later'!F10</f>
        <v>50246.69885425095</v>
      </c>
      <c r="E5" s="66" t="s">
        <v>159</v>
      </c>
      <c r="F5" s="66"/>
      <c r="G5" s="66"/>
      <c r="J5" s="72" t="s">
        <v>159</v>
      </c>
      <c r="K5" s="72"/>
      <c r="L5" s="72"/>
    </row>
    <row r="6" spans="1:12">
      <c r="B6" t="s">
        <v>99</v>
      </c>
      <c r="C6" s="1">
        <f>InterestRate</f>
        <v>4.87E-2</v>
      </c>
      <c r="E6" s="9"/>
      <c r="F6" s="9"/>
      <c r="G6" s="9"/>
      <c r="J6" s="57"/>
      <c r="K6" s="57"/>
      <c r="L6" s="57"/>
    </row>
    <row r="7" spans="1:12">
      <c r="B7" t="s">
        <v>100</v>
      </c>
      <c r="C7">
        <v>2</v>
      </c>
      <c r="E7" s="9"/>
      <c r="F7" s="49">
        <f>DATE(YEAR(Date)+3,MONTH(Date),DAY(Date))</f>
        <v>47151</v>
      </c>
      <c r="G7" s="49">
        <f>DATE(YEAR(Date)+2,MONTH(Date),DAY(Date))</f>
        <v>46785</v>
      </c>
      <c r="J7" s="57"/>
      <c r="K7" s="58">
        <f>DATE(YEAR(Date)+3,MONTH(Date),DAY(Date))</f>
        <v>47151</v>
      </c>
      <c r="L7" s="58">
        <f>DATE(YEAR(Date)+2,MONTH(Date),DAY(Date))</f>
        <v>46785</v>
      </c>
    </row>
    <row r="8" spans="1:12" ht="17.100000000000001" thickBot="1">
      <c r="B8" t="s">
        <v>101</v>
      </c>
      <c r="C8" s="7">
        <f>C5*(C6/C7)</f>
        <v>1223.5071171010106</v>
      </c>
      <c r="E8" s="9" t="s">
        <v>84</v>
      </c>
      <c r="J8" s="57" t="s">
        <v>84</v>
      </c>
      <c r="K8" s="56"/>
      <c r="L8" s="56"/>
    </row>
    <row r="9" spans="1:12" ht="17.100000000000001" thickTop="1">
      <c r="E9" t="s">
        <v>86</v>
      </c>
      <c r="F9" s="3">
        <f>G9+C25</f>
        <v>6948.1967999999997</v>
      </c>
      <c r="G9" s="3">
        <f>'2 Years Later'!$F$9</f>
        <v>4632.1311999999998</v>
      </c>
      <c r="J9" s="56" t="s">
        <v>86</v>
      </c>
      <c r="K9" s="59">
        <f>L9+C25</f>
        <v>6948.1967999999997</v>
      </c>
      <c r="L9" s="59">
        <f>'2 Years Later'!$F$9</f>
        <v>4632.1311999999998</v>
      </c>
    </row>
    <row r="10" spans="1:12">
      <c r="A10" t="s">
        <v>160</v>
      </c>
      <c r="B10" t="s">
        <v>97</v>
      </c>
      <c r="C10" s="3">
        <f>C5+C8-C23</f>
        <v>50312.173171351962</v>
      </c>
      <c r="E10" t="s">
        <v>103</v>
      </c>
      <c r="F10" s="3">
        <f>C33</f>
        <v>50379.241788074381</v>
      </c>
      <c r="G10" s="3">
        <f>$C$5</f>
        <v>50246.69885425095</v>
      </c>
      <c r="J10" s="56" t="s">
        <v>103</v>
      </c>
      <c r="K10" s="59">
        <f ca="1">PVs_thru_Time_Calculations!H4</f>
        <v>50379.243899473928</v>
      </c>
      <c r="L10" s="59">
        <f>$C$5</f>
        <v>50246.69885425095</v>
      </c>
    </row>
    <row r="11" spans="1:12" ht="17.100000000000001" thickBot="1">
      <c r="B11" t="s">
        <v>99</v>
      </c>
      <c r="C11" s="1">
        <f>InterestRate</f>
        <v>4.87E-2</v>
      </c>
      <c r="E11" t="s">
        <v>105</v>
      </c>
      <c r="F11" s="7">
        <f>SUM(F9:F10)</f>
        <v>57327.438588074379</v>
      </c>
      <c r="G11" s="7">
        <f>SUM(G9:G10)</f>
        <v>54878.830054250953</v>
      </c>
      <c r="J11" s="56" t="s">
        <v>105</v>
      </c>
      <c r="K11" s="60">
        <f ca="1">SUM(K9:K10)</f>
        <v>57327.440699473926</v>
      </c>
      <c r="L11" s="60">
        <f>SUM(L9:L10)</f>
        <v>54878.830054250953</v>
      </c>
    </row>
    <row r="12" spans="1:12" ht="17.100000000000001" thickTop="1">
      <c r="B12" t="s">
        <v>100</v>
      </c>
      <c r="C12">
        <v>2</v>
      </c>
      <c r="J12" s="56"/>
      <c r="K12" s="56"/>
      <c r="L12" s="56"/>
    </row>
    <row r="13" spans="1:12" ht="17.100000000000001" thickBot="1">
      <c r="B13" t="s">
        <v>101</v>
      </c>
      <c r="C13" s="7">
        <f>C10*(C11/C12)</f>
        <v>1225.1014167224203</v>
      </c>
      <c r="E13" s="9" t="s">
        <v>107</v>
      </c>
      <c r="F13" s="3">
        <v>0</v>
      </c>
      <c r="G13" s="3">
        <v>0</v>
      </c>
      <c r="J13" s="57" t="s">
        <v>107</v>
      </c>
      <c r="K13" s="59">
        <v>0</v>
      </c>
      <c r="L13" s="59">
        <v>0</v>
      </c>
    </row>
    <row r="14" spans="1:12" ht="17.100000000000001" thickTop="1">
      <c r="J14" s="56"/>
      <c r="K14" s="56"/>
      <c r="L14" s="56"/>
    </row>
    <row r="15" spans="1:12" ht="17.100000000000001" thickBot="1">
      <c r="A15" t="s">
        <v>161</v>
      </c>
      <c r="C15" s="13">
        <f>C8+C13</f>
        <v>2448.6085338234307</v>
      </c>
      <c r="E15" s="9" t="s">
        <v>109</v>
      </c>
      <c r="J15" s="57" t="s">
        <v>109</v>
      </c>
      <c r="K15" s="56"/>
      <c r="L15" s="56"/>
    </row>
    <row r="16" spans="1:12" ht="17.100000000000001" thickTop="1">
      <c r="E16" t="s">
        <v>111</v>
      </c>
      <c r="F16" s="3">
        <v>50000</v>
      </c>
      <c r="G16" s="3">
        <f>'2 Years Later'!$F$16</f>
        <v>50000</v>
      </c>
      <c r="J16" s="56" t="s">
        <v>111</v>
      </c>
      <c r="K16" s="59">
        <v>50000</v>
      </c>
      <c r="L16" s="59">
        <f>'2 Years Later'!$F$16</f>
        <v>50000</v>
      </c>
    </row>
    <row r="17" spans="1:12">
      <c r="E17" t="s">
        <v>112</v>
      </c>
      <c r="F17" s="3">
        <f>G17+F29</f>
        <v>7327.4385880743848</v>
      </c>
      <c r="G17" s="3">
        <f>'2 Years Later'!$F$17</f>
        <v>4878.8300542509542</v>
      </c>
      <c r="J17" s="56" t="s">
        <v>112</v>
      </c>
      <c r="K17" s="59">
        <f ca="1">L17+K29</f>
        <v>7327.4385880743848</v>
      </c>
      <c r="L17" s="59">
        <f>'2 Years Later'!$F$17</f>
        <v>4878.8300542509542</v>
      </c>
    </row>
    <row r="18" spans="1:12" ht="17.100000000000001" thickBot="1">
      <c r="A18" s="9" t="s">
        <v>171</v>
      </c>
      <c r="F18" s="7">
        <f>SUM(F16:F17)</f>
        <v>57327.438588074387</v>
      </c>
      <c r="G18" s="7">
        <f>SUM(G16:G17)</f>
        <v>54878.830054250953</v>
      </c>
      <c r="J18" s="56"/>
      <c r="K18" s="60">
        <f ca="1">SUM(K16:K17)</f>
        <v>57327.438588074387</v>
      </c>
      <c r="L18" s="60">
        <f>SUM(L16:L17)</f>
        <v>54878.830054250953</v>
      </c>
    </row>
    <row r="19" spans="1:12" ht="17.100000000000001" thickTop="1">
      <c r="J19" s="56"/>
      <c r="K19" s="56"/>
      <c r="L19" s="56"/>
    </row>
    <row r="20" spans="1:12">
      <c r="B20" t="s">
        <v>106</v>
      </c>
      <c r="C20" s="3">
        <f>'Economics of 165WA''s investment'!B1</f>
        <v>57901.64</v>
      </c>
      <c r="E20" s="66" t="s">
        <v>81</v>
      </c>
      <c r="F20" s="66"/>
    </row>
    <row r="21" spans="1:12">
      <c r="B21" t="s">
        <v>108</v>
      </c>
      <c r="C21" s="1">
        <f>CouponRate</f>
        <v>0.04</v>
      </c>
      <c r="E21" s="66" t="s">
        <v>114</v>
      </c>
      <c r="F21" s="66"/>
      <c r="J21" s="56"/>
      <c r="K21" s="56"/>
    </row>
    <row r="22" spans="1:12">
      <c r="B22" t="s">
        <v>144</v>
      </c>
      <c r="C22" s="14">
        <v>2</v>
      </c>
      <c r="E22" s="66" t="s">
        <v>148</v>
      </c>
      <c r="F22" s="66"/>
      <c r="J22" s="72" t="s">
        <v>81</v>
      </c>
      <c r="K22" s="72"/>
    </row>
    <row r="23" spans="1:12">
      <c r="B23" t="s">
        <v>163</v>
      </c>
      <c r="C23" s="3">
        <f>C20*(C21/C22)</f>
        <v>1158.0328</v>
      </c>
      <c r="E23" s="69">
        <f>DATE(YEAR(Date)+3,MONTH(Date),DAY(Date))</f>
        <v>47151</v>
      </c>
      <c r="F23" s="69"/>
      <c r="J23" s="72" t="s">
        <v>114</v>
      </c>
      <c r="K23" s="72"/>
    </row>
    <row r="24" spans="1:12">
      <c r="B24" t="s">
        <v>164</v>
      </c>
      <c r="C24" s="14">
        <v>2</v>
      </c>
      <c r="J24" s="72" t="s">
        <v>148</v>
      </c>
      <c r="K24" s="72"/>
    </row>
    <row r="25" spans="1:12" ht="17.100000000000001" thickBot="1">
      <c r="B25" t="s">
        <v>165</v>
      </c>
      <c r="C25" s="7">
        <f>C23*C24</f>
        <v>2316.0655999999999</v>
      </c>
      <c r="E25" s="9" t="s">
        <v>116</v>
      </c>
      <c r="J25" s="71">
        <f>DATE(YEAR(Date)+3,MONTH(Date),DAY(Date))</f>
        <v>47151</v>
      </c>
      <c r="K25" s="71"/>
    </row>
    <row r="26" spans="1:12" ht="17.100000000000001" thickTop="1">
      <c r="E26" t="s">
        <v>118</v>
      </c>
      <c r="F26" s="3">
        <f>$C$32</f>
        <v>2448.6085338234307</v>
      </c>
      <c r="J26" s="57"/>
      <c r="K26" s="56"/>
    </row>
    <row r="27" spans="1:12">
      <c r="F27" s="3"/>
      <c r="J27" s="56" t="s">
        <v>118</v>
      </c>
      <c r="K27" s="59">
        <f>$C$32</f>
        <v>2448.6085338234307</v>
      </c>
    </row>
    <row r="28" spans="1:12">
      <c r="A28" s="9" t="s">
        <v>172</v>
      </c>
      <c r="E28" s="9" t="s">
        <v>120</v>
      </c>
      <c r="F28" s="3">
        <v>0</v>
      </c>
      <c r="J28" s="56" t="s">
        <v>173</v>
      </c>
      <c r="K28" s="61">
        <f ca="1">ROUND($K$10-$C$33,2)</f>
        <v>0</v>
      </c>
    </row>
    <row r="29" spans="1:12" ht="17.100000000000001" thickBot="1">
      <c r="E29" s="9" t="s">
        <v>122</v>
      </c>
      <c r="F29" s="7">
        <f>SUM(F26:F28)</f>
        <v>2448.6085338234307</v>
      </c>
      <c r="J29" s="57" t="s">
        <v>174</v>
      </c>
      <c r="K29" s="60">
        <f ca="1">SUM(K27:K28)</f>
        <v>2448.6085338234307</v>
      </c>
    </row>
    <row r="30" spans="1:12" ht="17.100000000000001" thickTop="1">
      <c r="B30" t="s">
        <v>147</v>
      </c>
      <c r="C30" s="3">
        <f>C5</f>
        <v>50246.69885425095</v>
      </c>
      <c r="J30" s="56"/>
      <c r="K30" s="56"/>
    </row>
    <row r="31" spans="1:12">
      <c r="B31" t="s">
        <v>153</v>
      </c>
      <c r="C31" s="3">
        <f>-C25</f>
        <v>-2316.0655999999999</v>
      </c>
      <c r="E31" s="67" t="s">
        <v>81</v>
      </c>
      <c r="F31" s="74"/>
      <c r="G31" s="74"/>
      <c r="H31" s="74"/>
      <c r="I31" s="9"/>
    </row>
    <row r="32" spans="1:12">
      <c r="B32" t="s">
        <v>101</v>
      </c>
      <c r="C32" s="3">
        <f>C15</f>
        <v>2448.6085338234307</v>
      </c>
      <c r="E32" s="67" t="s">
        <v>123</v>
      </c>
      <c r="F32" s="74"/>
      <c r="G32" s="74"/>
      <c r="H32" s="74"/>
      <c r="I32" s="9"/>
      <c r="J32" s="56"/>
      <c r="K32" s="56"/>
    </row>
    <row r="33" spans="2:11" ht="16.350000000000001" customHeight="1" thickBot="1">
      <c r="B33" t="s">
        <v>149</v>
      </c>
      <c r="C33" s="7">
        <f>SUM(C30:C32)</f>
        <v>50379.241788074381</v>
      </c>
      <c r="E33" s="67" t="s">
        <v>148</v>
      </c>
      <c r="F33" s="74"/>
      <c r="G33" s="74"/>
      <c r="H33" s="74"/>
      <c r="I33" s="9"/>
      <c r="J33" s="72" t="s">
        <v>81</v>
      </c>
      <c r="K33" s="72"/>
    </row>
    <row r="34" spans="2:11" ht="16.350000000000001" customHeight="1" thickTop="1">
      <c r="E34" s="67">
        <f>DATE(YEAR(Date)+3,MONTH(Date),DAY(Date))</f>
        <v>47151</v>
      </c>
      <c r="F34" s="74"/>
      <c r="G34" s="74"/>
      <c r="H34" s="74"/>
      <c r="I34" s="9"/>
      <c r="J34" s="72" t="s">
        <v>175</v>
      </c>
      <c r="K34" s="72"/>
    </row>
    <row r="35" spans="2:11">
      <c r="B35" t="s">
        <v>167</v>
      </c>
      <c r="C35" s="3">
        <f>C33-C30</f>
        <v>132.54293382343167</v>
      </c>
      <c r="J35" s="72" t="s">
        <v>148</v>
      </c>
      <c r="K35" s="72"/>
    </row>
    <row r="36" spans="2:11" ht="17.100000000000001" thickBot="1">
      <c r="F36" s="35" t="s">
        <v>111</v>
      </c>
      <c r="G36" s="35" t="s">
        <v>124</v>
      </c>
      <c r="H36" s="35" t="s">
        <v>125</v>
      </c>
      <c r="I36" s="39"/>
      <c r="J36" s="73">
        <f>DATE(YEAR(Date)+3,MONTH(Date),DAY(Date))</f>
        <v>47151</v>
      </c>
      <c r="K36" s="73"/>
    </row>
    <row r="37" spans="2:11">
      <c r="E37" t="str">
        <f>"Balance on "&amp;TEXT(DATE(YEAR(Date)+2,MONTH(Date),DAY(Date)),"mmmm dd, yyyy")</f>
        <v>Balance on February 02, 2028</v>
      </c>
      <c r="F37" s="40">
        <f>'2 Years Later'!$F$40</f>
        <v>50000</v>
      </c>
      <c r="G37" s="40">
        <f>$G$17</f>
        <v>4878.8300542509542</v>
      </c>
      <c r="H37" s="3">
        <f>SUM(F37:G37)</f>
        <v>54878.830054250953</v>
      </c>
      <c r="I37" s="3"/>
      <c r="J37" s="56"/>
      <c r="K37" s="56"/>
    </row>
    <row r="38" spans="2:11">
      <c r="E38" t="s">
        <v>126</v>
      </c>
      <c r="F38" s="41">
        <v>0</v>
      </c>
      <c r="H38" s="3">
        <f t="shared" ref="H38:H39" si="0">SUM(F38:G38)</f>
        <v>0</v>
      </c>
      <c r="I38" s="3"/>
      <c r="J38" s="56" t="s">
        <v>153</v>
      </c>
      <c r="K38" s="59">
        <f>2*$C$23</f>
        <v>2316.0655999999999</v>
      </c>
    </row>
    <row r="39" spans="2:11" ht="17.100000000000001" thickBot="1">
      <c r="E39" t="s">
        <v>127</v>
      </c>
      <c r="F39" s="24"/>
      <c r="G39" s="42">
        <f>F29</f>
        <v>2448.6085338234307</v>
      </c>
      <c r="H39" s="3">
        <f t="shared" si="0"/>
        <v>2448.6085338234307</v>
      </c>
      <c r="I39" s="3"/>
      <c r="J39" s="62" t="s">
        <v>176</v>
      </c>
      <c r="K39" s="59">
        <f>L9</f>
        <v>4632.1311999999998</v>
      </c>
    </row>
    <row r="40" spans="2:11" ht="17.100000000000001" thickBot="1">
      <c r="E40" t="str">
        <f>"Balance on "&amp;TEXT(DATE(YEAR(Date)+3,MONTH(Date),DAY(Date)),"mmmm dd, yyyy")</f>
        <v>Balance on February 02, 2029</v>
      </c>
      <c r="F40" s="43">
        <f>SUM(F37:F39)</f>
        <v>50000</v>
      </c>
      <c r="G40" s="43">
        <f t="shared" ref="G40:H40" si="1">SUM(G37:G39)</f>
        <v>7327.4385880743848</v>
      </c>
      <c r="H40" s="43">
        <f t="shared" si="1"/>
        <v>57327.438588074387</v>
      </c>
      <c r="I40" s="3"/>
      <c r="J40" s="62" t="s">
        <v>177</v>
      </c>
      <c r="K40" s="60">
        <f>SUM(K38:K39)</f>
        <v>6948.1967999999997</v>
      </c>
    </row>
    <row r="41" spans="2:11" ht="17.100000000000001" thickTop="1">
      <c r="J41" s="56"/>
      <c r="K41" s="56"/>
    </row>
    <row r="43" spans="2:11">
      <c r="E43" s="66" t="s">
        <v>81</v>
      </c>
      <c r="F43" s="66"/>
      <c r="J43" s="56"/>
      <c r="K43" s="56"/>
    </row>
    <row r="44" spans="2:11">
      <c r="E44" s="66" t="s">
        <v>168</v>
      </c>
      <c r="F44" s="66"/>
      <c r="J44" s="72" t="s">
        <v>81</v>
      </c>
      <c r="K44" s="72"/>
    </row>
    <row r="45" spans="2:11">
      <c r="E45" s="66" t="s">
        <v>148</v>
      </c>
      <c r="F45" s="66"/>
      <c r="J45" s="72" t="s">
        <v>136</v>
      </c>
      <c r="K45" s="72"/>
    </row>
    <row r="46" spans="2:11">
      <c r="E46" s="70">
        <f>DATE(YEAR(Date)+3,MONTH(Date),DAY(Date))</f>
        <v>47151</v>
      </c>
      <c r="F46" s="70"/>
      <c r="J46" s="72" t="s">
        <v>148</v>
      </c>
      <c r="K46" s="72"/>
    </row>
    <row r="47" spans="2:11">
      <c r="J47" s="73">
        <f>DATE(YEAR(Date)+2,MONTH(Date),DAY(Date))</f>
        <v>46785</v>
      </c>
      <c r="K47" s="73"/>
    </row>
    <row r="48" spans="2:11">
      <c r="E48" s="66" t="s">
        <v>129</v>
      </c>
      <c r="F48" s="66"/>
      <c r="J48" s="56"/>
      <c r="K48" s="56"/>
    </row>
    <row r="49" spans="5:11">
      <c r="E49" t="s">
        <v>153</v>
      </c>
      <c r="F49" s="3">
        <f>2*$C$23</f>
        <v>2316.0655999999999</v>
      </c>
      <c r="J49" s="56" t="s">
        <v>122</v>
      </c>
      <c r="K49" s="59">
        <f ca="1">K29</f>
        <v>2448.6085338234307</v>
      </c>
    </row>
    <row r="50" spans="5:11">
      <c r="J50" s="56" t="s">
        <v>169</v>
      </c>
      <c r="K50" s="63">
        <f>-$C$35</f>
        <v>-132.54293382343167</v>
      </c>
    </row>
    <row r="51" spans="5:11">
      <c r="E51" s="66" t="s">
        <v>130</v>
      </c>
      <c r="F51" s="66"/>
      <c r="J51" s="56" t="s">
        <v>178</v>
      </c>
      <c r="K51" s="61">
        <f ca="1">-ROUND($K$10-$C$33,2)</f>
        <v>0</v>
      </c>
    </row>
    <row r="52" spans="5:11" ht="17.100000000000001" thickBot="1">
      <c r="F52" s="3"/>
      <c r="J52" s="56" t="s">
        <v>138</v>
      </c>
      <c r="K52" s="60">
        <f ca="1">SUM(K49:K51)</f>
        <v>2316.065599999999</v>
      </c>
    </row>
    <row r="53" spans="5:11" ht="17.100000000000001" thickTop="1">
      <c r="E53" s="66" t="s">
        <v>132</v>
      </c>
      <c r="F53" s="66"/>
      <c r="J53" s="56"/>
      <c r="K53" s="56"/>
    </row>
    <row r="54" spans="5:11">
      <c r="F54" s="12"/>
    </row>
    <row r="56" spans="5:11">
      <c r="E56" t="s">
        <v>134</v>
      </c>
      <c r="F56" s="3">
        <f>SUM(F49:F55)</f>
        <v>2316.0655999999999</v>
      </c>
    </row>
    <row r="57" spans="5:11">
      <c r="E57" s="29" t="s">
        <v>176</v>
      </c>
      <c r="F57" s="3">
        <f>G9</f>
        <v>4632.1311999999998</v>
      </c>
    </row>
    <row r="58" spans="5:11" ht="17.100000000000001" thickBot="1">
      <c r="E58" s="29" t="s">
        <v>177</v>
      </c>
      <c r="F58" s="7">
        <f>SUM(F56:F57)</f>
        <v>6948.1967999999997</v>
      </c>
    </row>
    <row r="59" spans="5:11" ht="17.100000000000001" thickTop="1"/>
    <row r="60" spans="5:11">
      <c r="E60" s="66" t="s">
        <v>81</v>
      </c>
      <c r="F60" s="66"/>
    </row>
    <row r="61" spans="5:11">
      <c r="E61" s="66" t="s">
        <v>136</v>
      </c>
      <c r="F61" s="66"/>
    </row>
    <row r="62" spans="5:11">
      <c r="E62" s="66" t="s">
        <v>148</v>
      </c>
      <c r="F62" s="66"/>
    </row>
    <row r="63" spans="5:11">
      <c r="E63" s="70">
        <f>DATE(YEAR(Date)+2,MONTH(Date),DAY(Date))</f>
        <v>46785</v>
      </c>
      <c r="F63" s="70"/>
    </row>
    <row r="65" spans="5:6">
      <c r="E65" t="s">
        <v>122</v>
      </c>
      <c r="F65" s="3">
        <f>F29</f>
        <v>2448.6085338234307</v>
      </c>
    </row>
    <row r="66" spans="5:6">
      <c r="E66" t="s">
        <v>169</v>
      </c>
      <c r="F66" s="45">
        <f>-$C$35</f>
        <v>-132.54293382343167</v>
      </c>
    </row>
    <row r="67" spans="5:6" ht="17.100000000000001" thickBot="1">
      <c r="E67" t="s">
        <v>138</v>
      </c>
      <c r="F67" s="7">
        <f>F65+F66</f>
        <v>2316.065599999999</v>
      </c>
    </row>
    <row r="68" spans="5:6" ht="17.100000000000001" thickTop="1"/>
  </sheetData>
  <mergeCells count="38">
    <mergeCell ref="J44:K44"/>
    <mergeCell ref="J45:K45"/>
    <mergeCell ref="J46:K46"/>
    <mergeCell ref="J47:K47"/>
    <mergeCell ref="J34:K34"/>
    <mergeCell ref="J35:K35"/>
    <mergeCell ref="J36:K36"/>
    <mergeCell ref="J25:K25"/>
    <mergeCell ref="J33:K33"/>
    <mergeCell ref="J3:L3"/>
    <mergeCell ref="J4:L4"/>
    <mergeCell ref="J5:L5"/>
    <mergeCell ref="J22:K22"/>
    <mergeCell ref="J23:K23"/>
    <mergeCell ref="J24:K24"/>
    <mergeCell ref="E53:F53"/>
    <mergeCell ref="E60:F60"/>
    <mergeCell ref="E61:F61"/>
    <mergeCell ref="E62:F62"/>
    <mergeCell ref="E63:F63"/>
    <mergeCell ref="E51:F51"/>
    <mergeCell ref="E22:F22"/>
    <mergeCell ref="E23:F23"/>
    <mergeCell ref="E31:H31"/>
    <mergeCell ref="E32:H32"/>
    <mergeCell ref="E33:H33"/>
    <mergeCell ref="E34:H34"/>
    <mergeCell ref="E43:F43"/>
    <mergeCell ref="E44:F44"/>
    <mergeCell ref="E45:F45"/>
    <mergeCell ref="E46:F46"/>
    <mergeCell ref="E48:F48"/>
    <mergeCell ref="E21:F21"/>
    <mergeCell ref="C1:D1"/>
    <mergeCell ref="E3:G3"/>
    <mergeCell ref="E4:G4"/>
    <mergeCell ref="E5:G5"/>
    <mergeCell ref="E20:F20"/>
  </mergeCells>
  <conditionalFormatting sqref="J28:K28 J51:K51">
    <cfRule type="expression" dxfId="0" priority="3">
      <formula>ROUND($K$28,2)=0</formula>
    </cfRule>
  </conditionalFormatting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67"/>
  <sheetViews>
    <sheetView workbookViewId="0"/>
  </sheetViews>
  <sheetFormatPr defaultColWidth="11" defaultRowHeight="15.95"/>
  <cols>
    <col min="1" max="1" width="11.125" bestFit="1" customWidth="1"/>
    <col min="2" max="3" width="11.5" bestFit="1" customWidth="1"/>
    <col min="4" max="4" width="14" bestFit="1" customWidth="1"/>
    <col min="5" max="5" width="14.125" bestFit="1" customWidth="1"/>
  </cols>
  <sheetData>
    <row r="1" spans="1:35">
      <c r="A1" t="s">
        <v>16</v>
      </c>
      <c r="B1" s="3">
        <f>Face_Value</f>
        <v>57901.64</v>
      </c>
    </row>
    <row r="2" spans="1:35">
      <c r="A2" t="s">
        <v>19</v>
      </c>
      <c r="B2">
        <f>Term</f>
        <v>30</v>
      </c>
      <c r="C2" t="s">
        <v>20</v>
      </c>
      <c r="E2" s="64" t="s">
        <v>179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</row>
    <row r="3" spans="1:35">
      <c r="A3" t="s">
        <v>28</v>
      </c>
      <c r="B3" s="1">
        <f>CouponRate</f>
        <v>0.04</v>
      </c>
      <c r="C3" t="s">
        <v>29</v>
      </c>
      <c r="E3" s="8">
        <v>0</v>
      </c>
      <c r="F3">
        <v>1</v>
      </c>
      <c r="G3">
        <v>2</v>
      </c>
      <c r="H3" s="8">
        <v>3</v>
      </c>
      <c r="I3" s="8">
        <v>4</v>
      </c>
      <c r="J3" s="8">
        <v>5</v>
      </c>
      <c r="K3" s="8">
        <v>6</v>
      </c>
      <c r="L3" s="8">
        <v>7</v>
      </c>
      <c r="M3" s="8">
        <v>8</v>
      </c>
      <c r="N3" s="8">
        <v>9</v>
      </c>
      <c r="O3" s="8">
        <v>10</v>
      </c>
      <c r="P3">
        <v>11</v>
      </c>
      <c r="Q3">
        <v>12</v>
      </c>
      <c r="R3" s="8">
        <v>13</v>
      </c>
      <c r="S3" s="8">
        <v>14</v>
      </c>
      <c r="T3" s="8">
        <v>15</v>
      </c>
      <c r="U3" s="8">
        <v>16</v>
      </c>
      <c r="V3" s="8">
        <v>17</v>
      </c>
      <c r="W3" s="8">
        <v>18</v>
      </c>
      <c r="X3" s="8">
        <v>19</v>
      </c>
      <c r="Y3" s="8">
        <v>20</v>
      </c>
      <c r="Z3">
        <v>21</v>
      </c>
      <c r="AA3">
        <v>22</v>
      </c>
      <c r="AB3" s="8">
        <v>23</v>
      </c>
      <c r="AC3" s="8">
        <v>24</v>
      </c>
      <c r="AD3" s="8">
        <v>25</v>
      </c>
      <c r="AE3" s="8">
        <v>26</v>
      </c>
      <c r="AF3" s="8">
        <v>27</v>
      </c>
      <c r="AG3" s="8">
        <v>28</v>
      </c>
      <c r="AH3" s="8">
        <v>29</v>
      </c>
      <c r="AI3" s="8">
        <v>30</v>
      </c>
    </row>
    <row r="4" spans="1:35">
      <c r="A4" t="s">
        <v>31</v>
      </c>
      <c r="B4" s="1">
        <f>InterestRate</f>
        <v>4.87E-2</v>
      </c>
      <c r="E4" s="4">
        <f>SUM(E8:E67)</f>
        <v>50000.001827595937</v>
      </c>
      <c r="F4" s="4">
        <f t="shared" ref="F4:AI4" si="0">SUM(F8:F67)</f>
        <v>50120.384344003491</v>
      </c>
      <c r="G4" s="4">
        <f t="shared" si="0"/>
        <v>50246.700866462685</v>
      </c>
      <c r="H4" s="4">
        <f t="shared" si="0"/>
        <v>50379.243899473928</v>
      </c>
      <c r="I4" s="4">
        <f t="shared" si="0"/>
        <v>50518.320365939311</v>
      </c>
      <c r="J4" s="4">
        <f t="shared" si="0"/>
        <v>50664.252317887745</v>
      </c>
      <c r="K4" s="4">
        <f t="shared" si="0"/>
        <v>50817.37768223384</v>
      </c>
      <c r="L4" s="4">
        <f t="shared" si="0"/>
        <v>50978.051043297441</v>
      </c>
      <c r="M4" s="4">
        <f t="shared" si="0"/>
        <v>51146.644463895762</v>
      </c>
      <c r="N4" s="4">
        <f t="shared" si="0"/>
        <v>51323.548346909636</v>
      </c>
      <c r="O4" s="4">
        <f t="shared" si="0"/>
        <v>51509.172339318873</v>
      </c>
      <c r="P4" s="4">
        <f t="shared" si="0"/>
        <v>51703.946280800075</v>
      </c>
      <c r="Q4" s="4">
        <f t="shared" si="0"/>
        <v>51908.321199083723</v>
      </c>
      <c r="R4" s="4">
        <f t="shared" si="0"/>
        <v>52122.770354375287</v>
      </c>
      <c r="S4" s="4">
        <f t="shared" si="0"/>
        <v>52347.790335258818</v>
      </c>
      <c r="T4" s="4">
        <f t="shared" si="0"/>
        <v>52583.902208620988</v>
      </c>
      <c r="U4" s="4">
        <f t="shared" si="0"/>
        <v>52831.652726258137</v>
      </c>
      <c r="V4" s="4">
        <f t="shared" si="0"/>
        <v>53091.6155909605</v>
      </c>
      <c r="W4" s="4">
        <f t="shared" si="0"/>
        <v>53364.392785005526</v>
      </c>
      <c r="X4" s="4">
        <f t="shared" si="0"/>
        <v>53650.615964136377</v>
      </c>
      <c r="Y4" s="4">
        <f t="shared" si="0"/>
        <v>53950.94792025382</v>
      </c>
      <c r="Z4" s="4">
        <f t="shared" si="0"/>
        <v>54266.084116208447</v>
      </c>
      <c r="AA4" s="4">
        <f t="shared" si="0"/>
        <v>54596.754296247207</v>
      </c>
      <c r="AB4" s="4">
        <f t="shared" si="0"/>
        <v>54943.724175843672</v>
      </c>
      <c r="AC4" s="4">
        <f t="shared" si="0"/>
        <v>55307.797214824925</v>
      </c>
      <c r="AD4" s="4">
        <f t="shared" si="0"/>
        <v>55689.816477901026</v>
      </c>
      <c r="AE4" s="4">
        <f t="shared" si="0"/>
        <v>56090.666586905434</v>
      </c>
      <c r="AF4" s="4">
        <f t="shared" si="0"/>
        <v>56511.275769267122</v>
      </c>
      <c r="AG4" s="4">
        <f t="shared" si="0"/>
        <v>56952.618007457742</v>
      </c>
      <c r="AH4" s="4">
        <f t="shared" si="0"/>
        <v>57415.715294391484</v>
      </c>
      <c r="AI4" s="4">
        <f t="shared" si="0"/>
        <v>57901.64</v>
      </c>
    </row>
    <row r="5" spans="1:35">
      <c r="B5" s="1"/>
      <c r="E5" s="4"/>
    </row>
    <row r="6" spans="1:35">
      <c r="A6" s="8" t="s">
        <v>33</v>
      </c>
      <c r="B6" s="8" t="s">
        <v>17</v>
      </c>
      <c r="C6" s="8" t="s">
        <v>22</v>
      </c>
      <c r="D6" s="8" t="s">
        <v>63</v>
      </c>
    </row>
    <row r="7" spans="1:35">
      <c r="A7" s="2">
        <v>0</v>
      </c>
    </row>
    <row r="8" spans="1:35">
      <c r="A8" s="2">
        <v>0.5</v>
      </c>
      <c r="B8" s="3">
        <f>$B$1*$B$3/2</f>
        <v>1158.0328</v>
      </c>
      <c r="D8" s="3">
        <f>B8+C8</f>
        <v>1158.0328</v>
      </c>
      <c r="E8" s="4">
        <f>(D8)/(1+$B$4/2)^(2*A8)</f>
        <v>1130.5050031727435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>
      <c r="A9" s="2">
        <v>1</v>
      </c>
      <c r="B9" s="3">
        <f t="shared" ref="B9:B67" si="1">$B$1*$B$3/2</f>
        <v>1158.0328</v>
      </c>
      <c r="D9" s="3">
        <f t="shared" ref="D9:D67" si="2">B9+C9</f>
        <v>1158.0328</v>
      </c>
      <c r="E9" s="4">
        <f t="shared" ref="E9:E67" si="3">(D9)/(1+$B$4/2)^(2*A9)</f>
        <v>1103.6315743376222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>
      <c r="A10" s="2">
        <v>1.5</v>
      </c>
      <c r="B10" s="3">
        <f t="shared" si="1"/>
        <v>1158.0328</v>
      </c>
      <c r="D10" s="3">
        <f t="shared" si="2"/>
        <v>1158.0328</v>
      </c>
      <c r="E10" s="4">
        <f t="shared" si="3"/>
        <v>1077.3969584005683</v>
      </c>
      <c r="F10" s="4">
        <f>($D10)/((1+$B$4/2)^(2*($A10-F$3)))</f>
        <v>1130.5050031727435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>
      <c r="A11" s="2">
        <v>2</v>
      </c>
      <c r="B11" s="3">
        <f t="shared" si="1"/>
        <v>1158.0328</v>
      </c>
      <c r="D11" s="3">
        <f t="shared" si="2"/>
        <v>1158.0328</v>
      </c>
      <c r="E11" s="4">
        <f t="shared" si="3"/>
        <v>1051.7859700303297</v>
      </c>
      <c r="F11" s="4">
        <f t="shared" ref="F11:H67" si="4">($D11)/((1+$B$4/2)^(2*($A11-F$3)))</f>
        <v>1103.6315743376222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>
      <c r="A12" s="2">
        <v>2.5</v>
      </c>
      <c r="B12" s="3">
        <f t="shared" si="1"/>
        <v>1158.0328</v>
      </c>
      <c r="D12" s="3">
        <f t="shared" si="2"/>
        <v>1158.0328</v>
      </c>
      <c r="E12" s="4">
        <f t="shared" si="3"/>
        <v>1026.7837848687748</v>
      </c>
      <c r="F12" s="4">
        <f t="shared" si="4"/>
        <v>1077.3969584005683</v>
      </c>
      <c r="G12" s="4">
        <f t="shared" si="4"/>
        <v>1130.5050031727435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>
      <c r="A13" s="2">
        <v>3</v>
      </c>
      <c r="B13" s="3">
        <f t="shared" si="1"/>
        <v>1158.0328</v>
      </c>
      <c r="D13" s="3">
        <f t="shared" si="2"/>
        <v>1158.0328</v>
      </c>
      <c r="E13" s="4">
        <f t="shared" si="3"/>
        <v>1002.3759309501388</v>
      </c>
      <c r="F13" s="4">
        <f t="shared" si="4"/>
        <v>1051.7859700303297</v>
      </c>
      <c r="G13" s="4">
        <f t="shared" si="4"/>
        <v>1103.6315743376222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>
      <c r="A14" s="2">
        <v>3.5</v>
      </c>
      <c r="B14" s="3">
        <f t="shared" si="1"/>
        <v>1158.0328</v>
      </c>
      <c r="D14" s="3">
        <f t="shared" si="2"/>
        <v>1158.0328</v>
      </c>
      <c r="E14" s="4">
        <f t="shared" si="3"/>
        <v>978.54828032424336</v>
      </c>
      <c r="F14" s="4">
        <f t="shared" si="4"/>
        <v>1026.7837848687748</v>
      </c>
      <c r="G14" s="4">
        <f t="shared" si="4"/>
        <v>1077.3969584005683</v>
      </c>
      <c r="H14" s="4">
        <f t="shared" si="4"/>
        <v>1130.5050031727435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2">
        <v>4</v>
      </c>
      <c r="B15" s="3">
        <f t="shared" si="1"/>
        <v>1158.0328</v>
      </c>
      <c r="D15" s="3">
        <f t="shared" si="2"/>
        <v>1158.0328</v>
      </c>
      <c r="E15" s="4">
        <f t="shared" si="3"/>
        <v>955.28704087884341</v>
      </c>
      <c r="F15" s="4">
        <f t="shared" si="4"/>
        <v>1002.3759309501388</v>
      </c>
      <c r="G15" s="4">
        <f t="shared" si="4"/>
        <v>1051.7859700303297</v>
      </c>
      <c r="H15" s="4">
        <f t="shared" ref="H15:N28" si="5">($D15)/((1+$B$4/2)^(2*($A15-H$3)))</f>
        <v>1103.6315743376222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2">
        <v>4.5</v>
      </c>
      <c r="B16" s="3">
        <f t="shared" si="1"/>
        <v>1158.0328</v>
      </c>
      <c r="D16" s="3">
        <f t="shared" si="2"/>
        <v>1158.0328</v>
      </c>
      <c r="E16" s="4">
        <f t="shared" si="3"/>
        <v>932.57874835636574</v>
      </c>
      <c r="F16" s="4">
        <f t="shared" si="4"/>
        <v>978.54828032424336</v>
      </c>
      <c r="G16" s="4">
        <f t="shared" si="4"/>
        <v>1026.7837848687748</v>
      </c>
      <c r="H16" s="4">
        <f t="shared" si="5"/>
        <v>1077.3969584005683</v>
      </c>
      <c r="I16" s="4">
        <f t="shared" si="5"/>
        <v>1130.5050031727435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2">
        <v>5</v>
      </c>
      <c r="B17" s="3">
        <f t="shared" si="1"/>
        <v>1158.0328</v>
      </c>
      <c r="D17" s="3">
        <f t="shared" si="2"/>
        <v>1158.0328</v>
      </c>
      <c r="E17" s="4">
        <f t="shared" si="3"/>
        <v>910.41025856041938</v>
      </c>
      <c r="F17" s="4">
        <f t="shared" si="4"/>
        <v>955.28704087884341</v>
      </c>
      <c r="G17" s="4">
        <f t="shared" si="4"/>
        <v>1002.3759309501388</v>
      </c>
      <c r="H17" s="4">
        <f t="shared" si="5"/>
        <v>1051.7859700303297</v>
      </c>
      <c r="I17" s="4">
        <f t="shared" si="5"/>
        <v>1103.6315743376222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2">
        <v>5.5</v>
      </c>
      <c r="B18" s="3">
        <f t="shared" si="1"/>
        <v>1158.0328</v>
      </c>
      <c r="D18" s="3">
        <f t="shared" si="2"/>
        <v>1158.0328</v>
      </c>
      <c r="E18" s="4">
        <f t="shared" si="3"/>
        <v>888.7687397475662</v>
      </c>
      <c r="F18" s="4">
        <f t="shared" si="4"/>
        <v>932.57874835636574</v>
      </c>
      <c r="G18" s="4">
        <f t="shared" si="4"/>
        <v>978.54828032424336</v>
      </c>
      <c r="H18" s="4">
        <f t="shared" si="5"/>
        <v>1026.7837848687748</v>
      </c>
      <c r="I18" s="4">
        <f t="shared" si="5"/>
        <v>1077.3969584005683</v>
      </c>
      <c r="J18" s="4">
        <f t="shared" si="5"/>
        <v>1130.5050031727435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2">
        <v>6</v>
      </c>
      <c r="B19" s="3">
        <f t="shared" si="1"/>
        <v>1158.0328</v>
      </c>
      <c r="D19" s="3">
        <f t="shared" si="2"/>
        <v>1158.0328</v>
      </c>
      <c r="E19" s="4">
        <f t="shared" si="3"/>
        <v>867.64166519994728</v>
      </c>
      <c r="F19" s="4">
        <f t="shared" si="4"/>
        <v>910.41025856041938</v>
      </c>
      <c r="G19" s="4">
        <f t="shared" si="4"/>
        <v>955.28704087884341</v>
      </c>
      <c r="H19" s="4">
        <f t="shared" si="5"/>
        <v>1002.3759309501388</v>
      </c>
      <c r="I19" s="4">
        <f t="shared" si="5"/>
        <v>1051.7859700303297</v>
      </c>
      <c r="J19" s="4">
        <f t="shared" si="5"/>
        <v>1103.6315743376222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2">
        <v>6.5</v>
      </c>
      <c r="B20" s="3">
        <f t="shared" si="1"/>
        <v>1158.0328</v>
      </c>
      <c r="D20" s="3">
        <f t="shared" si="2"/>
        <v>1158.0328</v>
      </c>
      <c r="E20" s="4">
        <f t="shared" si="3"/>
        <v>847.01680597446887</v>
      </c>
      <c r="F20" s="4">
        <f t="shared" si="4"/>
        <v>888.7687397475662</v>
      </c>
      <c r="G20" s="4">
        <f t="shared" si="4"/>
        <v>932.57874835636574</v>
      </c>
      <c r="H20" s="4">
        <f t="shared" si="5"/>
        <v>978.54828032424336</v>
      </c>
      <c r="I20" s="4">
        <f t="shared" si="5"/>
        <v>1026.7837848687748</v>
      </c>
      <c r="J20" s="4">
        <f t="shared" si="5"/>
        <v>1077.3969584005683</v>
      </c>
      <c r="K20" s="4">
        <f t="shared" si="5"/>
        <v>1130.5050031727435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2">
        <v>7</v>
      </c>
      <c r="B21" s="3">
        <f t="shared" si="1"/>
        <v>1158.0328</v>
      </c>
      <c r="D21" s="3">
        <f t="shared" si="2"/>
        <v>1158.0328</v>
      </c>
      <c r="E21" s="4">
        <f t="shared" si="3"/>
        <v>826.88222382434594</v>
      </c>
      <c r="F21" s="4">
        <f t="shared" si="4"/>
        <v>867.64166519994728</v>
      </c>
      <c r="G21" s="4">
        <f t="shared" si="4"/>
        <v>910.41025856041938</v>
      </c>
      <c r="H21" s="4">
        <f t="shared" si="5"/>
        <v>955.28704087884341</v>
      </c>
      <c r="I21" s="4">
        <f t="shared" si="5"/>
        <v>1002.3759309501388</v>
      </c>
      <c r="J21" s="4">
        <f t="shared" si="5"/>
        <v>1051.7859700303297</v>
      </c>
      <c r="K21" s="4">
        <f t="shared" si="5"/>
        <v>1103.6315743376222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2">
        <v>7.5</v>
      </c>
      <c r="B22" s="3">
        <f t="shared" si="1"/>
        <v>1158.0328</v>
      </c>
      <c r="D22" s="3">
        <f t="shared" si="2"/>
        <v>1158.0328</v>
      </c>
      <c r="E22" s="4">
        <f t="shared" si="3"/>
        <v>807.2262642889109</v>
      </c>
      <c r="F22" s="4">
        <f t="shared" si="4"/>
        <v>847.01680597446887</v>
      </c>
      <c r="G22" s="4">
        <f t="shared" si="4"/>
        <v>888.7687397475662</v>
      </c>
      <c r="H22" s="4">
        <f t="shared" si="5"/>
        <v>932.57874835636574</v>
      </c>
      <c r="I22" s="4">
        <f t="shared" si="5"/>
        <v>978.54828032424336</v>
      </c>
      <c r="J22" s="4">
        <f t="shared" si="5"/>
        <v>1026.7837848687748</v>
      </c>
      <c r="K22" s="4">
        <f t="shared" si="5"/>
        <v>1077.3969584005683</v>
      </c>
      <c r="L22" s="4">
        <f t="shared" si="5"/>
        <v>1130.5050031727435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2">
        <v>8</v>
      </c>
      <c r="B23" s="3">
        <f t="shared" si="1"/>
        <v>1158.0328</v>
      </c>
      <c r="D23" s="3">
        <f t="shared" si="2"/>
        <v>1158.0328</v>
      </c>
      <c r="E23" s="4">
        <f t="shared" si="3"/>
        <v>788.03754994768462</v>
      </c>
      <c r="F23" s="4">
        <f t="shared" si="4"/>
        <v>826.88222382434594</v>
      </c>
      <c r="G23" s="4">
        <f t="shared" si="4"/>
        <v>867.64166519994728</v>
      </c>
      <c r="H23" s="4">
        <f t="shared" si="5"/>
        <v>910.41025856041938</v>
      </c>
      <c r="I23" s="4">
        <f t="shared" si="5"/>
        <v>955.28704087884341</v>
      </c>
      <c r="J23" s="4">
        <f t="shared" si="5"/>
        <v>1002.3759309501388</v>
      </c>
      <c r="K23" s="4">
        <f t="shared" si="5"/>
        <v>1051.7859700303297</v>
      </c>
      <c r="L23" s="4">
        <f t="shared" si="5"/>
        <v>1103.6315743376222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2">
        <v>8.5</v>
      </c>
      <c r="B24" s="3">
        <f t="shared" si="1"/>
        <v>1158.0328</v>
      </c>
      <c r="D24" s="3">
        <f t="shared" si="2"/>
        <v>1158.0328</v>
      </c>
      <c r="E24" s="4">
        <f t="shared" si="3"/>
        <v>769.30497383480702</v>
      </c>
      <c r="F24" s="4">
        <f t="shared" si="4"/>
        <v>807.2262642889109</v>
      </c>
      <c r="G24" s="4">
        <f t="shared" si="4"/>
        <v>847.01680597446887</v>
      </c>
      <c r="H24" s="4">
        <f t="shared" si="5"/>
        <v>888.7687397475662</v>
      </c>
      <c r="I24" s="4">
        <f t="shared" si="5"/>
        <v>932.57874835636574</v>
      </c>
      <c r="J24" s="4">
        <f t="shared" si="5"/>
        <v>978.54828032424336</v>
      </c>
      <c r="K24" s="4">
        <f t="shared" si="5"/>
        <v>1026.7837848687748</v>
      </c>
      <c r="L24" s="4">
        <f t="shared" si="5"/>
        <v>1077.3969584005683</v>
      </c>
      <c r="M24" s="4">
        <f t="shared" si="5"/>
        <v>1130.5050031727435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2">
        <v>9</v>
      </c>
      <c r="B25" s="3">
        <f t="shared" si="1"/>
        <v>1158.0328</v>
      </c>
      <c r="D25" s="3">
        <f t="shared" si="2"/>
        <v>1158.0328</v>
      </c>
      <c r="E25" s="4">
        <f t="shared" si="3"/>
        <v>751.01769301001298</v>
      </c>
      <c r="F25" s="4">
        <f t="shared" si="4"/>
        <v>788.03754994768462</v>
      </c>
      <c r="G25" s="4">
        <f t="shared" si="4"/>
        <v>826.88222382434594</v>
      </c>
      <c r="H25" s="4">
        <f t="shared" si="5"/>
        <v>867.64166519994728</v>
      </c>
      <c r="I25" s="4">
        <f t="shared" si="5"/>
        <v>910.41025856041938</v>
      </c>
      <c r="J25" s="4">
        <f t="shared" si="5"/>
        <v>955.28704087884341</v>
      </c>
      <c r="K25" s="4">
        <f t="shared" si="5"/>
        <v>1002.3759309501388</v>
      </c>
      <c r="L25" s="4">
        <f t="shared" si="5"/>
        <v>1051.7859700303297</v>
      </c>
      <c r="M25" s="4">
        <f t="shared" si="5"/>
        <v>1103.6315743376222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2">
        <v>9.5</v>
      </c>
      <c r="B26" s="3">
        <f t="shared" si="1"/>
        <v>1158.0328</v>
      </c>
      <c r="D26" s="3">
        <f t="shared" si="2"/>
        <v>1158.0328</v>
      </c>
      <c r="E26" s="4">
        <f t="shared" si="3"/>
        <v>733.16512228243573</v>
      </c>
      <c r="F26" s="4">
        <f t="shared" si="4"/>
        <v>769.30497383480702</v>
      </c>
      <c r="G26" s="4">
        <f t="shared" si="4"/>
        <v>807.2262642889109</v>
      </c>
      <c r="H26" s="4">
        <f t="shared" si="5"/>
        <v>847.01680597446887</v>
      </c>
      <c r="I26" s="4">
        <f t="shared" si="5"/>
        <v>888.7687397475662</v>
      </c>
      <c r="J26" s="4">
        <f t="shared" si="5"/>
        <v>932.57874835636574</v>
      </c>
      <c r="K26" s="4">
        <f t="shared" si="5"/>
        <v>978.54828032424336</v>
      </c>
      <c r="L26" s="4">
        <f t="shared" si="5"/>
        <v>1026.7837848687748</v>
      </c>
      <c r="M26" s="4">
        <f t="shared" si="5"/>
        <v>1077.3969584005683</v>
      </c>
      <c r="N26" s="4">
        <f t="shared" ref="N26" si="6">($D26)/((1+$B$4/2)^(2*($A26-N$3)))</f>
        <v>1130.5050031727435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2">
        <v>10</v>
      </c>
      <c r="B27" s="3">
        <f t="shared" si="1"/>
        <v>1158.0328</v>
      </c>
      <c r="D27" s="3">
        <f t="shared" si="2"/>
        <v>1158.0328</v>
      </c>
      <c r="E27" s="4">
        <f t="shared" si="3"/>
        <v>715.73692808359999</v>
      </c>
      <c r="F27" s="4">
        <f t="shared" si="4"/>
        <v>751.01769301001298</v>
      </c>
      <c r="G27" s="4">
        <f t="shared" si="4"/>
        <v>788.03754994768462</v>
      </c>
      <c r="H27" s="4">
        <f t="shared" si="5"/>
        <v>826.88222382434594</v>
      </c>
      <c r="I27" s="4">
        <f t="shared" si="5"/>
        <v>867.64166519994728</v>
      </c>
      <c r="J27" s="4">
        <f t="shared" si="5"/>
        <v>910.41025856041938</v>
      </c>
      <c r="K27" s="4">
        <f t="shared" si="5"/>
        <v>955.28704087884341</v>
      </c>
      <c r="L27" s="4">
        <f t="shared" si="5"/>
        <v>1002.3759309501388</v>
      </c>
      <c r="M27" s="4">
        <f t="shared" si="5"/>
        <v>1051.7859700303297</v>
      </c>
      <c r="N27" s="4">
        <f t="shared" si="5"/>
        <v>1103.6315743376222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>
      <c r="A28" s="2">
        <v>10.5</v>
      </c>
      <c r="B28" s="3">
        <f t="shared" si="1"/>
        <v>1158.0328</v>
      </c>
      <c r="D28" s="3">
        <f t="shared" si="2"/>
        <v>1158.0328</v>
      </c>
      <c r="E28" s="4">
        <f t="shared" si="3"/>
        <v>698.72302248606422</v>
      </c>
      <c r="F28" s="4">
        <f t="shared" si="4"/>
        <v>733.16512228243573</v>
      </c>
      <c r="G28" s="4">
        <f t="shared" si="4"/>
        <v>769.30497383480702</v>
      </c>
      <c r="H28" s="4">
        <f t="shared" si="5"/>
        <v>807.2262642889109</v>
      </c>
      <c r="I28" s="4">
        <f t="shared" si="5"/>
        <v>847.01680597446887</v>
      </c>
      <c r="J28" s="4">
        <f t="shared" si="5"/>
        <v>888.7687397475662</v>
      </c>
      <c r="K28" s="4">
        <f t="shared" ref="H28:T41" si="7">($D28)/((1+$B$4/2)^(2*($A28-K$3)))</f>
        <v>932.57874835636574</v>
      </c>
      <c r="L28" s="4">
        <f t="shared" si="7"/>
        <v>978.54828032424336</v>
      </c>
      <c r="M28" s="4">
        <f t="shared" si="7"/>
        <v>1026.7837848687748</v>
      </c>
      <c r="N28" s="4">
        <f t="shared" si="7"/>
        <v>1077.3969584005683</v>
      </c>
      <c r="O28" s="4">
        <f t="shared" ref="O28" si="8">($D28)/((1+$B$4/2)^(2*($A28-O$3)))</f>
        <v>1130.5050031727435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>
      <c r="A29" s="2">
        <v>11</v>
      </c>
      <c r="B29" s="3">
        <f t="shared" si="1"/>
        <v>1158.0328</v>
      </c>
      <c r="D29" s="3">
        <f t="shared" si="2"/>
        <v>1158.0328</v>
      </c>
      <c r="E29" s="4">
        <f t="shared" si="3"/>
        <v>682.11355736424468</v>
      </c>
      <c r="F29" s="4">
        <f t="shared" si="4"/>
        <v>715.73692808359999</v>
      </c>
      <c r="G29" s="4">
        <f t="shared" si="4"/>
        <v>751.01769301001298</v>
      </c>
      <c r="H29" s="4">
        <f t="shared" si="7"/>
        <v>788.03754994768462</v>
      </c>
      <c r="I29" s="4">
        <f t="shared" si="7"/>
        <v>826.88222382434594</v>
      </c>
      <c r="J29" s="4">
        <f t="shared" si="7"/>
        <v>867.64166519994728</v>
      </c>
      <c r="K29" s="4">
        <f t="shared" si="7"/>
        <v>910.41025856041938</v>
      </c>
      <c r="L29" s="4">
        <f t="shared" si="7"/>
        <v>955.28704087884341</v>
      </c>
      <c r="M29" s="4">
        <f t="shared" si="7"/>
        <v>1002.3759309501388</v>
      </c>
      <c r="N29" s="4">
        <f t="shared" si="7"/>
        <v>1051.7859700303297</v>
      </c>
      <c r="O29" s="4">
        <f t="shared" si="7"/>
        <v>1103.6315743376222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>
      <c r="A30" s="2">
        <v>11.5</v>
      </c>
      <c r="B30" s="3">
        <f t="shared" si="1"/>
        <v>1158.0328</v>
      </c>
      <c r="D30" s="3">
        <f t="shared" si="2"/>
        <v>1158.0328</v>
      </c>
      <c r="E30" s="4">
        <f t="shared" si="3"/>
        <v>665.89891869404471</v>
      </c>
      <c r="F30" s="4">
        <f t="shared" si="4"/>
        <v>698.72302248606422</v>
      </c>
      <c r="G30" s="4">
        <f t="shared" si="4"/>
        <v>733.16512228243573</v>
      </c>
      <c r="H30" s="4">
        <f t="shared" si="7"/>
        <v>769.30497383480702</v>
      </c>
      <c r="I30" s="4">
        <f t="shared" si="7"/>
        <v>807.2262642889109</v>
      </c>
      <c r="J30" s="4">
        <f t="shared" si="7"/>
        <v>847.01680597446887</v>
      </c>
      <c r="K30" s="4">
        <f t="shared" si="7"/>
        <v>888.7687397475662</v>
      </c>
      <c r="L30" s="4">
        <f t="shared" si="7"/>
        <v>932.57874835636574</v>
      </c>
      <c r="M30" s="4">
        <f t="shared" si="7"/>
        <v>978.54828032424336</v>
      </c>
      <c r="N30" s="4">
        <f t="shared" si="7"/>
        <v>1026.7837848687748</v>
      </c>
      <c r="O30" s="4">
        <f t="shared" si="7"/>
        <v>1077.3969584005683</v>
      </c>
      <c r="P30" s="4">
        <f t="shared" ref="P30" si="9">($D30)/((1+$B$4/2)^(2*($A30-P$3)))</f>
        <v>1130.5050031727435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>
      <c r="A31" s="2">
        <v>12</v>
      </c>
      <c r="B31" s="3">
        <f t="shared" si="1"/>
        <v>1158.0328</v>
      </c>
      <c r="D31" s="3">
        <f t="shared" si="2"/>
        <v>1158.0328</v>
      </c>
      <c r="E31" s="4">
        <f t="shared" si="3"/>
        <v>650.06972098798713</v>
      </c>
      <c r="F31" s="4">
        <f t="shared" si="4"/>
        <v>682.11355736424468</v>
      </c>
      <c r="G31" s="4">
        <f t="shared" si="4"/>
        <v>715.73692808359999</v>
      </c>
      <c r="H31" s="4">
        <f t="shared" si="7"/>
        <v>751.01769301001298</v>
      </c>
      <c r="I31" s="4">
        <f t="shared" si="7"/>
        <v>788.03754994768462</v>
      </c>
      <c r="J31" s="4">
        <f t="shared" si="7"/>
        <v>826.88222382434594</v>
      </c>
      <c r="K31" s="4">
        <f t="shared" si="7"/>
        <v>867.64166519994728</v>
      </c>
      <c r="L31" s="4">
        <f t="shared" si="7"/>
        <v>910.41025856041938</v>
      </c>
      <c r="M31" s="4">
        <f t="shared" si="7"/>
        <v>955.28704087884341</v>
      </c>
      <c r="N31" s="4">
        <f t="shared" si="7"/>
        <v>1002.3759309501388</v>
      </c>
      <c r="O31" s="4">
        <f t="shared" si="7"/>
        <v>1051.7859700303297</v>
      </c>
      <c r="P31" s="4">
        <f t="shared" si="7"/>
        <v>1103.6315743376222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>
      <c r="A32" s="2">
        <v>12.5</v>
      </c>
      <c r="B32" s="3">
        <f t="shared" si="1"/>
        <v>1158.0328</v>
      </c>
      <c r="D32" s="3">
        <f t="shared" si="2"/>
        <v>1158.0328</v>
      </c>
      <c r="E32" s="4">
        <f t="shared" si="3"/>
        <v>634.61680186263197</v>
      </c>
      <c r="F32" s="4">
        <f t="shared" si="4"/>
        <v>665.89891869404471</v>
      </c>
      <c r="G32" s="4">
        <f t="shared" si="4"/>
        <v>698.72302248606422</v>
      </c>
      <c r="H32" s="4">
        <f t="shared" si="7"/>
        <v>733.16512228243573</v>
      </c>
      <c r="I32" s="4">
        <f t="shared" si="7"/>
        <v>769.30497383480702</v>
      </c>
      <c r="J32" s="4">
        <f t="shared" si="7"/>
        <v>807.2262642889109</v>
      </c>
      <c r="K32" s="4">
        <f t="shared" si="7"/>
        <v>847.01680597446887</v>
      </c>
      <c r="L32" s="4">
        <f t="shared" si="7"/>
        <v>888.7687397475662</v>
      </c>
      <c r="M32" s="4">
        <f t="shared" si="7"/>
        <v>932.57874835636574</v>
      </c>
      <c r="N32" s="4">
        <f t="shared" si="7"/>
        <v>978.54828032424336</v>
      </c>
      <c r="O32" s="4">
        <f t="shared" si="7"/>
        <v>1026.7837848687748</v>
      </c>
      <c r="P32" s="4">
        <f t="shared" si="7"/>
        <v>1077.3969584005683</v>
      </c>
      <c r="Q32" s="4">
        <f t="shared" ref="Q32" si="10">($D32)/((1+$B$4/2)^(2*($A32-Q$3)))</f>
        <v>1130.5050031727435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>
      <c r="A33" s="2">
        <v>13</v>
      </c>
      <c r="B33" s="3">
        <f t="shared" si="1"/>
        <v>1158.0328</v>
      </c>
      <c r="D33" s="3">
        <f t="shared" si="2"/>
        <v>1158.0328</v>
      </c>
      <c r="E33" s="4">
        <f t="shared" si="3"/>
        <v>619.53121673513147</v>
      </c>
      <c r="F33" s="4">
        <f t="shared" si="4"/>
        <v>650.06972098798713</v>
      </c>
      <c r="G33" s="4">
        <f t="shared" si="4"/>
        <v>682.11355736424468</v>
      </c>
      <c r="H33" s="4">
        <f t="shared" si="7"/>
        <v>715.73692808359999</v>
      </c>
      <c r="I33" s="4">
        <f t="shared" si="7"/>
        <v>751.01769301001298</v>
      </c>
      <c r="J33" s="4">
        <f t="shared" si="7"/>
        <v>788.03754994768462</v>
      </c>
      <c r="K33" s="4">
        <f t="shared" si="7"/>
        <v>826.88222382434594</v>
      </c>
      <c r="L33" s="4">
        <f t="shared" si="7"/>
        <v>867.64166519994728</v>
      </c>
      <c r="M33" s="4">
        <f t="shared" si="7"/>
        <v>910.41025856041938</v>
      </c>
      <c r="N33" s="4">
        <f t="shared" si="7"/>
        <v>955.28704087884341</v>
      </c>
      <c r="O33" s="4">
        <f t="shared" si="7"/>
        <v>1002.3759309501388</v>
      </c>
      <c r="P33" s="4">
        <f t="shared" si="7"/>
        <v>1051.7859700303297</v>
      </c>
      <c r="Q33" s="4">
        <f t="shared" si="7"/>
        <v>1103.6315743376222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>
      <c r="A34" s="2">
        <v>13.5</v>
      </c>
      <c r="B34" s="3">
        <f t="shared" si="1"/>
        <v>1158.0328</v>
      </c>
      <c r="D34" s="3">
        <f t="shared" si="2"/>
        <v>1158.0328</v>
      </c>
      <c r="E34" s="4">
        <f t="shared" si="3"/>
        <v>604.80423364585488</v>
      </c>
      <c r="F34" s="4">
        <f t="shared" si="4"/>
        <v>634.61680186263197</v>
      </c>
      <c r="G34" s="4">
        <f t="shared" si="4"/>
        <v>665.89891869404471</v>
      </c>
      <c r="H34" s="4">
        <f t="shared" si="7"/>
        <v>698.72302248606422</v>
      </c>
      <c r="I34" s="4">
        <f t="shared" si="7"/>
        <v>733.16512228243573</v>
      </c>
      <c r="J34" s="4">
        <f t="shared" si="7"/>
        <v>769.30497383480702</v>
      </c>
      <c r="K34" s="4">
        <f t="shared" si="7"/>
        <v>807.2262642889109</v>
      </c>
      <c r="L34" s="4">
        <f t="shared" si="7"/>
        <v>847.01680597446887</v>
      </c>
      <c r="M34" s="4">
        <f t="shared" si="7"/>
        <v>888.7687397475662</v>
      </c>
      <c r="N34" s="4">
        <f t="shared" si="7"/>
        <v>932.57874835636574</v>
      </c>
      <c r="O34" s="4">
        <f t="shared" si="7"/>
        <v>978.54828032424336</v>
      </c>
      <c r="P34" s="4">
        <f t="shared" si="7"/>
        <v>1026.7837848687748</v>
      </c>
      <c r="Q34" s="4">
        <f t="shared" si="7"/>
        <v>1077.3969584005683</v>
      </c>
      <c r="R34" s="4">
        <f t="shared" ref="R34" si="11">($D34)/((1+$B$4/2)^(2*($A34-R$3)))</f>
        <v>1130.5050031727435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>
      <c r="A35" s="2">
        <v>14</v>
      </c>
      <c r="B35" s="3">
        <f t="shared" si="1"/>
        <v>1158.0328</v>
      </c>
      <c r="D35" s="3">
        <f t="shared" si="2"/>
        <v>1158.0328</v>
      </c>
      <c r="E35" s="4">
        <f t="shared" si="3"/>
        <v>590.42732820408526</v>
      </c>
      <c r="F35" s="4">
        <f t="shared" si="4"/>
        <v>619.53121673513147</v>
      </c>
      <c r="G35" s="4">
        <f t="shared" si="4"/>
        <v>650.06972098798713</v>
      </c>
      <c r="H35" s="4">
        <f t="shared" si="7"/>
        <v>682.11355736424468</v>
      </c>
      <c r="I35" s="4">
        <f t="shared" si="7"/>
        <v>715.73692808359999</v>
      </c>
      <c r="J35" s="4">
        <f t="shared" si="7"/>
        <v>751.01769301001298</v>
      </c>
      <c r="K35" s="4">
        <f t="shared" si="7"/>
        <v>788.03754994768462</v>
      </c>
      <c r="L35" s="4">
        <f t="shared" si="7"/>
        <v>826.88222382434594</v>
      </c>
      <c r="M35" s="4">
        <f t="shared" si="7"/>
        <v>867.64166519994728</v>
      </c>
      <c r="N35" s="4">
        <f t="shared" si="7"/>
        <v>910.41025856041938</v>
      </c>
      <c r="O35" s="4">
        <f t="shared" si="7"/>
        <v>955.28704087884341</v>
      </c>
      <c r="P35" s="4">
        <f t="shared" si="7"/>
        <v>1002.3759309501388</v>
      </c>
      <c r="Q35" s="4">
        <f t="shared" si="7"/>
        <v>1051.7859700303297</v>
      </c>
      <c r="R35" s="4">
        <f t="shared" si="7"/>
        <v>1103.6315743376222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>
      <c r="A36" s="2">
        <v>14.5</v>
      </c>
      <c r="B36" s="3">
        <f t="shared" si="1"/>
        <v>1158.0328</v>
      </c>
      <c r="D36" s="3">
        <f t="shared" si="2"/>
        <v>1158.0328</v>
      </c>
      <c r="E36" s="4">
        <f t="shared" si="3"/>
        <v>576.39217865386365</v>
      </c>
      <c r="F36" s="4">
        <f t="shared" si="4"/>
        <v>604.80423364585488</v>
      </c>
      <c r="G36" s="4">
        <f t="shared" si="4"/>
        <v>634.61680186263197</v>
      </c>
      <c r="H36" s="4">
        <f t="shared" si="7"/>
        <v>665.89891869404471</v>
      </c>
      <c r="I36" s="4">
        <f t="shared" si="7"/>
        <v>698.72302248606422</v>
      </c>
      <c r="J36" s="4">
        <f t="shared" si="7"/>
        <v>733.16512228243573</v>
      </c>
      <c r="K36" s="4">
        <f t="shared" si="7"/>
        <v>769.30497383480702</v>
      </c>
      <c r="L36" s="4">
        <f t="shared" si="7"/>
        <v>807.2262642889109</v>
      </c>
      <c r="M36" s="4">
        <f t="shared" si="7"/>
        <v>847.01680597446887</v>
      </c>
      <c r="N36" s="4">
        <f t="shared" si="7"/>
        <v>888.7687397475662</v>
      </c>
      <c r="O36" s="4">
        <f t="shared" si="7"/>
        <v>932.57874835636574</v>
      </c>
      <c r="P36" s="4">
        <f t="shared" si="7"/>
        <v>978.54828032424336</v>
      </c>
      <c r="Q36" s="4">
        <f t="shared" si="7"/>
        <v>1026.7837848687748</v>
      </c>
      <c r="R36" s="4">
        <f t="shared" si="7"/>
        <v>1077.3969584005683</v>
      </c>
      <c r="S36" s="4">
        <f t="shared" ref="S36" si="12">($D36)/((1+$B$4/2)^(2*($A36-S$3)))</f>
        <v>1130.5050031727435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>
      <c r="A37" s="2">
        <v>15</v>
      </c>
      <c r="B37" s="3">
        <f t="shared" si="1"/>
        <v>1158.0328</v>
      </c>
      <c r="D37" s="3">
        <f t="shared" si="2"/>
        <v>1158.0328</v>
      </c>
      <c r="E37" s="4">
        <f t="shared" si="3"/>
        <v>562.6906610571225</v>
      </c>
      <c r="F37" s="4">
        <f t="shared" si="4"/>
        <v>590.42732820408526</v>
      </c>
      <c r="G37" s="4">
        <f t="shared" si="4"/>
        <v>619.53121673513147</v>
      </c>
      <c r="H37" s="4">
        <f t="shared" si="7"/>
        <v>650.06972098798713</v>
      </c>
      <c r="I37" s="4">
        <f t="shared" si="7"/>
        <v>682.11355736424468</v>
      </c>
      <c r="J37" s="4">
        <f t="shared" si="7"/>
        <v>715.73692808359999</v>
      </c>
      <c r="K37" s="4">
        <f t="shared" si="7"/>
        <v>751.01769301001298</v>
      </c>
      <c r="L37" s="4">
        <f t="shared" si="7"/>
        <v>788.03754994768462</v>
      </c>
      <c r="M37" s="4">
        <f t="shared" si="7"/>
        <v>826.88222382434594</v>
      </c>
      <c r="N37" s="4">
        <f t="shared" si="7"/>
        <v>867.64166519994728</v>
      </c>
      <c r="O37" s="4">
        <f t="shared" si="7"/>
        <v>910.41025856041938</v>
      </c>
      <c r="P37" s="4">
        <f t="shared" si="7"/>
        <v>955.28704087884341</v>
      </c>
      <c r="Q37" s="4">
        <f t="shared" si="7"/>
        <v>1002.3759309501388</v>
      </c>
      <c r="R37" s="4">
        <f t="shared" si="7"/>
        <v>1051.7859700303297</v>
      </c>
      <c r="S37" s="4">
        <f t="shared" si="7"/>
        <v>1103.6315743376222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>
      <c r="A38" s="2">
        <v>15.5</v>
      </c>
      <c r="B38" s="3">
        <f t="shared" si="1"/>
        <v>1158.0328</v>
      </c>
      <c r="D38" s="3">
        <f t="shared" si="2"/>
        <v>1158.0328</v>
      </c>
      <c r="E38" s="4">
        <f t="shared" si="3"/>
        <v>549.31484459132378</v>
      </c>
      <c r="F38" s="4">
        <f t="shared" si="4"/>
        <v>576.39217865386365</v>
      </c>
      <c r="G38" s="4">
        <f t="shared" si="4"/>
        <v>604.80423364585488</v>
      </c>
      <c r="H38" s="4">
        <f t="shared" si="7"/>
        <v>634.61680186263197</v>
      </c>
      <c r="I38" s="4">
        <f t="shared" si="7"/>
        <v>665.89891869404471</v>
      </c>
      <c r="J38" s="4">
        <f t="shared" si="7"/>
        <v>698.72302248606422</v>
      </c>
      <c r="K38" s="4">
        <f t="shared" si="7"/>
        <v>733.16512228243573</v>
      </c>
      <c r="L38" s="4">
        <f t="shared" si="7"/>
        <v>769.30497383480702</v>
      </c>
      <c r="M38" s="4">
        <f t="shared" si="7"/>
        <v>807.2262642889109</v>
      </c>
      <c r="N38" s="4">
        <f t="shared" si="7"/>
        <v>847.01680597446887</v>
      </c>
      <c r="O38" s="4">
        <f t="shared" si="7"/>
        <v>888.7687397475662</v>
      </c>
      <c r="P38" s="4">
        <f t="shared" si="7"/>
        <v>932.57874835636574</v>
      </c>
      <c r="Q38" s="4">
        <f t="shared" si="7"/>
        <v>978.54828032424336</v>
      </c>
      <c r="R38" s="4">
        <f t="shared" si="7"/>
        <v>1026.7837848687748</v>
      </c>
      <c r="S38" s="4">
        <f t="shared" si="7"/>
        <v>1077.3969584005683</v>
      </c>
      <c r="T38" s="4">
        <f t="shared" ref="T38" si="13">($D38)/((1+$B$4/2)^(2*($A38-T$3)))</f>
        <v>1130.5050031727435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>
      <c r="A39" s="2">
        <v>16</v>
      </c>
      <c r="B39" s="3">
        <f t="shared" si="1"/>
        <v>1158.0328</v>
      </c>
      <c r="D39" s="3">
        <f t="shared" si="2"/>
        <v>1158.0328</v>
      </c>
      <c r="E39" s="4">
        <f t="shared" si="3"/>
        <v>536.25698695887502</v>
      </c>
      <c r="F39" s="4">
        <f t="shared" si="4"/>
        <v>562.6906610571225</v>
      </c>
      <c r="G39" s="4">
        <f t="shared" si="4"/>
        <v>590.42732820408526</v>
      </c>
      <c r="H39" s="4">
        <f t="shared" si="7"/>
        <v>619.53121673513147</v>
      </c>
      <c r="I39" s="4">
        <f t="shared" si="7"/>
        <v>650.06972098798713</v>
      </c>
      <c r="J39" s="4">
        <f t="shared" si="7"/>
        <v>682.11355736424468</v>
      </c>
      <c r="K39" s="4">
        <f t="shared" si="7"/>
        <v>715.73692808359999</v>
      </c>
      <c r="L39" s="4">
        <f t="shared" si="7"/>
        <v>751.01769301001298</v>
      </c>
      <c r="M39" s="4">
        <f t="shared" si="7"/>
        <v>788.03754994768462</v>
      </c>
      <c r="N39" s="4">
        <f t="shared" si="7"/>
        <v>826.88222382434594</v>
      </c>
      <c r="O39" s="4">
        <f t="shared" si="7"/>
        <v>867.64166519994728</v>
      </c>
      <c r="P39" s="4">
        <f t="shared" si="7"/>
        <v>910.41025856041938</v>
      </c>
      <c r="Q39" s="4">
        <f t="shared" si="7"/>
        <v>955.28704087884341</v>
      </c>
      <c r="R39" s="4">
        <f t="shared" si="7"/>
        <v>1002.3759309501388</v>
      </c>
      <c r="S39" s="4">
        <f t="shared" si="7"/>
        <v>1051.7859700303297</v>
      </c>
      <c r="T39" s="4">
        <f t="shared" si="7"/>
        <v>1103.6315743376222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>
      <c r="A40" s="2">
        <v>16.5</v>
      </c>
      <c r="B40" s="3">
        <f t="shared" si="1"/>
        <v>1158.0328</v>
      </c>
      <c r="D40" s="3">
        <f t="shared" si="2"/>
        <v>1158.0328</v>
      </c>
      <c r="E40" s="4">
        <f t="shared" si="3"/>
        <v>523.5095299056718</v>
      </c>
      <c r="F40" s="4">
        <f t="shared" si="4"/>
        <v>549.31484459132378</v>
      </c>
      <c r="G40" s="4">
        <f t="shared" si="4"/>
        <v>576.39217865386365</v>
      </c>
      <c r="H40" s="4">
        <f t="shared" si="7"/>
        <v>604.80423364585488</v>
      </c>
      <c r="I40" s="4">
        <f t="shared" si="7"/>
        <v>634.61680186263197</v>
      </c>
      <c r="J40" s="4">
        <f t="shared" si="7"/>
        <v>665.89891869404471</v>
      </c>
      <c r="K40" s="4">
        <f t="shared" si="7"/>
        <v>698.72302248606422</v>
      </c>
      <c r="L40" s="4">
        <f t="shared" si="7"/>
        <v>733.16512228243573</v>
      </c>
      <c r="M40" s="4">
        <f t="shared" si="7"/>
        <v>769.30497383480702</v>
      </c>
      <c r="N40" s="4">
        <f t="shared" si="7"/>
        <v>807.2262642889109</v>
      </c>
      <c r="O40" s="4">
        <f t="shared" si="7"/>
        <v>847.01680597446887</v>
      </c>
      <c r="P40" s="4">
        <f t="shared" si="7"/>
        <v>888.7687397475662</v>
      </c>
      <c r="Q40" s="4">
        <f t="shared" si="7"/>
        <v>932.57874835636574</v>
      </c>
      <c r="R40" s="4">
        <f t="shared" si="7"/>
        <v>978.54828032424336</v>
      </c>
      <c r="S40" s="4">
        <f t="shared" si="7"/>
        <v>1026.7837848687748</v>
      </c>
      <c r="T40" s="4">
        <f t="shared" si="7"/>
        <v>1077.3969584005683</v>
      </c>
      <c r="U40" s="4">
        <f t="shared" ref="U40" si="14">($D40)/((1+$B$4/2)^(2*($A40-U$3)))</f>
        <v>1130.5050031727435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>
      <c r="A41" s="2">
        <v>17</v>
      </c>
      <c r="B41" s="3">
        <f t="shared" si="1"/>
        <v>1158.0328</v>
      </c>
      <c r="D41" s="3">
        <f t="shared" si="2"/>
        <v>1158.0328</v>
      </c>
      <c r="E41" s="4">
        <f t="shared" si="3"/>
        <v>511.06509484616765</v>
      </c>
      <c r="F41" s="4">
        <f t="shared" si="4"/>
        <v>536.25698695887502</v>
      </c>
      <c r="G41" s="4">
        <f t="shared" si="4"/>
        <v>562.6906610571225</v>
      </c>
      <c r="H41" s="4">
        <f t="shared" si="7"/>
        <v>590.42732820408526</v>
      </c>
      <c r="I41" s="4">
        <f t="shared" si="7"/>
        <v>619.53121673513147</v>
      </c>
      <c r="J41" s="4">
        <f t="shared" si="7"/>
        <v>650.06972098798713</v>
      </c>
      <c r="K41" s="4">
        <f t="shared" si="7"/>
        <v>682.11355736424468</v>
      </c>
      <c r="L41" s="4">
        <f t="shared" si="7"/>
        <v>715.73692808359999</v>
      </c>
      <c r="M41" s="4">
        <f t="shared" si="7"/>
        <v>751.01769301001298</v>
      </c>
      <c r="N41" s="4">
        <f t="shared" si="7"/>
        <v>788.03754994768462</v>
      </c>
      <c r="O41" s="4">
        <f t="shared" si="7"/>
        <v>826.88222382434594</v>
      </c>
      <c r="P41" s="4">
        <f t="shared" si="7"/>
        <v>867.64166519994728</v>
      </c>
      <c r="Q41" s="4">
        <f t="shared" si="7"/>
        <v>910.41025856041938</v>
      </c>
      <c r="R41" s="4">
        <f t="shared" si="7"/>
        <v>955.28704087884341</v>
      </c>
      <c r="S41" s="4">
        <f t="shared" ref="H41:Z54" si="15">($D41)/((1+$B$4/2)^(2*($A41-S$3)))</f>
        <v>1002.3759309501388</v>
      </c>
      <c r="T41" s="4">
        <f t="shared" si="15"/>
        <v>1051.7859700303297</v>
      </c>
      <c r="U41" s="4">
        <f t="shared" si="15"/>
        <v>1103.6315743376222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>
      <c r="A42" s="2">
        <v>17.5</v>
      </c>
      <c r="B42" s="3">
        <f t="shared" si="1"/>
        <v>1158.0328</v>
      </c>
      <c r="D42" s="3">
        <f t="shared" si="2"/>
        <v>1158.0328</v>
      </c>
      <c r="E42" s="4">
        <f t="shared" si="3"/>
        <v>498.91647859244159</v>
      </c>
      <c r="F42" s="4">
        <f t="shared" si="4"/>
        <v>523.5095299056718</v>
      </c>
      <c r="G42" s="4">
        <f t="shared" si="4"/>
        <v>549.31484459132378</v>
      </c>
      <c r="H42" s="4">
        <f t="shared" si="15"/>
        <v>576.39217865386365</v>
      </c>
      <c r="I42" s="4">
        <f t="shared" si="15"/>
        <v>604.80423364585488</v>
      </c>
      <c r="J42" s="4">
        <f t="shared" si="15"/>
        <v>634.61680186263197</v>
      </c>
      <c r="K42" s="4">
        <f t="shared" si="15"/>
        <v>665.89891869404471</v>
      </c>
      <c r="L42" s="4">
        <f t="shared" si="15"/>
        <v>698.72302248606422</v>
      </c>
      <c r="M42" s="4">
        <f t="shared" si="15"/>
        <v>733.16512228243573</v>
      </c>
      <c r="N42" s="4">
        <f t="shared" si="15"/>
        <v>769.30497383480702</v>
      </c>
      <c r="O42" s="4">
        <f t="shared" si="15"/>
        <v>807.2262642889109</v>
      </c>
      <c r="P42" s="4">
        <f t="shared" si="15"/>
        <v>847.01680597446887</v>
      </c>
      <c r="Q42" s="4">
        <f t="shared" si="15"/>
        <v>888.7687397475662</v>
      </c>
      <c r="R42" s="4">
        <f t="shared" si="15"/>
        <v>932.57874835636574</v>
      </c>
      <c r="S42" s="4">
        <f t="shared" si="15"/>
        <v>978.54828032424336</v>
      </c>
      <c r="T42" s="4">
        <f t="shared" si="15"/>
        <v>1026.7837848687748</v>
      </c>
      <c r="U42" s="4">
        <f t="shared" si="15"/>
        <v>1077.3969584005683</v>
      </c>
      <c r="V42" s="4">
        <f t="shared" ref="V42" si="16">($D42)/((1+$B$4/2)^(2*($A42-V$3)))</f>
        <v>1130.5050031727435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>
      <c r="A43" s="2">
        <v>18</v>
      </c>
      <c r="B43" s="3">
        <f t="shared" si="1"/>
        <v>1158.0328</v>
      </c>
      <c r="D43" s="3">
        <f t="shared" si="2"/>
        <v>1158.0328</v>
      </c>
      <c r="E43" s="4">
        <f t="shared" si="3"/>
        <v>487.05664918479187</v>
      </c>
      <c r="F43" s="4">
        <f t="shared" si="4"/>
        <v>511.06509484616765</v>
      </c>
      <c r="G43" s="4">
        <f t="shared" si="4"/>
        <v>536.25698695887502</v>
      </c>
      <c r="H43" s="4">
        <f t="shared" si="15"/>
        <v>562.6906610571225</v>
      </c>
      <c r="I43" s="4">
        <f t="shared" si="15"/>
        <v>590.42732820408526</v>
      </c>
      <c r="J43" s="4">
        <f t="shared" si="15"/>
        <v>619.53121673513147</v>
      </c>
      <c r="K43" s="4">
        <f t="shared" si="15"/>
        <v>650.06972098798713</v>
      </c>
      <c r="L43" s="4">
        <f t="shared" si="15"/>
        <v>682.11355736424468</v>
      </c>
      <c r="M43" s="4">
        <f t="shared" si="15"/>
        <v>715.73692808359999</v>
      </c>
      <c r="N43" s="4">
        <f t="shared" si="15"/>
        <v>751.01769301001298</v>
      </c>
      <c r="O43" s="4">
        <f t="shared" si="15"/>
        <v>788.03754994768462</v>
      </c>
      <c r="P43" s="4">
        <f t="shared" si="15"/>
        <v>826.88222382434594</v>
      </c>
      <c r="Q43" s="4">
        <f t="shared" si="15"/>
        <v>867.64166519994728</v>
      </c>
      <c r="R43" s="4">
        <f t="shared" si="15"/>
        <v>910.41025856041938</v>
      </c>
      <c r="S43" s="4">
        <f t="shared" si="15"/>
        <v>955.28704087884341</v>
      </c>
      <c r="T43" s="4">
        <f t="shared" si="15"/>
        <v>1002.3759309501388</v>
      </c>
      <c r="U43" s="4">
        <f t="shared" si="15"/>
        <v>1051.7859700303297</v>
      </c>
      <c r="V43" s="4">
        <f t="shared" si="15"/>
        <v>1103.6315743376222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>
      <c r="A44" s="2">
        <v>18.5</v>
      </c>
      <c r="B44" s="3">
        <f t="shared" si="1"/>
        <v>1158.0328</v>
      </c>
      <c r="D44" s="3">
        <f t="shared" si="2"/>
        <v>1158.0328</v>
      </c>
      <c r="E44" s="4">
        <f t="shared" si="3"/>
        <v>475.47874182143977</v>
      </c>
      <c r="F44" s="4">
        <f t="shared" si="4"/>
        <v>498.91647859244159</v>
      </c>
      <c r="G44" s="4">
        <f t="shared" si="4"/>
        <v>523.5095299056718</v>
      </c>
      <c r="H44" s="4">
        <f t="shared" si="15"/>
        <v>549.31484459132378</v>
      </c>
      <c r="I44" s="4">
        <f t="shared" si="15"/>
        <v>576.39217865386365</v>
      </c>
      <c r="J44" s="4">
        <f t="shared" si="15"/>
        <v>604.80423364585488</v>
      </c>
      <c r="K44" s="4">
        <f t="shared" si="15"/>
        <v>634.61680186263197</v>
      </c>
      <c r="L44" s="4">
        <f t="shared" si="15"/>
        <v>665.89891869404471</v>
      </c>
      <c r="M44" s="4">
        <f t="shared" si="15"/>
        <v>698.72302248606422</v>
      </c>
      <c r="N44" s="4">
        <f t="shared" si="15"/>
        <v>733.16512228243573</v>
      </c>
      <c r="O44" s="4">
        <f t="shared" si="15"/>
        <v>769.30497383480702</v>
      </c>
      <c r="P44" s="4">
        <f t="shared" si="15"/>
        <v>807.2262642889109</v>
      </c>
      <c r="Q44" s="4">
        <f t="shared" si="15"/>
        <v>847.01680597446887</v>
      </c>
      <c r="R44" s="4">
        <f t="shared" si="15"/>
        <v>888.7687397475662</v>
      </c>
      <c r="S44" s="4">
        <f t="shared" si="15"/>
        <v>932.57874835636574</v>
      </c>
      <c r="T44" s="4">
        <f t="shared" si="15"/>
        <v>978.54828032424336</v>
      </c>
      <c r="U44" s="4">
        <f t="shared" si="15"/>
        <v>1026.7837848687748</v>
      </c>
      <c r="V44" s="4">
        <f t="shared" si="15"/>
        <v>1077.3969584005683</v>
      </c>
      <c r="W44" s="4">
        <f t="shared" si="15"/>
        <v>1130.5050031727435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>
      <c r="A45" s="2">
        <v>19</v>
      </c>
      <c r="B45" s="3">
        <f t="shared" si="1"/>
        <v>1158.0328</v>
      </c>
      <c r="D45" s="3">
        <f t="shared" si="2"/>
        <v>1158.0328</v>
      </c>
      <c r="E45" s="4">
        <f t="shared" si="3"/>
        <v>464.17605488499021</v>
      </c>
      <c r="F45" s="4">
        <f t="shared" si="4"/>
        <v>487.05664918479187</v>
      </c>
      <c r="G45" s="4">
        <f t="shared" si="4"/>
        <v>511.06509484616765</v>
      </c>
      <c r="H45" s="4">
        <f t="shared" si="15"/>
        <v>536.25698695887502</v>
      </c>
      <c r="I45" s="4">
        <f t="shared" si="15"/>
        <v>562.6906610571225</v>
      </c>
      <c r="J45" s="4">
        <f t="shared" si="15"/>
        <v>590.42732820408526</v>
      </c>
      <c r="K45" s="4">
        <f t="shared" si="15"/>
        <v>619.53121673513147</v>
      </c>
      <c r="L45" s="4">
        <f t="shared" si="15"/>
        <v>650.06972098798713</v>
      </c>
      <c r="M45" s="4">
        <f t="shared" si="15"/>
        <v>682.11355736424468</v>
      </c>
      <c r="N45" s="4">
        <f t="shared" si="15"/>
        <v>715.73692808359999</v>
      </c>
      <c r="O45" s="4">
        <f t="shared" si="15"/>
        <v>751.01769301001298</v>
      </c>
      <c r="P45" s="4">
        <f t="shared" si="15"/>
        <v>788.03754994768462</v>
      </c>
      <c r="Q45" s="4">
        <f t="shared" si="15"/>
        <v>826.88222382434594</v>
      </c>
      <c r="R45" s="4">
        <f t="shared" si="15"/>
        <v>867.64166519994728</v>
      </c>
      <c r="S45" s="4">
        <f t="shared" si="15"/>
        <v>910.41025856041938</v>
      </c>
      <c r="T45" s="4">
        <f t="shared" si="15"/>
        <v>955.28704087884341</v>
      </c>
      <c r="U45" s="4">
        <f t="shared" si="15"/>
        <v>1002.3759309501388</v>
      </c>
      <c r="V45" s="4">
        <f t="shared" si="15"/>
        <v>1051.7859700303297</v>
      </c>
      <c r="W45" s="4">
        <f t="shared" si="15"/>
        <v>1103.6315743376222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>
      <c r="A46" s="2">
        <v>19.5</v>
      </c>
      <c r="B46" s="3">
        <f t="shared" si="1"/>
        <v>1158.0328</v>
      </c>
      <c r="D46" s="3">
        <f t="shared" si="2"/>
        <v>1158.0328</v>
      </c>
      <c r="E46" s="4">
        <f t="shared" si="3"/>
        <v>453.14204606334761</v>
      </c>
      <c r="F46" s="4">
        <f t="shared" si="4"/>
        <v>475.47874182143977</v>
      </c>
      <c r="G46" s="4">
        <f t="shared" si="4"/>
        <v>498.91647859244159</v>
      </c>
      <c r="H46" s="4">
        <f t="shared" si="15"/>
        <v>523.5095299056718</v>
      </c>
      <c r="I46" s="4">
        <f t="shared" si="15"/>
        <v>549.31484459132378</v>
      </c>
      <c r="J46" s="4">
        <f t="shared" si="15"/>
        <v>576.39217865386365</v>
      </c>
      <c r="K46" s="4">
        <f t="shared" si="15"/>
        <v>604.80423364585488</v>
      </c>
      <c r="L46" s="4">
        <f t="shared" si="15"/>
        <v>634.61680186263197</v>
      </c>
      <c r="M46" s="4">
        <f t="shared" si="15"/>
        <v>665.89891869404471</v>
      </c>
      <c r="N46" s="4">
        <f t="shared" si="15"/>
        <v>698.72302248606422</v>
      </c>
      <c r="O46" s="4">
        <f t="shared" si="15"/>
        <v>733.16512228243573</v>
      </c>
      <c r="P46" s="4">
        <f t="shared" si="15"/>
        <v>769.30497383480702</v>
      </c>
      <c r="Q46" s="4">
        <f t="shared" si="15"/>
        <v>807.2262642889109</v>
      </c>
      <c r="R46" s="4">
        <f t="shared" si="15"/>
        <v>847.01680597446887</v>
      </c>
      <c r="S46" s="4">
        <f t="shared" si="15"/>
        <v>888.7687397475662</v>
      </c>
      <c r="T46" s="4">
        <f t="shared" si="15"/>
        <v>932.57874835636574</v>
      </c>
      <c r="U46" s="4">
        <f t="shared" si="15"/>
        <v>978.54828032424336</v>
      </c>
      <c r="V46" s="4">
        <f t="shared" si="15"/>
        <v>1026.7837848687748</v>
      </c>
      <c r="W46" s="4">
        <f t="shared" si="15"/>
        <v>1077.3969584005683</v>
      </c>
      <c r="X46" s="4">
        <f t="shared" si="15"/>
        <v>1130.5050031727435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>
      <c r="A47" s="2">
        <v>20</v>
      </c>
      <c r="B47" s="3">
        <f t="shared" si="1"/>
        <v>1158.0328</v>
      </c>
      <c r="D47" s="3">
        <f t="shared" si="2"/>
        <v>1158.0328</v>
      </c>
      <c r="E47" s="4">
        <f t="shared" si="3"/>
        <v>442.37032856284236</v>
      </c>
      <c r="F47" s="4">
        <f t="shared" si="4"/>
        <v>464.17605488499021</v>
      </c>
      <c r="G47" s="4">
        <f t="shared" si="4"/>
        <v>487.05664918479187</v>
      </c>
      <c r="H47" s="4">
        <f t="shared" si="15"/>
        <v>511.06509484616765</v>
      </c>
      <c r="I47" s="4">
        <f t="shared" si="15"/>
        <v>536.25698695887502</v>
      </c>
      <c r="J47" s="4">
        <f t="shared" si="15"/>
        <v>562.6906610571225</v>
      </c>
      <c r="K47" s="4">
        <f t="shared" si="15"/>
        <v>590.42732820408526</v>
      </c>
      <c r="L47" s="4">
        <f t="shared" si="15"/>
        <v>619.53121673513147</v>
      </c>
      <c r="M47" s="4">
        <f t="shared" si="15"/>
        <v>650.06972098798713</v>
      </c>
      <c r="N47" s="4">
        <f t="shared" si="15"/>
        <v>682.11355736424468</v>
      </c>
      <c r="O47" s="4">
        <f t="shared" si="15"/>
        <v>715.73692808359999</v>
      </c>
      <c r="P47" s="4">
        <f t="shared" si="15"/>
        <v>751.01769301001298</v>
      </c>
      <c r="Q47" s="4">
        <f t="shared" si="15"/>
        <v>788.03754994768462</v>
      </c>
      <c r="R47" s="4">
        <f t="shared" si="15"/>
        <v>826.88222382434594</v>
      </c>
      <c r="S47" s="4">
        <f t="shared" si="15"/>
        <v>867.64166519994728</v>
      </c>
      <c r="T47" s="4">
        <f t="shared" si="15"/>
        <v>910.41025856041938</v>
      </c>
      <c r="U47" s="4">
        <f t="shared" si="15"/>
        <v>955.28704087884341</v>
      </c>
      <c r="V47" s="4">
        <f t="shared" si="15"/>
        <v>1002.3759309501388</v>
      </c>
      <c r="W47" s="4">
        <f t="shared" si="15"/>
        <v>1051.7859700303297</v>
      </c>
      <c r="X47" s="4">
        <f t="shared" si="15"/>
        <v>1103.6315743376222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>
      <c r="A48" s="2">
        <v>20.5</v>
      </c>
      <c r="B48" s="3">
        <f t="shared" si="1"/>
        <v>1158.0328</v>
      </c>
      <c r="D48" s="3">
        <f t="shared" si="2"/>
        <v>1158.0328</v>
      </c>
      <c r="E48" s="4">
        <f t="shared" si="3"/>
        <v>431.85466741137532</v>
      </c>
      <c r="F48" s="4">
        <f t="shared" si="4"/>
        <v>453.14204606334761</v>
      </c>
      <c r="G48" s="4">
        <f t="shared" si="4"/>
        <v>475.47874182143977</v>
      </c>
      <c r="H48" s="4">
        <f t="shared" si="15"/>
        <v>498.91647859244159</v>
      </c>
      <c r="I48" s="4">
        <f t="shared" si="15"/>
        <v>523.5095299056718</v>
      </c>
      <c r="J48" s="4">
        <f t="shared" si="15"/>
        <v>549.31484459132378</v>
      </c>
      <c r="K48" s="4">
        <f t="shared" si="15"/>
        <v>576.39217865386365</v>
      </c>
      <c r="L48" s="4">
        <f t="shared" si="15"/>
        <v>604.80423364585488</v>
      </c>
      <c r="M48" s="4">
        <f t="shared" si="15"/>
        <v>634.61680186263197</v>
      </c>
      <c r="N48" s="4">
        <f t="shared" si="15"/>
        <v>665.89891869404471</v>
      </c>
      <c r="O48" s="4">
        <f t="shared" si="15"/>
        <v>698.72302248606422</v>
      </c>
      <c r="P48" s="4">
        <f t="shared" si="15"/>
        <v>733.16512228243573</v>
      </c>
      <c r="Q48" s="4">
        <f t="shared" si="15"/>
        <v>769.30497383480702</v>
      </c>
      <c r="R48" s="4">
        <f t="shared" si="15"/>
        <v>807.2262642889109</v>
      </c>
      <c r="S48" s="4">
        <f t="shared" si="15"/>
        <v>847.01680597446887</v>
      </c>
      <c r="T48" s="4">
        <f t="shared" si="15"/>
        <v>888.7687397475662</v>
      </c>
      <c r="U48" s="4">
        <f t="shared" si="15"/>
        <v>932.57874835636574</v>
      </c>
      <c r="V48" s="4">
        <f t="shared" si="15"/>
        <v>978.54828032424336</v>
      </c>
      <c r="W48" s="4">
        <f t="shared" si="15"/>
        <v>1026.7837848687748</v>
      </c>
      <c r="X48" s="4">
        <f t="shared" si="15"/>
        <v>1077.3969584005683</v>
      </c>
      <c r="Y48" s="4">
        <f t="shared" si="15"/>
        <v>1130.5050031727435</v>
      </c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2">
        <v>21</v>
      </c>
      <c r="B49" s="3">
        <f t="shared" si="1"/>
        <v>1158.0328</v>
      </c>
      <c r="D49" s="3">
        <f t="shared" si="2"/>
        <v>1158.0328</v>
      </c>
      <c r="E49" s="4">
        <f t="shared" si="3"/>
        <v>421.58897584944128</v>
      </c>
      <c r="F49" s="4">
        <f t="shared" si="4"/>
        <v>442.37032856284236</v>
      </c>
      <c r="G49" s="4">
        <f t="shared" si="4"/>
        <v>464.17605488499021</v>
      </c>
      <c r="H49" s="4">
        <f t="shared" si="15"/>
        <v>487.05664918479187</v>
      </c>
      <c r="I49" s="4">
        <f t="shared" si="15"/>
        <v>511.06509484616765</v>
      </c>
      <c r="J49" s="4">
        <f t="shared" si="15"/>
        <v>536.25698695887502</v>
      </c>
      <c r="K49" s="4">
        <f t="shared" si="15"/>
        <v>562.6906610571225</v>
      </c>
      <c r="L49" s="4">
        <f t="shared" si="15"/>
        <v>590.42732820408526</v>
      </c>
      <c r="M49" s="4">
        <f t="shared" si="15"/>
        <v>619.53121673513147</v>
      </c>
      <c r="N49" s="4">
        <f t="shared" si="15"/>
        <v>650.06972098798713</v>
      </c>
      <c r="O49" s="4">
        <f t="shared" si="15"/>
        <v>682.11355736424468</v>
      </c>
      <c r="P49" s="4">
        <f t="shared" si="15"/>
        <v>715.73692808359999</v>
      </c>
      <c r="Q49" s="4">
        <f t="shared" si="15"/>
        <v>751.01769301001298</v>
      </c>
      <c r="R49" s="4">
        <f t="shared" si="15"/>
        <v>788.03754994768462</v>
      </c>
      <c r="S49" s="4">
        <f t="shared" si="15"/>
        <v>826.88222382434594</v>
      </c>
      <c r="T49" s="4">
        <f t="shared" si="15"/>
        <v>867.64166519994728</v>
      </c>
      <c r="U49" s="4">
        <f t="shared" si="15"/>
        <v>910.41025856041938</v>
      </c>
      <c r="V49" s="4">
        <f t="shared" si="15"/>
        <v>955.28704087884341</v>
      </c>
      <c r="W49" s="4">
        <f t="shared" si="15"/>
        <v>1002.3759309501388</v>
      </c>
      <c r="X49" s="4">
        <f t="shared" si="15"/>
        <v>1051.7859700303297</v>
      </c>
      <c r="Y49" s="4">
        <f t="shared" si="15"/>
        <v>1103.6315743376222</v>
      </c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2">
        <v>21.5</v>
      </c>
      <c r="B50" s="3">
        <f t="shared" si="1"/>
        <v>1158.0328</v>
      </c>
      <c r="D50" s="3">
        <f t="shared" si="2"/>
        <v>1158.0328</v>
      </c>
      <c r="E50" s="4">
        <f t="shared" si="3"/>
        <v>411.56731180694231</v>
      </c>
      <c r="F50" s="4">
        <f t="shared" si="4"/>
        <v>431.85466741137532</v>
      </c>
      <c r="G50" s="4">
        <f t="shared" si="4"/>
        <v>453.14204606334761</v>
      </c>
      <c r="H50" s="4">
        <f t="shared" si="15"/>
        <v>475.47874182143977</v>
      </c>
      <c r="I50" s="4">
        <f t="shared" si="15"/>
        <v>498.91647859244159</v>
      </c>
      <c r="J50" s="4">
        <f t="shared" si="15"/>
        <v>523.5095299056718</v>
      </c>
      <c r="K50" s="4">
        <f t="shared" si="15"/>
        <v>549.31484459132378</v>
      </c>
      <c r="L50" s="4">
        <f t="shared" si="15"/>
        <v>576.39217865386365</v>
      </c>
      <c r="M50" s="4">
        <f t="shared" si="15"/>
        <v>604.80423364585488</v>
      </c>
      <c r="N50" s="4">
        <f t="shared" si="15"/>
        <v>634.61680186263197</v>
      </c>
      <c r="O50" s="4">
        <f t="shared" si="15"/>
        <v>665.89891869404471</v>
      </c>
      <c r="P50" s="4">
        <f t="shared" si="15"/>
        <v>698.72302248606422</v>
      </c>
      <c r="Q50" s="4">
        <f t="shared" si="15"/>
        <v>733.16512228243573</v>
      </c>
      <c r="R50" s="4">
        <f t="shared" si="15"/>
        <v>769.30497383480702</v>
      </c>
      <c r="S50" s="4">
        <f t="shared" si="15"/>
        <v>807.2262642889109</v>
      </c>
      <c r="T50" s="4">
        <f t="shared" si="15"/>
        <v>847.01680597446887</v>
      </c>
      <c r="U50" s="4">
        <f t="shared" si="15"/>
        <v>888.7687397475662</v>
      </c>
      <c r="V50" s="4">
        <f t="shared" si="15"/>
        <v>932.57874835636574</v>
      </c>
      <c r="W50" s="4">
        <f t="shared" si="15"/>
        <v>978.54828032424336</v>
      </c>
      <c r="X50" s="4">
        <f t="shared" si="15"/>
        <v>1026.7837848687748</v>
      </c>
      <c r="Y50" s="4">
        <f t="shared" si="15"/>
        <v>1077.3969584005683</v>
      </c>
      <c r="Z50" s="4">
        <f t="shared" si="15"/>
        <v>1130.5050031727435</v>
      </c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2">
        <v>22</v>
      </c>
      <c r="B51" s="3">
        <f t="shared" si="1"/>
        <v>1158.0328</v>
      </c>
      <c r="D51" s="3">
        <f t="shared" si="2"/>
        <v>1158.0328</v>
      </c>
      <c r="E51" s="4">
        <f t="shared" si="3"/>
        <v>401.7838744637499</v>
      </c>
      <c r="F51" s="4">
        <f t="shared" si="4"/>
        <v>421.58897584944128</v>
      </c>
      <c r="G51" s="4">
        <f t="shared" si="4"/>
        <v>442.37032856284236</v>
      </c>
      <c r="H51" s="4">
        <f t="shared" si="15"/>
        <v>464.17605488499021</v>
      </c>
      <c r="I51" s="4">
        <f t="shared" si="15"/>
        <v>487.05664918479187</v>
      </c>
      <c r="J51" s="4">
        <f t="shared" si="15"/>
        <v>511.06509484616765</v>
      </c>
      <c r="K51" s="4">
        <f t="shared" si="15"/>
        <v>536.25698695887502</v>
      </c>
      <c r="L51" s="4">
        <f t="shared" si="15"/>
        <v>562.6906610571225</v>
      </c>
      <c r="M51" s="4">
        <f t="shared" si="15"/>
        <v>590.42732820408526</v>
      </c>
      <c r="N51" s="4">
        <f t="shared" si="15"/>
        <v>619.53121673513147</v>
      </c>
      <c r="O51" s="4">
        <f t="shared" si="15"/>
        <v>650.06972098798713</v>
      </c>
      <c r="P51" s="4">
        <f t="shared" si="15"/>
        <v>682.11355736424468</v>
      </c>
      <c r="Q51" s="4">
        <f t="shared" si="15"/>
        <v>715.73692808359999</v>
      </c>
      <c r="R51" s="4">
        <f t="shared" si="15"/>
        <v>751.01769301001298</v>
      </c>
      <c r="S51" s="4">
        <f t="shared" si="15"/>
        <v>788.03754994768462</v>
      </c>
      <c r="T51" s="4">
        <f t="shared" si="15"/>
        <v>826.88222382434594</v>
      </c>
      <c r="U51" s="4">
        <f t="shared" si="15"/>
        <v>867.64166519994728</v>
      </c>
      <c r="V51" s="4">
        <f t="shared" si="15"/>
        <v>910.41025856041938</v>
      </c>
      <c r="W51" s="4">
        <f t="shared" si="15"/>
        <v>955.28704087884341</v>
      </c>
      <c r="X51" s="4">
        <f t="shared" si="15"/>
        <v>1002.3759309501388</v>
      </c>
      <c r="Y51" s="4">
        <f t="shared" si="15"/>
        <v>1051.7859700303297</v>
      </c>
      <c r="Z51" s="4">
        <f t="shared" si="15"/>
        <v>1103.6315743376222</v>
      </c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2">
        <v>22.5</v>
      </c>
      <c r="B52" s="3">
        <f t="shared" si="1"/>
        <v>1158.0328</v>
      </c>
      <c r="D52" s="3">
        <f t="shared" si="2"/>
        <v>1158.0328</v>
      </c>
      <c r="E52" s="4">
        <f t="shared" si="3"/>
        <v>392.23300089202894</v>
      </c>
      <c r="F52" s="4">
        <f t="shared" si="4"/>
        <v>411.56731180694231</v>
      </c>
      <c r="G52" s="4">
        <f t="shared" si="4"/>
        <v>431.85466741137532</v>
      </c>
      <c r="H52" s="4">
        <f t="shared" si="15"/>
        <v>453.14204606334761</v>
      </c>
      <c r="I52" s="4">
        <f t="shared" si="15"/>
        <v>475.47874182143977</v>
      </c>
      <c r="J52" s="4">
        <f t="shared" si="15"/>
        <v>498.91647859244159</v>
      </c>
      <c r="K52" s="4">
        <f t="shared" si="15"/>
        <v>523.5095299056718</v>
      </c>
      <c r="L52" s="4">
        <f t="shared" si="15"/>
        <v>549.31484459132378</v>
      </c>
      <c r="M52" s="4">
        <f t="shared" si="15"/>
        <v>576.39217865386365</v>
      </c>
      <c r="N52" s="4">
        <f t="shared" si="15"/>
        <v>604.80423364585488</v>
      </c>
      <c r="O52" s="4">
        <f t="shared" si="15"/>
        <v>634.61680186263197</v>
      </c>
      <c r="P52" s="4">
        <f t="shared" si="15"/>
        <v>665.89891869404471</v>
      </c>
      <c r="Q52" s="4">
        <f t="shared" si="15"/>
        <v>698.72302248606422</v>
      </c>
      <c r="R52" s="4">
        <f t="shared" si="15"/>
        <v>733.16512228243573</v>
      </c>
      <c r="S52" s="4">
        <f t="shared" si="15"/>
        <v>769.30497383480702</v>
      </c>
      <c r="T52" s="4">
        <f t="shared" si="15"/>
        <v>807.2262642889109</v>
      </c>
      <c r="U52" s="4">
        <f t="shared" si="15"/>
        <v>847.01680597446887</v>
      </c>
      <c r="V52" s="4">
        <f t="shared" si="15"/>
        <v>888.7687397475662</v>
      </c>
      <c r="W52" s="4">
        <f t="shared" si="15"/>
        <v>932.57874835636574</v>
      </c>
      <c r="X52" s="4">
        <f t="shared" si="15"/>
        <v>978.54828032424336</v>
      </c>
      <c r="Y52" s="4">
        <f t="shared" si="15"/>
        <v>1026.7837848687748</v>
      </c>
      <c r="Z52" s="4">
        <f t="shared" si="15"/>
        <v>1077.3969584005683</v>
      </c>
      <c r="AA52" s="4">
        <f t="shared" ref="AA52:AC56" si="17">($D52)/((1+$B$4/2)^(2*($A52-AA$3)))</f>
        <v>1130.5050031727435</v>
      </c>
      <c r="AB52" s="4"/>
      <c r="AC52" s="4"/>
      <c r="AD52" s="4"/>
      <c r="AE52" s="4"/>
      <c r="AF52" s="4"/>
      <c r="AG52" s="4"/>
      <c r="AH52" s="4"/>
      <c r="AI52" s="4"/>
    </row>
    <row r="53" spans="1:35">
      <c r="A53" s="2">
        <v>23</v>
      </c>
      <c r="B53" s="3">
        <f t="shared" si="1"/>
        <v>1158.0328</v>
      </c>
      <c r="D53" s="3">
        <f t="shared" si="2"/>
        <v>1158.0328</v>
      </c>
      <c r="E53" s="4">
        <f t="shared" si="3"/>
        <v>382.9091627783755</v>
      </c>
      <c r="F53" s="4">
        <f t="shared" si="4"/>
        <v>401.7838744637499</v>
      </c>
      <c r="G53" s="4">
        <f t="shared" si="4"/>
        <v>421.58897584944128</v>
      </c>
      <c r="H53" s="4">
        <f t="shared" si="15"/>
        <v>442.37032856284236</v>
      </c>
      <c r="I53" s="4">
        <f t="shared" si="15"/>
        <v>464.17605488499021</v>
      </c>
      <c r="J53" s="4">
        <f t="shared" si="15"/>
        <v>487.05664918479187</v>
      </c>
      <c r="K53" s="4">
        <f t="shared" si="15"/>
        <v>511.06509484616765</v>
      </c>
      <c r="L53" s="4">
        <f t="shared" si="15"/>
        <v>536.25698695887502</v>
      </c>
      <c r="M53" s="4">
        <f t="shared" si="15"/>
        <v>562.6906610571225</v>
      </c>
      <c r="N53" s="4">
        <f t="shared" si="15"/>
        <v>590.42732820408526</v>
      </c>
      <c r="O53" s="4">
        <f t="shared" si="15"/>
        <v>619.53121673513147</v>
      </c>
      <c r="P53" s="4">
        <f t="shared" si="15"/>
        <v>650.06972098798713</v>
      </c>
      <c r="Q53" s="4">
        <f t="shared" si="15"/>
        <v>682.11355736424468</v>
      </c>
      <c r="R53" s="4">
        <f t="shared" si="15"/>
        <v>715.73692808359999</v>
      </c>
      <c r="S53" s="4">
        <f t="shared" si="15"/>
        <v>751.01769301001298</v>
      </c>
      <c r="T53" s="4">
        <f t="shared" si="15"/>
        <v>788.03754994768462</v>
      </c>
      <c r="U53" s="4">
        <f t="shared" si="15"/>
        <v>826.88222382434594</v>
      </c>
      <c r="V53" s="4">
        <f t="shared" si="15"/>
        <v>867.64166519994728</v>
      </c>
      <c r="W53" s="4">
        <f t="shared" si="15"/>
        <v>910.41025856041938</v>
      </c>
      <c r="X53" s="4">
        <f t="shared" si="15"/>
        <v>955.28704087884341</v>
      </c>
      <c r="Y53" s="4">
        <f t="shared" si="15"/>
        <v>1002.3759309501388</v>
      </c>
      <c r="Z53" s="4">
        <f t="shared" si="15"/>
        <v>1051.7859700303297</v>
      </c>
      <c r="AA53" s="4">
        <f t="shared" si="17"/>
        <v>1103.6315743376222</v>
      </c>
      <c r="AB53" s="4"/>
      <c r="AC53" s="4"/>
      <c r="AD53" s="4"/>
      <c r="AE53" s="4"/>
      <c r="AF53" s="4"/>
      <c r="AG53" s="4"/>
      <c r="AH53" s="4"/>
      <c r="AI53" s="4"/>
    </row>
    <row r="54" spans="1:35">
      <c r="A54" s="2">
        <v>23.5</v>
      </c>
      <c r="B54" s="3">
        <f t="shared" si="1"/>
        <v>1158.0328</v>
      </c>
      <c r="D54" s="3">
        <f t="shared" si="2"/>
        <v>1158.0328</v>
      </c>
      <c r="E54" s="4">
        <f t="shared" si="3"/>
        <v>373.80696322387405</v>
      </c>
      <c r="F54" s="4">
        <f t="shared" si="4"/>
        <v>392.23300089202894</v>
      </c>
      <c r="G54" s="4">
        <f t="shared" si="4"/>
        <v>411.56731180694231</v>
      </c>
      <c r="H54" s="4">
        <f t="shared" si="15"/>
        <v>431.85466741137532</v>
      </c>
      <c r="I54" s="4">
        <f t="shared" si="15"/>
        <v>453.14204606334761</v>
      </c>
      <c r="J54" s="4">
        <f t="shared" si="15"/>
        <v>475.47874182143977</v>
      </c>
      <c r="K54" s="4">
        <f t="shared" si="15"/>
        <v>498.91647859244159</v>
      </c>
      <c r="L54" s="4">
        <f t="shared" si="15"/>
        <v>523.5095299056718</v>
      </c>
      <c r="M54" s="4">
        <f t="shared" si="15"/>
        <v>549.31484459132378</v>
      </c>
      <c r="N54" s="4">
        <f t="shared" si="15"/>
        <v>576.39217865386365</v>
      </c>
      <c r="O54" s="4">
        <f t="shared" si="15"/>
        <v>604.80423364585488</v>
      </c>
      <c r="P54" s="4">
        <f t="shared" si="15"/>
        <v>634.61680186263197</v>
      </c>
      <c r="Q54" s="4">
        <f t="shared" si="15"/>
        <v>665.89891869404471</v>
      </c>
      <c r="R54" s="4">
        <f t="shared" si="15"/>
        <v>698.72302248606422</v>
      </c>
      <c r="S54" s="4">
        <f t="shared" si="15"/>
        <v>733.16512228243573</v>
      </c>
      <c r="T54" s="4">
        <f t="shared" si="15"/>
        <v>769.30497383480702</v>
      </c>
      <c r="U54" s="4">
        <f t="shared" si="15"/>
        <v>807.2262642889109</v>
      </c>
      <c r="V54" s="4">
        <f t="shared" si="15"/>
        <v>847.01680597446887</v>
      </c>
      <c r="W54" s="4">
        <f t="shared" si="15"/>
        <v>888.7687397475662</v>
      </c>
      <c r="X54" s="4">
        <f t="shared" si="15"/>
        <v>932.57874835636574</v>
      </c>
      <c r="Y54" s="4">
        <f t="shared" si="15"/>
        <v>978.54828032424336</v>
      </c>
      <c r="Z54" s="4">
        <f t="shared" si="15"/>
        <v>1026.7837848687748</v>
      </c>
      <c r="AA54" s="4">
        <f t="shared" si="17"/>
        <v>1077.3969584005683</v>
      </c>
      <c r="AB54" s="4">
        <f t="shared" si="17"/>
        <v>1130.5050031727435</v>
      </c>
      <c r="AC54" s="4"/>
      <c r="AD54" s="4"/>
      <c r="AE54" s="4"/>
      <c r="AF54" s="4"/>
      <c r="AG54" s="4"/>
      <c r="AH54" s="4"/>
      <c r="AI54" s="4"/>
    </row>
    <row r="55" spans="1:35">
      <c r="A55" s="2">
        <v>24</v>
      </c>
      <c r="B55" s="3">
        <f t="shared" si="1"/>
        <v>1158.0328</v>
      </c>
      <c r="D55" s="3">
        <f t="shared" si="2"/>
        <v>1158.0328</v>
      </c>
      <c r="E55" s="4">
        <f t="shared" si="3"/>
        <v>364.92113362022167</v>
      </c>
      <c r="F55" s="4">
        <f t="shared" si="4"/>
        <v>382.9091627783755</v>
      </c>
      <c r="G55" s="4">
        <f t="shared" si="4"/>
        <v>401.7838744637499</v>
      </c>
      <c r="H55" s="4">
        <f t="shared" ref="H55:AA67" si="18">($D55)/((1+$B$4/2)^(2*($A55-H$3)))</f>
        <v>421.58897584944128</v>
      </c>
      <c r="I55" s="4">
        <f t="shared" si="18"/>
        <v>442.37032856284236</v>
      </c>
      <c r="J55" s="4">
        <f t="shared" si="18"/>
        <v>464.17605488499021</v>
      </c>
      <c r="K55" s="4">
        <f t="shared" si="18"/>
        <v>487.05664918479187</v>
      </c>
      <c r="L55" s="4">
        <f t="shared" si="18"/>
        <v>511.06509484616765</v>
      </c>
      <c r="M55" s="4">
        <f t="shared" si="18"/>
        <v>536.25698695887502</v>
      </c>
      <c r="N55" s="4">
        <f t="shared" si="18"/>
        <v>562.6906610571225</v>
      </c>
      <c r="O55" s="4">
        <f t="shared" si="18"/>
        <v>590.42732820408526</v>
      </c>
      <c r="P55" s="4">
        <f t="shared" si="18"/>
        <v>619.53121673513147</v>
      </c>
      <c r="Q55" s="4">
        <f t="shared" si="18"/>
        <v>650.06972098798713</v>
      </c>
      <c r="R55" s="4">
        <f t="shared" si="18"/>
        <v>682.11355736424468</v>
      </c>
      <c r="S55" s="4">
        <f t="shared" si="18"/>
        <v>715.73692808359999</v>
      </c>
      <c r="T55" s="4">
        <f t="shared" si="18"/>
        <v>751.01769301001298</v>
      </c>
      <c r="U55" s="4">
        <f t="shared" si="18"/>
        <v>788.03754994768462</v>
      </c>
      <c r="V55" s="4">
        <f t="shared" si="18"/>
        <v>826.88222382434594</v>
      </c>
      <c r="W55" s="4">
        <f t="shared" si="18"/>
        <v>867.64166519994728</v>
      </c>
      <c r="X55" s="4">
        <f t="shared" si="18"/>
        <v>910.41025856041938</v>
      </c>
      <c r="Y55" s="4">
        <f t="shared" si="18"/>
        <v>955.28704087884341</v>
      </c>
      <c r="Z55" s="4">
        <f t="shared" si="18"/>
        <v>1002.3759309501388</v>
      </c>
      <c r="AA55" s="4">
        <f t="shared" si="18"/>
        <v>1051.7859700303297</v>
      </c>
      <c r="AB55" s="4">
        <f t="shared" si="17"/>
        <v>1103.6315743376222</v>
      </c>
      <c r="AC55" s="4"/>
      <c r="AD55" s="4"/>
      <c r="AE55" s="4"/>
      <c r="AF55" s="4"/>
      <c r="AG55" s="4"/>
      <c r="AH55" s="4"/>
      <c r="AI55" s="4"/>
    </row>
    <row r="56" spans="1:35">
      <c r="A56" s="2">
        <v>24.5</v>
      </c>
      <c r="B56" s="3">
        <f t="shared" si="1"/>
        <v>1158.0328</v>
      </c>
      <c r="D56" s="3">
        <f t="shared" si="2"/>
        <v>1158.0328</v>
      </c>
      <c r="E56" s="4">
        <f t="shared" si="3"/>
        <v>356.24653060010894</v>
      </c>
      <c r="F56" s="4">
        <f t="shared" si="4"/>
        <v>373.80696322387405</v>
      </c>
      <c r="G56" s="4">
        <f t="shared" si="4"/>
        <v>392.23300089202894</v>
      </c>
      <c r="H56" s="4">
        <f t="shared" si="18"/>
        <v>411.56731180694231</v>
      </c>
      <c r="I56" s="4">
        <f t="shared" si="18"/>
        <v>431.85466741137532</v>
      </c>
      <c r="J56" s="4">
        <f t="shared" si="18"/>
        <v>453.14204606334761</v>
      </c>
      <c r="K56" s="4">
        <f t="shared" si="18"/>
        <v>475.47874182143977</v>
      </c>
      <c r="L56" s="4">
        <f t="shared" si="18"/>
        <v>498.91647859244159</v>
      </c>
      <c r="M56" s="4">
        <f t="shared" si="18"/>
        <v>523.5095299056718</v>
      </c>
      <c r="N56" s="4">
        <f t="shared" si="18"/>
        <v>549.31484459132378</v>
      </c>
      <c r="O56" s="4">
        <f t="shared" si="18"/>
        <v>576.39217865386365</v>
      </c>
      <c r="P56" s="4">
        <f t="shared" si="18"/>
        <v>604.80423364585488</v>
      </c>
      <c r="Q56" s="4">
        <f t="shared" si="18"/>
        <v>634.61680186263197</v>
      </c>
      <c r="R56" s="4">
        <f t="shared" si="18"/>
        <v>665.89891869404471</v>
      </c>
      <c r="S56" s="4">
        <f t="shared" si="18"/>
        <v>698.72302248606422</v>
      </c>
      <c r="T56" s="4">
        <f t="shared" si="18"/>
        <v>733.16512228243573</v>
      </c>
      <c r="U56" s="4">
        <f t="shared" si="18"/>
        <v>769.30497383480702</v>
      </c>
      <c r="V56" s="4">
        <f t="shared" si="18"/>
        <v>807.2262642889109</v>
      </c>
      <c r="W56" s="4">
        <f t="shared" si="18"/>
        <v>847.01680597446887</v>
      </c>
      <c r="X56" s="4">
        <f t="shared" si="18"/>
        <v>888.7687397475662</v>
      </c>
      <c r="Y56" s="4">
        <f t="shared" si="18"/>
        <v>932.57874835636574</v>
      </c>
      <c r="Z56" s="4">
        <f t="shared" si="18"/>
        <v>978.54828032424336</v>
      </c>
      <c r="AA56" s="4">
        <f t="shared" si="17"/>
        <v>1026.7837848687748</v>
      </c>
      <c r="AB56" s="4">
        <f t="shared" si="17"/>
        <v>1077.3969584005683</v>
      </c>
      <c r="AC56" s="4">
        <f t="shared" si="17"/>
        <v>1130.5050031727435</v>
      </c>
      <c r="AD56" s="4"/>
      <c r="AE56" s="4"/>
      <c r="AF56" s="4"/>
      <c r="AG56" s="4"/>
      <c r="AH56" s="4"/>
      <c r="AI56" s="4"/>
    </row>
    <row r="57" spans="1:35">
      <c r="A57" s="2">
        <v>25</v>
      </c>
      <c r="B57" s="3">
        <f t="shared" si="1"/>
        <v>1158.0328</v>
      </c>
      <c r="D57" s="3">
        <f t="shared" si="2"/>
        <v>1158.0328</v>
      </c>
      <c r="E57" s="4">
        <f t="shared" si="3"/>
        <v>347.77813306009551</v>
      </c>
      <c r="F57" s="4">
        <f t="shared" si="4"/>
        <v>364.92113362022167</v>
      </c>
      <c r="G57" s="4">
        <f t="shared" si="4"/>
        <v>382.9091627783755</v>
      </c>
      <c r="H57" s="4">
        <f t="shared" si="18"/>
        <v>401.7838744637499</v>
      </c>
      <c r="I57" s="4">
        <f t="shared" si="18"/>
        <v>421.58897584944128</v>
      </c>
      <c r="J57" s="4">
        <f t="shared" si="18"/>
        <v>442.37032856284236</v>
      </c>
      <c r="K57" s="4">
        <f t="shared" si="18"/>
        <v>464.17605488499021</v>
      </c>
      <c r="L57" s="4">
        <f t="shared" si="18"/>
        <v>487.05664918479187</v>
      </c>
      <c r="M57" s="4">
        <f t="shared" si="18"/>
        <v>511.06509484616765</v>
      </c>
      <c r="N57" s="4">
        <f t="shared" si="18"/>
        <v>536.25698695887502</v>
      </c>
      <c r="O57" s="4">
        <f t="shared" si="18"/>
        <v>562.6906610571225</v>
      </c>
      <c r="P57" s="4">
        <f t="shared" si="18"/>
        <v>590.42732820408526</v>
      </c>
      <c r="Q57" s="4">
        <f t="shared" si="18"/>
        <v>619.53121673513147</v>
      </c>
      <c r="R57" s="4">
        <f t="shared" si="18"/>
        <v>650.06972098798713</v>
      </c>
      <c r="S57" s="4">
        <f t="shared" si="18"/>
        <v>682.11355736424468</v>
      </c>
      <c r="T57" s="4">
        <f t="shared" si="18"/>
        <v>715.73692808359999</v>
      </c>
      <c r="U57" s="4">
        <f t="shared" si="18"/>
        <v>751.01769301001298</v>
      </c>
      <c r="V57" s="4">
        <f t="shared" si="18"/>
        <v>788.03754994768462</v>
      </c>
      <c r="W57" s="4">
        <f t="shared" si="18"/>
        <v>826.88222382434594</v>
      </c>
      <c r="X57" s="4">
        <f t="shared" si="18"/>
        <v>867.64166519994728</v>
      </c>
      <c r="Y57" s="4">
        <f t="shared" si="18"/>
        <v>910.41025856041938</v>
      </c>
      <c r="Z57" s="4">
        <f t="shared" si="18"/>
        <v>955.28704087884341</v>
      </c>
      <c r="AA57" s="4">
        <f t="shared" ref="AA57:AH67" si="19">($D57)/((1+$B$4/2)^(2*($A57-AA$3)))</f>
        <v>1002.3759309501388</v>
      </c>
      <c r="AB57" s="4">
        <f t="shared" si="19"/>
        <v>1051.7859700303297</v>
      </c>
      <c r="AC57" s="4">
        <f t="shared" si="19"/>
        <v>1103.6315743376222</v>
      </c>
      <c r="AD57" s="4"/>
      <c r="AE57" s="4"/>
      <c r="AF57" s="4"/>
      <c r="AG57" s="4"/>
      <c r="AH57" s="4"/>
      <c r="AI57" s="4"/>
    </row>
    <row r="58" spans="1:35">
      <c r="A58" s="2">
        <v>25.5</v>
      </c>
      <c r="B58" s="3">
        <f t="shared" si="1"/>
        <v>1158.0328</v>
      </c>
      <c r="D58" s="3">
        <f t="shared" si="2"/>
        <v>1158.0328</v>
      </c>
      <c r="E58" s="4">
        <f t="shared" si="3"/>
        <v>339.51103925425446</v>
      </c>
      <c r="F58" s="4">
        <f t="shared" si="4"/>
        <v>356.24653060010894</v>
      </c>
      <c r="G58" s="4">
        <f t="shared" si="4"/>
        <v>373.80696322387405</v>
      </c>
      <c r="H58" s="4">
        <f t="shared" si="18"/>
        <v>392.23300089202894</v>
      </c>
      <c r="I58" s="4">
        <f t="shared" si="18"/>
        <v>411.56731180694231</v>
      </c>
      <c r="J58" s="4">
        <f t="shared" si="18"/>
        <v>431.85466741137532</v>
      </c>
      <c r="K58" s="4">
        <f t="shared" si="18"/>
        <v>453.14204606334761</v>
      </c>
      <c r="L58" s="4">
        <f t="shared" si="18"/>
        <v>475.47874182143977</v>
      </c>
      <c r="M58" s="4">
        <f t="shared" si="18"/>
        <v>498.91647859244159</v>
      </c>
      <c r="N58" s="4">
        <f t="shared" si="18"/>
        <v>523.5095299056718</v>
      </c>
      <c r="O58" s="4">
        <f t="shared" si="18"/>
        <v>549.31484459132378</v>
      </c>
      <c r="P58" s="4">
        <f t="shared" si="18"/>
        <v>576.39217865386365</v>
      </c>
      <c r="Q58" s="4">
        <f t="shared" si="18"/>
        <v>604.80423364585488</v>
      </c>
      <c r="R58" s="4">
        <f t="shared" si="18"/>
        <v>634.61680186263197</v>
      </c>
      <c r="S58" s="4">
        <f t="shared" si="18"/>
        <v>665.89891869404471</v>
      </c>
      <c r="T58" s="4">
        <f t="shared" si="18"/>
        <v>698.72302248606422</v>
      </c>
      <c r="U58" s="4">
        <f t="shared" si="18"/>
        <v>733.16512228243573</v>
      </c>
      <c r="V58" s="4">
        <f t="shared" si="18"/>
        <v>769.30497383480702</v>
      </c>
      <c r="W58" s="4">
        <f t="shared" si="18"/>
        <v>807.2262642889109</v>
      </c>
      <c r="X58" s="4">
        <f t="shared" si="18"/>
        <v>847.01680597446887</v>
      </c>
      <c r="Y58" s="4">
        <f t="shared" si="18"/>
        <v>888.7687397475662</v>
      </c>
      <c r="Z58" s="4">
        <f t="shared" si="18"/>
        <v>932.57874835636574</v>
      </c>
      <c r="AA58" s="4">
        <f t="shared" si="19"/>
        <v>978.54828032424336</v>
      </c>
      <c r="AB58" s="4">
        <f t="shared" si="19"/>
        <v>1026.7837848687748</v>
      </c>
      <c r="AC58" s="4">
        <f t="shared" si="19"/>
        <v>1077.3969584005683</v>
      </c>
      <c r="AD58" s="4">
        <f t="shared" si="19"/>
        <v>1130.5050031727435</v>
      </c>
      <c r="AE58" s="4"/>
      <c r="AF58" s="4"/>
      <c r="AG58" s="4"/>
      <c r="AH58" s="4"/>
      <c r="AI58" s="4"/>
    </row>
    <row r="59" spans="1:35">
      <c r="A59" s="2">
        <v>26</v>
      </c>
      <c r="B59" s="3">
        <f t="shared" si="1"/>
        <v>1158.0328</v>
      </c>
      <c r="D59" s="3">
        <f t="shared" si="2"/>
        <v>1158.0328</v>
      </c>
      <c r="E59" s="4">
        <f t="shared" si="3"/>
        <v>331.44046395690378</v>
      </c>
      <c r="F59" s="4">
        <f t="shared" si="4"/>
        <v>347.77813306009551</v>
      </c>
      <c r="G59" s="4">
        <f t="shared" si="4"/>
        <v>364.92113362022167</v>
      </c>
      <c r="H59" s="4">
        <f t="shared" si="18"/>
        <v>382.9091627783755</v>
      </c>
      <c r="I59" s="4">
        <f t="shared" si="18"/>
        <v>401.7838744637499</v>
      </c>
      <c r="J59" s="4">
        <f t="shared" si="18"/>
        <v>421.58897584944128</v>
      </c>
      <c r="K59" s="4">
        <f t="shared" si="18"/>
        <v>442.37032856284236</v>
      </c>
      <c r="L59" s="4">
        <f t="shared" si="18"/>
        <v>464.17605488499021</v>
      </c>
      <c r="M59" s="4">
        <f t="shared" si="18"/>
        <v>487.05664918479187</v>
      </c>
      <c r="N59" s="4">
        <f t="shared" si="18"/>
        <v>511.06509484616765</v>
      </c>
      <c r="O59" s="4">
        <f t="shared" si="18"/>
        <v>536.25698695887502</v>
      </c>
      <c r="P59" s="4">
        <f t="shared" si="18"/>
        <v>562.6906610571225</v>
      </c>
      <c r="Q59" s="4">
        <f t="shared" si="18"/>
        <v>590.42732820408526</v>
      </c>
      <c r="R59" s="4">
        <f t="shared" si="18"/>
        <v>619.53121673513147</v>
      </c>
      <c r="S59" s="4">
        <f t="shared" si="18"/>
        <v>650.06972098798713</v>
      </c>
      <c r="T59" s="4">
        <f t="shared" si="18"/>
        <v>682.11355736424468</v>
      </c>
      <c r="U59" s="4">
        <f t="shared" si="18"/>
        <v>715.73692808359999</v>
      </c>
      <c r="V59" s="4">
        <f t="shared" si="18"/>
        <v>751.01769301001298</v>
      </c>
      <c r="W59" s="4">
        <f t="shared" si="18"/>
        <v>788.03754994768462</v>
      </c>
      <c r="X59" s="4">
        <f t="shared" si="18"/>
        <v>826.88222382434594</v>
      </c>
      <c r="Y59" s="4">
        <f t="shared" si="18"/>
        <v>867.64166519994728</v>
      </c>
      <c r="Z59" s="4">
        <f t="shared" si="18"/>
        <v>910.41025856041938</v>
      </c>
      <c r="AA59" s="4">
        <f t="shared" si="19"/>
        <v>955.28704087884341</v>
      </c>
      <c r="AB59" s="4">
        <f t="shared" si="19"/>
        <v>1002.3759309501388</v>
      </c>
      <c r="AC59" s="4">
        <f t="shared" si="19"/>
        <v>1051.7859700303297</v>
      </c>
      <c r="AD59" s="4">
        <f t="shared" si="19"/>
        <v>1103.6315743376222</v>
      </c>
      <c r="AE59" s="4"/>
      <c r="AF59" s="4"/>
      <c r="AG59" s="4"/>
      <c r="AH59" s="4"/>
      <c r="AI59" s="4"/>
    </row>
    <row r="60" spans="1:35">
      <c r="A60" s="2">
        <v>26.5</v>
      </c>
      <c r="B60" s="3">
        <f t="shared" si="1"/>
        <v>1158.0328</v>
      </c>
      <c r="D60" s="3">
        <f t="shared" si="2"/>
        <v>1158.0328</v>
      </c>
      <c r="E60" s="4">
        <f t="shared" si="3"/>
        <v>323.56173569278445</v>
      </c>
      <c r="F60" s="4">
        <f t="shared" si="4"/>
        <v>339.51103925425446</v>
      </c>
      <c r="G60" s="4">
        <f t="shared" si="4"/>
        <v>356.24653060010894</v>
      </c>
      <c r="H60" s="4">
        <f t="shared" si="18"/>
        <v>373.80696322387405</v>
      </c>
      <c r="I60" s="4">
        <f t="shared" si="18"/>
        <v>392.23300089202894</v>
      </c>
      <c r="J60" s="4">
        <f t="shared" si="18"/>
        <v>411.56731180694231</v>
      </c>
      <c r="K60" s="4">
        <f t="shared" si="18"/>
        <v>431.85466741137532</v>
      </c>
      <c r="L60" s="4">
        <f t="shared" si="18"/>
        <v>453.14204606334761</v>
      </c>
      <c r="M60" s="4">
        <f t="shared" si="18"/>
        <v>475.47874182143977</v>
      </c>
      <c r="N60" s="4">
        <f t="shared" si="18"/>
        <v>498.91647859244159</v>
      </c>
      <c r="O60" s="4">
        <f t="shared" si="18"/>
        <v>523.5095299056718</v>
      </c>
      <c r="P60" s="4">
        <f t="shared" si="18"/>
        <v>549.31484459132378</v>
      </c>
      <c r="Q60" s="4">
        <f t="shared" si="18"/>
        <v>576.39217865386365</v>
      </c>
      <c r="R60" s="4">
        <f t="shared" si="18"/>
        <v>604.80423364585488</v>
      </c>
      <c r="S60" s="4">
        <f t="shared" si="18"/>
        <v>634.61680186263197</v>
      </c>
      <c r="T60" s="4">
        <f t="shared" si="18"/>
        <v>665.89891869404471</v>
      </c>
      <c r="U60" s="4">
        <f t="shared" si="18"/>
        <v>698.72302248606422</v>
      </c>
      <c r="V60" s="4">
        <f t="shared" si="18"/>
        <v>733.16512228243573</v>
      </c>
      <c r="W60" s="4">
        <f t="shared" si="18"/>
        <v>769.30497383480702</v>
      </c>
      <c r="X60" s="4">
        <f t="shared" si="18"/>
        <v>807.2262642889109</v>
      </c>
      <c r="Y60" s="4">
        <f t="shared" si="18"/>
        <v>847.01680597446887</v>
      </c>
      <c r="Z60" s="4">
        <f t="shared" si="18"/>
        <v>888.7687397475662</v>
      </c>
      <c r="AA60" s="4">
        <f t="shared" si="19"/>
        <v>932.57874835636574</v>
      </c>
      <c r="AB60" s="4">
        <f t="shared" si="19"/>
        <v>978.54828032424336</v>
      </c>
      <c r="AC60" s="4">
        <f t="shared" si="19"/>
        <v>1026.7837848687748</v>
      </c>
      <c r="AD60" s="4">
        <f t="shared" si="19"/>
        <v>1077.3969584005683</v>
      </c>
      <c r="AE60" s="4">
        <f t="shared" si="19"/>
        <v>1130.5050031727435</v>
      </c>
      <c r="AF60" s="4"/>
      <c r="AG60" s="4"/>
      <c r="AH60" s="4"/>
      <c r="AI60" s="4"/>
    </row>
    <row r="61" spans="1:35">
      <c r="A61" s="2">
        <v>27</v>
      </c>
      <c r="B61" s="3">
        <f t="shared" si="1"/>
        <v>1158.0328</v>
      </c>
      <c r="D61" s="3">
        <f t="shared" si="2"/>
        <v>1158.0328</v>
      </c>
      <c r="E61" s="4">
        <f t="shared" si="3"/>
        <v>315.87029403307895</v>
      </c>
      <c r="F61" s="4">
        <f t="shared" si="4"/>
        <v>331.44046395690378</v>
      </c>
      <c r="G61" s="4">
        <f t="shared" si="4"/>
        <v>347.77813306009551</v>
      </c>
      <c r="H61" s="4">
        <f t="shared" si="18"/>
        <v>364.92113362022167</v>
      </c>
      <c r="I61" s="4">
        <f t="shared" si="18"/>
        <v>382.9091627783755</v>
      </c>
      <c r="J61" s="4">
        <f t="shared" si="18"/>
        <v>401.7838744637499</v>
      </c>
      <c r="K61" s="4">
        <f t="shared" si="18"/>
        <v>421.58897584944128</v>
      </c>
      <c r="L61" s="4">
        <f t="shared" si="18"/>
        <v>442.37032856284236</v>
      </c>
      <c r="M61" s="4">
        <f t="shared" si="18"/>
        <v>464.17605488499021</v>
      </c>
      <c r="N61" s="4">
        <f t="shared" si="18"/>
        <v>487.05664918479187</v>
      </c>
      <c r="O61" s="4">
        <f t="shared" si="18"/>
        <v>511.06509484616765</v>
      </c>
      <c r="P61" s="4">
        <f t="shared" si="18"/>
        <v>536.25698695887502</v>
      </c>
      <c r="Q61" s="4">
        <f t="shared" si="18"/>
        <v>562.6906610571225</v>
      </c>
      <c r="R61" s="4">
        <f t="shared" si="18"/>
        <v>590.42732820408526</v>
      </c>
      <c r="S61" s="4">
        <f t="shared" si="18"/>
        <v>619.53121673513147</v>
      </c>
      <c r="T61" s="4">
        <f t="shared" si="18"/>
        <v>650.06972098798713</v>
      </c>
      <c r="U61" s="4">
        <f t="shared" si="18"/>
        <v>682.11355736424468</v>
      </c>
      <c r="V61" s="4">
        <f t="shared" si="18"/>
        <v>715.73692808359999</v>
      </c>
      <c r="W61" s="4">
        <f t="shared" si="18"/>
        <v>751.01769301001298</v>
      </c>
      <c r="X61" s="4">
        <f t="shared" si="18"/>
        <v>788.03754994768462</v>
      </c>
      <c r="Y61" s="4">
        <f t="shared" si="18"/>
        <v>826.88222382434594</v>
      </c>
      <c r="Z61" s="4">
        <f t="shared" si="18"/>
        <v>867.64166519994728</v>
      </c>
      <c r="AA61" s="4">
        <f t="shared" si="19"/>
        <v>910.41025856041938</v>
      </c>
      <c r="AB61" s="4">
        <f t="shared" si="19"/>
        <v>955.28704087884341</v>
      </c>
      <c r="AC61" s="4">
        <f t="shared" si="19"/>
        <v>1002.3759309501388</v>
      </c>
      <c r="AD61" s="4">
        <f t="shared" si="19"/>
        <v>1051.7859700303297</v>
      </c>
      <c r="AE61" s="4">
        <f t="shared" si="19"/>
        <v>1103.6315743376222</v>
      </c>
      <c r="AF61" s="4"/>
      <c r="AG61" s="4"/>
      <c r="AH61" s="4"/>
      <c r="AI61" s="4"/>
    </row>
    <row r="62" spans="1:35">
      <c r="A62" s="2">
        <v>27.5</v>
      </c>
      <c r="B62" s="3">
        <f t="shared" si="1"/>
        <v>1158.0328</v>
      </c>
      <c r="D62" s="3">
        <f t="shared" si="2"/>
        <v>1158.0328</v>
      </c>
      <c r="E62" s="4">
        <f t="shared" si="3"/>
        <v>308.3616869557074</v>
      </c>
      <c r="F62" s="4">
        <f t="shared" si="4"/>
        <v>323.56173569278445</v>
      </c>
      <c r="G62" s="4">
        <f t="shared" si="4"/>
        <v>339.51103925425446</v>
      </c>
      <c r="H62" s="4">
        <f t="shared" si="18"/>
        <v>356.24653060010894</v>
      </c>
      <c r="I62" s="4">
        <f t="shared" si="18"/>
        <v>373.80696322387405</v>
      </c>
      <c r="J62" s="4">
        <f t="shared" si="18"/>
        <v>392.23300089202894</v>
      </c>
      <c r="K62" s="4">
        <f t="shared" si="18"/>
        <v>411.56731180694231</v>
      </c>
      <c r="L62" s="4">
        <f t="shared" si="18"/>
        <v>431.85466741137532</v>
      </c>
      <c r="M62" s="4">
        <f t="shared" si="18"/>
        <v>453.14204606334761</v>
      </c>
      <c r="N62" s="4">
        <f t="shared" si="18"/>
        <v>475.47874182143977</v>
      </c>
      <c r="O62" s="4">
        <f t="shared" si="18"/>
        <v>498.91647859244159</v>
      </c>
      <c r="P62" s="4">
        <f t="shared" si="18"/>
        <v>523.5095299056718</v>
      </c>
      <c r="Q62" s="4">
        <f t="shared" si="18"/>
        <v>549.31484459132378</v>
      </c>
      <c r="R62" s="4">
        <f t="shared" si="18"/>
        <v>576.39217865386365</v>
      </c>
      <c r="S62" s="4">
        <f t="shared" si="18"/>
        <v>604.80423364585488</v>
      </c>
      <c r="T62" s="4">
        <f t="shared" si="18"/>
        <v>634.61680186263197</v>
      </c>
      <c r="U62" s="4">
        <f t="shared" si="18"/>
        <v>665.89891869404471</v>
      </c>
      <c r="V62" s="4">
        <f t="shared" si="18"/>
        <v>698.72302248606422</v>
      </c>
      <c r="W62" s="4">
        <f t="shared" si="18"/>
        <v>733.16512228243573</v>
      </c>
      <c r="X62" s="4">
        <f t="shared" si="18"/>
        <v>769.30497383480702</v>
      </c>
      <c r="Y62" s="4">
        <f t="shared" si="18"/>
        <v>807.2262642889109</v>
      </c>
      <c r="Z62" s="4">
        <f t="shared" si="18"/>
        <v>847.01680597446887</v>
      </c>
      <c r="AA62" s="4">
        <f t="shared" si="19"/>
        <v>888.7687397475662</v>
      </c>
      <c r="AB62" s="4">
        <f t="shared" si="19"/>
        <v>932.57874835636574</v>
      </c>
      <c r="AC62" s="4">
        <f t="shared" si="19"/>
        <v>978.54828032424336</v>
      </c>
      <c r="AD62" s="4">
        <f t="shared" si="19"/>
        <v>1026.7837848687748</v>
      </c>
      <c r="AE62" s="4">
        <f t="shared" si="19"/>
        <v>1077.3969584005683</v>
      </c>
      <c r="AF62" s="4">
        <f t="shared" si="19"/>
        <v>1130.5050031727435</v>
      </c>
      <c r="AG62" s="4"/>
      <c r="AH62" s="4"/>
      <c r="AI62" s="4"/>
    </row>
    <row r="63" spans="1:35">
      <c r="A63" s="2">
        <v>28</v>
      </c>
      <c r="B63" s="3">
        <f t="shared" si="1"/>
        <v>1158.0328</v>
      </c>
      <c r="D63" s="3">
        <f t="shared" si="2"/>
        <v>1158.0328</v>
      </c>
      <c r="E63" s="4">
        <f t="shared" si="3"/>
        <v>301.0315682683725</v>
      </c>
      <c r="F63" s="4">
        <f t="shared" si="4"/>
        <v>315.87029403307895</v>
      </c>
      <c r="G63" s="4">
        <f t="shared" si="4"/>
        <v>331.44046395690378</v>
      </c>
      <c r="H63" s="4">
        <f t="shared" si="18"/>
        <v>347.77813306009551</v>
      </c>
      <c r="I63" s="4">
        <f t="shared" si="18"/>
        <v>364.92113362022167</v>
      </c>
      <c r="J63" s="4">
        <f t="shared" si="18"/>
        <v>382.9091627783755</v>
      </c>
      <c r="K63" s="4">
        <f t="shared" si="18"/>
        <v>401.7838744637499</v>
      </c>
      <c r="L63" s="4">
        <f t="shared" si="18"/>
        <v>421.58897584944128</v>
      </c>
      <c r="M63" s="4">
        <f t="shared" si="18"/>
        <v>442.37032856284236</v>
      </c>
      <c r="N63" s="4">
        <f t="shared" si="18"/>
        <v>464.17605488499021</v>
      </c>
      <c r="O63" s="4">
        <f t="shared" si="18"/>
        <v>487.05664918479187</v>
      </c>
      <c r="P63" s="4">
        <f t="shared" si="18"/>
        <v>511.06509484616765</v>
      </c>
      <c r="Q63" s="4">
        <f t="shared" si="18"/>
        <v>536.25698695887502</v>
      </c>
      <c r="R63" s="4">
        <f t="shared" si="18"/>
        <v>562.6906610571225</v>
      </c>
      <c r="S63" s="4">
        <f t="shared" si="18"/>
        <v>590.42732820408526</v>
      </c>
      <c r="T63" s="4">
        <f t="shared" si="18"/>
        <v>619.53121673513147</v>
      </c>
      <c r="U63" s="4">
        <f t="shared" si="18"/>
        <v>650.06972098798713</v>
      </c>
      <c r="V63" s="4">
        <f t="shared" si="18"/>
        <v>682.11355736424468</v>
      </c>
      <c r="W63" s="4">
        <f t="shared" si="18"/>
        <v>715.73692808359999</v>
      </c>
      <c r="X63" s="4">
        <f t="shared" si="18"/>
        <v>751.01769301001298</v>
      </c>
      <c r="Y63" s="4">
        <f t="shared" si="18"/>
        <v>788.03754994768462</v>
      </c>
      <c r="Z63" s="4">
        <f t="shared" si="18"/>
        <v>826.88222382434594</v>
      </c>
      <c r="AA63" s="4">
        <f t="shared" si="19"/>
        <v>867.64166519994728</v>
      </c>
      <c r="AB63" s="4">
        <f t="shared" si="19"/>
        <v>910.41025856041938</v>
      </c>
      <c r="AC63" s="4">
        <f t="shared" si="19"/>
        <v>955.28704087884341</v>
      </c>
      <c r="AD63" s="4">
        <f t="shared" si="19"/>
        <v>1002.3759309501388</v>
      </c>
      <c r="AE63" s="4">
        <f t="shared" si="19"/>
        <v>1051.7859700303297</v>
      </c>
      <c r="AF63" s="4">
        <f t="shared" si="19"/>
        <v>1103.6315743376222</v>
      </c>
      <c r="AG63" s="4"/>
      <c r="AH63" s="4"/>
      <c r="AI63" s="4"/>
    </row>
    <row r="64" spans="1:35">
      <c r="A64" s="2">
        <v>28.5</v>
      </c>
      <c r="B64" s="3">
        <f t="shared" si="1"/>
        <v>1158.0328</v>
      </c>
      <c r="D64" s="3">
        <f t="shared" si="2"/>
        <v>1158.0328</v>
      </c>
      <c r="E64" s="4">
        <f t="shared" si="3"/>
        <v>293.87569509286129</v>
      </c>
      <c r="F64" s="4">
        <f t="shared" si="4"/>
        <v>308.3616869557074</v>
      </c>
      <c r="G64" s="4">
        <f t="shared" si="4"/>
        <v>323.56173569278445</v>
      </c>
      <c r="H64" s="4">
        <f t="shared" si="18"/>
        <v>339.51103925425446</v>
      </c>
      <c r="I64" s="4">
        <f t="shared" si="18"/>
        <v>356.24653060010894</v>
      </c>
      <c r="J64" s="4">
        <f t="shared" si="18"/>
        <v>373.80696322387405</v>
      </c>
      <c r="K64" s="4">
        <f t="shared" si="18"/>
        <v>392.23300089202894</v>
      </c>
      <c r="L64" s="4">
        <f t="shared" si="18"/>
        <v>411.56731180694231</v>
      </c>
      <c r="M64" s="4">
        <f t="shared" si="18"/>
        <v>431.85466741137532</v>
      </c>
      <c r="N64" s="4">
        <f t="shared" si="18"/>
        <v>453.14204606334761</v>
      </c>
      <c r="O64" s="4">
        <f t="shared" si="18"/>
        <v>475.47874182143977</v>
      </c>
      <c r="P64" s="4">
        <f t="shared" si="18"/>
        <v>498.91647859244159</v>
      </c>
      <c r="Q64" s="4">
        <f t="shared" si="18"/>
        <v>523.5095299056718</v>
      </c>
      <c r="R64" s="4">
        <f t="shared" si="18"/>
        <v>549.31484459132378</v>
      </c>
      <c r="S64" s="4">
        <f t="shared" si="18"/>
        <v>576.39217865386365</v>
      </c>
      <c r="T64" s="4">
        <f t="shared" si="18"/>
        <v>604.80423364585488</v>
      </c>
      <c r="U64" s="4">
        <f t="shared" si="18"/>
        <v>634.61680186263197</v>
      </c>
      <c r="V64" s="4">
        <f t="shared" si="18"/>
        <v>665.89891869404471</v>
      </c>
      <c r="W64" s="4">
        <f t="shared" si="18"/>
        <v>698.72302248606422</v>
      </c>
      <c r="X64" s="4">
        <f t="shared" si="18"/>
        <v>733.16512228243573</v>
      </c>
      <c r="Y64" s="4">
        <f t="shared" si="18"/>
        <v>769.30497383480702</v>
      </c>
      <c r="Z64" s="4">
        <f t="shared" si="18"/>
        <v>807.2262642889109</v>
      </c>
      <c r="AA64" s="4">
        <f t="shared" si="19"/>
        <v>847.01680597446887</v>
      </c>
      <c r="AB64" s="4">
        <f t="shared" si="19"/>
        <v>888.7687397475662</v>
      </c>
      <c r="AC64" s="4">
        <f t="shared" si="19"/>
        <v>932.57874835636574</v>
      </c>
      <c r="AD64" s="4">
        <f t="shared" si="19"/>
        <v>978.54828032424336</v>
      </c>
      <c r="AE64" s="4">
        <f t="shared" si="19"/>
        <v>1026.7837848687748</v>
      </c>
      <c r="AF64" s="4">
        <f t="shared" si="19"/>
        <v>1077.3969584005683</v>
      </c>
      <c r="AG64" s="4">
        <f t="shared" si="19"/>
        <v>1130.5050031727435</v>
      </c>
      <c r="AH64" s="4"/>
      <c r="AI64" s="4"/>
    </row>
    <row r="65" spans="1:35">
      <c r="A65" s="2">
        <v>29</v>
      </c>
      <c r="B65" s="3">
        <f t="shared" si="1"/>
        <v>1158.0328</v>
      </c>
      <c r="D65" s="3">
        <f t="shared" si="2"/>
        <v>1158.0328</v>
      </c>
      <c r="E65" s="4">
        <f t="shared" si="3"/>
        <v>286.88992540914847</v>
      </c>
      <c r="F65" s="4">
        <f t="shared" si="4"/>
        <v>301.0315682683725</v>
      </c>
      <c r="G65" s="4">
        <f t="shared" si="4"/>
        <v>315.87029403307895</v>
      </c>
      <c r="H65" s="4">
        <f t="shared" si="18"/>
        <v>331.44046395690378</v>
      </c>
      <c r="I65" s="4">
        <f t="shared" si="18"/>
        <v>347.77813306009551</v>
      </c>
      <c r="J65" s="4">
        <f t="shared" si="18"/>
        <v>364.92113362022167</v>
      </c>
      <c r="K65" s="4">
        <f t="shared" si="18"/>
        <v>382.9091627783755</v>
      </c>
      <c r="L65" s="4">
        <f t="shared" si="18"/>
        <v>401.7838744637499</v>
      </c>
      <c r="M65" s="4">
        <f t="shared" si="18"/>
        <v>421.58897584944128</v>
      </c>
      <c r="N65" s="4">
        <f t="shared" si="18"/>
        <v>442.37032856284236</v>
      </c>
      <c r="O65" s="4">
        <f t="shared" si="18"/>
        <v>464.17605488499021</v>
      </c>
      <c r="P65" s="4">
        <f t="shared" si="18"/>
        <v>487.05664918479187</v>
      </c>
      <c r="Q65" s="4">
        <f t="shared" si="18"/>
        <v>511.06509484616765</v>
      </c>
      <c r="R65" s="4">
        <f t="shared" si="18"/>
        <v>536.25698695887502</v>
      </c>
      <c r="S65" s="4">
        <f t="shared" si="18"/>
        <v>562.6906610571225</v>
      </c>
      <c r="T65" s="4">
        <f t="shared" si="18"/>
        <v>590.42732820408526</v>
      </c>
      <c r="U65" s="4">
        <f t="shared" si="18"/>
        <v>619.53121673513147</v>
      </c>
      <c r="V65" s="4">
        <f t="shared" si="18"/>
        <v>650.06972098798713</v>
      </c>
      <c r="W65" s="4">
        <f t="shared" si="18"/>
        <v>682.11355736424468</v>
      </c>
      <c r="X65" s="4">
        <f t="shared" si="18"/>
        <v>715.73692808359999</v>
      </c>
      <c r="Y65" s="4">
        <f t="shared" si="18"/>
        <v>751.01769301001298</v>
      </c>
      <c r="Z65" s="4">
        <f t="shared" si="18"/>
        <v>788.03754994768462</v>
      </c>
      <c r="AA65" s="4">
        <f t="shared" si="19"/>
        <v>826.88222382434594</v>
      </c>
      <c r="AB65" s="4">
        <f t="shared" si="19"/>
        <v>867.64166519994728</v>
      </c>
      <c r="AC65" s="4">
        <f t="shared" si="19"/>
        <v>910.41025856041938</v>
      </c>
      <c r="AD65" s="4">
        <f t="shared" si="19"/>
        <v>955.28704087884341</v>
      </c>
      <c r="AE65" s="4">
        <f t="shared" si="19"/>
        <v>1002.3759309501388</v>
      </c>
      <c r="AF65" s="4">
        <f t="shared" si="19"/>
        <v>1051.7859700303297</v>
      </c>
      <c r="AG65" s="4">
        <f t="shared" si="19"/>
        <v>1103.6315743376222</v>
      </c>
      <c r="AH65" s="4"/>
      <c r="AI65" s="4"/>
    </row>
    <row r="66" spans="1:35">
      <c r="A66" s="2">
        <v>29.5</v>
      </c>
      <c r="B66" s="3">
        <f t="shared" si="1"/>
        <v>1158.0328</v>
      </c>
      <c r="D66" s="3">
        <f t="shared" si="2"/>
        <v>1158.0328</v>
      </c>
      <c r="E66" s="4">
        <f t="shared" si="3"/>
        <v>280.07021565787915</v>
      </c>
      <c r="F66" s="4">
        <f t="shared" si="4"/>
        <v>293.87569509286129</v>
      </c>
      <c r="G66" s="4">
        <f t="shared" si="4"/>
        <v>308.3616869557074</v>
      </c>
      <c r="H66" s="4">
        <f t="shared" si="18"/>
        <v>323.56173569278445</v>
      </c>
      <c r="I66" s="4">
        <f t="shared" si="18"/>
        <v>339.51103925425446</v>
      </c>
      <c r="J66" s="4">
        <f t="shared" si="18"/>
        <v>356.24653060010894</v>
      </c>
      <c r="K66" s="4">
        <f t="shared" si="18"/>
        <v>373.80696322387405</v>
      </c>
      <c r="L66" s="4">
        <f t="shared" si="18"/>
        <v>392.23300089202894</v>
      </c>
      <c r="M66" s="4">
        <f t="shared" si="18"/>
        <v>411.56731180694231</v>
      </c>
      <c r="N66" s="4">
        <f t="shared" si="18"/>
        <v>431.85466741137532</v>
      </c>
      <c r="O66" s="4">
        <f t="shared" si="18"/>
        <v>453.14204606334761</v>
      </c>
      <c r="P66" s="4">
        <f t="shared" si="18"/>
        <v>475.47874182143977</v>
      </c>
      <c r="Q66" s="4">
        <f t="shared" si="18"/>
        <v>498.91647859244159</v>
      </c>
      <c r="R66" s="4">
        <f t="shared" si="18"/>
        <v>523.5095299056718</v>
      </c>
      <c r="S66" s="4">
        <f t="shared" si="18"/>
        <v>549.31484459132378</v>
      </c>
      <c r="T66" s="4">
        <f t="shared" si="18"/>
        <v>576.39217865386365</v>
      </c>
      <c r="U66" s="4">
        <f t="shared" si="18"/>
        <v>604.80423364585488</v>
      </c>
      <c r="V66" s="4">
        <f t="shared" si="18"/>
        <v>634.61680186263197</v>
      </c>
      <c r="W66" s="4">
        <f t="shared" si="18"/>
        <v>665.89891869404471</v>
      </c>
      <c r="X66" s="4">
        <f t="shared" si="18"/>
        <v>698.72302248606422</v>
      </c>
      <c r="Y66" s="4">
        <f t="shared" si="18"/>
        <v>733.16512228243573</v>
      </c>
      <c r="Z66" s="4">
        <f t="shared" si="18"/>
        <v>769.30497383480702</v>
      </c>
      <c r="AA66" s="4">
        <f t="shared" si="19"/>
        <v>807.2262642889109</v>
      </c>
      <c r="AB66" s="4">
        <f t="shared" si="19"/>
        <v>847.01680597446887</v>
      </c>
      <c r="AC66" s="4">
        <f t="shared" si="19"/>
        <v>888.7687397475662</v>
      </c>
      <c r="AD66" s="4">
        <f t="shared" si="19"/>
        <v>932.57874835636574</v>
      </c>
      <c r="AE66" s="4">
        <f t="shared" si="19"/>
        <v>978.54828032424336</v>
      </c>
      <c r="AF66" s="4">
        <f t="shared" si="19"/>
        <v>1026.7837848687748</v>
      </c>
      <c r="AG66" s="4">
        <f t="shared" si="19"/>
        <v>1077.3969584005683</v>
      </c>
      <c r="AH66" s="4">
        <f t="shared" si="19"/>
        <v>1130.5050031727435</v>
      </c>
      <c r="AI66" s="4"/>
    </row>
    <row r="67" spans="1:35">
      <c r="A67" s="2">
        <v>30</v>
      </c>
      <c r="B67" s="3">
        <f t="shared" si="1"/>
        <v>1158.0328</v>
      </c>
      <c r="C67" s="3">
        <f>B1</f>
        <v>57901.64</v>
      </c>
      <c r="D67" s="3">
        <f t="shared" si="2"/>
        <v>59059.6728</v>
      </c>
      <c r="E67" s="4">
        <f t="shared" si="3"/>
        <v>13944.043538391988</v>
      </c>
      <c r="F67" s="4">
        <f t="shared" si="4"/>
        <v>14631.386195866573</v>
      </c>
      <c r="G67" s="4">
        <f t="shared" si="4"/>
        <v>15352.609981686997</v>
      </c>
      <c r="H67" s="4">
        <f t="shared" si="18"/>
        <v>16109.384995687025</v>
      </c>
      <c r="I67" s="4">
        <f t="shared" si="18"/>
        <v>16903.463661802096</v>
      </c>
      <c r="J67" s="4">
        <f t="shared" si="18"/>
        <v>17736.684786064874</v>
      </c>
      <c r="K67" s="4">
        <f t="shared" si="18"/>
        <v>18610.977814631304</v>
      </c>
      <c r="L67" s="4">
        <f t="shared" si="18"/>
        <v>19528.367301697152</v>
      </c>
      <c r="M67" s="4">
        <f t="shared" si="18"/>
        <v>20490.977597651246</v>
      </c>
      <c r="N67" s="4">
        <f t="shared" si="18"/>
        <v>21501.037768321508</v>
      </c>
      <c r="O67" s="4">
        <f t="shared" si="18"/>
        <v>22560.886756704964</v>
      </c>
      <c r="P67" s="4">
        <f t="shared" si="18"/>
        <v>23672.978799134504</v>
      </c>
      <c r="Q67" s="4">
        <f t="shared" si="18"/>
        <v>24839.889108424384</v>
      </c>
      <c r="R67" s="4">
        <f t="shared" si="18"/>
        <v>26064.319837154551</v>
      </c>
      <c r="S67" s="4">
        <f t="shared" si="18"/>
        <v>27349.10633490263</v>
      </c>
      <c r="T67" s="4">
        <f t="shared" si="18"/>
        <v>28697.223713913249</v>
      </c>
      <c r="U67" s="4">
        <f t="shared" si="18"/>
        <v>30111.793738408349</v>
      </c>
      <c r="V67" s="4">
        <f t="shared" si="18"/>
        <v>31596.092053491702</v>
      </c>
      <c r="W67" s="4">
        <f t="shared" si="18"/>
        <v>33153.555770387342</v>
      </c>
      <c r="X67" s="4">
        <f t="shared" si="18"/>
        <v>34787.791425576484</v>
      </c>
      <c r="Y67" s="4">
        <f t="shared" si="18"/>
        <v>36502.583332263595</v>
      </c>
      <c r="Z67" s="4">
        <f t="shared" si="18"/>
        <v>38301.902343510665</v>
      </c>
      <c r="AA67" s="4">
        <f t="shared" si="19"/>
        <v>40189.915047331917</v>
      </c>
      <c r="AB67" s="4">
        <f t="shared" si="19"/>
        <v>42170.993415041645</v>
      </c>
      <c r="AC67" s="4">
        <f t="shared" si="19"/>
        <v>44249.724925197312</v>
      </c>
      <c r="AD67" s="4">
        <f t="shared" si="19"/>
        <v>46430.923186581393</v>
      </c>
      <c r="AE67" s="4">
        <f t="shared" si="19"/>
        <v>48719.639084821014</v>
      </c>
      <c r="AF67" s="4">
        <f t="shared" si="19"/>
        <v>51121.172478457083</v>
      </c>
      <c r="AG67" s="4">
        <f t="shared" si="19"/>
        <v>53641.084471546812</v>
      </c>
      <c r="AH67" s="4">
        <f t="shared" si="19"/>
        <v>56285.21029121874</v>
      </c>
      <c r="AI67" s="4">
        <f>C67</f>
        <v>57901.64</v>
      </c>
    </row>
  </sheetData>
  <mergeCells count="1">
    <mergeCell ref="E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Yale SOM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2014-02-03T04:14:12Z</dcterms:created>
  <dcterms:modified xsi:type="dcterms:W3CDTF">2026-02-09T14:55:32Z</dcterms:modified>
  <cp:category/>
  <cp:contentStatus/>
</cp:coreProperties>
</file>