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Courses/ACCT270/ACCT2700-S26/WorkingFiles/"/>
    </mc:Choice>
  </mc:AlternateContent>
  <xr:revisionPtr revIDLastSave="1091" documentId="13_ncr:1_{2DCCBC47-245A-489D-B507-B5134F989210}" xr6:coauthVersionLast="47" xr6:coauthVersionMax="47" xr10:uidLastSave="{FF68EFA1-BBE9-4B96-86A3-039CE599EC5A}"/>
  <bookViews>
    <workbookView xWindow="2868" yWindow="17328" windowWidth="21600" windowHeight="10848" tabRatio="500" activeTab="1" xr2:uid="{00000000-000D-0000-FFFF-FFFF00000000}"/>
  </bookViews>
  <sheets>
    <sheet name="Intro Notes" sheetId="3" r:id="rId1"/>
    <sheet name="Class" sheetId="5" r:id="rId2"/>
    <sheet name="Class Safety Net" sheetId="4" state="hidden" r:id="rId3"/>
    <sheet name="Alternative 1" sheetId="1" state="hidden" r:id="rId4"/>
    <sheet name="Alternative 2" sheetId="2" state="hidden" r:id="rId5"/>
  </sheets>
  <definedNames>
    <definedName name="_1_Period_Equals">Class!$B$4</definedName>
    <definedName name="Amount_to_Spend">Class!$B$6</definedName>
    <definedName name="Coupon_rate">Class!$B$3</definedName>
    <definedName name="Face_Value">Class!$B$1</definedName>
    <definedName name="Interest_rate">Class!$B$5</definedName>
    <definedName name="Present_Value_T0">Class!$F$1</definedName>
    <definedName name="solver_adj" localSheetId="1" hidden="1">Class!$B$1</definedName>
    <definedName name="solver_adj" localSheetId="2" hidden="1">'Class Safety Net'!$B$1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1" hidden="1">Class!$F$1</definedName>
    <definedName name="solver_opt" localSheetId="2" hidden="1">'Class Safety Net'!$F$3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3</definedName>
    <definedName name="solver_typ" localSheetId="2" hidden="1">3</definedName>
    <definedName name="solver_val" localSheetId="1" hidden="1">50000</definedName>
    <definedName name="solver_val" localSheetId="2" hidden="1">50000</definedName>
    <definedName name="solver_ver" localSheetId="1" hidden="1">3</definedName>
    <definedName name="solver_ver" localSheetId="2" hidden="1">3</definedName>
    <definedName name="Term">Class!$B$2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69" i="5" l="1"/>
  <c r="C10" i="5"/>
  <c r="B3" i="4"/>
  <c r="E10" i="5"/>
  <c r="F10" i="5" s="1"/>
  <c r="C11" i="5"/>
  <c r="E11" i="5"/>
  <c r="F11" i="5"/>
  <c r="C12" i="5"/>
  <c r="E12" i="5"/>
  <c r="F12" i="5"/>
  <c r="C13" i="5"/>
  <c r="E13" i="5"/>
  <c r="F13" i="5"/>
  <c r="C14" i="5"/>
  <c r="E14" i="5"/>
  <c r="F14" i="5"/>
  <c r="C15" i="5"/>
  <c r="E15" i="5"/>
  <c r="F15" i="5"/>
  <c r="C16" i="5"/>
  <c r="E16" i="5"/>
  <c r="F16" i="5"/>
  <c r="C17" i="5"/>
  <c r="E17" i="5"/>
  <c r="F17" i="5"/>
  <c r="C18" i="5"/>
  <c r="E18" i="5"/>
  <c r="F18" i="5"/>
  <c r="C19" i="5"/>
  <c r="E19" i="5"/>
  <c r="F19" i="5"/>
  <c r="C20" i="5"/>
  <c r="E20" i="5"/>
  <c r="F20" i="5"/>
  <c r="C21" i="5"/>
  <c r="E21" i="5"/>
  <c r="F21" i="5"/>
  <c r="C22" i="5"/>
  <c r="E22" i="5"/>
  <c r="F22" i="5"/>
  <c r="C23" i="5"/>
  <c r="E23" i="5"/>
  <c r="F23" i="5"/>
  <c r="C24" i="5"/>
  <c r="E24" i="5"/>
  <c r="F24" i="5"/>
  <c r="C25" i="5"/>
  <c r="E25" i="5"/>
  <c r="F25" i="5"/>
  <c r="C26" i="5"/>
  <c r="E26" i="5"/>
  <c r="F26" i="5"/>
  <c r="C27" i="5"/>
  <c r="E27" i="5"/>
  <c r="F27" i="5"/>
  <c r="C28" i="5"/>
  <c r="E28" i="5"/>
  <c r="F28" i="5"/>
  <c r="C29" i="5"/>
  <c r="E29" i="5"/>
  <c r="F29" i="5"/>
  <c r="C30" i="5"/>
  <c r="E30" i="5"/>
  <c r="F30" i="5"/>
  <c r="C31" i="5"/>
  <c r="E31" i="5"/>
  <c r="F31" i="5"/>
  <c r="C32" i="5"/>
  <c r="E32" i="5"/>
  <c r="F32" i="5"/>
  <c r="C33" i="5"/>
  <c r="E33" i="5"/>
  <c r="F33" i="5"/>
  <c r="C34" i="5"/>
  <c r="E34" i="5"/>
  <c r="F34" i="5"/>
  <c r="C35" i="5"/>
  <c r="E35" i="5"/>
  <c r="F35" i="5"/>
  <c r="C36" i="5"/>
  <c r="E36" i="5"/>
  <c r="F36" i="5"/>
  <c r="C37" i="5"/>
  <c r="E37" i="5"/>
  <c r="F37" i="5"/>
  <c r="C38" i="5"/>
  <c r="E38" i="5"/>
  <c r="F38" i="5"/>
  <c r="C39" i="5"/>
  <c r="E39" i="5"/>
  <c r="F39" i="5"/>
  <c r="C40" i="5"/>
  <c r="E40" i="5"/>
  <c r="F40" i="5"/>
  <c r="C41" i="5"/>
  <c r="E41" i="5"/>
  <c r="F41" i="5"/>
  <c r="C42" i="5"/>
  <c r="E42" i="5"/>
  <c r="F42" i="5"/>
  <c r="C43" i="5"/>
  <c r="E43" i="5"/>
  <c r="F43" i="5"/>
  <c r="C44" i="5"/>
  <c r="E44" i="5"/>
  <c r="F44" i="5"/>
  <c r="C45" i="5"/>
  <c r="E45" i="5"/>
  <c r="F45" i="5"/>
  <c r="C46" i="5"/>
  <c r="E46" i="5"/>
  <c r="F46" i="5"/>
  <c r="C47" i="5"/>
  <c r="E47" i="5"/>
  <c r="F47" i="5"/>
  <c r="C48" i="5"/>
  <c r="E48" i="5"/>
  <c r="F48" i="5"/>
  <c r="C49" i="5"/>
  <c r="E49" i="5"/>
  <c r="F49" i="5"/>
  <c r="C50" i="5"/>
  <c r="E50" i="5"/>
  <c r="F50" i="5"/>
  <c r="C51" i="5"/>
  <c r="E51" i="5"/>
  <c r="F51" i="5"/>
  <c r="C52" i="5"/>
  <c r="E52" i="5"/>
  <c r="F52" i="5"/>
  <c r="C53" i="5"/>
  <c r="E53" i="5"/>
  <c r="F53" i="5"/>
  <c r="C54" i="5"/>
  <c r="E54" i="5"/>
  <c r="F54" i="5"/>
  <c r="C55" i="5"/>
  <c r="E55" i="5"/>
  <c r="F55" i="5"/>
  <c r="C56" i="5"/>
  <c r="E56" i="5"/>
  <c r="F56" i="5"/>
  <c r="C57" i="5"/>
  <c r="E57" i="5"/>
  <c r="F57" i="5"/>
  <c r="C58" i="5"/>
  <c r="E58" i="5"/>
  <c r="F58" i="5"/>
  <c r="C59" i="5"/>
  <c r="E59" i="5"/>
  <c r="F59" i="5"/>
  <c r="C60" i="5"/>
  <c r="E60" i="5"/>
  <c r="F60" i="5"/>
  <c r="C61" i="5"/>
  <c r="E61" i="5"/>
  <c r="F61" i="5"/>
  <c r="C62" i="5"/>
  <c r="E62" i="5"/>
  <c r="F62" i="5"/>
  <c r="C63" i="5"/>
  <c r="E63" i="5"/>
  <c r="F63" i="5"/>
  <c r="C64" i="5"/>
  <c r="E64" i="5"/>
  <c r="F64" i="5"/>
  <c r="C65" i="5"/>
  <c r="E65" i="5"/>
  <c r="F65" i="5"/>
  <c r="C66" i="5"/>
  <c r="E66" i="5"/>
  <c r="F66" i="5"/>
  <c r="C67" i="5"/>
  <c r="E67" i="5"/>
  <c r="F67" i="5"/>
  <c r="C68" i="5"/>
  <c r="E68" i="5"/>
  <c r="F68" i="5"/>
  <c r="C69" i="5"/>
  <c r="E69" i="5"/>
  <c r="F69" i="5"/>
  <c r="F1" i="5"/>
  <c r="B3" i="1"/>
  <c r="B2" i="4"/>
  <c r="B4" i="2"/>
  <c r="B4" i="1"/>
  <c r="B5" i="4"/>
  <c r="F70" i="5"/>
  <c r="G10" i="5"/>
  <c r="H10" i="5"/>
  <c r="I10" i="5"/>
  <c r="E70" i="5"/>
  <c r="B1" i="2"/>
  <c r="B1" i="1"/>
  <c r="C9" i="4"/>
  <c r="E9" i="4"/>
  <c r="F9" i="4"/>
  <c r="C10" i="4"/>
  <c r="E10" i="4"/>
  <c r="F10" i="4"/>
  <c r="C11" i="4"/>
  <c r="E11" i="4"/>
  <c r="F11" i="4"/>
  <c r="C12" i="4"/>
  <c r="E12" i="4"/>
  <c r="F12" i="4"/>
  <c r="C13" i="4"/>
  <c r="E13" i="4"/>
  <c r="F13" i="4"/>
  <c r="C14" i="4"/>
  <c r="E14" i="4"/>
  <c r="F14" i="4"/>
  <c r="C15" i="4"/>
  <c r="E15" i="4"/>
  <c r="F15" i="4"/>
  <c r="C16" i="4"/>
  <c r="E16" i="4"/>
  <c r="F16" i="4"/>
  <c r="C17" i="4"/>
  <c r="E17" i="4"/>
  <c r="F17" i="4"/>
  <c r="C18" i="4"/>
  <c r="E18" i="4"/>
  <c r="F18" i="4"/>
  <c r="C19" i="4"/>
  <c r="E19" i="4"/>
  <c r="F19" i="4"/>
  <c r="C20" i="4"/>
  <c r="E20" i="4"/>
  <c r="F20" i="4"/>
  <c r="C21" i="4"/>
  <c r="E21" i="4"/>
  <c r="F21" i="4"/>
  <c r="C22" i="4"/>
  <c r="E22" i="4"/>
  <c r="F22" i="4"/>
  <c r="C23" i="4"/>
  <c r="E23" i="4"/>
  <c r="F23" i="4"/>
  <c r="C24" i="4"/>
  <c r="E24" i="4"/>
  <c r="F24" i="4"/>
  <c r="C25" i="4"/>
  <c r="E25" i="4"/>
  <c r="F25" i="4"/>
  <c r="C26" i="4"/>
  <c r="E26" i="4"/>
  <c r="F26" i="4"/>
  <c r="C27" i="4"/>
  <c r="E27" i="4"/>
  <c r="F27" i="4"/>
  <c r="C28" i="4"/>
  <c r="E28" i="4"/>
  <c r="F28" i="4"/>
  <c r="C29" i="4"/>
  <c r="E29" i="4"/>
  <c r="F29" i="4"/>
  <c r="C30" i="4"/>
  <c r="E30" i="4"/>
  <c r="F30" i="4"/>
  <c r="C31" i="4"/>
  <c r="E31" i="4"/>
  <c r="F31" i="4"/>
  <c r="C32" i="4"/>
  <c r="E32" i="4"/>
  <c r="F32" i="4"/>
  <c r="C33" i="4"/>
  <c r="E33" i="4"/>
  <c r="F33" i="4"/>
  <c r="C34" i="4"/>
  <c r="E34" i="4"/>
  <c r="F34" i="4"/>
  <c r="C35" i="4"/>
  <c r="E35" i="4"/>
  <c r="F35" i="4"/>
  <c r="C36" i="4"/>
  <c r="E36" i="4"/>
  <c r="F36" i="4"/>
  <c r="C37" i="4"/>
  <c r="E37" i="4"/>
  <c r="F37" i="4"/>
  <c r="C38" i="4"/>
  <c r="E38" i="4"/>
  <c r="F38" i="4"/>
  <c r="C39" i="4"/>
  <c r="E39" i="4"/>
  <c r="F39" i="4"/>
  <c r="C40" i="4"/>
  <c r="E40" i="4"/>
  <c r="F40" i="4"/>
  <c r="C41" i="4"/>
  <c r="E41" i="4"/>
  <c r="F41" i="4"/>
  <c r="C42" i="4"/>
  <c r="E42" i="4"/>
  <c r="F42" i="4"/>
  <c r="C43" i="4"/>
  <c r="E43" i="4"/>
  <c r="F43" i="4"/>
  <c r="C44" i="4"/>
  <c r="E44" i="4"/>
  <c r="F44" i="4"/>
  <c r="C45" i="4"/>
  <c r="E45" i="4"/>
  <c r="F45" i="4"/>
  <c r="C46" i="4"/>
  <c r="E46" i="4"/>
  <c r="F46" i="4"/>
  <c r="C47" i="4"/>
  <c r="E47" i="4"/>
  <c r="F47" i="4"/>
  <c r="C48" i="4"/>
  <c r="E48" i="4"/>
  <c r="F48" i="4"/>
  <c r="C49" i="4"/>
  <c r="E49" i="4"/>
  <c r="F49" i="4"/>
  <c r="C50" i="4"/>
  <c r="E50" i="4"/>
  <c r="F50" i="4"/>
  <c r="C51" i="4"/>
  <c r="E51" i="4"/>
  <c r="F51" i="4"/>
  <c r="C52" i="4"/>
  <c r="E52" i="4"/>
  <c r="F52" i="4"/>
  <c r="C53" i="4"/>
  <c r="E53" i="4"/>
  <c r="F53" i="4"/>
  <c r="C54" i="4"/>
  <c r="E54" i="4"/>
  <c r="F54" i="4"/>
  <c r="C55" i="4"/>
  <c r="E55" i="4"/>
  <c r="F55" i="4"/>
  <c r="C56" i="4"/>
  <c r="E56" i="4"/>
  <c r="F56" i="4"/>
  <c r="C57" i="4"/>
  <c r="E57" i="4"/>
  <c r="F57" i="4"/>
  <c r="C58" i="4"/>
  <c r="E58" i="4"/>
  <c r="F58" i="4"/>
  <c r="C59" i="4"/>
  <c r="E59" i="4"/>
  <c r="F59" i="4"/>
  <c r="C60" i="4"/>
  <c r="E60" i="4"/>
  <c r="F60" i="4"/>
  <c r="C61" i="4"/>
  <c r="E61" i="4"/>
  <c r="F61" i="4"/>
  <c r="C62" i="4"/>
  <c r="E62" i="4"/>
  <c r="F62" i="4"/>
  <c r="C63" i="4"/>
  <c r="E63" i="4"/>
  <c r="F63" i="4"/>
  <c r="C64" i="4"/>
  <c r="E64" i="4"/>
  <c r="F64" i="4"/>
  <c r="C65" i="4"/>
  <c r="E65" i="4"/>
  <c r="F65" i="4"/>
  <c r="C66" i="4"/>
  <c r="E66" i="4"/>
  <c r="F66" i="4"/>
  <c r="C67" i="4"/>
  <c r="E67" i="4"/>
  <c r="F67" i="4"/>
  <c r="C68" i="4"/>
  <c r="D68" i="4"/>
  <c r="E68" i="4"/>
  <c r="F68" i="4"/>
  <c r="B11" i="2"/>
  <c r="D11" i="2"/>
  <c r="B16" i="2"/>
  <c r="D16" i="2"/>
  <c r="B28" i="2"/>
  <c r="D28" i="2"/>
  <c r="B40" i="2"/>
  <c r="D40" i="2"/>
  <c r="B52" i="2"/>
  <c r="D52" i="2"/>
  <c r="B67" i="2"/>
  <c r="B59" i="2"/>
  <c r="D59" i="2"/>
  <c r="C67" i="2"/>
  <c r="B13" i="2"/>
  <c r="D13" i="2"/>
  <c r="B17" i="2"/>
  <c r="D17" i="2"/>
  <c r="B29" i="2"/>
  <c r="D29" i="2"/>
  <c r="B41" i="2"/>
  <c r="D41" i="2"/>
  <c r="B53" i="2"/>
  <c r="D53" i="2"/>
  <c r="B33" i="2"/>
  <c r="D33" i="2"/>
  <c r="B22" i="2"/>
  <c r="D22" i="2"/>
  <c r="B23" i="2"/>
  <c r="D23" i="2"/>
  <c r="B8" i="2"/>
  <c r="D8" i="2"/>
  <c r="B45" i="2"/>
  <c r="D45" i="2"/>
  <c r="B49" i="2"/>
  <c r="D49" i="2"/>
  <c r="B65" i="2"/>
  <c r="D65" i="2"/>
  <c r="B18" i="2"/>
  <c r="D18" i="2"/>
  <c r="B30" i="2"/>
  <c r="D30" i="2"/>
  <c r="B42" i="2"/>
  <c r="D42" i="2"/>
  <c r="B54" i="2"/>
  <c r="D54" i="2"/>
  <c r="B32" i="2"/>
  <c r="D32" i="2"/>
  <c r="B21" i="2"/>
  <c r="D21" i="2"/>
  <c r="B34" i="2"/>
  <c r="D34" i="2"/>
  <c r="B35" i="2"/>
  <c r="D35" i="2"/>
  <c r="B12" i="2"/>
  <c r="D12" i="2"/>
  <c r="B36" i="2"/>
  <c r="D36" i="2"/>
  <c r="B60" i="2"/>
  <c r="D60" i="2"/>
  <c r="B25" i="2"/>
  <c r="D25" i="2"/>
  <c r="B19" i="2"/>
  <c r="D19" i="2"/>
  <c r="B31" i="2"/>
  <c r="D31" i="2"/>
  <c r="B43" i="2"/>
  <c r="D43" i="2"/>
  <c r="B55" i="2"/>
  <c r="D55" i="2"/>
  <c r="B64" i="2"/>
  <c r="D64" i="2"/>
  <c r="B20" i="2"/>
  <c r="D20" i="2"/>
  <c r="B44" i="2"/>
  <c r="D44" i="2"/>
  <c r="B56" i="2"/>
  <c r="D56" i="2"/>
  <c r="B63" i="2"/>
  <c r="D63" i="2"/>
  <c r="B9" i="2"/>
  <c r="D9" i="2"/>
  <c r="B57" i="2"/>
  <c r="D57" i="2"/>
  <c r="B10" i="2"/>
  <c r="D10" i="2"/>
  <c r="B46" i="2"/>
  <c r="D46" i="2"/>
  <c r="B58" i="2"/>
  <c r="D58" i="2"/>
  <c r="B47" i="2"/>
  <c r="D47" i="2"/>
  <c r="B24" i="2"/>
  <c r="D24" i="2"/>
  <c r="B48" i="2"/>
  <c r="D48" i="2"/>
  <c r="B37" i="2"/>
  <c r="D37" i="2"/>
  <c r="B61" i="2"/>
  <c r="D61" i="2"/>
  <c r="B14" i="2"/>
  <c r="D14" i="2"/>
  <c r="B26" i="2"/>
  <c r="D26" i="2"/>
  <c r="B38" i="2"/>
  <c r="D38" i="2"/>
  <c r="B50" i="2"/>
  <c r="D50" i="2"/>
  <c r="B62" i="2"/>
  <c r="D62" i="2"/>
  <c r="B51" i="2"/>
  <c r="D51" i="2"/>
  <c r="B15" i="2"/>
  <c r="D15" i="2"/>
  <c r="B27" i="2"/>
  <c r="D27" i="2"/>
  <c r="B39" i="2"/>
  <c r="D39" i="2"/>
  <c r="B66" i="2"/>
  <c r="D66" i="2"/>
  <c r="B26" i="1"/>
  <c r="D26" i="1"/>
  <c r="B50" i="1"/>
  <c r="D50" i="1"/>
  <c r="B27" i="1"/>
  <c r="D27" i="1"/>
  <c r="B51" i="1"/>
  <c r="D51" i="1"/>
  <c r="B19" i="1"/>
  <c r="D19" i="1"/>
  <c r="B28" i="1"/>
  <c r="D28" i="1"/>
  <c r="B52" i="1"/>
  <c r="D52" i="1"/>
  <c r="B20" i="1"/>
  <c r="D20" i="1"/>
  <c r="B45" i="1"/>
  <c r="D45" i="1"/>
  <c r="B29" i="1"/>
  <c r="D29" i="1"/>
  <c r="B53" i="1"/>
  <c r="D53" i="1"/>
  <c r="B14" i="1"/>
  <c r="D14" i="1"/>
  <c r="B38" i="1"/>
  <c r="D38" i="1"/>
  <c r="B40" i="1"/>
  <c r="D40" i="1"/>
  <c r="B18" i="1"/>
  <c r="D18" i="1"/>
  <c r="B8" i="1"/>
  <c r="D8" i="1"/>
  <c r="B22" i="1"/>
  <c r="D22" i="1"/>
  <c r="B30" i="1"/>
  <c r="D30" i="1"/>
  <c r="B54" i="1"/>
  <c r="D54" i="1"/>
  <c r="B63" i="1"/>
  <c r="D63" i="1"/>
  <c r="B16" i="1"/>
  <c r="D16" i="1"/>
  <c r="B17" i="1"/>
  <c r="D17" i="1"/>
  <c r="B66" i="1"/>
  <c r="D66" i="1"/>
  <c r="B44" i="1"/>
  <c r="D44" i="1"/>
  <c r="B31" i="1"/>
  <c r="D31" i="1"/>
  <c r="B55" i="1"/>
  <c r="D55" i="1"/>
  <c r="B59" i="1"/>
  <c r="D59" i="1"/>
  <c r="B12" i="1"/>
  <c r="D12" i="1"/>
  <c r="B36" i="1"/>
  <c r="D36" i="1"/>
  <c r="B60" i="1"/>
  <c r="D60" i="1"/>
  <c r="B13" i="1"/>
  <c r="D13" i="1"/>
  <c r="B37" i="1"/>
  <c r="D37" i="1"/>
  <c r="B15" i="1"/>
  <c r="D15" i="1"/>
  <c r="B41" i="1"/>
  <c r="D41" i="1"/>
  <c r="B67" i="1"/>
  <c r="B21" i="1"/>
  <c r="D21" i="1"/>
  <c r="B32" i="1"/>
  <c r="D32" i="1"/>
  <c r="B56" i="1"/>
  <c r="D56" i="1"/>
  <c r="C67" i="1"/>
  <c r="B9" i="1"/>
  <c r="D9" i="1"/>
  <c r="B33" i="1"/>
  <c r="D33" i="1"/>
  <c r="B10" i="1"/>
  <c r="D10" i="1"/>
  <c r="B58" i="1"/>
  <c r="D58" i="1"/>
  <c r="B35" i="1"/>
  <c r="D35" i="1"/>
  <c r="B57" i="1"/>
  <c r="D57" i="1"/>
  <c r="B34" i="1"/>
  <c r="D34" i="1"/>
  <c r="B11" i="1"/>
  <c r="D11" i="1"/>
  <c r="B61" i="1"/>
  <c r="D61" i="1"/>
  <c r="B62" i="1"/>
  <c r="D62" i="1"/>
  <c r="B39" i="1"/>
  <c r="D39" i="1"/>
  <c r="B64" i="1"/>
  <c r="D64" i="1"/>
  <c r="B65" i="1"/>
  <c r="D65" i="1"/>
  <c r="B42" i="1"/>
  <c r="D42" i="1"/>
  <c r="B43" i="1"/>
  <c r="D43" i="1"/>
  <c r="B46" i="1"/>
  <c r="D46" i="1"/>
  <c r="B23" i="1"/>
  <c r="D23" i="1"/>
  <c r="B47" i="1"/>
  <c r="D47" i="1"/>
  <c r="B24" i="1"/>
  <c r="D24" i="1"/>
  <c r="B25" i="1"/>
  <c r="D25" i="1"/>
  <c r="B48" i="1"/>
  <c r="D48" i="1"/>
  <c r="B49" i="1"/>
  <c r="D49" i="1"/>
  <c r="D67" i="1"/>
  <c r="F3" i="1"/>
  <c r="D67" i="2"/>
  <c r="F3" i="2"/>
  <c r="F3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G18" i="4"/>
  <c r="H18" i="4"/>
  <c r="I18" i="4"/>
  <c r="G19" i="4"/>
  <c r="H19" i="4"/>
  <c r="I19" i="4"/>
  <c r="G20" i="4"/>
  <c r="H20" i="4"/>
  <c r="I20" i="4"/>
  <c r="G21" i="4"/>
  <c r="H21" i="4"/>
  <c r="I21" i="4"/>
  <c r="G22" i="4"/>
  <c r="H22" i="4"/>
  <c r="I22" i="4"/>
  <c r="G23" i="4"/>
  <c r="H23" i="4"/>
  <c r="I23" i="4"/>
  <c r="G24" i="4"/>
  <c r="H24" i="4"/>
  <c r="I24" i="4"/>
  <c r="G25" i="4"/>
  <c r="H25" i="4"/>
  <c r="I25" i="4"/>
  <c r="G26" i="4"/>
  <c r="H26" i="4"/>
  <c r="I26" i="4"/>
  <c r="G27" i="4"/>
  <c r="H27" i="4"/>
  <c r="I27" i="4"/>
  <c r="G28" i="4"/>
  <c r="H28" i="4"/>
  <c r="I28" i="4"/>
  <c r="G29" i="4"/>
  <c r="H29" i="4"/>
  <c r="I29" i="4"/>
  <c r="G30" i="4"/>
  <c r="H30" i="4"/>
  <c r="I30" i="4"/>
  <c r="G31" i="4"/>
  <c r="H31" i="4"/>
  <c r="I31" i="4"/>
  <c r="G32" i="4"/>
  <c r="H32" i="4"/>
  <c r="I32" i="4"/>
  <c r="G33" i="4"/>
  <c r="H33" i="4"/>
  <c r="I33" i="4"/>
  <c r="G34" i="4"/>
  <c r="H34" i="4"/>
  <c r="I34" i="4"/>
  <c r="G35" i="4"/>
  <c r="H35" i="4"/>
  <c r="I35" i="4"/>
  <c r="G36" i="4"/>
  <c r="H36" i="4"/>
  <c r="I36" i="4"/>
  <c r="G37" i="4"/>
  <c r="H37" i="4"/>
  <c r="I37" i="4"/>
  <c r="G38" i="4"/>
  <c r="H38" i="4"/>
  <c r="I38" i="4"/>
  <c r="G39" i="4"/>
  <c r="H39" i="4"/>
  <c r="I39" i="4"/>
  <c r="G40" i="4"/>
  <c r="H40" i="4"/>
  <c r="I40" i="4"/>
  <c r="G41" i="4"/>
  <c r="H41" i="4"/>
  <c r="I41" i="4"/>
  <c r="G42" i="4"/>
  <c r="H42" i="4"/>
  <c r="I42" i="4"/>
  <c r="G43" i="4"/>
  <c r="H43" i="4"/>
  <c r="I43" i="4"/>
  <c r="G44" i="4"/>
  <c r="H44" i="4"/>
  <c r="I44" i="4"/>
  <c r="G45" i="4"/>
  <c r="H45" i="4"/>
  <c r="I45" i="4"/>
  <c r="G46" i="4"/>
  <c r="H46" i="4"/>
  <c r="I46" i="4"/>
  <c r="G47" i="4"/>
  <c r="H47" i="4"/>
  <c r="I47" i="4"/>
  <c r="G48" i="4"/>
  <c r="H48" i="4"/>
  <c r="I48" i="4"/>
  <c r="G49" i="4"/>
  <c r="H49" i="4"/>
  <c r="I49" i="4"/>
  <c r="G50" i="4"/>
  <c r="H50" i="4"/>
  <c r="I50" i="4"/>
  <c r="G51" i="4"/>
  <c r="H51" i="4"/>
  <c r="I51" i="4"/>
  <c r="G52" i="4"/>
  <c r="H52" i="4"/>
  <c r="I52" i="4"/>
  <c r="G53" i="4"/>
  <c r="H53" i="4"/>
  <c r="I53" i="4"/>
  <c r="G54" i="4"/>
  <c r="H54" i="4"/>
  <c r="I54" i="4"/>
  <c r="G55" i="4"/>
  <c r="H55" i="4"/>
  <c r="I55" i="4"/>
  <c r="G56" i="4"/>
  <c r="H56" i="4"/>
  <c r="I56" i="4"/>
  <c r="G57" i="4"/>
  <c r="H57" i="4"/>
  <c r="I57" i="4"/>
  <c r="G58" i="4"/>
  <c r="H58" i="4"/>
  <c r="I58" i="4"/>
  <c r="G59" i="4"/>
  <c r="H59" i="4"/>
  <c r="I59" i="4"/>
  <c r="G60" i="4"/>
  <c r="H60" i="4"/>
  <c r="I60" i="4"/>
  <c r="G61" i="4"/>
  <c r="H61" i="4"/>
  <c r="I61" i="4"/>
  <c r="G62" i="4"/>
  <c r="H62" i="4"/>
  <c r="I62" i="4"/>
  <c r="G63" i="4"/>
  <c r="H63" i="4"/>
  <c r="I63" i="4"/>
  <c r="G64" i="4"/>
  <c r="H64" i="4"/>
  <c r="I64" i="4"/>
  <c r="G65" i="4"/>
  <c r="H65" i="4"/>
  <c r="I65" i="4"/>
  <c r="G66" i="4"/>
  <c r="H66" i="4"/>
  <c r="I66" i="4"/>
  <c r="G67" i="4"/>
  <c r="H67" i="4"/>
  <c r="I67" i="4"/>
  <c r="G68" i="4"/>
  <c r="H68" i="4"/>
  <c r="I6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Class of 2012</author>
  </authors>
  <commentList>
    <comment ref="A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Class of 2012:</t>
        </r>
        <r>
          <rPr>
            <sz val="9"/>
            <color indexed="81"/>
            <rFont val="Tahoma"/>
            <family val="2"/>
          </rPr>
          <t xml:space="preserve">
Each period below is 6 months.</t>
        </r>
      </text>
    </comment>
  </commentList>
</comments>
</file>

<file path=xl/sharedStrings.xml><?xml version="1.0" encoding="utf-8"?>
<sst xmlns="http://schemas.openxmlformats.org/spreadsheetml/2006/main" count="64" uniqueCount="34">
  <si>
    <t>The table below is taken  from:</t>
  </si>
  <si>
    <t>Resource Center | U.S. Department of the Treasury</t>
  </si>
  <si>
    <t>accessed at 2:15 pm on February 1, 2026.</t>
  </si>
  <si>
    <t>Face_Value</t>
  </si>
  <si>
    <t>PV=</t>
  </si>
  <si>
    <t>Term</t>
  </si>
  <si>
    <t>years</t>
  </si>
  <si>
    <t>Coupon_rate</t>
  </si>
  <si>
    <t>semi-annual</t>
  </si>
  <si>
    <t>1_Period_Equals</t>
  </si>
  <si>
    <t>Interest_rate</t>
  </si>
  <si>
    <t>compounded semi-annually</t>
  </si>
  <si>
    <t>Amount_to_Spend</t>
  </si>
  <si>
    <t>Time</t>
  </si>
  <si>
    <t>Coupon</t>
  </si>
  <si>
    <t>Face</t>
  </si>
  <si>
    <t>Total Cash Flow</t>
  </si>
  <si>
    <t>PV of cash flow</t>
  </si>
  <si>
    <t>Interest Earned</t>
  </si>
  <si>
    <t>Diff</t>
  </si>
  <si>
    <t>Bond Value</t>
  </si>
  <si>
    <t>Total</t>
  </si>
  <si>
    <t>Face Value</t>
  </si>
  <si>
    <t>Coupons</t>
  </si>
  <si>
    <t>semi annual</t>
  </si>
  <si>
    <t>PV at time 0</t>
  </si>
  <si>
    <t>Semi-annual Adjustment Factor</t>
  </si>
  <si>
    <t>Interest Rate</t>
  </si>
  <si>
    <t>Compounded semi-annually</t>
  </si>
  <si>
    <t>Value just before payment of Face Value.</t>
  </si>
  <si>
    <t>Yield</t>
  </si>
  <si>
    <t>Time (years)</t>
  </si>
  <si>
    <t>PV</t>
  </si>
  <si>
    <t>Time (0.5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</si>
</sst>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&quot;$&quot;#,##0.00"/>
    <numFmt numFmtId="166" formatCode="_(* #,##0.00000_);_(* \(#,##0.0000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10" fontId="0" fillId="0" borderId="0" xfId="0" applyNumberFormat="1"/>
    <xf numFmtId="164" fontId="0" fillId="0" borderId="0" xfId="0" applyNumberFormat="1"/>
    <xf numFmtId="4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43" fontId="0" fillId="0" borderId="0" xfId="1" applyFont="1"/>
    <xf numFmtId="166" fontId="0" fillId="0" borderId="0" xfId="1" applyNumberFormat="1" applyFont="1"/>
    <xf numFmtId="6" fontId="0" fillId="0" borderId="0" xfId="0" applyNumberFormat="1"/>
    <xf numFmtId="0" fontId="4" fillId="0" borderId="1" xfId="0" applyFont="1" applyBorder="1" applyAlignment="1">
      <alignment horizontal="center"/>
    </xf>
    <xf numFmtId="0" fontId="4" fillId="0" borderId="0" xfId="0" applyFont="1"/>
    <xf numFmtId="44" fontId="0" fillId="0" borderId="0" xfId="2" applyFont="1"/>
    <xf numFmtId="44" fontId="4" fillId="0" borderId="0" xfId="0" applyNumberFormat="1" applyFont="1"/>
    <xf numFmtId="0" fontId="4" fillId="0" borderId="0" xfId="0" applyFont="1" applyAlignment="1">
      <alignment horizontal="center"/>
    </xf>
    <xf numFmtId="6" fontId="0" fillId="2" borderId="0" xfId="0" applyNumberFormat="1" applyFill="1"/>
    <xf numFmtId="0" fontId="5" fillId="0" borderId="0" xfId="3"/>
    <xf numFmtId="165" fontId="4" fillId="0" borderId="0" xfId="0" applyNumberFormat="1" applyFont="1"/>
    <xf numFmtId="44" fontId="0" fillId="0" borderId="2" xfId="2" applyFont="1" applyBorder="1"/>
    <xf numFmtId="44" fontId="4" fillId="0" borderId="2" xfId="2" applyFont="1" applyBorder="1"/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12</xdr:row>
      <xdr:rowOff>92766</xdr:rowOff>
    </xdr:from>
    <xdr:to>
      <xdr:col>14</xdr:col>
      <xdr:colOff>555158</xdr:colOff>
      <xdr:row>41</xdr:row>
      <xdr:rowOff>66730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B3D938-B2AE-F7D6-783D-DACC8254F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478157"/>
          <a:ext cx="9314845" cy="5738660"/>
        </a:xfrm>
        <a:prstGeom prst="rect">
          <a:avLst/>
        </a:prstGeom>
      </xdr:spPr>
    </xdr:pic>
    <xdr:clientData/>
  </xdr:twoCellAnchor>
  <xdr:oneCellAnchor>
    <xdr:from>
      <xdr:col>0</xdr:col>
      <xdr:colOff>253365</xdr:colOff>
      <xdr:row>0</xdr:row>
      <xdr:rowOff>190500</xdr:rowOff>
    </xdr:from>
    <xdr:ext cx="7660925" cy="1470146"/>
    <xdr:sp macro="" textlink="">
      <xdr:nvSpPr>
        <xdr:cNvPr id="24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53365" y="190500"/>
          <a:ext cx="7660925" cy="147014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r>
            <a:rPr lang="en-US" sz="1100"/>
            <a:t>This</a:t>
          </a:r>
          <a:r>
            <a:rPr lang="en-US" sz="1100" baseline="0"/>
            <a:t> workbook addresses the following question: What would be the cash flows from purchasing for $50k cash 30-year bonds with a coupon rate of 3.00% when the bonds are priced to yield 4.79% (see table below for yield)? Coupon payments are made semi-annually.</a:t>
          </a:r>
        </a:p>
        <a:p>
          <a:endParaRPr lang="en-US" sz="1100" baseline="0"/>
        </a:p>
        <a:p>
          <a:r>
            <a:rPr lang="en-US" sz="1100" baseline="0"/>
            <a:t>We have to estimate the face value of the bonds purchased and apply the coupon rate to that face value.</a:t>
          </a:r>
        </a:p>
        <a:p>
          <a:endParaRPr lang="en-US" sz="1100" baseline="0"/>
        </a:p>
        <a:p>
          <a:r>
            <a:rPr lang="en-US" sz="1100" baseline="0"/>
            <a:t>Alternative 1 and Alternative 2 are both checks to see if the face value found in Class would</a:t>
          </a:r>
        </a:p>
        <a:p>
          <a:r>
            <a:rPr lang="en-US" sz="1100" baseline="0"/>
            <a:t>indeed generate cash flows with a present value of $50,000.</a:t>
          </a:r>
          <a:endParaRPr lang="en-US" sz="1100"/>
        </a:p>
      </xdr:txBody>
    </xdr:sp>
    <xdr:clientData/>
  </xdr:oneCellAnchor>
  <xdr:twoCellAnchor>
    <xdr:from>
      <xdr:col>13</xdr:col>
      <xdr:colOff>394749</xdr:colOff>
      <xdr:row>37</xdr:row>
      <xdr:rowOff>59634</xdr:rowOff>
    </xdr:from>
    <xdr:to>
      <xdr:col>14</xdr:col>
      <xdr:colOff>649357</xdr:colOff>
      <xdr:row>41</xdr:row>
      <xdr:rowOff>154304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AD2B3957-C136-C228-28D7-1A0C4FE3B98D}"/>
            </a:ext>
          </a:extLst>
        </xdr:cNvPr>
        <xdr:cNvSpPr/>
      </xdr:nvSpPr>
      <xdr:spPr>
        <a:xfrm>
          <a:off x="9094801" y="7414591"/>
          <a:ext cx="923843" cy="889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435418</xdr:colOff>
      <xdr:row>11</xdr:row>
      <xdr:rowOff>141053</xdr:rowOff>
    </xdr:from>
    <xdr:to>
      <xdr:col>15</xdr:col>
      <xdr:colOff>30316</xdr:colOff>
      <xdr:row>16</xdr:row>
      <xdr:rowOff>35035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9368A48-AE40-49CB-91C9-E3A91FE1EDD1}"/>
            </a:ext>
          </a:extLst>
        </xdr:cNvPr>
        <xdr:cNvSpPr/>
      </xdr:nvSpPr>
      <xdr:spPr>
        <a:xfrm>
          <a:off x="9135470" y="2327662"/>
          <a:ext cx="933368" cy="88789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192156</xdr:colOff>
      <xdr:row>16</xdr:row>
      <xdr:rowOff>182714</xdr:rowOff>
    </xdr:from>
    <xdr:to>
      <xdr:col>14</xdr:col>
      <xdr:colOff>198783</xdr:colOff>
      <xdr:row>36</xdr:row>
      <xdr:rowOff>72887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93ABF9A5-A6CE-9272-9A35-FD8F63DBF139}"/>
            </a:ext>
          </a:extLst>
        </xdr:cNvPr>
        <xdr:cNvCxnSpPr/>
      </xdr:nvCxnSpPr>
      <xdr:spPr>
        <a:xfrm flipH="1">
          <a:off x="9561443" y="3363236"/>
          <a:ext cx="6627" cy="38658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119270</xdr:colOff>
      <xdr:row>37</xdr:row>
      <xdr:rowOff>90859</xdr:rowOff>
    </xdr:from>
    <xdr:to>
      <xdr:col>2</xdr:col>
      <xdr:colOff>488424</xdr:colOff>
      <xdr:row>41</xdr:row>
      <xdr:rowOff>17973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8CDEEE5-DBA1-447C-B4DC-09283D2D8B2F}"/>
            </a:ext>
          </a:extLst>
        </xdr:cNvPr>
        <xdr:cNvSpPr/>
      </xdr:nvSpPr>
      <xdr:spPr>
        <a:xfrm>
          <a:off x="119270" y="7445816"/>
          <a:ext cx="1707624" cy="722244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620946</xdr:colOff>
      <xdr:row>39</xdr:row>
      <xdr:rowOff>79513</xdr:rowOff>
    </xdr:from>
    <xdr:to>
      <xdr:col>13</xdr:col>
      <xdr:colOff>195966</xdr:colOff>
      <xdr:row>39</xdr:row>
      <xdr:rowOff>119269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58578B1-BBF4-46A3-A3FC-C1BAA18338A4}"/>
            </a:ext>
          </a:extLst>
        </xdr:cNvPr>
        <xdr:cNvCxnSpPr/>
      </xdr:nvCxnSpPr>
      <xdr:spPr>
        <a:xfrm flipV="1">
          <a:off x="1959416" y="7832035"/>
          <a:ext cx="6936602" cy="3975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ome.treasury.gov/resource-center/data-chart-center/interest-rates/TextView?type=daily_treasury_yield_curve&amp;field_tdr_date_value=20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0:B12"/>
  <sheetViews>
    <sheetView topLeftCell="C27" zoomScale="115" zoomScaleNormal="115" workbookViewId="0">
      <selection activeCell="P48" sqref="P48"/>
    </sheetView>
  </sheetViews>
  <sheetFormatPr defaultColWidth="8.75" defaultRowHeight="15.75" x14ac:dyDescent="0.25"/>
  <sheetData>
    <row r="10" spans="2:2" x14ac:dyDescent="0.25">
      <c r="B10" t="s">
        <v>0</v>
      </c>
    </row>
    <row r="11" spans="2:2" x14ac:dyDescent="0.25">
      <c r="B11" s="16" t="s">
        <v>1</v>
      </c>
    </row>
    <row r="12" spans="2:2" x14ac:dyDescent="0.25">
      <c r="B12" t="s">
        <v>2</v>
      </c>
    </row>
  </sheetData>
  <hyperlinks>
    <hyperlink ref="B11" r:id="rId1" display="https://home.treasury.gov/resource-center/data-chart-center/interest-rates/TextView?type=daily_treasury_yield_curve&amp;field_tdr_date_value=2025" xr:uid="{1A19834D-4E29-4C92-8294-18DAC176311D}"/>
  </hyperlinks>
  <pageMargins left="0.7" right="0.7" top="0.75" bottom="0.75" header="0.3" footer="0.3"/>
  <pageSetup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"/>
  <sheetViews>
    <sheetView tabSelected="1" zoomScale="130" zoomScaleNormal="130" workbookViewId="0">
      <selection activeCell="A11" sqref="A11"/>
    </sheetView>
  </sheetViews>
  <sheetFormatPr defaultColWidth="11" defaultRowHeight="15.75" outlineLevelCol="1" x14ac:dyDescent="0.25"/>
  <cols>
    <col min="1" max="1" width="26.25" bestFit="1" customWidth="1"/>
    <col min="4" max="4" width="11.5" bestFit="1" customWidth="1"/>
    <col min="5" max="5" width="13.75" bestFit="1" customWidth="1"/>
    <col min="6" max="6" width="14.25" customWidth="1"/>
    <col min="7" max="7" width="13.875" customWidth="1" outlineLevel="1"/>
    <col min="8" max="8" width="11" customWidth="1" outlineLevel="1"/>
    <col min="9" max="9" width="11.75" customWidth="1" outlineLevel="1"/>
  </cols>
  <sheetData>
    <row r="1" spans="1:9" x14ac:dyDescent="0.25">
      <c r="A1" s="11" t="s">
        <v>3</v>
      </c>
      <c r="B1" s="15">
        <v>57901.599999999999</v>
      </c>
      <c r="E1" t="s">
        <v>4</v>
      </c>
      <c r="F1" s="13">
        <f>SUM(F10:F69)</f>
        <v>49999.967286258732</v>
      </c>
      <c r="H1" s="3"/>
    </row>
    <row r="2" spans="1:9" x14ac:dyDescent="0.25">
      <c r="A2" s="11" t="s">
        <v>5</v>
      </c>
      <c r="B2">
        <v>30</v>
      </c>
      <c r="C2" t="s">
        <v>6</v>
      </c>
    </row>
    <row r="3" spans="1:9" x14ac:dyDescent="0.25">
      <c r="A3" s="11" t="s">
        <v>7</v>
      </c>
      <c r="B3" s="1">
        <v>0.04</v>
      </c>
      <c r="C3" t="s">
        <v>8</v>
      </c>
    </row>
    <row r="4" spans="1:9" x14ac:dyDescent="0.25">
      <c r="A4" s="11" t="s">
        <v>9</v>
      </c>
      <c r="B4">
        <v>0.5</v>
      </c>
      <c r="C4" t="s">
        <v>6</v>
      </c>
    </row>
    <row r="5" spans="1:9" x14ac:dyDescent="0.25">
      <c r="A5" s="11" t="s">
        <v>10</v>
      </c>
      <c r="B5" s="1">
        <v>4.87E-2</v>
      </c>
      <c r="C5" t="s">
        <v>11</v>
      </c>
    </row>
    <row r="6" spans="1:9" x14ac:dyDescent="0.25">
      <c r="A6" s="11" t="s">
        <v>12</v>
      </c>
      <c r="B6" s="9">
        <v>50000</v>
      </c>
    </row>
    <row r="8" spans="1:9" ht="16.5" thickBot="1" x14ac:dyDescent="0.3"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4" t="s">
        <v>18</v>
      </c>
      <c r="H8" s="14" t="s">
        <v>19</v>
      </c>
      <c r="I8" s="14" t="s">
        <v>20</v>
      </c>
    </row>
    <row r="9" spans="1:9" x14ac:dyDescent="0.25">
      <c r="B9">
        <v>0</v>
      </c>
    </row>
    <row r="10" spans="1:9" x14ac:dyDescent="0.25">
      <c r="B10">
        <v>1</v>
      </c>
      <c r="C10" s="12">
        <f>Face_Value*Coupon_rate*_1_Period_Equals</f>
        <v>1158.0319999999999</v>
      </c>
      <c r="D10" s="12"/>
      <c r="E10" s="12">
        <f>SUM(C10:D10)</f>
        <v>1158.0319999999999</v>
      </c>
      <c r="F10" s="12">
        <f>E10/((1+Interest_rate*_1_Period_Equals)^B10)</f>
        <v>1130.5042221896811</v>
      </c>
      <c r="G10" s="3">
        <f>F1*Interest_rate*_1_Period_Equals</f>
        <v>1217.4992034204001</v>
      </c>
      <c r="H10" s="3">
        <f>C10-G10</f>
        <v>-59.46720342040021</v>
      </c>
      <c r="I10" s="13">
        <f>F1-H10</f>
        <v>50059.43448967913</v>
      </c>
    </row>
    <row r="11" spans="1:9" x14ac:dyDescent="0.25">
      <c r="B11">
        <v>2</v>
      </c>
      <c r="C11" s="12">
        <f t="shared" ref="C11:C41" si="0">Face_Value*Coupon_rate*_1_Period_Equals</f>
        <v>1158.0319999999999</v>
      </c>
      <c r="D11" s="12"/>
      <c r="E11" s="12">
        <f t="shared" ref="E11:E69" si="1">SUM(C11:D11)</f>
        <v>1158.0319999999999</v>
      </c>
      <c r="F11" s="12">
        <f t="shared" ref="F11:F41" si="2">E11/((1+Interest_rate*_1_Period_Equals)^B11)</f>
        <v>1103.6308119194425</v>
      </c>
    </row>
    <row r="12" spans="1:9" x14ac:dyDescent="0.25">
      <c r="B12">
        <v>3</v>
      </c>
      <c r="C12" s="12">
        <f t="shared" si="0"/>
        <v>1158.0319999999999</v>
      </c>
      <c r="D12" s="12"/>
      <c r="E12" s="12">
        <f t="shared" si="1"/>
        <v>1158.0319999999999</v>
      </c>
      <c r="F12" s="12">
        <f t="shared" si="2"/>
        <v>1077.3962141059621</v>
      </c>
    </row>
    <row r="13" spans="1:9" x14ac:dyDescent="0.25">
      <c r="B13">
        <v>4</v>
      </c>
      <c r="C13" s="12">
        <f t="shared" si="0"/>
        <v>1158.0319999999999</v>
      </c>
      <c r="D13" s="12"/>
      <c r="E13" s="12">
        <f t="shared" si="1"/>
        <v>1158.0319999999999</v>
      </c>
      <c r="F13" s="12">
        <f t="shared" si="2"/>
        <v>1051.7852434284787</v>
      </c>
    </row>
    <row r="14" spans="1:9" x14ac:dyDescent="0.25">
      <c r="B14">
        <v>5</v>
      </c>
      <c r="C14" s="12">
        <f t="shared" si="0"/>
        <v>1158.0319999999999</v>
      </c>
      <c r="D14" s="12"/>
      <c r="E14" s="12">
        <f t="shared" si="1"/>
        <v>1158.0319999999999</v>
      </c>
      <c r="F14" s="12">
        <f t="shared" si="2"/>
        <v>1026.7830755391014</v>
      </c>
    </row>
    <row r="15" spans="1:9" x14ac:dyDescent="0.25">
      <c r="B15">
        <v>6</v>
      </c>
      <c r="C15" s="12">
        <f t="shared" si="0"/>
        <v>1158.0319999999999</v>
      </c>
      <c r="D15" s="12"/>
      <c r="E15" s="12">
        <f t="shared" si="1"/>
        <v>1158.0319999999999</v>
      </c>
      <c r="F15" s="12">
        <f t="shared" si="2"/>
        <v>1002.375238482063</v>
      </c>
    </row>
    <row r="16" spans="1:9" x14ac:dyDescent="0.25">
      <c r="B16">
        <v>7</v>
      </c>
      <c r="C16" s="12">
        <f t="shared" si="0"/>
        <v>1158.0319999999999</v>
      </c>
      <c r="D16" s="12"/>
      <c r="E16" s="12">
        <f t="shared" si="1"/>
        <v>1158.0319999999999</v>
      </c>
      <c r="F16" s="12">
        <f t="shared" si="2"/>
        <v>978.54760431694524</v>
      </c>
    </row>
    <row r="17" spans="2:6" x14ac:dyDescent="0.25">
      <c r="B17">
        <v>8</v>
      </c>
      <c r="C17" s="12">
        <f t="shared" si="0"/>
        <v>1158.0319999999999</v>
      </c>
      <c r="D17" s="12"/>
      <c r="E17" s="12">
        <f t="shared" si="1"/>
        <v>1158.0319999999999</v>
      </c>
      <c r="F17" s="12">
        <f t="shared" si="2"/>
        <v>955.28638094103098</v>
      </c>
    </row>
    <row r="18" spans="2:6" x14ac:dyDescent="0.25">
      <c r="B18">
        <v>9</v>
      </c>
      <c r="C18" s="12">
        <f t="shared" si="0"/>
        <v>1158.0319999999999</v>
      </c>
      <c r="D18" s="12"/>
      <c r="E18" s="12">
        <f t="shared" si="1"/>
        <v>1158.0319999999999</v>
      </c>
      <c r="F18" s="12">
        <f t="shared" si="2"/>
        <v>932.57810410604861</v>
      </c>
    </row>
    <row r="19" spans="2:6" x14ac:dyDescent="0.25">
      <c r="B19">
        <v>10</v>
      </c>
      <c r="C19" s="12">
        <f t="shared" si="0"/>
        <v>1158.0319999999999</v>
      </c>
      <c r="D19" s="12"/>
      <c r="E19" s="12">
        <f t="shared" si="1"/>
        <v>1158.0319999999999</v>
      </c>
      <c r="F19" s="12">
        <f t="shared" si="2"/>
        <v>910.40962962468734</v>
      </c>
    </row>
    <row r="20" spans="2:6" x14ac:dyDescent="0.25">
      <c r="B20">
        <v>11</v>
      </c>
      <c r="C20" s="12">
        <f t="shared" si="0"/>
        <v>1158.0319999999999</v>
      </c>
      <c r="D20" s="12"/>
      <c r="E20" s="12">
        <f t="shared" si="1"/>
        <v>1158.0319999999999</v>
      </c>
      <c r="F20" s="12">
        <f t="shared" si="2"/>
        <v>888.76812576237353</v>
      </c>
    </row>
    <row r="21" spans="2:6" x14ac:dyDescent="0.25">
      <c r="B21">
        <v>12</v>
      </c>
      <c r="C21" s="12">
        <f t="shared" si="0"/>
        <v>1158.0319999999999</v>
      </c>
      <c r="D21" s="12"/>
      <c r="E21" s="12">
        <f t="shared" si="1"/>
        <v>1158.0319999999999</v>
      </c>
      <c r="F21" s="12">
        <f t="shared" si="2"/>
        <v>867.64106580990222</v>
      </c>
    </row>
    <row r="22" spans="2:6" x14ac:dyDescent="0.25">
      <c r="B22">
        <v>13</v>
      </c>
      <c r="C22" s="12">
        <f t="shared" si="0"/>
        <v>1158.0319999999999</v>
      </c>
      <c r="D22" s="12"/>
      <c r="E22" s="12">
        <f t="shared" si="1"/>
        <v>1158.0319999999999</v>
      </c>
      <c r="F22" s="12">
        <f t="shared" si="2"/>
        <v>847.01622083262771</v>
      </c>
    </row>
    <row r="23" spans="2:6" x14ac:dyDescent="0.25">
      <c r="B23">
        <v>14</v>
      </c>
      <c r="C23" s="12">
        <f t="shared" si="0"/>
        <v>1158.0319999999999</v>
      </c>
      <c r="D23" s="12"/>
      <c r="E23" s="12">
        <f t="shared" si="1"/>
        <v>1158.0319999999999</v>
      </c>
      <c r="F23" s="12">
        <f t="shared" si="2"/>
        <v>826.88165259201207</v>
      </c>
    </row>
    <row r="24" spans="2:6" x14ac:dyDescent="0.25">
      <c r="B24">
        <v>15</v>
      </c>
      <c r="C24" s="12">
        <f t="shared" si="0"/>
        <v>1158.0319999999999</v>
      </c>
      <c r="D24" s="12"/>
      <c r="E24" s="12">
        <f t="shared" si="1"/>
        <v>1158.0319999999999</v>
      </c>
      <c r="F24" s="12">
        <f t="shared" si="2"/>
        <v>807.225706635439</v>
      </c>
    </row>
    <row r="25" spans="2:6" x14ac:dyDescent="0.25">
      <c r="B25">
        <v>16</v>
      </c>
      <c r="C25" s="12">
        <f t="shared" si="0"/>
        <v>1158.0319999999999</v>
      </c>
      <c r="D25" s="12"/>
      <c r="E25" s="12">
        <f t="shared" si="1"/>
        <v>1158.0319999999999</v>
      </c>
      <c r="F25" s="12">
        <f t="shared" si="2"/>
        <v>788.03700555028934</v>
      </c>
    </row>
    <row r="26" spans="2:6" x14ac:dyDescent="0.25">
      <c r="B26">
        <v>17</v>
      </c>
      <c r="C26" s="12">
        <f t="shared" si="0"/>
        <v>1158.0319999999999</v>
      </c>
      <c r="D26" s="12"/>
      <c r="E26" s="12">
        <f t="shared" si="1"/>
        <v>1158.0319999999999</v>
      </c>
      <c r="F26" s="12">
        <f t="shared" si="2"/>
        <v>769.30444237837582</v>
      </c>
    </row>
    <row r="27" spans="2:6" x14ac:dyDescent="0.25">
      <c r="B27">
        <v>18</v>
      </c>
      <c r="C27" s="12">
        <f t="shared" si="0"/>
        <v>1158.0319999999999</v>
      </c>
      <c r="D27" s="12"/>
      <c r="E27" s="12">
        <f t="shared" si="1"/>
        <v>1158.0319999999999</v>
      </c>
      <c r="F27" s="12">
        <f t="shared" si="2"/>
        <v>751.01717418692408</v>
      </c>
    </row>
    <row r="28" spans="2:6" x14ac:dyDescent="0.25">
      <c r="B28">
        <v>19</v>
      </c>
      <c r="C28" s="12">
        <f t="shared" si="0"/>
        <v>1158.0319999999999</v>
      </c>
      <c r="D28" s="12"/>
      <c r="E28" s="12">
        <f t="shared" si="1"/>
        <v>1158.0319999999999</v>
      </c>
      <c r="F28" s="12">
        <f t="shared" si="2"/>
        <v>733.16461579237955</v>
      </c>
    </row>
    <row r="29" spans="2:6" x14ac:dyDescent="0.25">
      <c r="B29">
        <v>20</v>
      </c>
      <c r="C29" s="12">
        <f t="shared" si="0"/>
        <v>1158.0319999999999</v>
      </c>
      <c r="D29" s="12"/>
      <c r="E29" s="12">
        <f t="shared" si="1"/>
        <v>1158.0319999999999</v>
      </c>
      <c r="F29" s="12">
        <f t="shared" si="2"/>
        <v>715.73643363340602</v>
      </c>
    </row>
    <row r="30" spans="2:6" x14ac:dyDescent="0.25">
      <c r="B30">
        <v>21</v>
      </c>
      <c r="C30" s="12">
        <f t="shared" si="0"/>
        <v>1158.0319999999999</v>
      </c>
      <c r="D30" s="12"/>
      <c r="E30" s="12">
        <f t="shared" si="1"/>
        <v>1158.0319999999999</v>
      </c>
      <c r="F30" s="12">
        <f t="shared" si="2"/>
        <v>698.72253978953097</v>
      </c>
    </row>
    <row r="31" spans="2:6" x14ac:dyDescent="0.25">
      <c r="B31">
        <v>22</v>
      </c>
      <c r="C31" s="12">
        <f t="shared" si="0"/>
        <v>1158.0319999999999</v>
      </c>
      <c r="D31" s="12"/>
      <c r="E31" s="12">
        <f t="shared" si="1"/>
        <v>1158.0319999999999</v>
      </c>
      <c r="F31" s="12">
        <f t="shared" si="2"/>
        <v>682.11308614197378</v>
      </c>
    </row>
    <row r="32" spans="2:6" x14ac:dyDescent="0.25">
      <c r="B32">
        <v>23</v>
      </c>
      <c r="C32" s="12">
        <f t="shared" si="0"/>
        <v>1158.0319999999999</v>
      </c>
      <c r="D32" s="12"/>
      <c r="E32" s="12">
        <f t="shared" si="1"/>
        <v>1158.0319999999999</v>
      </c>
      <c r="F32" s="12">
        <f t="shared" si="2"/>
        <v>665.89845867327926</v>
      </c>
    </row>
    <row r="33" spans="2:6" x14ac:dyDescent="0.25">
      <c r="B33">
        <v>24</v>
      </c>
      <c r="C33" s="12">
        <f t="shared" si="0"/>
        <v>1158.0319999999999</v>
      </c>
      <c r="D33" s="12"/>
      <c r="E33" s="12">
        <f t="shared" si="1"/>
        <v>1158.0319999999999</v>
      </c>
      <c r="F33" s="12">
        <f t="shared" si="2"/>
        <v>650.06927190245437</v>
      </c>
    </row>
    <row r="34" spans="2:6" x14ac:dyDescent="0.25">
      <c r="B34">
        <v>25</v>
      </c>
      <c r="C34" s="12">
        <f t="shared" si="0"/>
        <v>1158.0319999999999</v>
      </c>
      <c r="D34" s="12"/>
      <c r="E34" s="12">
        <f t="shared" si="1"/>
        <v>1158.0319999999999</v>
      </c>
      <c r="F34" s="12">
        <f t="shared" si="2"/>
        <v>634.61636345238867</v>
      </c>
    </row>
    <row r="35" spans="2:6" x14ac:dyDescent="0.25">
      <c r="B35">
        <v>26</v>
      </c>
      <c r="C35" s="12">
        <f t="shared" si="0"/>
        <v>1158.0319999999999</v>
      </c>
      <c r="D35" s="12"/>
      <c r="E35" s="12">
        <f t="shared" si="1"/>
        <v>1158.0319999999999</v>
      </c>
      <c r="F35" s="12">
        <f t="shared" si="2"/>
        <v>619.53078874641346</v>
      </c>
    </row>
    <row r="36" spans="2:6" x14ac:dyDescent="0.25">
      <c r="B36">
        <v>27</v>
      </c>
      <c r="C36" s="12">
        <f t="shared" si="0"/>
        <v>1158.0319999999999</v>
      </c>
      <c r="D36" s="12"/>
      <c r="E36" s="12">
        <f t="shared" si="1"/>
        <v>1158.0319999999999</v>
      </c>
      <c r="F36" s="12">
        <f t="shared" si="2"/>
        <v>604.80381583093038</v>
      </c>
    </row>
    <row r="37" spans="2:6" x14ac:dyDescent="0.25">
      <c r="B37">
        <v>28</v>
      </c>
      <c r="C37" s="12">
        <f t="shared" si="0"/>
        <v>1158.0319999999999</v>
      </c>
      <c r="D37" s="12"/>
      <c r="E37" s="12">
        <f t="shared" si="1"/>
        <v>1158.0319999999999</v>
      </c>
      <c r="F37" s="12">
        <f t="shared" si="2"/>
        <v>590.42692032111108</v>
      </c>
    </row>
    <row r="38" spans="2:6" x14ac:dyDescent="0.25">
      <c r="B38">
        <v>29</v>
      </c>
      <c r="C38" s="12">
        <f t="shared" si="0"/>
        <v>1158.0319999999999</v>
      </c>
      <c r="D38" s="12"/>
      <c r="E38" s="12">
        <f t="shared" si="1"/>
        <v>1158.0319999999999</v>
      </c>
      <c r="F38" s="12">
        <f t="shared" si="2"/>
        <v>576.3917804667459</v>
      </c>
    </row>
    <row r="39" spans="2:6" x14ac:dyDescent="0.25">
      <c r="B39">
        <v>30</v>
      </c>
      <c r="C39" s="12">
        <f t="shared" si="0"/>
        <v>1158.0319999999999</v>
      </c>
      <c r="D39" s="12"/>
      <c r="E39" s="12">
        <f t="shared" si="1"/>
        <v>1158.0319999999999</v>
      </c>
      <c r="F39" s="12">
        <f t="shared" si="2"/>
        <v>562.69027233537918</v>
      </c>
    </row>
    <row r="40" spans="2:6" x14ac:dyDescent="0.25">
      <c r="B40">
        <v>31</v>
      </c>
      <c r="C40" s="12">
        <f t="shared" si="0"/>
        <v>1158.0319999999999</v>
      </c>
      <c r="D40" s="12"/>
      <c r="E40" s="12">
        <f t="shared" si="1"/>
        <v>1158.0319999999999</v>
      </c>
      <c r="F40" s="12">
        <f t="shared" si="2"/>
        <v>549.31446510995181</v>
      </c>
    </row>
    <row r="41" spans="2:6" x14ac:dyDescent="0.25">
      <c r="B41">
        <v>32</v>
      </c>
      <c r="C41" s="12">
        <f t="shared" si="0"/>
        <v>1158.0319999999999</v>
      </c>
      <c r="D41" s="12"/>
      <c r="E41" s="12">
        <f t="shared" si="1"/>
        <v>1158.0319999999999</v>
      </c>
      <c r="F41" s="12">
        <f t="shared" si="2"/>
        <v>536.25661649822007</v>
      </c>
    </row>
    <row r="42" spans="2:6" x14ac:dyDescent="0.25">
      <c r="B42">
        <v>33</v>
      </c>
      <c r="C42" s="12">
        <f t="shared" ref="C42:C69" si="3">Face_Value*Coupon_rate*_1_Period_Equals</f>
        <v>1158.0319999999999</v>
      </c>
      <c r="D42" s="12"/>
      <c r="E42" s="12">
        <f t="shared" si="1"/>
        <v>1158.0319999999999</v>
      </c>
      <c r="F42" s="12">
        <f t="shared" ref="F42:F69" si="4">E42/((1+Interest_rate*_1_Period_Equals)^B42)</f>
        <v>523.50916825130082</v>
      </c>
    </row>
    <row r="43" spans="2:6" x14ac:dyDescent="0.25">
      <c r="B43">
        <v>34</v>
      </c>
      <c r="C43" s="12">
        <f t="shared" si="3"/>
        <v>1158.0319999999999</v>
      </c>
      <c r="D43" s="12"/>
      <c r="E43" s="12">
        <f t="shared" si="1"/>
        <v>1158.0319999999999</v>
      </c>
      <c r="F43" s="12">
        <f t="shared" si="4"/>
        <v>511.06474178874481</v>
      </c>
    </row>
    <row r="44" spans="2:6" x14ac:dyDescent="0.25">
      <c r="B44">
        <v>35</v>
      </c>
      <c r="C44" s="12">
        <f t="shared" si="3"/>
        <v>1158.0319999999999</v>
      </c>
      <c r="D44" s="12"/>
      <c r="E44" s="12">
        <f t="shared" si="1"/>
        <v>1158.0319999999999</v>
      </c>
      <c r="F44" s="12">
        <f t="shared" si="4"/>
        <v>498.91613392760752</v>
      </c>
    </row>
    <row r="45" spans="2:6" x14ac:dyDescent="0.25">
      <c r="B45">
        <v>36</v>
      </c>
      <c r="C45" s="12">
        <f t="shared" si="3"/>
        <v>1158.0319999999999</v>
      </c>
      <c r="D45" s="12"/>
      <c r="E45" s="12">
        <f t="shared" si="1"/>
        <v>1158.0319999999999</v>
      </c>
      <c r="F45" s="12">
        <f t="shared" si="4"/>
        <v>487.0563127130448</v>
      </c>
    </row>
    <row r="46" spans="2:6" x14ac:dyDescent="0.25">
      <c r="B46">
        <v>37</v>
      </c>
      <c r="C46" s="12">
        <f t="shared" si="3"/>
        <v>1158.0319999999999</v>
      </c>
      <c r="D46" s="12"/>
      <c r="E46" s="12">
        <f t="shared" si="1"/>
        <v>1158.0319999999999</v>
      </c>
      <c r="F46" s="12">
        <f t="shared" si="4"/>
        <v>475.47841334802047</v>
      </c>
    </row>
    <row r="47" spans="2:6" x14ac:dyDescent="0.25">
      <c r="B47">
        <v>38</v>
      </c>
      <c r="C47" s="12">
        <f t="shared" si="3"/>
        <v>1158.0319999999999</v>
      </c>
      <c r="D47" s="12"/>
      <c r="E47" s="12">
        <f t="shared" si="1"/>
        <v>1158.0319999999999</v>
      </c>
      <c r="F47" s="12">
        <f t="shared" si="4"/>
        <v>464.17573421976908</v>
      </c>
    </row>
    <row r="48" spans="2:6" x14ac:dyDescent="0.25">
      <c r="B48">
        <v>39</v>
      </c>
      <c r="C48" s="12">
        <f t="shared" si="3"/>
        <v>1158.0319999999999</v>
      </c>
      <c r="D48" s="12"/>
      <c r="E48" s="12">
        <f t="shared" si="1"/>
        <v>1158.0319999999999</v>
      </c>
      <c r="F48" s="12">
        <f t="shared" si="4"/>
        <v>453.14173302071458</v>
      </c>
    </row>
    <row r="49" spans="2:6" x14ac:dyDescent="0.25">
      <c r="B49">
        <v>40</v>
      </c>
      <c r="C49" s="12">
        <f t="shared" si="3"/>
        <v>1158.0319999999999</v>
      </c>
      <c r="D49" s="12"/>
      <c r="E49" s="12">
        <f t="shared" si="1"/>
        <v>1158.0319999999999</v>
      </c>
      <c r="F49" s="12">
        <f t="shared" si="4"/>
        <v>442.3700229615996</v>
      </c>
    </row>
    <row r="50" spans="2:6" x14ac:dyDescent="0.25">
      <c r="B50">
        <v>41</v>
      </c>
      <c r="C50" s="12">
        <f t="shared" si="3"/>
        <v>1158.0319999999999</v>
      </c>
      <c r="D50" s="12"/>
      <c r="E50" s="12">
        <f t="shared" si="1"/>
        <v>1158.0319999999999</v>
      </c>
      <c r="F50" s="12">
        <f t="shared" si="4"/>
        <v>431.85436907463225</v>
      </c>
    </row>
    <row r="51" spans="2:6" x14ac:dyDescent="0.25">
      <c r="B51">
        <v>42</v>
      </c>
      <c r="C51" s="12">
        <f t="shared" si="3"/>
        <v>1158.0319999999999</v>
      </c>
      <c r="D51" s="12"/>
      <c r="E51" s="12">
        <f t="shared" si="1"/>
        <v>1158.0319999999999</v>
      </c>
      <c r="F51" s="12">
        <f t="shared" si="4"/>
        <v>421.58868460451225</v>
      </c>
    </row>
    <row r="52" spans="2:6" x14ac:dyDescent="0.25">
      <c r="B52">
        <v>43</v>
      </c>
      <c r="C52" s="12">
        <f t="shared" si="3"/>
        <v>1158.0319999999999</v>
      </c>
      <c r="D52" s="12"/>
      <c r="E52" s="12">
        <f t="shared" si="1"/>
        <v>1158.0319999999999</v>
      </c>
      <c r="F52" s="12">
        <f t="shared" si="4"/>
        <v>411.56702748524651</v>
      </c>
    </row>
    <row r="53" spans="2:6" x14ac:dyDescent="0.25">
      <c r="B53">
        <v>44</v>
      </c>
      <c r="C53" s="12">
        <f t="shared" si="3"/>
        <v>1158.0319999999999</v>
      </c>
      <c r="D53" s="12"/>
      <c r="E53" s="12">
        <f t="shared" si="1"/>
        <v>1158.0319999999999</v>
      </c>
      <c r="F53" s="12">
        <f t="shared" si="4"/>
        <v>401.78359690071409</v>
      </c>
    </row>
    <row r="54" spans="2:6" x14ac:dyDescent="0.25">
      <c r="B54">
        <v>45</v>
      </c>
      <c r="C54" s="12">
        <f t="shared" si="3"/>
        <v>1158.0319999999999</v>
      </c>
      <c r="D54" s="12"/>
      <c r="E54" s="12">
        <f t="shared" si="1"/>
        <v>1158.0319999999999</v>
      </c>
      <c r="F54" s="12">
        <f t="shared" si="4"/>
        <v>392.23272992699174</v>
      </c>
    </row>
    <row r="55" spans="2:6" x14ac:dyDescent="0.25">
      <c r="B55">
        <v>46</v>
      </c>
      <c r="C55" s="12">
        <f t="shared" si="3"/>
        <v>1158.0319999999999</v>
      </c>
      <c r="D55" s="12"/>
      <c r="E55" s="12">
        <f t="shared" si="1"/>
        <v>1158.0319999999999</v>
      </c>
      <c r="F55" s="12">
        <f t="shared" si="4"/>
        <v>382.90889825449477</v>
      </c>
    </row>
    <row r="56" spans="2:6" x14ac:dyDescent="0.25">
      <c r="B56">
        <v>47</v>
      </c>
      <c r="C56" s="12">
        <f t="shared" si="3"/>
        <v>1158.0319999999999</v>
      </c>
      <c r="D56" s="12"/>
      <c r="E56" s="12">
        <f t="shared" si="1"/>
        <v>1158.0319999999999</v>
      </c>
      <c r="F56" s="12">
        <f t="shared" si="4"/>
        <v>373.80670498803602</v>
      </c>
    </row>
    <row r="57" spans="2:6" x14ac:dyDescent="0.25">
      <c r="B57">
        <v>48</v>
      </c>
      <c r="C57" s="12">
        <f t="shared" si="3"/>
        <v>1158.0319999999999</v>
      </c>
      <c r="D57" s="12"/>
      <c r="E57" s="12">
        <f t="shared" si="1"/>
        <v>1158.0319999999999</v>
      </c>
      <c r="F57" s="12">
        <f t="shared" si="4"/>
        <v>364.92088152295213</v>
      </c>
    </row>
    <row r="58" spans="2:6" x14ac:dyDescent="0.25">
      <c r="B58">
        <v>49</v>
      </c>
      <c r="C58" s="12">
        <f t="shared" si="3"/>
        <v>1158.0319999999999</v>
      </c>
      <c r="D58" s="12"/>
      <c r="E58" s="12">
        <f t="shared" si="1"/>
        <v>1158.0319999999999</v>
      </c>
      <c r="F58" s="12">
        <f t="shared" si="4"/>
        <v>356.24628449548698</v>
      </c>
    </row>
    <row r="59" spans="2:6" x14ac:dyDescent="0.25">
      <c r="B59">
        <v>50</v>
      </c>
      <c r="C59" s="12">
        <f t="shared" si="3"/>
        <v>1158.0319999999999</v>
      </c>
      <c r="D59" s="12"/>
      <c r="E59" s="12">
        <f t="shared" si="1"/>
        <v>1158.0319999999999</v>
      </c>
      <c r="F59" s="12">
        <f t="shared" si="4"/>
        <v>347.77789280566884</v>
      </c>
    </row>
    <row r="60" spans="2:6" x14ac:dyDescent="0.25">
      <c r="B60">
        <v>51</v>
      </c>
      <c r="C60" s="12">
        <f t="shared" si="3"/>
        <v>1158.0319999999999</v>
      </c>
      <c r="D60" s="12"/>
      <c r="E60" s="12">
        <f t="shared" si="1"/>
        <v>1158.0319999999999</v>
      </c>
      <c r="F60" s="12">
        <f t="shared" si="4"/>
        <v>339.51080471095702</v>
      </c>
    </row>
    <row r="61" spans="2:6" x14ac:dyDescent="0.25">
      <c r="B61">
        <v>52</v>
      </c>
      <c r="C61" s="12">
        <f t="shared" si="3"/>
        <v>1158.0319999999999</v>
      </c>
      <c r="D61" s="12"/>
      <c r="E61" s="12">
        <f t="shared" si="1"/>
        <v>1158.0319999999999</v>
      </c>
      <c r="F61" s="12">
        <f t="shared" si="4"/>
        <v>331.44023498897542</v>
      </c>
    </row>
    <row r="62" spans="2:6" x14ac:dyDescent="0.25">
      <c r="B62">
        <v>53</v>
      </c>
      <c r="C62" s="12">
        <f t="shared" si="3"/>
        <v>1158.0319999999999</v>
      </c>
      <c r="D62" s="12"/>
      <c r="E62" s="12">
        <f t="shared" si="1"/>
        <v>1158.0319999999999</v>
      </c>
      <c r="F62" s="12">
        <f t="shared" si="4"/>
        <v>323.56151216769211</v>
      </c>
    </row>
    <row r="63" spans="2:6" x14ac:dyDescent="0.25">
      <c r="B63">
        <v>54</v>
      </c>
      <c r="C63" s="12">
        <f t="shared" si="3"/>
        <v>1158.0319999999999</v>
      </c>
      <c r="D63" s="12"/>
      <c r="E63" s="12">
        <f t="shared" si="1"/>
        <v>1158.0319999999999</v>
      </c>
      <c r="F63" s="12">
        <f t="shared" si="4"/>
        <v>315.87007582143997</v>
      </c>
    </row>
    <row r="64" spans="2:6" x14ac:dyDescent="0.25">
      <c r="B64">
        <v>55</v>
      </c>
      <c r="C64" s="12">
        <f t="shared" si="3"/>
        <v>1158.0319999999999</v>
      </c>
      <c r="D64" s="12"/>
      <c r="E64" s="12">
        <f t="shared" si="1"/>
        <v>1158.0319999999999</v>
      </c>
      <c r="F64" s="12">
        <f t="shared" si="4"/>
        <v>308.36147393121485</v>
      </c>
    </row>
    <row r="65" spans="2:7" x14ac:dyDescent="0.25">
      <c r="B65">
        <v>56</v>
      </c>
      <c r="C65" s="12">
        <f t="shared" si="3"/>
        <v>1158.0319999999999</v>
      </c>
      <c r="D65" s="12"/>
      <c r="E65" s="12">
        <f t="shared" si="1"/>
        <v>1158.0319999999999</v>
      </c>
      <c r="F65" s="12">
        <f t="shared" si="4"/>
        <v>301.0313603077218</v>
      </c>
    </row>
    <row r="66" spans="2:7" x14ac:dyDescent="0.25">
      <c r="B66">
        <v>57</v>
      </c>
      <c r="C66" s="12">
        <f t="shared" si="3"/>
        <v>1158.0319999999999</v>
      </c>
      <c r="D66" s="12"/>
      <c r="E66" s="12">
        <f t="shared" si="1"/>
        <v>1158.0319999999999</v>
      </c>
      <c r="F66" s="12">
        <f t="shared" si="4"/>
        <v>293.87549207567895</v>
      </c>
    </row>
    <row r="67" spans="2:7" x14ac:dyDescent="0.25">
      <c r="B67">
        <v>58</v>
      </c>
      <c r="C67" s="12">
        <f t="shared" si="3"/>
        <v>1158.0319999999999</v>
      </c>
      <c r="D67" s="12"/>
      <c r="E67" s="12">
        <f t="shared" si="1"/>
        <v>1158.0319999999999</v>
      </c>
      <c r="F67" s="12">
        <f t="shared" si="4"/>
        <v>286.88972721792254</v>
      </c>
    </row>
    <row r="68" spans="2:7" x14ac:dyDescent="0.25">
      <c r="B68">
        <v>59</v>
      </c>
      <c r="C68" s="12">
        <f t="shared" si="3"/>
        <v>1158.0319999999999</v>
      </c>
      <c r="D68" s="12"/>
      <c r="E68" s="12">
        <f t="shared" si="1"/>
        <v>1158.0319999999999</v>
      </c>
      <c r="F68" s="12">
        <f t="shared" si="4"/>
        <v>280.07002217789091</v>
      </c>
    </row>
    <row r="69" spans="2:7" x14ac:dyDescent="0.25">
      <c r="B69">
        <v>60</v>
      </c>
      <c r="C69" s="12">
        <f t="shared" si="3"/>
        <v>1158.0319999999999</v>
      </c>
      <c r="D69" s="12">
        <f>Face_Value</f>
        <v>57901.599999999999</v>
      </c>
      <c r="E69" s="12">
        <f t="shared" si="1"/>
        <v>59059.631999999998</v>
      </c>
      <c r="F69" s="12">
        <f t="shared" si="4"/>
        <v>13944.033905474138</v>
      </c>
    </row>
    <row r="70" spans="2:7" ht="16.5" thickBot="1" x14ac:dyDescent="0.3">
      <c r="B70" t="s">
        <v>21</v>
      </c>
      <c r="C70" s="12"/>
      <c r="D70" s="12"/>
      <c r="E70" s="18">
        <f>SUM(E10:E69)</f>
        <v>127383.51999999997</v>
      </c>
      <c r="F70" s="19">
        <f>SUM(F10:F69)</f>
        <v>49999.967286258732</v>
      </c>
      <c r="G70" s="8"/>
    </row>
    <row r="71" spans="2:7" ht="16.5" thickTop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8"/>
  <sheetViews>
    <sheetView workbookViewId="0">
      <selection activeCell="A50" sqref="A50"/>
    </sheetView>
  </sheetViews>
  <sheetFormatPr defaultColWidth="8.75" defaultRowHeight="15.75" x14ac:dyDescent="0.25"/>
  <cols>
    <col min="1" max="1" width="27.75" bestFit="1" customWidth="1"/>
    <col min="2" max="2" width="11.25" bestFit="1" customWidth="1"/>
    <col min="3" max="3" width="11" bestFit="1" customWidth="1"/>
    <col min="4" max="4" width="11.125" bestFit="1" customWidth="1"/>
    <col min="5" max="5" width="14.25" bestFit="1" customWidth="1"/>
    <col min="6" max="7" width="13.875" bestFit="1" customWidth="1"/>
    <col min="9" max="9" width="14.75" customWidth="1"/>
    <col min="10" max="10" width="11.25" customWidth="1"/>
  </cols>
  <sheetData>
    <row r="1" spans="1:10" x14ac:dyDescent="0.25">
      <c r="A1" s="11" t="s">
        <v>22</v>
      </c>
      <c r="B1" s="3">
        <v>57901.637883584022</v>
      </c>
    </row>
    <row r="2" spans="1:10" x14ac:dyDescent="0.25">
      <c r="A2" s="11" t="s">
        <v>5</v>
      </c>
      <c r="B2">
        <f>Term</f>
        <v>30</v>
      </c>
      <c r="C2" t="s">
        <v>6</v>
      </c>
    </row>
    <row r="3" spans="1:10" x14ac:dyDescent="0.25">
      <c r="A3" s="11" t="s">
        <v>23</v>
      </c>
      <c r="B3" s="1">
        <f>Coupon_rate</f>
        <v>0.04</v>
      </c>
      <c r="C3" t="s">
        <v>24</v>
      </c>
      <c r="E3" t="s">
        <v>25</v>
      </c>
      <c r="F3" s="4">
        <f>SUM(F9:F68)</f>
        <v>50000</v>
      </c>
    </row>
    <row r="4" spans="1:10" x14ac:dyDescent="0.25">
      <c r="A4" s="11" t="s">
        <v>26</v>
      </c>
      <c r="B4" s="7">
        <v>2</v>
      </c>
      <c r="F4" s="4"/>
    </row>
    <row r="5" spans="1:10" x14ac:dyDescent="0.25">
      <c r="A5" s="11" t="s">
        <v>27</v>
      </c>
      <c r="B5" s="1">
        <f>Interest_rate</f>
        <v>4.87E-2</v>
      </c>
      <c r="C5" t="s">
        <v>28</v>
      </c>
    </row>
    <row r="6" spans="1:10" x14ac:dyDescent="0.25">
      <c r="B6" s="1"/>
    </row>
    <row r="7" spans="1:10" ht="16.5" thickBot="1" x14ac:dyDescent="0.3">
      <c r="B7" s="10" t="s">
        <v>13</v>
      </c>
      <c r="C7" s="10" t="s">
        <v>14</v>
      </c>
      <c r="D7" s="10" t="s">
        <v>15</v>
      </c>
      <c r="E7" s="10" t="s">
        <v>16</v>
      </c>
      <c r="F7" s="10" t="s">
        <v>17</v>
      </c>
      <c r="G7" s="14" t="s">
        <v>18</v>
      </c>
      <c r="H7" s="14" t="s">
        <v>19</v>
      </c>
      <c r="I7" s="14" t="s">
        <v>20</v>
      </c>
    </row>
    <row r="8" spans="1:10" x14ac:dyDescent="0.25">
      <c r="B8" s="2">
        <v>0</v>
      </c>
      <c r="I8" s="4">
        <f>F3</f>
        <v>50000</v>
      </c>
    </row>
    <row r="9" spans="1:10" x14ac:dyDescent="0.25">
      <c r="B9" s="2">
        <v>0.5</v>
      </c>
      <c r="C9" s="3">
        <f>$B$1*$B$3/2</f>
        <v>1158.0327576716804</v>
      </c>
      <c r="E9" s="3">
        <f>C9+D9</f>
        <v>1158.0327576716804</v>
      </c>
      <c r="F9" s="4">
        <f>E9/(1+$B$5/$B$4)^($B$4*B9)</f>
        <v>1130.5049618506177</v>
      </c>
      <c r="G9">
        <f t="shared" ref="G9:G40" si="0">I8*(Interest_rate/$B$4)</f>
        <v>1217.5</v>
      </c>
      <c r="H9" s="4">
        <f>G9-C9</f>
        <v>59.467242328319571</v>
      </c>
      <c r="I9" s="4">
        <f>I8+H9</f>
        <v>50059.467242328319</v>
      </c>
    </row>
    <row r="10" spans="1:10" x14ac:dyDescent="0.25">
      <c r="B10" s="2">
        <v>1</v>
      </c>
      <c r="C10" s="3">
        <f t="shared" ref="C10:C68" si="1">$B$1*$B$3/2</f>
        <v>1158.0327576716804</v>
      </c>
      <c r="E10" s="3">
        <f t="shared" ref="E10:E68" si="2">C10+D10</f>
        <v>1158.0327576716804</v>
      </c>
      <c r="F10" s="4">
        <f t="shared" ref="F10:F68" si="3">E10/(1+$B$5/$B$4)^($B$4*B10)</f>
        <v>1103.6315339977718</v>
      </c>
      <c r="G10">
        <f t="shared" si="0"/>
        <v>1218.9480273506945</v>
      </c>
      <c r="H10" s="4">
        <f t="shared" ref="H10:H68" si="4">G10-C10</f>
        <v>60.915269679014045</v>
      </c>
      <c r="I10" s="4">
        <f t="shared" ref="I10:I68" si="5">I9+H10</f>
        <v>50120.382512007331</v>
      </c>
    </row>
    <row r="11" spans="1:10" x14ac:dyDescent="0.25">
      <c r="B11" s="2">
        <v>1.5</v>
      </c>
      <c r="C11" s="3">
        <f t="shared" si="1"/>
        <v>1158.0327576716804</v>
      </c>
      <c r="E11" s="3">
        <f t="shared" si="2"/>
        <v>1158.0327576716804</v>
      </c>
      <c r="F11" s="4">
        <f t="shared" si="3"/>
        <v>1077.3969190196435</v>
      </c>
      <c r="G11">
        <f t="shared" si="0"/>
        <v>1220.4313141673786</v>
      </c>
      <c r="H11" s="4">
        <f t="shared" si="4"/>
        <v>62.398556495698131</v>
      </c>
      <c r="I11" s="4">
        <f t="shared" si="5"/>
        <v>50182.781068503027</v>
      </c>
    </row>
    <row r="12" spans="1:10" x14ac:dyDescent="0.25">
      <c r="B12" s="2">
        <v>2</v>
      </c>
      <c r="C12" s="3">
        <f t="shared" si="1"/>
        <v>1158.0327576716804</v>
      </c>
      <c r="E12" s="3">
        <f t="shared" si="2"/>
        <v>1158.0327576716804</v>
      </c>
      <c r="F12" s="4">
        <f t="shared" si="3"/>
        <v>1051.7859315855355</v>
      </c>
      <c r="G12">
        <f t="shared" si="0"/>
        <v>1221.9507190180486</v>
      </c>
      <c r="H12" s="4">
        <f t="shared" si="4"/>
        <v>63.917961346368202</v>
      </c>
      <c r="I12" s="4">
        <f t="shared" si="5"/>
        <v>50246.699029849398</v>
      </c>
    </row>
    <row r="13" spans="1:10" x14ac:dyDescent="0.25">
      <c r="B13" s="2">
        <v>2.5</v>
      </c>
      <c r="C13" s="3">
        <f t="shared" si="1"/>
        <v>1158.0327576716804</v>
      </c>
      <c r="E13" s="3">
        <f t="shared" si="2"/>
        <v>1158.0327576716804</v>
      </c>
      <c r="F13" s="4">
        <f t="shared" si="3"/>
        <v>1026.7837473378586</v>
      </c>
      <c r="G13">
        <f t="shared" si="0"/>
        <v>1223.5071213768329</v>
      </c>
      <c r="H13" s="4">
        <f t="shared" si="4"/>
        <v>65.474363705152427</v>
      </c>
      <c r="I13" s="4">
        <f t="shared" si="5"/>
        <v>50312.173393554549</v>
      </c>
      <c r="J13" s="8"/>
    </row>
    <row r="14" spans="1:10" x14ac:dyDescent="0.25">
      <c r="B14" s="2">
        <v>3</v>
      </c>
      <c r="C14" s="3">
        <f t="shared" si="1"/>
        <v>1158.0327576716804</v>
      </c>
      <c r="E14" s="3">
        <f t="shared" si="2"/>
        <v>1158.0327576716804</v>
      </c>
      <c r="F14" s="4">
        <f t="shared" si="3"/>
        <v>1002.3758943113763</v>
      </c>
      <c r="G14">
        <f t="shared" si="0"/>
        <v>1225.1014221330533</v>
      </c>
      <c r="H14" s="4">
        <f t="shared" si="4"/>
        <v>67.068664461372919</v>
      </c>
      <c r="I14" s="4">
        <f t="shared" si="5"/>
        <v>50379.242058015923</v>
      </c>
    </row>
    <row r="15" spans="1:10" x14ac:dyDescent="0.25">
      <c r="B15" s="2">
        <v>3.5</v>
      </c>
      <c r="C15" s="3">
        <f t="shared" si="1"/>
        <v>1158.0327576716804</v>
      </c>
      <c r="E15" s="3">
        <f t="shared" si="2"/>
        <v>1158.0327576716804</v>
      </c>
      <c r="F15" s="4">
        <f t="shared" si="3"/>
        <v>978.54824455642722</v>
      </c>
      <c r="G15">
        <f t="shared" si="0"/>
        <v>1226.7345441126877</v>
      </c>
      <c r="H15" s="4">
        <f t="shared" si="4"/>
        <v>68.701786441007243</v>
      </c>
      <c r="I15" s="4">
        <f t="shared" si="5"/>
        <v>50447.943844456931</v>
      </c>
    </row>
    <row r="16" spans="1:10" x14ac:dyDescent="0.25">
      <c r="B16" s="2">
        <v>4</v>
      </c>
      <c r="C16" s="3">
        <f t="shared" si="1"/>
        <v>1158.0327576716804</v>
      </c>
      <c r="E16" s="3">
        <f t="shared" si="2"/>
        <v>1158.0327576716804</v>
      </c>
      <c r="F16" s="4">
        <f t="shared" si="3"/>
        <v>955.28700596127021</v>
      </c>
      <c r="G16">
        <f t="shared" si="0"/>
        <v>1228.4074326125262</v>
      </c>
      <c r="H16" s="4">
        <f t="shared" si="4"/>
        <v>70.374674940845807</v>
      </c>
      <c r="I16" s="4">
        <f t="shared" si="5"/>
        <v>50518.318519397777</v>
      </c>
    </row>
    <row r="17" spans="2:9" x14ac:dyDescent="0.25">
      <c r="B17" s="2">
        <v>4.5</v>
      </c>
      <c r="C17" s="3">
        <f t="shared" si="1"/>
        <v>1158.0327576716804</v>
      </c>
      <c r="E17" s="3">
        <f t="shared" si="2"/>
        <v>1158.0327576716804</v>
      </c>
      <c r="F17" s="4">
        <f t="shared" si="3"/>
        <v>932.57871426882411</v>
      </c>
      <c r="G17">
        <f t="shared" si="0"/>
        <v>1230.1210559473359</v>
      </c>
      <c r="H17" s="4">
        <f t="shared" si="4"/>
        <v>72.088298275655461</v>
      </c>
      <c r="I17" s="4">
        <f t="shared" si="5"/>
        <v>50590.406817673429</v>
      </c>
    </row>
    <row r="18" spans="2:9" x14ac:dyDescent="0.25">
      <c r="B18" s="2">
        <v>5</v>
      </c>
      <c r="C18" s="3">
        <f t="shared" si="1"/>
        <v>1158.0327576716804</v>
      </c>
      <c r="E18" s="3">
        <f t="shared" si="2"/>
        <v>1158.0327576716804</v>
      </c>
      <c r="F18" s="4">
        <f t="shared" si="3"/>
        <v>910.41022528317865</v>
      </c>
      <c r="G18">
        <f t="shared" si="0"/>
        <v>1231.8764060103481</v>
      </c>
      <c r="H18" s="4">
        <f t="shared" si="4"/>
        <v>73.843648338667663</v>
      </c>
      <c r="I18" s="4">
        <f t="shared" si="5"/>
        <v>50664.250466012098</v>
      </c>
    </row>
    <row r="19" spans="2:9" x14ac:dyDescent="0.25">
      <c r="B19" s="2">
        <v>5.5</v>
      </c>
      <c r="C19" s="3">
        <f t="shared" si="1"/>
        <v>1158.0327576716804</v>
      </c>
      <c r="E19" s="3">
        <f t="shared" si="2"/>
        <v>1158.0327576716804</v>
      </c>
      <c r="F19" s="4">
        <f t="shared" si="3"/>
        <v>888.7687072613644</v>
      </c>
      <c r="G19">
        <f t="shared" si="0"/>
        <v>1233.6744988473945</v>
      </c>
      <c r="H19" s="4">
        <f t="shared" si="4"/>
        <v>75.64174117571406</v>
      </c>
      <c r="I19" s="4">
        <f t="shared" si="5"/>
        <v>50739.892207187811</v>
      </c>
    </row>
    <row r="20" spans="2:9" x14ac:dyDescent="0.25">
      <c r="B20" s="2">
        <v>6</v>
      </c>
      <c r="C20" s="3">
        <f t="shared" si="1"/>
        <v>1158.0327576716804</v>
      </c>
      <c r="E20" s="3">
        <f t="shared" si="2"/>
        <v>1158.0327576716804</v>
      </c>
      <c r="F20" s="4">
        <f t="shared" si="3"/>
        <v>867.64163348598061</v>
      </c>
      <c r="G20">
        <f t="shared" si="0"/>
        <v>1235.5163752450233</v>
      </c>
      <c r="H20" s="4">
        <f t="shared" si="4"/>
        <v>77.483617573342826</v>
      </c>
      <c r="I20" s="4">
        <f t="shared" si="5"/>
        <v>50817.375824761155</v>
      </c>
    </row>
    <row r="21" spans="2:9" x14ac:dyDescent="0.25">
      <c r="B21" s="2">
        <v>6.5</v>
      </c>
      <c r="C21" s="3">
        <f t="shared" si="1"/>
        <v>1158.0327576716804</v>
      </c>
      <c r="E21" s="3">
        <f t="shared" si="2"/>
        <v>1158.0327576716804</v>
      </c>
      <c r="F21" s="4">
        <f t="shared" si="3"/>
        <v>847.01677501438041</v>
      </c>
      <c r="G21">
        <f t="shared" si="0"/>
        <v>1237.4031013329341</v>
      </c>
      <c r="H21" s="4">
        <f t="shared" si="4"/>
        <v>79.370343661253628</v>
      </c>
      <c r="I21" s="4">
        <f t="shared" si="5"/>
        <v>50896.746168422411</v>
      </c>
    </row>
    <row r="22" spans="2:9" x14ac:dyDescent="0.25">
      <c r="B22" s="2">
        <v>7</v>
      </c>
      <c r="C22" s="3">
        <f t="shared" si="1"/>
        <v>1158.0327576716804</v>
      </c>
      <c r="E22" s="3">
        <f t="shared" si="2"/>
        <v>1158.0327576716804</v>
      </c>
      <c r="F22" s="4">
        <f t="shared" si="3"/>
        <v>826.88219360021503</v>
      </c>
      <c r="G22">
        <f t="shared" si="0"/>
        <v>1239.3357692010857</v>
      </c>
      <c r="H22" s="4">
        <f t="shared" si="4"/>
        <v>81.303011529405239</v>
      </c>
      <c r="I22" s="4">
        <f t="shared" si="5"/>
        <v>50978.049179951813</v>
      </c>
    </row>
    <row r="23" spans="2:9" x14ac:dyDescent="0.25">
      <c r="B23" s="2">
        <v>7.5</v>
      </c>
      <c r="C23" s="3">
        <f t="shared" si="1"/>
        <v>1158.0327576716804</v>
      </c>
      <c r="E23" s="3">
        <f t="shared" si="2"/>
        <v>1158.0327576716804</v>
      </c>
      <c r="F23" s="4">
        <f t="shared" si="3"/>
        <v>807.22623478324294</v>
      </c>
      <c r="G23">
        <f t="shared" si="0"/>
        <v>1241.3154975318266</v>
      </c>
      <c r="H23" s="4">
        <f t="shared" si="4"/>
        <v>83.282739860146194</v>
      </c>
      <c r="I23" s="4">
        <f t="shared" si="5"/>
        <v>51061.331919811957</v>
      </c>
    </row>
    <row r="24" spans="2:9" x14ac:dyDescent="0.25">
      <c r="B24" s="2">
        <v>8</v>
      </c>
      <c r="C24" s="3">
        <f t="shared" si="1"/>
        <v>1158.0327576716804</v>
      </c>
      <c r="E24" s="3">
        <f t="shared" si="2"/>
        <v>1158.0327576716804</v>
      </c>
      <c r="F24" s="4">
        <f t="shared" si="3"/>
        <v>788.03752114340102</v>
      </c>
      <c r="G24">
        <f t="shared" si="0"/>
        <v>1243.3434322474211</v>
      </c>
      <c r="H24" s="4">
        <f t="shared" si="4"/>
        <v>85.310674575740677</v>
      </c>
      <c r="I24" s="4">
        <f t="shared" si="5"/>
        <v>51146.642594387697</v>
      </c>
    </row>
    <row r="25" spans="2:9" x14ac:dyDescent="0.25">
      <c r="B25" s="2">
        <v>8.5</v>
      </c>
      <c r="C25" s="3">
        <f t="shared" si="1"/>
        <v>1158.0327576716804</v>
      </c>
      <c r="E25" s="3">
        <f t="shared" si="2"/>
        <v>1158.0327576716804</v>
      </c>
      <c r="F25" s="4">
        <f t="shared" si="3"/>
        <v>769.30494571523502</v>
      </c>
      <c r="G25">
        <f t="shared" si="0"/>
        <v>1245.4207471733405</v>
      </c>
      <c r="H25" s="4">
        <f t="shared" si="4"/>
        <v>87.387989501660059</v>
      </c>
      <c r="I25" s="4">
        <f t="shared" si="5"/>
        <v>51234.030583889355</v>
      </c>
    </row>
    <row r="26" spans="2:9" x14ac:dyDescent="0.25">
      <c r="B26" s="2">
        <v>9</v>
      </c>
      <c r="C26" s="3">
        <f t="shared" si="1"/>
        <v>1158.0327576716804</v>
      </c>
      <c r="E26" s="3">
        <f t="shared" si="2"/>
        <v>1158.0327576716804</v>
      </c>
      <c r="F26" s="4">
        <f t="shared" si="3"/>
        <v>751.01766555887616</v>
      </c>
      <c r="G26">
        <f t="shared" si="0"/>
        <v>1247.5486447177059</v>
      </c>
      <c r="H26" s="4">
        <f t="shared" si="4"/>
        <v>89.515887046025455</v>
      </c>
      <c r="I26" s="4">
        <f t="shared" si="5"/>
        <v>51323.546470935384</v>
      </c>
    </row>
    <row r="27" spans="2:9" x14ac:dyDescent="0.25">
      <c r="B27" s="2">
        <v>9.5</v>
      </c>
      <c r="C27" s="3">
        <f t="shared" si="1"/>
        <v>1158.0327576716804</v>
      </c>
      <c r="E27" s="3">
        <f t="shared" si="2"/>
        <v>1158.0327576716804</v>
      </c>
      <c r="F27" s="4">
        <f t="shared" si="3"/>
        <v>733.16509548384454</v>
      </c>
      <c r="G27">
        <f t="shared" si="0"/>
        <v>1249.7283565672767</v>
      </c>
      <c r="H27" s="4">
        <f t="shared" si="4"/>
        <v>91.695598895596277</v>
      </c>
      <c r="I27" s="4">
        <f t="shared" si="5"/>
        <v>51415.24206983098</v>
      </c>
    </row>
    <row r="28" spans="2:9" x14ac:dyDescent="0.25">
      <c r="B28" s="2">
        <v>10</v>
      </c>
      <c r="C28" s="3">
        <f t="shared" si="1"/>
        <v>1158.0327576716804</v>
      </c>
      <c r="E28" s="3">
        <f t="shared" si="2"/>
        <v>1158.0327576716804</v>
      </c>
      <c r="F28" s="4">
        <f t="shared" si="3"/>
        <v>715.73690192204265</v>
      </c>
      <c r="G28">
        <f t="shared" si="0"/>
        <v>1251.9611444003845</v>
      </c>
      <c r="H28" s="4">
        <f t="shared" si="4"/>
        <v>93.928386728704027</v>
      </c>
      <c r="I28" s="4">
        <f t="shared" si="5"/>
        <v>51509.170456559681</v>
      </c>
    </row>
    <row r="29" spans="2:9" x14ac:dyDescent="0.25">
      <c r="B29" s="2">
        <v>10.5</v>
      </c>
      <c r="C29" s="3">
        <f t="shared" si="1"/>
        <v>1158.0327576716804</v>
      </c>
      <c r="E29" s="3">
        <f t="shared" si="2"/>
        <v>1158.0327576716804</v>
      </c>
      <c r="F29" s="4">
        <f t="shared" si="3"/>
        <v>698.72299694639787</v>
      </c>
      <c r="G29">
        <f t="shared" si="0"/>
        <v>1254.2483006172283</v>
      </c>
      <c r="H29" s="4">
        <f t="shared" si="4"/>
        <v>96.215542945547895</v>
      </c>
      <c r="I29" s="4">
        <f t="shared" si="5"/>
        <v>51605.385999505226</v>
      </c>
    </row>
    <row r="30" spans="2:9" x14ac:dyDescent="0.25">
      <c r="B30" s="2">
        <v>11</v>
      </c>
      <c r="C30" s="3">
        <f t="shared" si="1"/>
        <v>1158.0327576716804</v>
      </c>
      <c r="E30" s="3">
        <f t="shared" si="2"/>
        <v>1158.0327576716804</v>
      </c>
      <c r="F30" s="4">
        <f t="shared" si="3"/>
        <v>682.11353243168617</v>
      </c>
      <c r="G30">
        <f t="shared" si="0"/>
        <v>1256.5911490879523</v>
      </c>
      <c r="H30" s="4">
        <f t="shared" si="4"/>
        <v>98.558391416271888</v>
      </c>
      <c r="I30" s="4">
        <f t="shared" si="5"/>
        <v>51703.944390921497</v>
      </c>
    </row>
    <row r="31" spans="2:9" x14ac:dyDescent="0.25">
      <c r="B31" s="2">
        <v>11.5</v>
      </c>
      <c r="C31" s="3">
        <f t="shared" si="1"/>
        <v>1158.0327576716804</v>
      </c>
      <c r="E31" s="3">
        <f t="shared" si="2"/>
        <v>1158.0327576716804</v>
      </c>
      <c r="F31" s="4">
        <f t="shared" si="3"/>
        <v>665.89889435416228</v>
      </c>
      <c r="G31">
        <f t="shared" si="0"/>
        <v>1258.9910459189384</v>
      </c>
      <c r="H31" s="4">
        <f t="shared" si="4"/>
        <v>100.958288247258</v>
      </c>
      <c r="I31" s="4">
        <f t="shared" si="5"/>
        <v>51804.902679168757</v>
      </c>
    </row>
    <row r="32" spans="2:9" x14ac:dyDescent="0.25">
      <c r="B32" s="2">
        <v>12</v>
      </c>
      <c r="C32" s="3">
        <f t="shared" si="1"/>
        <v>1158.0327576716804</v>
      </c>
      <c r="E32" s="3">
        <f t="shared" si="2"/>
        <v>1158.0327576716804</v>
      </c>
      <c r="F32" s="4">
        <f t="shared" si="3"/>
        <v>650.06969722669214</v>
      </c>
      <c r="G32">
        <f t="shared" si="0"/>
        <v>1261.4493802377592</v>
      </c>
      <c r="H32" s="4">
        <f t="shared" si="4"/>
        <v>103.41662256607879</v>
      </c>
      <c r="I32" s="4">
        <f t="shared" si="5"/>
        <v>51908.319301734839</v>
      </c>
    </row>
    <row r="33" spans="2:9" x14ac:dyDescent="0.25">
      <c r="B33" s="2">
        <v>12.5</v>
      </c>
      <c r="C33" s="3">
        <f t="shared" si="1"/>
        <v>1158.0327576716804</v>
      </c>
      <c r="E33" s="3">
        <f t="shared" si="2"/>
        <v>1158.0327576716804</v>
      </c>
      <c r="F33" s="4">
        <f t="shared" si="3"/>
        <v>634.61677866617083</v>
      </c>
      <c r="G33">
        <f t="shared" si="0"/>
        <v>1263.9675749972432</v>
      </c>
      <c r="H33" s="4">
        <f t="shared" si="4"/>
        <v>105.93481732556279</v>
      </c>
      <c r="I33" s="4">
        <f t="shared" si="5"/>
        <v>52014.254119060402</v>
      </c>
    </row>
    <row r="34" spans="2:9" x14ac:dyDescent="0.25">
      <c r="B34" s="2">
        <v>13</v>
      </c>
      <c r="C34" s="3">
        <f t="shared" si="1"/>
        <v>1158.0327576716804</v>
      </c>
      <c r="E34" s="3">
        <f t="shared" si="2"/>
        <v>1158.0327576716804</v>
      </c>
      <c r="F34" s="4">
        <f t="shared" si="3"/>
        <v>619.53119409007741</v>
      </c>
      <c r="G34">
        <f t="shared" si="0"/>
        <v>1266.5470877991208</v>
      </c>
      <c r="H34" s="4">
        <f t="shared" si="4"/>
        <v>108.51433012744042</v>
      </c>
      <c r="I34" s="4">
        <f t="shared" si="5"/>
        <v>52122.768449187846</v>
      </c>
    </row>
    <row r="35" spans="2:9" x14ac:dyDescent="0.25">
      <c r="B35" s="2">
        <v>13.5</v>
      </c>
      <c r="C35" s="3">
        <f t="shared" si="1"/>
        <v>1158.0327576716804</v>
      </c>
      <c r="E35" s="3">
        <f t="shared" si="2"/>
        <v>1158.0327576716804</v>
      </c>
      <c r="F35" s="4">
        <f t="shared" si="3"/>
        <v>604.80421153910027</v>
      </c>
      <c r="G35">
        <f t="shared" si="0"/>
        <v>1269.189411737724</v>
      </c>
      <c r="H35" s="4">
        <f t="shared" si="4"/>
        <v>111.15665406604353</v>
      </c>
      <c r="I35" s="4">
        <f t="shared" si="5"/>
        <v>52233.925103253889</v>
      </c>
    </row>
    <row r="36" spans="2:9" x14ac:dyDescent="0.25">
      <c r="B36" s="2">
        <v>14</v>
      </c>
      <c r="C36" s="3">
        <f t="shared" si="1"/>
        <v>1158.0327576716804</v>
      </c>
      <c r="E36" s="3">
        <f t="shared" si="2"/>
        <v>1158.0327576716804</v>
      </c>
      <c r="F36" s="4">
        <f t="shared" si="3"/>
        <v>590.42730662283418</v>
      </c>
      <c r="G36">
        <f t="shared" si="0"/>
        <v>1271.8960762642323</v>
      </c>
      <c r="H36" s="4">
        <f t="shared" si="4"/>
        <v>113.86331859255188</v>
      </c>
      <c r="I36" s="4">
        <f t="shared" si="5"/>
        <v>52347.788421846439</v>
      </c>
    </row>
    <row r="37" spans="2:9" x14ac:dyDescent="0.25">
      <c r="B37" s="2">
        <v>14.5</v>
      </c>
      <c r="C37" s="3">
        <f t="shared" si="1"/>
        <v>1158.0327576716804</v>
      </c>
      <c r="E37" s="3">
        <f t="shared" si="2"/>
        <v>1158.0327576716804</v>
      </c>
      <c r="F37" s="4">
        <f t="shared" si="3"/>
        <v>576.3921575856242</v>
      </c>
      <c r="G37">
        <f t="shared" si="0"/>
        <v>1274.6686480719609</v>
      </c>
      <c r="H37" s="4">
        <f t="shared" si="4"/>
        <v>116.63589040028046</v>
      </c>
      <c r="I37" s="4">
        <f t="shared" si="5"/>
        <v>52464.424312246716</v>
      </c>
    </row>
    <row r="38" spans="2:9" x14ac:dyDescent="0.25">
      <c r="B38" s="2">
        <v>15</v>
      </c>
      <c r="C38" s="3">
        <f t="shared" si="1"/>
        <v>1158.0327576716804</v>
      </c>
      <c r="E38" s="3">
        <f t="shared" si="2"/>
        <v>1158.0327576716804</v>
      </c>
      <c r="F38" s="4">
        <f t="shared" si="3"/>
        <v>562.69064048969983</v>
      </c>
      <c r="G38">
        <f t="shared" si="0"/>
        <v>1277.5087320032076</v>
      </c>
      <c r="H38" s="4">
        <f t="shared" si="4"/>
        <v>119.47597433152714</v>
      </c>
      <c r="I38" s="4">
        <f t="shared" si="5"/>
        <v>52583.900286578246</v>
      </c>
    </row>
    <row r="39" spans="2:9" x14ac:dyDescent="0.25">
      <c r="B39" s="2">
        <v>15.5</v>
      </c>
      <c r="C39" s="3">
        <f t="shared" si="1"/>
        <v>1158.0327576716804</v>
      </c>
      <c r="E39" s="3">
        <f t="shared" si="2"/>
        <v>1158.0327576716804</v>
      </c>
      <c r="F39" s="4">
        <f t="shared" si="3"/>
        <v>549.31482451281283</v>
      </c>
      <c r="G39">
        <f t="shared" si="0"/>
        <v>1280.4179719781803</v>
      </c>
      <c r="H39" s="4">
        <f t="shared" si="4"/>
        <v>122.38521430649985</v>
      </c>
      <c r="I39" s="4">
        <f t="shared" si="5"/>
        <v>52706.285500884747</v>
      </c>
    </row>
    <row r="40" spans="2:9" x14ac:dyDescent="0.25">
      <c r="B40" s="2">
        <v>16</v>
      </c>
      <c r="C40" s="3">
        <f t="shared" si="1"/>
        <v>1158.0327576716804</v>
      </c>
      <c r="E40" s="3">
        <f t="shared" si="2"/>
        <v>1158.0327576716804</v>
      </c>
      <c r="F40" s="4">
        <f t="shared" si="3"/>
        <v>536.25696735765382</v>
      </c>
      <c r="G40">
        <f t="shared" si="0"/>
        <v>1283.3980519465435</v>
      </c>
      <c r="H40" s="4">
        <f t="shared" si="4"/>
        <v>125.36529427486312</v>
      </c>
      <c r="I40" s="4">
        <f t="shared" si="5"/>
        <v>52831.650795159614</v>
      </c>
    </row>
    <row r="41" spans="2:9" x14ac:dyDescent="0.25">
      <c r="B41" s="2">
        <v>16.5</v>
      </c>
      <c r="C41" s="3">
        <f t="shared" si="1"/>
        <v>1158.0327576716804</v>
      </c>
      <c r="E41" s="3">
        <f t="shared" si="2"/>
        <v>1158.0327576716804</v>
      </c>
      <c r="F41" s="4">
        <f t="shared" si="3"/>
        <v>523.50951077039463</v>
      </c>
      <c r="G41">
        <f t="shared" ref="G41:G68" si="6">I40*(Interest_rate/$B$4)</f>
        <v>1286.4506968621365</v>
      </c>
      <c r="H41" s="4">
        <f t="shared" si="4"/>
        <v>128.41793919045608</v>
      </c>
      <c r="I41" s="4">
        <f t="shared" si="5"/>
        <v>52960.068734350069</v>
      </c>
    </row>
    <row r="42" spans="2:9" x14ac:dyDescent="0.25">
      <c r="B42" s="2">
        <v>17</v>
      </c>
      <c r="C42" s="3">
        <f t="shared" si="1"/>
        <v>1158.0327576716804</v>
      </c>
      <c r="E42" s="3">
        <f t="shared" si="2"/>
        <v>1158.0327576716804</v>
      </c>
      <c r="F42" s="4">
        <f t="shared" si="3"/>
        <v>511.0650761657584</v>
      </c>
      <c r="G42">
        <f t="shared" si="6"/>
        <v>1289.5776736814241</v>
      </c>
      <c r="H42" s="4">
        <f t="shared" si="4"/>
        <v>131.5449160097437</v>
      </c>
      <c r="I42" s="4">
        <f t="shared" si="5"/>
        <v>53091.61365035981</v>
      </c>
    </row>
    <row r="43" spans="2:9" x14ac:dyDescent="0.25">
      <c r="B43" s="2">
        <v>17.5</v>
      </c>
      <c r="C43" s="3">
        <f t="shared" si="1"/>
        <v>1158.0327576716804</v>
      </c>
      <c r="E43" s="3">
        <f t="shared" si="2"/>
        <v>1158.0327576716804</v>
      </c>
      <c r="F43" s="4">
        <f t="shared" si="3"/>
        <v>498.91646035608761</v>
      </c>
      <c r="G43">
        <f t="shared" si="6"/>
        <v>1292.7807923862613</v>
      </c>
      <c r="H43" s="4">
        <f t="shared" si="4"/>
        <v>134.74803471458085</v>
      </c>
      <c r="I43" s="4">
        <f t="shared" si="5"/>
        <v>53226.361685074393</v>
      </c>
    </row>
    <row r="44" spans="2:9" x14ac:dyDescent="0.25">
      <c r="B44" s="2">
        <v>18</v>
      </c>
      <c r="C44" s="3">
        <f t="shared" si="1"/>
        <v>1158.0327576716804</v>
      </c>
      <c r="E44" s="3">
        <f t="shared" si="2"/>
        <v>1158.0327576716804</v>
      </c>
      <c r="F44" s="4">
        <f t="shared" si="3"/>
        <v>487.05663138193734</v>
      </c>
      <c r="G44">
        <f t="shared" si="6"/>
        <v>1296.0619070315615</v>
      </c>
      <c r="H44" s="4">
        <f t="shared" si="4"/>
        <v>138.0291493598811</v>
      </c>
      <c r="I44" s="4">
        <f t="shared" si="5"/>
        <v>53364.390834434271</v>
      </c>
    </row>
    <row r="45" spans="2:9" x14ac:dyDescent="0.25">
      <c r="B45" s="2">
        <v>18.5</v>
      </c>
      <c r="C45" s="3">
        <f t="shared" si="1"/>
        <v>1158.0327576716804</v>
      </c>
      <c r="E45" s="3">
        <f t="shared" si="2"/>
        <v>1158.0327576716804</v>
      </c>
      <c r="F45" s="4">
        <f t="shared" si="3"/>
        <v>475.47872444177995</v>
      </c>
      <c r="G45">
        <f t="shared" si="6"/>
        <v>1299.4229168184745</v>
      </c>
      <c r="H45" s="4">
        <f t="shared" si="4"/>
        <v>141.39015914679408</v>
      </c>
      <c r="I45" s="4">
        <f t="shared" si="5"/>
        <v>53505.780993581066</v>
      </c>
    </row>
    <row r="46" spans="2:9" x14ac:dyDescent="0.25">
      <c r="B46" s="2">
        <v>19</v>
      </c>
      <c r="C46" s="3">
        <f t="shared" si="1"/>
        <v>1158.0327576716804</v>
      </c>
      <c r="E46" s="3">
        <f t="shared" si="2"/>
        <v>1158.0327576716804</v>
      </c>
      <c r="F46" s="4">
        <f t="shared" si="3"/>
        <v>464.17603791846528</v>
      </c>
      <c r="G46">
        <f t="shared" si="6"/>
        <v>1302.865767193699</v>
      </c>
      <c r="H46" s="4">
        <f t="shared" si="4"/>
        <v>144.83300952201853</v>
      </c>
      <c r="I46" s="4">
        <f t="shared" si="5"/>
        <v>53650.614003103081</v>
      </c>
    </row>
    <row r="47" spans="2:9" x14ac:dyDescent="0.25">
      <c r="B47" s="2">
        <v>19.5</v>
      </c>
      <c r="C47" s="3">
        <f t="shared" si="1"/>
        <v>1158.0327576716804</v>
      </c>
      <c r="E47" s="3">
        <f t="shared" si="2"/>
        <v>1158.0327576716804</v>
      </c>
      <c r="F47" s="4">
        <f t="shared" si="3"/>
        <v>453.14202950013686</v>
      </c>
      <c r="G47">
        <f t="shared" si="6"/>
        <v>1306.39245097556</v>
      </c>
      <c r="H47" s="4">
        <f t="shared" si="4"/>
        <v>148.35969330387957</v>
      </c>
      <c r="I47" s="4">
        <f t="shared" si="5"/>
        <v>53798.97369640696</v>
      </c>
    </row>
    <row r="48" spans="2:9" x14ac:dyDescent="0.25">
      <c r="B48" s="2">
        <v>20</v>
      </c>
      <c r="C48" s="3">
        <f t="shared" si="1"/>
        <v>1158.0327576716804</v>
      </c>
      <c r="E48" s="3">
        <f t="shared" si="2"/>
        <v>1158.0327576716804</v>
      </c>
      <c r="F48" s="4">
        <f t="shared" si="3"/>
        <v>442.37031239335857</v>
      </c>
      <c r="G48">
        <f t="shared" si="6"/>
        <v>1310.0050095075094</v>
      </c>
      <c r="H48" s="4">
        <f t="shared" si="4"/>
        <v>151.97225183582896</v>
      </c>
      <c r="I48" s="4">
        <f t="shared" si="5"/>
        <v>53950.945948242792</v>
      </c>
    </row>
    <row r="49" spans="2:9" x14ac:dyDescent="0.25">
      <c r="B49" s="2">
        <v>20.5</v>
      </c>
      <c r="C49" s="3">
        <f t="shared" si="1"/>
        <v>1158.0327576716804</v>
      </c>
      <c r="E49" s="3">
        <f t="shared" si="2"/>
        <v>1158.0327576716804</v>
      </c>
      <c r="F49" s="4">
        <f t="shared" si="3"/>
        <v>431.85465162625911</v>
      </c>
      <c r="G49">
        <f t="shared" si="6"/>
        <v>1313.705533839712</v>
      </c>
      <c r="H49" s="4">
        <f t="shared" si="4"/>
        <v>155.67277616803153</v>
      </c>
      <c r="I49" s="4">
        <f t="shared" si="5"/>
        <v>54106.618724410822</v>
      </c>
    </row>
    <row r="50" spans="2:9" x14ac:dyDescent="0.25">
      <c r="B50" s="2">
        <v>21</v>
      </c>
      <c r="C50" s="3">
        <f t="shared" si="1"/>
        <v>1158.0327576716804</v>
      </c>
      <c r="E50" s="3">
        <f t="shared" si="2"/>
        <v>1158.0327576716804</v>
      </c>
      <c r="F50" s="4">
        <f t="shared" si="3"/>
        <v>421.58896043955576</v>
      </c>
      <c r="G50">
        <f t="shared" si="6"/>
        <v>1317.4961659394035</v>
      </c>
      <c r="H50" s="4">
        <f t="shared" si="4"/>
        <v>159.46340826772303</v>
      </c>
      <c r="I50" s="4">
        <f t="shared" si="5"/>
        <v>54266.082132678544</v>
      </c>
    </row>
    <row r="51" spans="2:9" x14ac:dyDescent="0.25">
      <c r="B51" s="2">
        <v>21.5</v>
      </c>
      <c r="C51" s="3">
        <f t="shared" si="1"/>
        <v>1158.0327576716804</v>
      </c>
      <c r="E51" s="3">
        <f t="shared" si="2"/>
        <v>1158.0327576716804</v>
      </c>
      <c r="F51" s="4">
        <f t="shared" si="3"/>
        <v>411.56729676336784</v>
      </c>
      <c r="G51">
        <f t="shared" si="6"/>
        <v>1321.3790999307225</v>
      </c>
      <c r="H51" s="4">
        <f t="shared" si="4"/>
        <v>163.3463422590421</v>
      </c>
      <c r="I51" s="4">
        <f t="shared" si="5"/>
        <v>54429.428474937587</v>
      </c>
    </row>
    <row r="52" spans="2:9" x14ac:dyDescent="0.25">
      <c r="B52" s="2">
        <v>22</v>
      </c>
      <c r="C52" s="3">
        <f t="shared" si="1"/>
        <v>1158.0327576716804</v>
      </c>
      <c r="E52" s="3">
        <f t="shared" si="2"/>
        <v>1158.0327576716804</v>
      </c>
      <c r="F52" s="4">
        <f t="shared" si="3"/>
        <v>401.78385977777884</v>
      </c>
      <c r="G52">
        <f t="shared" si="6"/>
        <v>1325.3565833647303</v>
      </c>
      <c r="H52" s="4">
        <f t="shared" si="4"/>
        <v>167.32382569304991</v>
      </c>
      <c r="I52" s="4">
        <f t="shared" si="5"/>
        <v>54596.752300630636</v>
      </c>
    </row>
    <row r="53" spans="2:9" x14ac:dyDescent="0.25">
      <c r="B53" s="2">
        <v>22.5</v>
      </c>
      <c r="C53" s="3">
        <f t="shared" si="1"/>
        <v>1158.0327576716804</v>
      </c>
      <c r="E53" s="3">
        <f t="shared" si="2"/>
        <v>1158.0327576716804</v>
      </c>
      <c r="F53" s="4">
        <f t="shared" si="3"/>
        <v>392.23298655516061</v>
      </c>
      <c r="G53">
        <f t="shared" si="6"/>
        <v>1329.430918520356</v>
      </c>
      <c r="H53" s="4">
        <f t="shared" si="4"/>
        <v>171.39816084867562</v>
      </c>
      <c r="I53" s="4">
        <f t="shared" si="5"/>
        <v>54768.150461479308</v>
      </c>
    </row>
    <row r="54" spans="2:9" x14ac:dyDescent="0.25">
      <c r="B54" s="2">
        <v>23</v>
      </c>
      <c r="C54" s="3">
        <f t="shared" si="1"/>
        <v>1158.0327576716804</v>
      </c>
      <c r="E54" s="3">
        <f t="shared" si="2"/>
        <v>1158.0327576716804</v>
      </c>
      <c r="F54" s="4">
        <f t="shared" si="3"/>
        <v>382.90914878231132</v>
      </c>
      <c r="G54">
        <f t="shared" si="6"/>
        <v>1333.6044637370212</v>
      </c>
      <c r="H54" s="4">
        <f t="shared" si="4"/>
        <v>175.57170606534078</v>
      </c>
      <c r="I54" s="4">
        <f t="shared" si="5"/>
        <v>54943.722167544649</v>
      </c>
    </row>
    <row r="55" spans="2:9" x14ac:dyDescent="0.25">
      <c r="B55" s="2">
        <v>23.5</v>
      </c>
      <c r="C55" s="3">
        <f t="shared" si="1"/>
        <v>1158.0327576716804</v>
      </c>
      <c r="E55" s="3">
        <f t="shared" si="2"/>
        <v>1158.0327576716804</v>
      </c>
      <c r="F55" s="4">
        <f t="shared" si="3"/>
        <v>373.80694956051275</v>
      </c>
      <c r="G55">
        <f t="shared" si="6"/>
        <v>1337.8796347797122</v>
      </c>
      <c r="H55" s="4">
        <f t="shared" si="4"/>
        <v>179.84687710803178</v>
      </c>
      <c r="I55" s="4">
        <f t="shared" si="5"/>
        <v>55123.569044652679</v>
      </c>
    </row>
    <row r="56" spans="2:9" x14ac:dyDescent="0.25">
      <c r="B56" s="2">
        <v>24</v>
      </c>
      <c r="C56" s="3">
        <f t="shared" si="1"/>
        <v>1158.0327576716804</v>
      </c>
      <c r="E56" s="3">
        <f t="shared" si="2"/>
        <v>1158.0327576716804</v>
      </c>
      <c r="F56" s="4">
        <f t="shared" si="3"/>
        <v>364.9211202816544</v>
      </c>
      <c r="G56">
        <f t="shared" si="6"/>
        <v>1342.2589062372926</v>
      </c>
      <c r="H56" s="4">
        <f t="shared" si="4"/>
        <v>184.22614856561222</v>
      </c>
      <c r="I56" s="4">
        <f t="shared" si="5"/>
        <v>55307.795193218291</v>
      </c>
    </row>
    <row r="57" spans="2:9" x14ac:dyDescent="0.25">
      <c r="B57" s="2">
        <v>24.5</v>
      </c>
      <c r="C57" s="3">
        <f t="shared" si="1"/>
        <v>1158.0327576716804</v>
      </c>
      <c r="E57" s="3">
        <f t="shared" si="2"/>
        <v>1158.0327576716804</v>
      </c>
      <c r="F57" s="4">
        <f t="shared" si="3"/>
        <v>356.24651757861511</v>
      </c>
      <c r="G57">
        <f t="shared" si="6"/>
        <v>1346.7448129548654</v>
      </c>
      <c r="H57" s="4">
        <f t="shared" si="4"/>
        <v>188.71205528318501</v>
      </c>
      <c r="I57" s="4">
        <f t="shared" si="5"/>
        <v>55496.507248501475</v>
      </c>
    </row>
    <row r="58" spans="2:9" x14ac:dyDescent="0.25">
      <c r="B58" s="2">
        <v>25</v>
      </c>
      <c r="C58" s="3">
        <f t="shared" si="1"/>
        <v>1158.0327576716804</v>
      </c>
      <c r="E58" s="3">
        <f t="shared" si="2"/>
        <v>1158.0327576716804</v>
      </c>
      <c r="F58" s="4">
        <f t="shared" si="3"/>
        <v>347.77812034813786</v>
      </c>
      <c r="G58">
        <f t="shared" si="6"/>
        <v>1351.339951501011</v>
      </c>
      <c r="H58" s="4">
        <f t="shared" si="4"/>
        <v>193.30719382933057</v>
      </c>
      <c r="I58" s="4">
        <f t="shared" si="5"/>
        <v>55689.814442330804</v>
      </c>
    </row>
    <row r="59" spans="2:9" x14ac:dyDescent="0.25">
      <c r="B59" s="2">
        <v>25.5</v>
      </c>
      <c r="C59" s="3">
        <f t="shared" si="1"/>
        <v>1158.0327576716804</v>
      </c>
      <c r="E59" s="3">
        <f t="shared" si="2"/>
        <v>1158.0327576716804</v>
      </c>
      <c r="F59" s="4">
        <f t="shared" si="3"/>
        <v>339.51102684447488</v>
      </c>
      <c r="G59">
        <f t="shared" si="6"/>
        <v>1356.046981670755</v>
      </c>
      <c r="H59" s="4">
        <f t="shared" si="4"/>
        <v>198.0142239990746</v>
      </c>
      <c r="I59" s="4">
        <f t="shared" si="5"/>
        <v>55887.828666329879</v>
      </c>
    </row>
    <row r="60" spans="2:9" x14ac:dyDescent="0.25">
      <c r="B60" s="2">
        <v>26</v>
      </c>
      <c r="C60" s="3">
        <f t="shared" si="1"/>
        <v>1158.0327576716804</v>
      </c>
      <c r="E60" s="3">
        <f t="shared" si="2"/>
        <v>1158.0327576716804</v>
      </c>
      <c r="F60" s="4">
        <f t="shared" si="3"/>
        <v>331.44045184211927</v>
      </c>
      <c r="G60">
        <f t="shared" si="6"/>
        <v>1360.8686280251325</v>
      </c>
      <c r="H60" s="4">
        <f t="shared" si="4"/>
        <v>202.83587035345204</v>
      </c>
      <c r="I60" s="4">
        <f t="shared" si="5"/>
        <v>56090.664536683333</v>
      </c>
    </row>
    <row r="61" spans="2:9" x14ac:dyDescent="0.25">
      <c r="B61" s="2">
        <v>26.5</v>
      </c>
      <c r="C61" s="3">
        <f t="shared" si="1"/>
        <v>1158.0327576716804</v>
      </c>
      <c r="E61" s="3">
        <f t="shared" si="2"/>
        <v>1158.0327576716804</v>
      </c>
      <c r="F61" s="4">
        <f t="shared" si="3"/>
        <v>323.56172386598257</v>
      </c>
      <c r="G61">
        <f t="shared" si="6"/>
        <v>1365.8076814682393</v>
      </c>
      <c r="H61" s="4">
        <f t="shared" si="4"/>
        <v>207.77492379655882</v>
      </c>
      <c r="I61" s="4">
        <f t="shared" si="5"/>
        <v>56298.439460479894</v>
      </c>
    </row>
    <row r="62" spans="2:9" x14ac:dyDescent="0.25">
      <c r="B62" s="2">
        <v>27</v>
      </c>
      <c r="C62" s="3">
        <f t="shared" si="1"/>
        <v>1158.0327576716804</v>
      </c>
      <c r="E62" s="3">
        <f t="shared" si="2"/>
        <v>1158.0327576716804</v>
      </c>
      <c r="F62" s="4">
        <f t="shared" si="3"/>
        <v>315.87028248741399</v>
      </c>
      <c r="G62">
        <f t="shared" si="6"/>
        <v>1370.8670008626855</v>
      </c>
      <c r="H62" s="4">
        <f t="shared" si="4"/>
        <v>212.83424319100504</v>
      </c>
      <c r="I62" s="4">
        <f t="shared" si="5"/>
        <v>56511.2737036709</v>
      </c>
    </row>
    <row r="63" spans="2:9" x14ac:dyDescent="0.25">
      <c r="B63" s="2">
        <v>27.5</v>
      </c>
      <c r="C63" s="3">
        <f t="shared" si="1"/>
        <v>1158.0327576716804</v>
      </c>
      <c r="E63" s="3">
        <f t="shared" si="2"/>
        <v>1158.0327576716804</v>
      </c>
      <c r="F63" s="4">
        <f t="shared" si="3"/>
        <v>308.36167568449639</v>
      </c>
      <c r="G63">
        <f t="shared" si="6"/>
        <v>1376.0495146843864</v>
      </c>
      <c r="H63" s="4">
        <f t="shared" si="4"/>
        <v>218.01675701270597</v>
      </c>
      <c r="I63" s="4">
        <f t="shared" si="5"/>
        <v>56729.290460683609</v>
      </c>
    </row>
    <row r="64" spans="2:9" x14ac:dyDescent="0.25">
      <c r="B64" s="2">
        <v>28</v>
      </c>
      <c r="C64" s="3">
        <f t="shared" si="1"/>
        <v>1158.0327576716804</v>
      </c>
      <c r="E64" s="3">
        <f t="shared" si="2"/>
        <v>1158.0327576716804</v>
      </c>
      <c r="F64" s="4">
        <f t="shared" si="3"/>
        <v>301.03155726509141</v>
      </c>
      <c r="G64">
        <f t="shared" si="6"/>
        <v>1381.358222717646</v>
      </c>
      <c r="H64" s="4">
        <f t="shared" si="4"/>
        <v>223.32546504596553</v>
      </c>
      <c r="I64" s="4">
        <f t="shared" si="5"/>
        <v>56952.615925729573</v>
      </c>
    </row>
    <row r="65" spans="2:10" x14ac:dyDescent="0.25">
      <c r="B65" s="2">
        <v>28.5</v>
      </c>
      <c r="C65" s="3">
        <f t="shared" si="1"/>
        <v>1158.0327576716804</v>
      </c>
      <c r="E65" s="3">
        <f t="shared" si="2"/>
        <v>1158.0327576716804</v>
      </c>
      <c r="F65" s="4">
        <f t="shared" si="3"/>
        <v>293.8756843511411</v>
      </c>
      <c r="G65">
        <f t="shared" si="6"/>
        <v>1386.7961977915152</v>
      </c>
      <c r="H65" s="4">
        <f t="shared" si="4"/>
        <v>228.76344011983474</v>
      </c>
      <c r="I65" s="4">
        <f t="shared" si="5"/>
        <v>57181.379365849411</v>
      </c>
    </row>
    <row r="66" spans="2:10" x14ac:dyDescent="0.25">
      <c r="B66" s="2">
        <v>29</v>
      </c>
      <c r="C66" s="3">
        <f t="shared" si="1"/>
        <v>1158.0327576716804</v>
      </c>
      <c r="E66" s="3">
        <f t="shared" si="2"/>
        <v>1158.0327576716804</v>
      </c>
      <c r="F66" s="4">
        <f t="shared" si="3"/>
        <v>286.88991492277154</v>
      </c>
      <c r="G66">
        <f t="shared" si="6"/>
        <v>1392.3665875584331</v>
      </c>
      <c r="H66" s="4">
        <f t="shared" si="4"/>
        <v>234.33382988675271</v>
      </c>
      <c r="I66" s="4">
        <f t="shared" si="5"/>
        <v>57415.713195736163</v>
      </c>
    </row>
    <row r="67" spans="2:10" x14ac:dyDescent="0.25">
      <c r="B67" s="2">
        <v>29.5</v>
      </c>
      <c r="C67" s="3">
        <f t="shared" si="1"/>
        <v>1158.0327576716804</v>
      </c>
      <c r="E67" s="3">
        <f t="shared" si="2"/>
        <v>1158.0327576716804</v>
      </c>
      <c r="F67" s="4">
        <f t="shared" si="3"/>
        <v>280.07020542077572</v>
      </c>
      <c r="G67">
        <f t="shared" si="6"/>
        <v>1398.0726163161755</v>
      </c>
      <c r="H67" s="4">
        <f t="shared" si="4"/>
        <v>240.0398586444951</v>
      </c>
      <c r="I67" s="4">
        <f t="shared" si="5"/>
        <v>57655.753054380657</v>
      </c>
    </row>
    <row r="68" spans="2:10" x14ac:dyDescent="0.25">
      <c r="B68" s="2">
        <v>30</v>
      </c>
      <c r="C68" s="3">
        <f t="shared" si="1"/>
        <v>1158.0327576716804</v>
      </c>
      <c r="D68" s="3">
        <f>B1</f>
        <v>57901.637883584022</v>
      </c>
      <c r="E68" s="3">
        <f t="shared" si="2"/>
        <v>59059.670641255703</v>
      </c>
      <c r="F68" s="4">
        <f t="shared" si="3"/>
        <v>13944.043028710457</v>
      </c>
      <c r="G68">
        <f t="shared" si="6"/>
        <v>1403.917586874169</v>
      </c>
      <c r="H68" s="4">
        <f t="shared" si="4"/>
        <v>245.88482920248862</v>
      </c>
      <c r="I68" s="17">
        <f t="shared" si="5"/>
        <v>57901.637883583142</v>
      </c>
      <c r="J68" s="11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7"/>
  <sheetViews>
    <sheetView zoomScale="150" zoomScaleNormal="150" zoomScalePageLayoutView="150" workbookViewId="0">
      <selection activeCell="A50" sqref="A50"/>
    </sheetView>
  </sheetViews>
  <sheetFormatPr defaultColWidth="11" defaultRowHeight="15.75" x14ac:dyDescent="0.25"/>
  <cols>
    <col min="2" max="3" width="11.5" bestFit="1" customWidth="1"/>
    <col min="6" max="6" width="12.75" bestFit="1" customWidth="1"/>
  </cols>
  <sheetData>
    <row r="1" spans="1:6" x14ac:dyDescent="0.25">
      <c r="A1" t="s">
        <v>22</v>
      </c>
      <c r="B1" s="3">
        <f>'Class Safety Net'!B1</f>
        <v>57901.637883584022</v>
      </c>
    </row>
    <row r="2" spans="1:6" x14ac:dyDescent="0.25">
      <c r="A2" t="s">
        <v>5</v>
      </c>
      <c r="B2" t="s">
        <v>5</v>
      </c>
      <c r="C2" t="s">
        <v>6</v>
      </c>
    </row>
    <row r="3" spans="1:6" x14ac:dyDescent="0.25">
      <c r="A3" t="s">
        <v>23</v>
      </c>
      <c r="B3" s="1">
        <f>Coupon_rate</f>
        <v>0.04</v>
      </c>
      <c r="C3" t="s">
        <v>24</v>
      </c>
      <c r="E3" t="s">
        <v>25</v>
      </c>
      <c r="F3" s="4">
        <f>SUM(D8:D67)</f>
        <v>50000</v>
      </c>
    </row>
    <row r="4" spans="1:6" x14ac:dyDescent="0.25">
      <c r="A4" t="s">
        <v>30</v>
      </c>
      <c r="B4" s="1">
        <f>Interest_rate</f>
        <v>4.87E-2</v>
      </c>
    </row>
    <row r="5" spans="1:6" x14ac:dyDescent="0.25">
      <c r="B5" s="1"/>
    </row>
    <row r="6" spans="1:6" x14ac:dyDescent="0.25">
      <c r="A6" s="5" t="s">
        <v>31</v>
      </c>
      <c r="B6" s="5" t="s">
        <v>14</v>
      </c>
      <c r="C6" s="5" t="s">
        <v>15</v>
      </c>
      <c r="D6" s="5" t="s">
        <v>32</v>
      </c>
    </row>
    <row r="7" spans="1:6" x14ac:dyDescent="0.25">
      <c r="A7" s="2">
        <v>0</v>
      </c>
    </row>
    <row r="8" spans="1:6" x14ac:dyDescent="0.25">
      <c r="A8" s="2">
        <v>0.5</v>
      </c>
      <c r="B8" s="3">
        <f>$B$1*$B$3/2</f>
        <v>1158.0327576716804</v>
      </c>
      <c r="D8" s="4">
        <f>(B8+C8)/(1+$B$4/2)^(2*A8)</f>
        <v>1130.5049618506177</v>
      </c>
    </row>
    <row r="9" spans="1:6" x14ac:dyDescent="0.25">
      <c r="A9" s="2">
        <v>1</v>
      </c>
      <c r="B9" s="3">
        <f t="shared" ref="B9:B67" si="0">$B$1*$B$3/2</f>
        <v>1158.0327576716804</v>
      </c>
      <c r="D9" s="4">
        <f t="shared" ref="D9:D67" si="1">(B9+C9)/(1+$B$4/2)^(2*A9)</f>
        <v>1103.6315339977718</v>
      </c>
    </row>
    <row r="10" spans="1:6" x14ac:dyDescent="0.25">
      <c r="A10" s="2">
        <v>1.5</v>
      </c>
      <c r="B10" s="3">
        <f t="shared" si="0"/>
        <v>1158.0327576716804</v>
      </c>
      <c r="D10" s="4">
        <f t="shared" si="1"/>
        <v>1077.3969190196435</v>
      </c>
    </row>
    <row r="11" spans="1:6" x14ac:dyDescent="0.25">
      <c r="A11" s="2">
        <v>2</v>
      </c>
      <c r="B11" s="3">
        <f t="shared" si="0"/>
        <v>1158.0327576716804</v>
      </c>
      <c r="D11" s="4">
        <f t="shared" si="1"/>
        <v>1051.7859315855355</v>
      </c>
    </row>
    <row r="12" spans="1:6" x14ac:dyDescent="0.25">
      <c r="A12" s="2">
        <v>2.5</v>
      </c>
      <c r="B12" s="3">
        <f t="shared" si="0"/>
        <v>1158.0327576716804</v>
      </c>
      <c r="D12" s="4">
        <f t="shared" si="1"/>
        <v>1026.7837473378586</v>
      </c>
    </row>
    <row r="13" spans="1:6" x14ac:dyDescent="0.25">
      <c r="A13" s="2">
        <v>3</v>
      </c>
      <c r="B13" s="3">
        <f t="shared" si="0"/>
        <v>1158.0327576716804</v>
      </c>
      <c r="D13" s="4">
        <f t="shared" si="1"/>
        <v>1002.3758943113763</v>
      </c>
    </row>
    <row r="14" spans="1:6" x14ac:dyDescent="0.25">
      <c r="A14" s="2">
        <v>3.5</v>
      </c>
      <c r="B14" s="3">
        <f t="shared" si="0"/>
        <v>1158.0327576716804</v>
      </c>
      <c r="D14" s="4">
        <f t="shared" si="1"/>
        <v>978.54824455642722</v>
      </c>
    </row>
    <row r="15" spans="1:6" x14ac:dyDescent="0.25">
      <c r="A15" s="2">
        <v>4</v>
      </c>
      <c r="B15" s="3">
        <f t="shared" si="0"/>
        <v>1158.0327576716804</v>
      </c>
      <c r="D15" s="4">
        <f t="shared" si="1"/>
        <v>955.28700596127021</v>
      </c>
    </row>
    <row r="16" spans="1:6" x14ac:dyDescent="0.25">
      <c r="A16" s="2">
        <v>4.5</v>
      </c>
      <c r="B16" s="3">
        <f t="shared" si="0"/>
        <v>1158.0327576716804</v>
      </c>
      <c r="D16" s="4">
        <f t="shared" si="1"/>
        <v>932.57871426882411</v>
      </c>
    </row>
    <row r="17" spans="1:4" x14ac:dyDescent="0.25">
      <c r="A17" s="2">
        <v>5</v>
      </c>
      <c r="B17" s="3">
        <f t="shared" si="0"/>
        <v>1158.0327576716804</v>
      </c>
      <c r="D17" s="4">
        <f t="shared" si="1"/>
        <v>910.41022528317865</v>
      </c>
    </row>
    <row r="18" spans="1:4" x14ac:dyDescent="0.25">
      <c r="A18" s="2">
        <v>5.5</v>
      </c>
      <c r="B18" s="3">
        <f t="shared" si="0"/>
        <v>1158.0327576716804</v>
      </c>
      <c r="D18" s="4">
        <f t="shared" si="1"/>
        <v>888.7687072613644</v>
      </c>
    </row>
    <row r="19" spans="1:4" x14ac:dyDescent="0.25">
      <c r="A19" s="2">
        <v>6</v>
      </c>
      <c r="B19" s="3">
        <f t="shared" si="0"/>
        <v>1158.0327576716804</v>
      </c>
      <c r="D19" s="4">
        <f t="shared" si="1"/>
        <v>867.64163348598061</v>
      </c>
    </row>
    <row r="20" spans="1:4" x14ac:dyDescent="0.25">
      <c r="A20" s="2">
        <v>6.5</v>
      </c>
      <c r="B20" s="3">
        <f t="shared" si="0"/>
        <v>1158.0327576716804</v>
      </c>
      <c r="D20" s="4">
        <f t="shared" si="1"/>
        <v>847.01677501438041</v>
      </c>
    </row>
    <row r="21" spans="1:4" x14ac:dyDescent="0.25">
      <c r="A21" s="2">
        <v>7</v>
      </c>
      <c r="B21" s="3">
        <f t="shared" si="0"/>
        <v>1158.0327576716804</v>
      </c>
      <c r="D21" s="4">
        <f t="shared" si="1"/>
        <v>826.88219360021503</v>
      </c>
    </row>
    <row r="22" spans="1:4" x14ac:dyDescent="0.25">
      <c r="A22" s="2">
        <v>7.5</v>
      </c>
      <c r="B22" s="3">
        <f t="shared" si="0"/>
        <v>1158.0327576716804</v>
      </c>
      <c r="D22" s="4">
        <f t="shared" si="1"/>
        <v>807.22623478324294</v>
      </c>
    </row>
    <row r="23" spans="1:4" x14ac:dyDescent="0.25">
      <c r="A23" s="2">
        <v>8</v>
      </c>
      <c r="B23" s="3">
        <f t="shared" si="0"/>
        <v>1158.0327576716804</v>
      </c>
      <c r="D23" s="4">
        <f t="shared" si="1"/>
        <v>788.03752114340102</v>
      </c>
    </row>
    <row r="24" spans="1:4" x14ac:dyDescent="0.25">
      <c r="A24" s="2">
        <v>8.5</v>
      </c>
      <c r="B24" s="3">
        <f t="shared" si="0"/>
        <v>1158.0327576716804</v>
      </c>
      <c r="D24" s="4">
        <f t="shared" si="1"/>
        <v>769.30494571523502</v>
      </c>
    </row>
    <row r="25" spans="1:4" x14ac:dyDescent="0.25">
      <c r="A25" s="2">
        <v>9</v>
      </c>
      <c r="B25" s="3">
        <f t="shared" si="0"/>
        <v>1158.0327576716804</v>
      </c>
      <c r="D25" s="4">
        <f t="shared" si="1"/>
        <v>751.01766555887616</v>
      </c>
    </row>
    <row r="26" spans="1:4" x14ac:dyDescent="0.25">
      <c r="A26" s="2">
        <v>9.5</v>
      </c>
      <c r="B26" s="3">
        <f t="shared" si="0"/>
        <v>1158.0327576716804</v>
      </c>
      <c r="D26" s="4">
        <f t="shared" si="1"/>
        <v>733.16509548384454</v>
      </c>
    </row>
    <row r="27" spans="1:4" x14ac:dyDescent="0.25">
      <c r="A27" s="2">
        <v>10</v>
      </c>
      <c r="B27" s="3">
        <f t="shared" si="0"/>
        <v>1158.0327576716804</v>
      </c>
      <c r="D27" s="4">
        <f t="shared" si="1"/>
        <v>715.73690192204265</v>
      </c>
    </row>
    <row r="28" spans="1:4" x14ac:dyDescent="0.25">
      <c r="A28" s="2">
        <v>10.5</v>
      </c>
      <c r="B28" s="3">
        <f t="shared" si="0"/>
        <v>1158.0327576716804</v>
      </c>
      <c r="D28" s="4">
        <f t="shared" si="1"/>
        <v>698.72299694639787</v>
      </c>
    </row>
    <row r="29" spans="1:4" x14ac:dyDescent="0.25">
      <c r="A29" s="2">
        <v>11</v>
      </c>
      <c r="B29" s="3">
        <f t="shared" si="0"/>
        <v>1158.0327576716804</v>
      </c>
      <c r="D29" s="4">
        <f t="shared" si="1"/>
        <v>682.11353243168617</v>
      </c>
    </row>
    <row r="30" spans="1:4" x14ac:dyDescent="0.25">
      <c r="A30" s="2">
        <v>11.5</v>
      </c>
      <c r="B30" s="3">
        <f t="shared" si="0"/>
        <v>1158.0327576716804</v>
      </c>
      <c r="D30" s="4">
        <f t="shared" si="1"/>
        <v>665.89889435416228</v>
      </c>
    </row>
    <row r="31" spans="1:4" x14ac:dyDescent="0.25">
      <c r="A31" s="2">
        <v>12</v>
      </c>
      <c r="B31" s="3">
        <f t="shared" si="0"/>
        <v>1158.0327576716804</v>
      </c>
      <c r="D31" s="4">
        <f t="shared" si="1"/>
        <v>650.06969722669214</v>
      </c>
    </row>
    <row r="32" spans="1:4" x14ac:dyDescent="0.25">
      <c r="A32" s="2">
        <v>12.5</v>
      </c>
      <c r="B32" s="3">
        <f t="shared" si="0"/>
        <v>1158.0327576716804</v>
      </c>
      <c r="D32" s="4">
        <f t="shared" si="1"/>
        <v>634.61677866617083</v>
      </c>
    </row>
    <row r="33" spans="1:4" x14ac:dyDescent="0.25">
      <c r="A33" s="2">
        <v>13</v>
      </c>
      <c r="B33" s="3">
        <f t="shared" si="0"/>
        <v>1158.0327576716804</v>
      </c>
      <c r="D33" s="4">
        <f t="shared" si="1"/>
        <v>619.53119409007741</v>
      </c>
    </row>
    <row r="34" spans="1:4" x14ac:dyDescent="0.25">
      <c r="A34" s="2">
        <v>13.5</v>
      </c>
      <c r="B34" s="3">
        <f t="shared" si="0"/>
        <v>1158.0327576716804</v>
      </c>
      <c r="D34" s="4">
        <f t="shared" si="1"/>
        <v>604.80421153910027</v>
      </c>
    </row>
    <row r="35" spans="1:4" x14ac:dyDescent="0.25">
      <c r="A35" s="2">
        <v>14</v>
      </c>
      <c r="B35" s="3">
        <f t="shared" si="0"/>
        <v>1158.0327576716804</v>
      </c>
      <c r="D35" s="4">
        <f t="shared" si="1"/>
        <v>590.42730662283418</v>
      </c>
    </row>
    <row r="36" spans="1:4" x14ac:dyDescent="0.25">
      <c r="A36" s="2">
        <v>14.5</v>
      </c>
      <c r="B36" s="3">
        <f t="shared" si="0"/>
        <v>1158.0327576716804</v>
      </c>
      <c r="D36" s="4">
        <f t="shared" si="1"/>
        <v>576.3921575856242</v>
      </c>
    </row>
    <row r="37" spans="1:4" x14ac:dyDescent="0.25">
      <c r="A37" s="2">
        <v>15</v>
      </c>
      <c r="B37" s="3">
        <f t="shared" si="0"/>
        <v>1158.0327576716804</v>
      </c>
      <c r="D37" s="4">
        <f t="shared" si="1"/>
        <v>562.69064048969983</v>
      </c>
    </row>
    <row r="38" spans="1:4" x14ac:dyDescent="0.25">
      <c r="A38" s="2">
        <v>15.5</v>
      </c>
      <c r="B38" s="3">
        <f t="shared" si="0"/>
        <v>1158.0327576716804</v>
      </c>
      <c r="D38" s="4">
        <f t="shared" si="1"/>
        <v>549.31482451281283</v>
      </c>
    </row>
    <row r="39" spans="1:4" x14ac:dyDescent="0.25">
      <c r="A39" s="2">
        <v>16</v>
      </c>
      <c r="B39" s="3">
        <f t="shared" si="0"/>
        <v>1158.0327576716804</v>
      </c>
      <c r="D39" s="4">
        <f t="shared" si="1"/>
        <v>536.25696735765382</v>
      </c>
    </row>
    <row r="40" spans="1:4" x14ac:dyDescent="0.25">
      <c r="A40" s="2">
        <v>16.5</v>
      </c>
      <c r="B40" s="3">
        <f t="shared" si="0"/>
        <v>1158.0327576716804</v>
      </c>
      <c r="D40" s="4">
        <f t="shared" si="1"/>
        <v>523.50951077039463</v>
      </c>
    </row>
    <row r="41" spans="1:4" x14ac:dyDescent="0.25">
      <c r="A41" s="2">
        <v>17</v>
      </c>
      <c r="B41" s="3">
        <f t="shared" si="0"/>
        <v>1158.0327576716804</v>
      </c>
      <c r="D41" s="4">
        <f t="shared" si="1"/>
        <v>511.0650761657584</v>
      </c>
    </row>
    <row r="42" spans="1:4" x14ac:dyDescent="0.25">
      <c r="A42" s="2">
        <v>17.5</v>
      </c>
      <c r="B42" s="3">
        <f t="shared" si="0"/>
        <v>1158.0327576716804</v>
      </c>
      <c r="D42" s="4">
        <f t="shared" si="1"/>
        <v>498.91646035608761</v>
      </c>
    </row>
    <row r="43" spans="1:4" x14ac:dyDescent="0.25">
      <c r="A43" s="2">
        <v>18</v>
      </c>
      <c r="B43" s="3">
        <f t="shared" si="0"/>
        <v>1158.0327576716804</v>
      </c>
      <c r="D43" s="4">
        <f t="shared" si="1"/>
        <v>487.05663138193734</v>
      </c>
    </row>
    <row r="44" spans="1:4" x14ac:dyDescent="0.25">
      <c r="A44" s="2">
        <v>18.5</v>
      </c>
      <c r="B44" s="3">
        <f t="shared" si="0"/>
        <v>1158.0327576716804</v>
      </c>
      <c r="D44" s="4">
        <f t="shared" si="1"/>
        <v>475.47872444177995</v>
      </c>
    </row>
    <row r="45" spans="1:4" x14ac:dyDescent="0.25">
      <c r="A45" s="2">
        <v>19</v>
      </c>
      <c r="B45" s="3">
        <f t="shared" si="0"/>
        <v>1158.0327576716804</v>
      </c>
      <c r="D45" s="4">
        <f t="shared" si="1"/>
        <v>464.17603791846528</v>
      </c>
    </row>
    <row r="46" spans="1:4" x14ac:dyDescent="0.25">
      <c r="A46" s="2">
        <v>19.5</v>
      </c>
      <c r="B46" s="3">
        <f t="shared" si="0"/>
        <v>1158.0327576716804</v>
      </c>
      <c r="D46" s="4">
        <f t="shared" si="1"/>
        <v>453.14202950013686</v>
      </c>
    </row>
    <row r="47" spans="1:4" x14ac:dyDescent="0.25">
      <c r="A47" s="2">
        <v>20</v>
      </c>
      <c r="B47" s="3">
        <f t="shared" si="0"/>
        <v>1158.0327576716804</v>
      </c>
      <c r="D47" s="4">
        <f t="shared" si="1"/>
        <v>442.37031239335857</v>
      </c>
    </row>
    <row r="48" spans="1:4" x14ac:dyDescent="0.25">
      <c r="A48" s="2">
        <v>20.5</v>
      </c>
      <c r="B48" s="3">
        <f t="shared" si="0"/>
        <v>1158.0327576716804</v>
      </c>
      <c r="D48" s="4">
        <f t="shared" si="1"/>
        <v>431.85465162625911</v>
      </c>
    </row>
    <row r="49" spans="1:4" x14ac:dyDescent="0.25">
      <c r="A49" s="2">
        <v>21</v>
      </c>
      <c r="B49" s="3">
        <f t="shared" si="0"/>
        <v>1158.0327576716804</v>
      </c>
      <c r="D49" s="4">
        <f t="shared" si="1"/>
        <v>421.58896043955576</v>
      </c>
    </row>
    <row r="50" spans="1:4" x14ac:dyDescent="0.25">
      <c r="A50" s="2">
        <v>21.5</v>
      </c>
      <c r="B50" s="3">
        <f t="shared" si="0"/>
        <v>1158.0327576716804</v>
      </c>
      <c r="D50" s="4">
        <f t="shared" si="1"/>
        <v>411.56729676336784</v>
      </c>
    </row>
    <row r="51" spans="1:4" x14ac:dyDescent="0.25">
      <c r="A51" s="2">
        <v>22</v>
      </c>
      <c r="B51" s="3">
        <f t="shared" si="0"/>
        <v>1158.0327576716804</v>
      </c>
      <c r="D51" s="4">
        <f t="shared" si="1"/>
        <v>401.78385977777884</v>
      </c>
    </row>
    <row r="52" spans="1:4" x14ac:dyDescent="0.25">
      <c r="A52" s="2">
        <v>22.5</v>
      </c>
      <c r="B52" s="3">
        <f t="shared" si="0"/>
        <v>1158.0327576716804</v>
      </c>
      <c r="D52" s="4">
        <f t="shared" si="1"/>
        <v>392.23298655516061</v>
      </c>
    </row>
    <row r="53" spans="1:4" x14ac:dyDescent="0.25">
      <c r="A53" s="2">
        <v>23</v>
      </c>
      <c r="B53" s="3">
        <f t="shared" si="0"/>
        <v>1158.0327576716804</v>
      </c>
      <c r="D53" s="4">
        <f t="shared" si="1"/>
        <v>382.90914878231132</v>
      </c>
    </row>
    <row r="54" spans="1:4" x14ac:dyDescent="0.25">
      <c r="A54" s="2">
        <v>23.5</v>
      </c>
      <c r="B54" s="3">
        <f t="shared" si="0"/>
        <v>1158.0327576716804</v>
      </c>
      <c r="D54" s="4">
        <f t="shared" si="1"/>
        <v>373.80694956051275</v>
      </c>
    </row>
    <row r="55" spans="1:4" x14ac:dyDescent="0.25">
      <c r="A55" s="2">
        <v>24</v>
      </c>
      <c r="B55" s="3">
        <f t="shared" si="0"/>
        <v>1158.0327576716804</v>
      </c>
      <c r="D55" s="4">
        <f t="shared" si="1"/>
        <v>364.9211202816544</v>
      </c>
    </row>
    <row r="56" spans="1:4" x14ac:dyDescent="0.25">
      <c r="A56" s="2">
        <v>24.5</v>
      </c>
      <c r="B56" s="3">
        <f t="shared" si="0"/>
        <v>1158.0327576716804</v>
      </c>
      <c r="D56" s="4">
        <f t="shared" si="1"/>
        <v>356.24651757861511</v>
      </c>
    </row>
    <row r="57" spans="1:4" x14ac:dyDescent="0.25">
      <c r="A57" s="2">
        <v>25</v>
      </c>
      <c r="B57" s="3">
        <f t="shared" si="0"/>
        <v>1158.0327576716804</v>
      </c>
      <c r="D57" s="4">
        <f t="shared" si="1"/>
        <v>347.77812034813786</v>
      </c>
    </row>
    <row r="58" spans="1:4" x14ac:dyDescent="0.25">
      <c r="A58" s="2">
        <v>25.5</v>
      </c>
      <c r="B58" s="3">
        <f t="shared" si="0"/>
        <v>1158.0327576716804</v>
      </c>
      <c r="D58" s="4">
        <f t="shared" si="1"/>
        <v>339.51102684447488</v>
      </c>
    </row>
    <row r="59" spans="1:4" x14ac:dyDescent="0.25">
      <c r="A59" s="2">
        <v>26</v>
      </c>
      <c r="B59" s="3">
        <f t="shared" si="0"/>
        <v>1158.0327576716804</v>
      </c>
      <c r="D59" s="4">
        <f t="shared" si="1"/>
        <v>331.44045184211927</v>
      </c>
    </row>
    <row r="60" spans="1:4" x14ac:dyDescent="0.25">
      <c r="A60" s="2">
        <v>26.5</v>
      </c>
      <c r="B60" s="3">
        <f t="shared" si="0"/>
        <v>1158.0327576716804</v>
      </c>
      <c r="D60" s="4">
        <f t="shared" si="1"/>
        <v>323.56172386598257</v>
      </c>
    </row>
    <row r="61" spans="1:4" x14ac:dyDescent="0.25">
      <c r="A61" s="2">
        <v>27</v>
      </c>
      <c r="B61" s="3">
        <f t="shared" si="0"/>
        <v>1158.0327576716804</v>
      </c>
      <c r="D61" s="4">
        <f t="shared" si="1"/>
        <v>315.87028248741399</v>
      </c>
    </row>
    <row r="62" spans="1:4" x14ac:dyDescent="0.25">
      <c r="A62" s="2">
        <v>27.5</v>
      </c>
      <c r="B62" s="3">
        <f t="shared" si="0"/>
        <v>1158.0327576716804</v>
      </c>
      <c r="D62" s="4">
        <f t="shared" si="1"/>
        <v>308.36167568449639</v>
      </c>
    </row>
    <row r="63" spans="1:4" x14ac:dyDescent="0.25">
      <c r="A63" s="2">
        <v>28</v>
      </c>
      <c r="B63" s="3">
        <f t="shared" si="0"/>
        <v>1158.0327576716804</v>
      </c>
      <c r="D63" s="4">
        <f t="shared" si="1"/>
        <v>301.03155726509141</v>
      </c>
    </row>
    <row r="64" spans="1:4" x14ac:dyDescent="0.25">
      <c r="A64" s="2">
        <v>28.5</v>
      </c>
      <c r="B64" s="3">
        <f t="shared" si="0"/>
        <v>1158.0327576716804</v>
      </c>
      <c r="D64" s="4">
        <f t="shared" si="1"/>
        <v>293.8756843511411</v>
      </c>
    </row>
    <row r="65" spans="1:4" x14ac:dyDescent="0.25">
      <c r="A65" s="2">
        <v>29</v>
      </c>
      <c r="B65" s="3">
        <f t="shared" si="0"/>
        <v>1158.0327576716804</v>
      </c>
      <c r="D65" s="4">
        <f t="shared" si="1"/>
        <v>286.88991492277154</v>
      </c>
    </row>
    <row r="66" spans="1:4" x14ac:dyDescent="0.25">
      <c r="A66" s="2">
        <v>29.5</v>
      </c>
      <c r="B66" s="3">
        <f t="shared" si="0"/>
        <v>1158.0327576716804</v>
      </c>
      <c r="D66" s="4">
        <f t="shared" si="1"/>
        <v>280.07020542077572</v>
      </c>
    </row>
    <row r="67" spans="1:4" x14ac:dyDescent="0.25">
      <c r="A67" s="2">
        <v>30</v>
      </c>
      <c r="B67" s="3">
        <f t="shared" si="0"/>
        <v>1158.0327576716804</v>
      </c>
      <c r="C67" s="3">
        <f>B1</f>
        <v>57901.637883584022</v>
      </c>
      <c r="D67" s="4">
        <f t="shared" si="1"/>
        <v>13944.043028710457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7"/>
  <sheetViews>
    <sheetView workbookViewId="0">
      <selection activeCell="A50" sqref="A50"/>
    </sheetView>
  </sheetViews>
  <sheetFormatPr defaultColWidth="8.75" defaultRowHeight="15.75" x14ac:dyDescent="0.25"/>
  <cols>
    <col min="1" max="1" width="14.25" bestFit="1" customWidth="1"/>
    <col min="2" max="2" width="11.5" bestFit="1" customWidth="1"/>
    <col min="3" max="3" width="11.25" bestFit="1" customWidth="1"/>
    <col min="4" max="4" width="10.25" bestFit="1" customWidth="1"/>
    <col min="5" max="5" width="10.75" bestFit="1" customWidth="1"/>
    <col min="6" max="6" width="10.25" bestFit="1" customWidth="1"/>
  </cols>
  <sheetData>
    <row r="1" spans="1:6" x14ac:dyDescent="0.25">
      <c r="A1" t="s">
        <v>22</v>
      </c>
      <c r="B1" s="3">
        <f>'Class Safety Net'!B1</f>
        <v>57901.637883584022</v>
      </c>
    </row>
    <row r="2" spans="1:6" x14ac:dyDescent="0.25">
      <c r="A2" t="s">
        <v>5</v>
      </c>
      <c r="B2">
        <v>30</v>
      </c>
      <c r="C2" t="s">
        <v>6</v>
      </c>
    </row>
    <row r="3" spans="1:6" x14ac:dyDescent="0.25">
      <c r="A3" t="s">
        <v>23</v>
      </c>
      <c r="B3" s="1">
        <v>0.03</v>
      </c>
      <c r="C3" t="s">
        <v>24</v>
      </c>
      <c r="E3" t="s">
        <v>25</v>
      </c>
      <c r="F3" s="4">
        <f>SUM(D8:D67)</f>
        <v>40917.657605076085</v>
      </c>
    </row>
    <row r="4" spans="1:6" x14ac:dyDescent="0.25">
      <c r="A4" t="s">
        <v>30</v>
      </c>
      <c r="B4" s="1">
        <f>Interest_rate</f>
        <v>4.87E-2</v>
      </c>
    </row>
    <row r="5" spans="1:6" x14ac:dyDescent="0.25">
      <c r="B5" s="1"/>
    </row>
    <row r="6" spans="1:6" x14ac:dyDescent="0.25">
      <c r="A6" s="5" t="s">
        <v>33</v>
      </c>
      <c r="B6" s="5" t="s">
        <v>14</v>
      </c>
      <c r="C6" s="5" t="s">
        <v>15</v>
      </c>
      <c r="D6" s="5" t="s">
        <v>32</v>
      </c>
    </row>
    <row r="7" spans="1:6" x14ac:dyDescent="0.25">
      <c r="A7" s="6">
        <v>0</v>
      </c>
    </row>
    <row r="8" spans="1:6" x14ac:dyDescent="0.25">
      <c r="A8" s="6">
        <v>1</v>
      </c>
      <c r="B8" s="3">
        <f>$B$1*$B$3/2</f>
        <v>868.52456825376032</v>
      </c>
      <c r="D8" s="4">
        <f>(B8+C8)/((1+$B$4/2)^(A8))</f>
        <v>847.87872138796331</v>
      </c>
    </row>
    <row r="9" spans="1:6" x14ac:dyDescent="0.25">
      <c r="A9" s="6">
        <v>2</v>
      </c>
      <c r="B9" s="3">
        <f t="shared" ref="B9:B67" si="0">$B$1*$B$3/2</f>
        <v>868.52456825376032</v>
      </c>
      <c r="D9" s="4">
        <f t="shared" ref="D9:D67" si="1">(B9+C9)/((1+$B$4/2)^(A9))</f>
        <v>827.72365049832888</v>
      </c>
    </row>
    <row r="10" spans="1:6" x14ac:dyDescent="0.25">
      <c r="A10" s="6">
        <v>3</v>
      </c>
      <c r="B10" s="3">
        <f t="shared" si="0"/>
        <v>868.52456825376032</v>
      </c>
      <c r="D10" s="4">
        <f t="shared" si="1"/>
        <v>808.04768926473264</v>
      </c>
    </row>
    <row r="11" spans="1:6" x14ac:dyDescent="0.25">
      <c r="A11" s="6">
        <v>4</v>
      </c>
      <c r="B11" s="3">
        <f t="shared" si="0"/>
        <v>868.52456825376032</v>
      </c>
      <c r="D11" s="4">
        <f t="shared" si="1"/>
        <v>788.8394486891516</v>
      </c>
    </row>
    <row r="12" spans="1:6" x14ac:dyDescent="0.25">
      <c r="A12" s="6">
        <v>5</v>
      </c>
      <c r="B12" s="3">
        <f t="shared" si="0"/>
        <v>868.52456825376032</v>
      </c>
      <c r="D12" s="4">
        <f t="shared" si="1"/>
        <v>770.08781050339394</v>
      </c>
    </row>
    <row r="13" spans="1:6" x14ac:dyDescent="0.25">
      <c r="A13" s="6">
        <v>6</v>
      </c>
      <c r="B13" s="3">
        <f t="shared" si="0"/>
        <v>868.52456825376032</v>
      </c>
      <c r="D13" s="4">
        <f t="shared" si="1"/>
        <v>751.78192073353227</v>
      </c>
    </row>
    <row r="14" spans="1:6" x14ac:dyDescent="0.25">
      <c r="A14" s="6">
        <v>7</v>
      </c>
      <c r="B14" s="3">
        <f t="shared" si="0"/>
        <v>868.52456825376032</v>
      </c>
      <c r="D14" s="4">
        <f t="shared" si="1"/>
        <v>733.91118341732044</v>
      </c>
    </row>
    <row r="15" spans="1:6" x14ac:dyDescent="0.25">
      <c r="A15" s="6">
        <v>8</v>
      </c>
      <c r="B15" s="3">
        <f t="shared" si="0"/>
        <v>868.52456825376032</v>
      </c>
      <c r="D15" s="4">
        <f t="shared" si="1"/>
        <v>716.46525447095257</v>
      </c>
    </row>
    <row r="16" spans="1:6" x14ac:dyDescent="0.25">
      <c r="A16" s="6">
        <v>9</v>
      </c>
      <c r="B16" s="3">
        <f t="shared" si="0"/>
        <v>868.52456825376032</v>
      </c>
      <c r="D16" s="4">
        <f t="shared" si="1"/>
        <v>699.43403570161809</v>
      </c>
    </row>
    <row r="17" spans="1:4" x14ac:dyDescent="0.25">
      <c r="A17" s="6">
        <v>10</v>
      </c>
      <c r="B17" s="3">
        <f t="shared" si="0"/>
        <v>868.52456825376032</v>
      </c>
      <c r="D17" s="4">
        <f t="shared" si="1"/>
        <v>682.80766896238401</v>
      </c>
    </row>
    <row r="18" spans="1:4" x14ac:dyDescent="0.25">
      <c r="A18" s="6">
        <v>11</v>
      </c>
      <c r="B18" s="3">
        <f t="shared" si="0"/>
        <v>868.52456825376032</v>
      </c>
      <c r="D18" s="4">
        <f t="shared" si="1"/>
        <v>666.5765304460233</v>
      </c>
    </row>
    <row r="19" spans="1:4" x14ac:dyDescent="0.25">
      <c r="A19" s="6">
        <v>12</v>
      </c>
      <c r="B19" s="3">
        <f t="shared" si="0"/>
        <v>868.52456825376032</v>
      </c>
      <c r="D19" s="4">
        <f t="shared" si="1"/>
        <v>650.73122511448548</v>
      </c>
    </row>
    <row r="20" spans="1:4" x14ac:dyDescent="0.25">
      <c r="A20" s="6">
        <v>13</v>
      </c>
      <c r="B20" s="3">
        <f t="shared" si="0"/>
        <v>868.52456825376032</v>
      </c>
      <c r="D20" s="4">
        <f t="shared" si="1"/>
        <v>635.26258126078528</v>
      </c>
    </row>
    <row r="21" spans="1:4" x14ac:dyDescent="0.25">
      <c r="A21" s="6">
        <v>14</v>
      </c>
      <c r="B21" s="3">
        <f t="shared" si="0"/>
        <v>868.52456825376032</v>
      </c>
      <c r="D21" s="4">
        <f t="shared" si="1"/>
        <v>620.16164520016127</v>
      </c>
    </row>
    <row r="22" spans="1:4" x14ac:dyDescent="0.25">
      <c r="A22" s="6">
        <v>15</v>
      </c>
      <c r="B22" s="3">
        <f t="shared" si="0"/>
        <v>868.52456825376032</v>
      </c>
      <c r="D22" s="4">
        <f t="shared" si="1"/>
        <v>605.41967608743221</v>
      </c>
    </row>
    <row r="23" spans="1:4" x14ac:dyDescent="0.25">
      <c r="A23" s="6">
        <v>16</v>
      </c>
      <c r="B23" s="3">
        <f t="shared" si="0"/>
        <v>868.52456825376032</v>
      </c>
      <c r="D23" s="4">
        <f t="shared" si="1"/>
        <v>591.02814085755074</v>
      </c>
    </row>
    <row r="24" spans="1:4" x14ac:dyDescent="0.25">
      <c r="A24" s="6">
        <v>17</v>
      </c>
      <c r="B24" s="3">
        <f t="shared" si="0"/>
        <v>868.52456825376032</v>
      </c>
      <c r="D24" s="4">
        <f t="shared" si="1"/>
        <v>576.97870928642624</v>
      </c>
    </row>
    <row r="25" spans="1:4" x14ac:dyDescent="0.25">
      <c r="A25" s="6">
        <v>18</v>
      </c>
      <c r="B25" s="3">
        <f t="shared" si="0"/>
        <v>868.52456825376032</v>
      </c>
      <c r="D25" s="4">
        <f t="shared" si="1"/>
        <v>563.26324916915712</v>
      </c>
    </row>
    <row r="26" spans="1:4" x14ac:dyDescent="0.25">
      <c r="A26" s="6">
        <v>19</v>
      </c>
      <c r="B26" s="3">
        <f t="shared" si="0"/>
        <v>868.52456825376032</v>
      </c>
      <c r="D26" s="4">
        <f t="shared" si="1"/>
        <v>549.87382161288338</v>
      </c>
    </row>
    <row r="27" spans="1:4" x14ac:dyDescent="0.25">
      <c r="A27" s="6">
        <v>20</v>
      </c>
      <c r="B27" s="3">
        <f t="shared" si="0"/>
        <v>868.52456825376032</v>
      </c>
      <c r="D27" s="4">
        <f t="shared" si="1"/>
        <v>536.80267644153207</v>
      </c>
    </row>
    <row r="28" spans="1:4" x14ac:dyDescent="0.25">
      <c r="A28" s="6">
        <v>21</v>
      </c>
      <c r="B28" s="3">
        <f t="shared" si="0"/>
        <v>868.52456825376032</v>
      </c>
      <c r="D28" s="4">
        <f t="shared" si="1"/>
        <v>524.0422477097984</v>
      </c>
    </row>
    <row r="29" spans="1:4" x14ac:dyDescent="0.25">
      <c r="A29" s="6">
        <v>22</v>
      </c>
      <c r="B29" s="3">
        <f t="shared" si="0"/>
        <v>868.52456825376032</v>
      </c>
      <c r="D29" s="4">
        <f t="shared" si="1"/>
        <v>511.5851493237646</v>
      </c>
    </row>
    <row r="30" spans="1:4" x14ac:dyDescent="0.25">
      <c r="A30" s="6">
        <v>23</v>
      </c>
      <c r="B30" s="3">
        <f t="shared" si="0"/>
        <v>868.52456825376032</v>
      </c>
      <c r="D30" s="4">
        <f t="shared" si="1"/>
        <v>499.42417076562168</v>
      </c>
    </row>
    <row r="31" spans="1:4" x14ac:dyDescent="0.25">
      <c r="A31" s="6">
        <v>24</v>
      </c>
      <c r="B31" s="3">
        <f t="shared" si="0"/>
        <v>868.52456825376032</v>
      </c>
      <c r="D31" s="4">
        <f t="shared" si="1"/>
        <v>487.55227292001911</v>
      </c>
    </row>
    <row r="32" spans="1:4" x14ac:dyDescent="0.25">
      <c r="A32" s="6">
        <v>25</v>
      </c>
      <c r="B32" s="3">
        <f t="shared" si="0"/>
        <v>868.52456825376032</v>
      </c>
      <c r="D32" s="4">
        <f t="shared" si="1"/>
        <v>475.96258399962818</v>
      </c>
    </row>
    <row r="33" spans="1:4" x14ac:dyDescent="0.25">
      <c r="A33" s="6">
        <v>26</v>
      </c>
      <c r="B33" s="3">
        <f t="shared" si="0"/>
        <v>868.52456825376032</v>
      </c>
      <c r="D33" s="4">
        <f t="shared" si="1"/>
        <v>464.64839556755805</v>
      </c>
    </row>
    <row r="34" spans="1:4" x14ac:dyDescent="0.25">
      <c r="A34" s="6">
        <v>27</v>
      </c>
      <c r="B34" s="3">
        <f t="shared" si="0"/>
        <v>868.52456825376032</v>
      </c>
      <c r="D34" s="4">
        <f t="shared" si="1"/>
        <v>453.60315865432523</v>
      </c>
    </row>
    <row r="35" spans="1:4" x14ac:dyDescent="0.25">
      <c r="A35" s="6">
        <v>28</v>
      </c>
      <c r="B35" s="3">
        <f t="shared" si="0"/>
        <v>868.52456825376032</v>
      </c>
      <c r="D35" s="4">
        <f t="shared" si="1"/>
        <v>442.82047996712561</v>
      </c>
    </row>
    <row r="36" spans="1:4" x14ac:dyDescent="0.25">
      <c r="A36" s="6">
        <v>29</v>
      </c>
      <c r="B36" s="3">
        <f t="shared" si="0"/>
        <v>868.52456825376032</v>
      </c>
      <c r="D36" s="4">
        <f t="shared" si="1"/>
        <v>432.29411818921818</v>
      </c>
    </row>
    <row r="37" spans="1:4" x14ac:dyDescent="0.25">
      <c r="A37" s="6">
        <v>30</v>
      </c>
      <c r="B37" s="3">
        <f t="shared" si="0"/>
        <v>868.52456825376032</v>
      </c>
      <c r="D37" s="4">
        <f t="shared" si="1"/>
        <v>422.01798036727484</v>
      </c>
    </row>
    <row r="38" spans="1:4" x14ac:dyDescent="0.25">
      <c r="A38" s="6">
        <v>31</v>
      </c>
      <c r="B38" s="3">
        <f t="shared" si="0"/>
        <v>868.52456825376032</v>
      </c>
      <c r="D38" s="4">
        <f t="shared" si="1"/>
        <v>411.9861183846096</v>
      </c>
    </row>
    <row r="39" spans="1:4" x14ac:dyDescent="0.25">
      <c r="A39" s="6">
        <v>32</v>
      </c>
      <c r="B39" s="3">
        <f t="shared" si="0"/>
        <v>868.52456825376032</v>
      </c>
      <c r="D39" s="4">
        <f t="shared" si="1"/>
        <v>402.19272551824037</v>
      </c>
    </row>
    <row r="40" spans="1:4" x14ac:dyDescent="0.25">
      <c r="A40" s="6">
        <v>33</v>
      </c>
      <c r="B40" s="3">
        <f t="shared" si="0"/>
        <v>868.52456825376032</v>
      </c>
      <c r="D40" s="4">
        <f t="shared" si="1"/>
        <v>392.63213307779597</v>
      </c>
    </row>
    <row r="41" spans="1:4" x14ac:dyDescent="0.25">
      <c r="A41" s="6">
        <v>34</v>
      </c>
      <c r="B41" s="3">
        <f t="shared" si="0"/>
        <v>868.52456825376032</v>
      </c>
      <c r="D41" s="4">
        <f t="shared" si="1"/>
        <v>383.29880712431878</v>
      </c>
    </row>
    <row r="42" spans="1:4" x14ac:dyDescent="0.25">
      <c r="A42" s="6">
        <v>35</v>
      </c>
      <c r="B42" s="3">
        <f t="shared" si="0"/>
        <v>868.52456825376032</v>
      </c>
      <c r="D42" s="4">
        <f t="shared" si="1"/>
        <v>374.18734526706567</v>
      </c>
    </row>
    <row r="43" spans="1:4" x14ac:dyDescent="0.25">
      <c r="A43" s="6">
        <v>36</v>
      </c>
      <c r="B43" s="3">
        <f t="shared" si="0"/>
        <v>868.52456825376032</v>
      </c>
      <c r="D43" s="4">
        <f t="shared" si="1"/>
        <v>365.29247353645297</v>
      </c>
    </row>
    <row r="44" spans="1:4" x14ac:dyDescent="0.25">
      <c r="A44" s="6">
        <v>37</v>
      </c>
      <c r="B44" s="3">
        <f t="shared" si="0"/>
        <v>868.52456825376032</v>
      </c>
      <c r="D44" s="4">
        <f t="shared" si="1"/>
        <v>356.60904333133499</v>
      </c>
    </row>
    <row r="45" spans="1:4" x14ac:dyDescent="0.25">
      <c r="A45" s="6">
        <v>38</v>
      </c>
      <c r="B45" s="3">
        <f t="shared" si="0"/>
        <v>868.52456825376032</v>
      </c>
      <c r="D45" s="4">
        <f t="shared" si="1"/>
        <v>348.13202843884898</v>
      </c>
    </row>
    <row r="46" spans="1:4" x14ac:dyDescent="0.25">
      <c r="A46" s="6">
        <v>39</v>
      </c>
      <c r="B46" s="3">
        <f t="shared" si="0"/>
        <v>868.52456825376032</v>
      </c>
      <c r="D46" s="4">
        <f t="shared" si="1"/>
        <v>339.85652212510263</v>
      </c>
    </row>
    <row r="47" spans="1:4" x14ac:dyDescent="0.25">
      <c r="A47" s="6">
        <v>40</v>
      </c>
      <c r="B47" s="3">
        <f t="shared" si="0"/>
        <v>868.52456825376032</v>
      </c>
      <c r="D47" s="4">
        <f t="shared" si="1"/>
        <v>331.77773429501894</v>
      </c>
    </row>
    <row r="48" spans="1:4" x14ac:dyDescent="0.25">
      <c r="A48" s="6">
        <v>41</v>
      </c>
      <c r="B48" s="3">
        <f t="shared" si="0"/>
        <v>868.52456825376032</v>
      </c>
      <c r="D48" s="4">
        <f t="shared" si="1"/>
        <v>323.89098871969429</v>
      </c>
    </row>
    <row r="49" spans="1:4" x14ac:dyDescent="0.25">
      <c r="A49" s="6">
        <v>42</v>
      </c>
      <c r="B49" s="3">
        <f t="shared" si="0"/>
        <v>868.52456825376032</v>
      </c>
      <c r="D49" s="4">
        <f t="shared" si="1"/>
        <v>316.19172032966685</v>
      </c>
    </row>
    <row r="50" spans="1:4" x14ac:dyDescent="0.25">
      <c r="A50" s="6">
        <v>43</v>
      </c>
      <c r="B50" s="3">
        <f t="shared" si="0"/>
        <v>868.52456825376032</v>
      </c>
      <c r="D50" s="4">
        <f t="shared" si="1"/>
        <v>308.67547257252585</v>
      </c>
    </row>
    <row r="51" spans="1:4" x14ac:dyDescent="0.25">
      <c r="A51" s="6">
        <v>44</v>
      </c>
      <c r="B51" s="3">
        <f t="shared" si="0"/>
        <v>868.52456825376032</v>
      </c>
      <c r="D51" s="4">
        <f t="shared" si="1"/>
        <v>301.33789483333413</v>
      </c>
    </row>
    <row r="52" spans="1:4" x14ac:dyDescent="0.25">
      <c r="A52" s="6">
        <v>45</v>
      </c>
      <c r="B52" s="3">
        <f t="shared" si="0"/>
        <v>868.52456825376032</v>
      </c>
      <c r="D52" s="4">
        <f t="shared" si="1"/>
        <v>294.17473991637047</v>
      </c>
    </row>
    <row r="53" spans="1:4" x14ac:dyDescent="0.25">
      <c r="A53" s="6">
        <v>46</v>
      </c>
      <c r="B53" s="3">
        <f t="shared" si="0"/>
        <v>868.52456825376032</v>
      </c>
      <c r="D53" s="4">
        <f t="shared" si="1"/>
        <v>287.18186158673348</v>
      </c>
    </row>
    <row r="54" spans="1:4" x14ac:dyDescent="0.25">
      <c r="A54" s="6">
        <v>47</v>
      </c>
      <c r="B54" s="3">
        <f t="shared" si="0"/>
        <v>868.52456825376032</v>
      </c>
      <c r="D54" s="4">
        <f t="shared" si="1"/>
        <v>280.35521217038456</v>
      </c>
    </row>
    <row r="55" spans="1:4" x14ac:dyDescent="0.25">
      <c r="A55" s="6">
        <v>48</v>
      </c>
      <c r="B55" s="3">
        <f t="shared" si="0"/>
        <v>868.52456825376032</v>
      </c>
      <c r="D55" s="4">
        <f t="shared" si="1"/>
        <v>273.69084021124081</v>
      </c>
    </row>
    <row r="56" spans="1:4" x14ac:dyDescent="0.25">
      <c r="A56" s="6">
        <v>49</v>
      </c>
      <c r="B56" s="3">
        <f t="shared" si="0"/>
        <v>868.52456825376032</v>
      </c>
      <c r="D56" s="4">
        <f t="shared" si="1"/>
        <v>267.18488818396133</v>
      </c>
    </row>
    <row r="57" spans="1:4" x14ac:dyDescent="0.25">
      <c r="A57" s="6">
        <v>50</v>
      </c>
      <c r="B57" s="3">
        <f t="shared" si="0"/>
        <v>868.52456825376032</v>
      </c>
      <c r="D57" s="4">
        <f t="shared" si="1"/>
        <v>260.83359026110338</v>
      </c>
    </row>
    <row r="58" spans="1:4" x14ac:dyDescent="0.25">
      <c r="A58" s="6">
        <v>51</v>
      </c>
      <c r="B58" s="3">
        <f t="shared" si="0"/>
        <v>868.52456825376032</v>
      </c>
      <c r="D58" s="4">
        <f t="shared" si="1"/>
        <v>254.63327013335618</v>
      </c>
    </row>
    <row r="59" spans="1:4" x14ac:dyDescent="0.25">
      <c r="A59" s="6">
        <v>52</v>
      </c>
      <c r="B59" s="3">
        <f t="shared" si="0"/>
        <v>868.52456825376032</v>
      </c>
      <c r="D59" s="4">
        <f t="shared" si="1"/>
        <v>248.58033888158946</v>
      </c>
    </row>
    <row r="60" spans="1:4" x14ac:dyDescent="0.25">
      <c r="A60" s="6">
        <v>53</v>
      </c>
      <c r="B60" s="3">
        <f t="shared" si="0"/>
        <v>868.52456825376032</v>
      </c>
      <c r="D60" s="4">
        <f t="shared" si="1"/>
        <v>242.67129289948693</v>
      </c>
    </row>
    <row r="61" spans="1:4" x14ac:dyDescent="0.25">
      <c r="A61" s="6">
        <v>54</v>
      </c>
      <c r="B61" s="3">
        <f t="shared" si="0"/>
        <v>868.52456825376032</v>
      </c>
      <c r="D61" s="4">
        <f t="shared" si="1"/>
        <v>236.90271186556046</v>
      </c>
    </row>
    <row r="62" spans="1:4" x14ac:dyDescent="0.25">
      <c r="A62" s="6">
        <v>55</v>
      </c>
      <c r="B62" s="3">
        <f t="shared" si="0"/>
        <v>868.52456825376032</v>
      </c>
      <c r="D62" s="4">
        <f t="shared" si="1"/>
        <v>231.27125676337232</v>
      </c>
    </row>
    <row r="63" spans="1:4" x14ac:dyDescent="0.25">
      <c r="A63" s="6">
        <v>56</v>
      </c>
      <c r="B63" s="3">
        <f t="shared" si="0"/>
        <v>868.52456825376032</v>
      </c>
      <c r="D63" s="4">
        <f t="shared" ref="D63:D64" si="2">(B63+C63)/((1+$B$4/2)^(A63))</f>
        <v>225.77366794881854</v>
      </c>
    </row>
    <row r="64" spans="1:4" x14ac:dyDescent="0.25">
      <c r="A64" s="6">
        <v>57</v>
      </c>
      <c r="B64" s="3">
        <f t="shared" si="0"/>
        <v>868.52456825376032</v>
      </c>
      <c r="D64" s="4">
        <f t="shared" si="2"/>
        <v>220.4067632633558</v>
      </c>
    </row>
    <row r="65" spans="1:4" x14ac:dyDescent="0.25">
      <c r="A65" s="6">
        <v>58</v>
      </c>
      <c r="B65" s="3">
        <f t="shared" si="0"/>
        <v>868.52456825376032</v>
      </c>
      <c r="D65" s="4">
        <f t="shared" ref="D65" si="3">(B65+C65)/((1+$B$4/2)^(A65))</f>
        <v>215.16743619207867</v>
      </c>
    </row>
    <row r="66" spans="1:4" x14ac:dyDescent="0.25">
      <c r="A66" s="6">
        <v>59</v>
      </c>
      <c r="B66" s="3">
        <f t="shared" si="0"/>
        <v>868.52456825376032</v>
      </c>
      <c r="D66" s="4">
        <f t="shared" si="1"/>
        <v>210.05265406558178</v>
      </c>
    </row>
    <row r="67" spans="1:4" x14ac:dyDescent="0.25">
      <c r="A67" s="6">
        <v>60</v>
      </c>
      <c r="B67" s="3">
        <f t="shared" si="0"/>
        <v>868.52456825376032</v>
      </c>
      <c r="C67" s="3">
        <f>B1</f>
        <v>57901.637883584022</v>
      </c>
      <c r="D67" s="4">
        <f t="shared" si="1"/>
        <v>13875.689876608934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Intro Notes</vt:lpstr>
      <vt:lpstr>Class</vt:lpstr>
      <vt:lpstr>Class Safety Net</vt:lpstr>
      <vt:lpstr>Alternative 1</vt:lpstr>
      <vt:lpstr>Alternative 2</vt:lpstr>
      <vt:lpstr>_1_Period_Equals</vt:lpstr>
      <vt:lpstr>Amount_to_Spend</vt:lpstr>
      <vt:lpstr>Coupon_rate</vt:lpstr>
      <vt:lpstr>Face_Value</vt:lpstr>
      <vt:lpstr>Interest_rate</vt:lpstr>
      <vt:lpstr>Present_Value_T0</vt:lpstr>
      <vt:lpstr>Term</vt:lpstr>
    </vt:vector>
  </TitlesOfParts>
  <Manager/>
  <Company>Yale SOM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Antle</dc:creator>
  <cp:keywords/>
  <dc:description/>
  <cp:lastModifiedBy>Antle, Rick</cp:lastModifiedBy>
  <cp:revision/>
  <dcterms:created xsi:type="dcterms:W3CDTF">2014-02-03T04:14:12Z</dcterms:created>
  <dcterms:modified xsi:type="dcterms:W3CDTF">2026-02-03T17:26:06Z</dcterms:modified>
  <cp:category/>
  <cp:contentStatus/>
</cp:coreProperties>
</file>