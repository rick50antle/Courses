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drawings/drawing3.xml" ContentType="application/vnd.openxmlformats-officedocument.drawing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yaleedu-my.sharepoint.com/personal/rick_antle_yale_edu/Documents/Courses/ACCT270/ACCT2700-S26/WorkingFiles/"/>
    </mc:Choice>
  </mc:AlternateContent>
  <xr:revisionPtr revIDLastSave="18" documentId="13_ncr:1_{582C491C-2CEB-4111-80AD-8F0C7CF066F7}" xr6:coauthVersionLast="47" xr6:coauthVersionMax="47" xr10:uidLastSave="{DA076F4E-049B-4440-9B80-49568753FAAE}"/>
  <workbookProtection workbookAlgorithmName="SHA-512" workbookHashValue="7OAmZeE2eHAqjLTCLfE/Pv+mjUkNjwRUBKlpGZvIK2nFAqrD9nh5oDZDVjulcUNTXZYmdETGYY872jNuLyGjeg==" workbookSaltValue="6orxSYrJXv/V1cOPwbwWQA==" workbookSpinCount="100000" lockStructure="1"/>
  <bookViews>
    <workbookView xWindow="11640" yWindow="15324" windowWidth="22860" windowHeight="11388" xr2:uid="{F8DC1ECF-BF9A-4171-9ED9-D9A538614C5D}"/>
  </bookViews>
  <sheets>
    <sheet name="Instructions" sheetId="7" r:id="rId1"/>
    <sheet name="Value of Bonds at Purchase Date" sheetId="10" r:id="rId2"/>
    <sheet name="Value of Bonds 6 mos later" sheetId="5" r:id="rId3"/>
    <sheet name="Value of Bonds 1 yr later" sheetId="9" r:id="rId4"/>
    <sheet name="Ans1" sheetId="11" state="hidden" r:id="rId5"/>
    <sheet name="Interest Earned vs Coupon Pymnt" sheetId="8" r:id="rId6"/>
    <sheet name="Ans2" sheetId="12" state="hidden" r:id="rId7"/>
    <sheet name="Grading" sheetId="6" state="hidden" r:id="rId8"/>
  </sheets>
  <definedNames>
    <definedName name="_1_29_2020">'Value of Bonds at Purchase Date'!$B$1:$B$6</definedName>
    <definedName name="Amount_to_Spend">'Value of Bonds at Purchase Date'!$B$6</definedName>
    <definedName name="Coupon_rate">'Value of Bonds at Purchase Date'!$B$3</definedName>
    <definedName name="Face_Value">'Value of Bonds at Purchase Date'!$B$1</definedName>
    <definedName name="Interest_rate">'Value of Bonds at Purchase Date'!$B$5</definedName>
    <definedName name="One_Period_Equals">'Value of Bonds at Purchase Date'!$B$4</definedName>
    <definedName name="Start_date">'Value of Bonds at Purchase Date'!$B$7</definedName>
    <definedName name="Term">'Value of Bonds at Purchase Date'!$B$2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5" i="8" l="1"/>
  <c r="C15" i="12"/>
  <c r="B14" i="12"/>
  <c r="C11" i="12"/>
  <c r="B10" i="12"/>
  <c r="C7" i="12"/>
  <c r="B6" i="12"/>
  <c r="B4" i="12"/>
  <c r="B5" i="12" s="1"/>
  <c r="C3" i="12"/>
  <c r="A11" i="11"/>
  <c r="A12" i="1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10" i="11"/>
  <c r="B7" i="11"/>
  <c r="B6" i="11"/>
  <c r="B5" i="11"/>
  <c r="B4" i="11"/>
  <c r="B3" i="11"/>
  <c r="B2" i="11"/>
  <c r="E1" i="11"/>
  <c r="F9" i="11"/>
  <c r="B1" i="11"/>
  <c r="C11" i="8"/>
  <c r="C7" i="8"/>
  <c r="C3" i="8"/>
  <c r="A11" i="9"/>
  <c r="A12" i="9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10" i="9"/>
  <c r="E2" i="10"/>
  <c r="B5" i="5"/>
  <c r="B1" i="5"/>
  <c r="E1" i="9"/>
  <c r="F9" i="9"/>
  <c r="B2" i="5"/>
  <c r="B2" i="9"/>
  <c r="C13" i="5"/>
  <c r="C14" i="5"/>
  <c r="C15" i="11" s="1"/>
  <c r="E15" i="11" s="1"/>
  <c r="F15" i="11" s="1"/>
  <c r="C15" i="5"/>
  <c r="E15" i="5" s="1"/>
  <c r="C16" i="5"/>
  <c r="C17" i="11" s="1"/>
  <c r="E17" i="11" s="1"/>
  <c r="F17" i="11" s="1"/>
  <c r="C17" i="5"/>
  <c r="C18" i="9" s="1"/>
  <c r="E18" i="9" s="1"/>
  <c r="C18" i="5"/>
  <c r="C19" i="11" s="1"/>
  <c r="E19" i="11" s="1"/>
  <c r="F19" i="11" s="1"/>
  <c r="C19" i="9"/>
  <c r="E19" i="9" s="1"/>
  <c r="C19" i="5"/>
  <c r="C20" i="9" s="1"/>
  <c r="E20" i="9" s="1"/>
  <c r="C20" i="5"/>
  <c r="E20" i="5" s="1"/>
  <c r="F20" i="5" s="1"/>
  <c r="C21" i="5"/>
  <c r="E21" i="5" s="1"/>
  <c r="F21" i="5" s="1"/>
  <c r="C22" i="5"/>
  <c r="C23" i="11" s="1"/>
  <c r="E23" i="11" s="1"/>
  <c r="F23" i="11" s="1"/>
  <c r="C23" i="5"/>
  <c r="C24" i="9" s="1"/>
  <c r="E24" i="9" s="1"/>
  <c r="C24" i="5"/>
  <c r="C25" i="9"/>
  <c r="E25" i="9" s="1"/>
  <c r="C25" i="5"/>
  <c r="E25" i="5" s="1"/>
  <c r="F25" i="5" s="1"/>
  <c r="C26" i="9"/>
  <c r="E26" i="9" s="1"/>
  <c r="C26" i="5"/>
  <c r="E26" i="5" s="1"/>
  <c r="F26" i="5" s="1"/>
  <c r="C27" i="5"/>
  <c r="C28" i="11" s="1"/>
  <c r="E28" i="11" s="1"/>
  <c r="F28" i="11" s="1"/>
  <c r="C28" i="5"/>
  <c r="E28" i="5" s="1"/>
  <c r="F28" i="5" s="1"/>
  <c r="C29" i="5"/>
  <c r="E29" i="5" s="1"/>
  <c r="F29" i="5" s="1"/>
  <c r="C30" i="5"/>
  <c r="C31" i="11" s="1"/>
  <c r="E31" i="11" s="1"/>
  <c r="F31" i="11" s="1"/>
  <c r="C31" i="5"/>
  <c r="E31" i="5" s="1"/>
  <c r="F31" i="5" s="1"/>
  <c r="C32" i="5"/>
  <c r="E32" i="5" s="1"/>
  <c r="F32" i="5" s="1"/>
  <c r="C33" i="11"/>
  <c r="E33" i="11" s="1"/>
  <c r="F33" i="11" s="1"/>
  <c r="C33" i="5"/>
  <c r="C34" i="9" s="1"/>
  <c r="E34" i="9" s="1"/>
  <c r="C34" i="5"/>
  <c r="C35" i="11" s="1"/>
  <c r="E35" i="11" s="1"/>
  <c r="F35" i="11" s="1"/>
  <c r="C35" i="5"/>
  <c r="C36" i="9" s="1"/>
  <c r="E36" i="9" s="1"/>
  <c r="C36" i="5"/>
  <c r="C37" i="5"/>
  <c r="C38" i="11" s="1"/>
  <c r="E38" i="11" s="1"/>
  <c r="F38" i="11" s="1"/>
  <c r="C38" i="5"/>
  <c r="C39" i="9" s="1"/>
  <c r="E39" i="9" s="1"/>
  <c r="C39" i="5"/>
  <c r="E39" i="5" s="1"/>
  <c r="F39" i="5" s="1"/>
  <c r="C40" i="5"/>
  <c r="E40" i="5" s="1"/>
  <c r="F40" i="5" s="1"/>
  <c r="C41" i="5"/>
  <c r="C42" i="11" s="1"/>
  <c r="E42" i="11" s="1"/>
  <c r="F42" i="11" s="1"/>
  <c r="C42" i="5"/>
  <c r="C43" i="9" s="1"/>
  <c r="E43" i="9" s="1"/>
  <c r="C43" i="5"/>
  <c r="E43" i="5" s="1"/>
  <c r="F43" i="5" s="1"/>
  <c r="C44" i="5"/>
  <c r="E44" i="5" s="1"/>
  <c r="F44" i="5" s="1"/>
  <c r="C45" i="5"/>
  <c r="E45" i="5" s="1"/>
  <c r="F45" i="5" s="1"/>
  <c r="C46" i="5"/>
  <c r="E46" i="5" s="1"/>
  <c r="F46" i="5" s="1"/>
  <c r="C47" i="11"/>
  <c r="E47" i="11" s="1"/>
  <c r="F47" i="11" s="1"/>
  <c r="C47" i="5"/>
  <c r="C48" i="11" s="1"/>
  <c r="E48" i="11" s="1"/>
  <c r="F48" i="11" s="1"/>
  <c r="C48" i="5"/>
  <c r="C49" i="11" s="1"/>
  <c r="E49" i="11" s="1"/>
  <c r="F49" i="11" s="1"/>
  <c r="C49" i="5"/>
  <c r="E49" i="5" s="1"/>
  <c r="F49" i="5" s="1"/>
  <c r="C50" i="5"/>
  <c r="C51" i="11" s="1"/>
  <c r="E51" i="11" s="1"/>
  <c r="F51" i="11" s="1"/>
  <c r="C51" i="5"/>
  <c r="C52" i="9" s="1"/>
  <c r="E52" i="9" s="1"/>
  <c r="C52" i="5"/>
  <c r="E52" i="5" s="1"/>
  <c r="F52" i="5" s="1"/>
  <c r="C53" i="5"/>
  <c r="C54" i="9" s="1"/>
  <c r="E54" i="9" s="1"/>
  <c r="C54" i="5"/>
  <c r="C55" i="11" s="1"/>
  <c r="E55" i="11" s="1"/>
  <c r="F55" i="11" s="1"/>
  <c r="C55" i="5"/>
  <c r="C56" i="11" s="1"/>
  <c r="E56" i="11" s="1"/>
  <c r="F56" i="11" s="1"/>
  <c r="C56" i="5"/>
  <c r="E56" i="5" s="1"/>
  <c r="F56" i="5" s="1"/>
  <c r="C57" i="5"/>
  <c r="E57" i="5" s="1"/>
  <c r="F57" i="5" s="1"/>
  <c r="C58" i="5"/>
  <c r="C59" i="9"/>
  <c r="E59" i="9" s="1"/>
  <c r="C59" i="5"/>
  <c r="C60" i="9" s="1"/>
  <c r="E60" i="9" s="1"/>
  <c r="C60" i="5"/>
  <c r="E60" i="5"/>
  <c r="F60" i="5" s="1"/>
  <c r="C61" i="5"/>
  <c r="E61" i="5" s="1"/>
  <c r="F61" i="5" s="1"/>
  <c r="C62" i="5"/>
  <c r="C63" i="9" s="1"/>
  <c r="E63" i="9" s="1"/>
  <c r="C63" i="11"/>
  <c r="E63" i="11" s="1"/>
  <c r="F63" i="11" s="1"/>
  <c r="C63" i="5"/>
  <c r="C64" i="11" s="1"/>
  <c r="E64" i="11" s="1"/>
  <c r="F64" i="11" s="1"/>
  <c r="C64" i="5"/>
  <c r="E64" i="5" s="1"/>
  <c r="F64" i="5" s="1"/>
  <c r="C65" i="5"/>
  <c r="E65" i="5" s="1"/>
  <c r="F65" i="5" s="1"/>
  <c r="C66" i="5"/>
  <c r="E66" i="5" s="1"/>
  <c r="F66" i="5" s="1"/>
  <c r="C67" i="5"/>
  <c r="C68" i="11" s="1"/>
  <c r="E68" i="11" s="1"/>
  <c r="F68" i="11" s="1"/>
  <c r="C68" i="5"/>
  <c r="C69" i="9" s="1"/>
  <c r="E69" i="9" s="1"/>
  <c r="C69" i="5"/>
  <c r="C70" i="9" s="1"/>
  <c r="D70" i="5"/>
  <c r="D70" i="9" s="1"/>
  <c r="C12" i="5"/>
  <c r="C13" i="9" s="1"/>
  <c r="E13" i="9" s="1"/>
  <c r="E13" i="5"/>
  <c r="F13" i="5" s="1"/>
  <c r="E14" i="5"/>
  <c r="F14" i="5" s="1"/>
  <c r="E16" i="5"/>
  <c r="F16" i="5" s="1"/>
  <c r="E34" i="5"/>
  <c r="F34" i="5" s="1"/>
  <c r="E36" i="5"/>
  <c r="F36" i="5"/>
  <c r="E38" i="5"/>
  <c r="F38" i="5" s="1"/>
  <c r="E47" i="5"/>
  <c r="F47" i="5" s="1"/>
  <c r="E62" i="5"/>
  <c r="F62" i="5" s="1"/>
  <c r="C70" i="5"/>
  <c r="E70" i="5" s="1"/>
  <c r="F70" i="5" s="1"/>
  <c r="B4" i="8"/>
  <c r="B5" i="8"/>
  <c r="B6" i="8"/>
  <c r="B7" i="9"/>
  <c r="B7" i="5"/>
  <c r="C12" i="10"/>
  <c r="E12" i="10" s="1"/>
  <c r="F12" i="10" s="1"/>
  <c r="C13" i="10"/>
  <c r="E13" i="10" s="1"/>
  <c r="F13" i="10" s="1"/>
  <c r="C14" i="10"/>
  <c r="E14" i="10" s="1"/>
  <c r="F14" i="10" s="1"/>
  <c r="C15" i="10"/>
  <c r="E15" i="10" s="1"/>
  <c r="F15" i="10" s="1"/>
  <c r="C16" i="10"/>
  <c r="E16" i="10" s="1"/>
  <c r="F16" i="10" s="1"/>
  <c r="C17" i="10"/>
  <c r="E17" i="10" s="1"/>
  <c r="F17" i="10" s="1"/>
  <c r="C18" i="10"/>
  <c r="E18" i="10" s="1"/>
  <c r="F18" i="10" s="1"/>
  <c r="C19" i="10"/>
  <c r="E19" i="10"/>
  <c r="F19" i="10" s="1"/>
  <c r="C20" i="10"/>
  <c r="E20" i="10" s="1"/>
  <c r="F20" i="10" s="1"/>
  <c r="C21" i="10"/>
  <c r="E21" i="10" s="1"/>
  <c r="F21" i="10" s="1"/>
  <c r="C22" i="10"/>
  <c r="E22" i="10" s="1"/>
  <c r="F22" i="10" s="1"/>
  <c r="C23" i="10"/>
  <c r="E23" i="10" s="1"/>
  <c r="F23" i="10" s="1"/>
  <c r="C24" i="10"/>
  <c r="E24" i="10" s="1"/>
  <c r="F24" i="10" s="1"/>
  <c r="C25" i="10"/>
  <c r="E25" i="10" s="1"/>
  <c r="F25" i="10" s="1"/>
  <c r="C26" i="10"/>
  <c r="E26" i="10" s="1"/>
  <c r="F26" i="10" s="1"/>
  <c r="C27" i="10"/>
  <c r="E27" i="10"/>
  <c r="F27" i="10" s="1"/>
  <c r="C28" i="10"/>
  <c r="E28" i="10" s="1"/>
  <c r="F28" i="10" s="1"/>
  <c r="C29" i="10"/>
  <c r="E29" i="10" s="1"/>
  <c r="F29" i="10" s="1"/>
  <c r="C30" i="10"/>
  <c r="E30" i="10"/>
  <c r="F30" i="10" s="1"/>
  <c r="C31" i="10"/>
  <c r="E31" i="10" s="1"/>
  <c r="F31" i="10" s="1"/>
  <c r="C32" i="10"/>
  <c r="E32" i="10" s="1"/>
  <c r="F32" i="10" s="1"/>
  <c r="C33" i="10"/>
  <c r="E33" i="10" s="1"/>
  <c r="F33" i="10" s="1"/>
  <c r="C34" i="10"/>
  <c r="E34" i="10" s="1"/>
  <c r="F34" i="10" s="1"/>
  <c r="C35" i="10"/>
  <c r="E35" i="10" s="1"/>
  <c r="F35" i="10" s="1"/>
  <c r="C36" i="10"/>
  <c r="E36" i="10" s="1"/>
  <c r="F36" i="10" s="1"/>
  <c r="C37" i="10"/>
  <c r="E37" i="10" s="1"/>
  <c r="F37" i="10" s="1"/>
  <c r="C38" i="10"/>
  <c r="E38" i="10" s="1"/>
  <c r="F38" i="10" s="1"/>
  <c r="C39" i="10"/>
  <c r="E39" i="10" s="1"/>
  <c r="F39" i="10" s="1"/>
  <c r="C40" i="10"/>
  <c r="E40" i="10"/>
  <c r="F40" i="10" s="1"/>
  <c r="C41" i="10"/>
  <c r="E41" i="10"/>
  <c r="F41" i="10" s="1"/>
  <c r="C42" i="10"/>
  <c r="E42" i="10" s="1"/>
  <c r="F42" i="10" s="1"/>
  <c r="C43" i="10"/>
  <c r="E43" i="10" s="1"/>
  <c r="F43" i="10" s="1"/>
  <c r="C44" i="10"/>
  <c r="E44" i="10" s="1"/>
  <c r="F44" i="10" s="1"/>
  <c r="C45" i="10"/>
  <c r="E45" i="10" s="1"/>
  <c r="F45" i="10" s="1"/>
  <c r="C46" i="10"/>
  <c r="E46" i="10"/>
  <c r="F46" i="10" s="1"/>
  <c r="C47" i="10"/>
  <c r="E47" i="10" s="1"/>
  <c r="F47" i="10" s="1"/>
  <c r="C48" i="10"/>
  <c r="E48" i="10" s="1"/>
  <c r="F48" i="10" s="1"/>
  <c r="C49" i="10"/>
  <c r="E49" i="10" s="1"/>
  <c r="F49" i="10" s="1"/>
  <c r="C50" i="10"/>
  <c r="E50" i="10" s="1"/>
  <c r="F50" i="10" s="1"/>
  <c r="C51" i="10"/>
  <c r="E51" i="10" s="1"/>
  <c r="F51" i="10" s="1"/>
  <c r="C52" i="10"/>
  <c r="E52" i="10"/>
  <c r="F52" i="10" s="1"/>
  <c r="C53" i="10"/>
  <c r="E53" i="10" s="1"/>
  <c r="F53" i="10" s="1"/>
  <c r="C54" i="10"/>
  <c r="E54" i="10" s="1"/>
  <c r="F54" i="10" s="1"/>
  <c r="C55" i="10"/>
  <c r="E55" i="10" s="1"/>
  <c r="F55" i="10" s="1"/>
  <c r="C56" i="10"/>
  <c r="E56" i="10" s="1"/>
  <c r="F56" i="10" s="1"/>
  <c r="C57" i="10"/>
  <c r="E57" i="10" s="1"/>
  <c r="F57" i="10" s="1"/>
  <c r="C58" i="10"/>
  <c r="E58" i="10" s="1"/>
  <c r="F58" i="10" s="1"/>
  <c r="C59" i="10"/>
  <c r="E59" i="10" s="1"/>
  <c r="F59" i="10" s="1"/>
  <c r="C60" i="10"/>
  <c r="E60" i="10"/>
  <c r="F60" i="10" s="1"/>
  <c r="C61" i="10"/>
  <c r="E61" i="10" s="1"/>
  <c r="F61" i="10" s="1"/>
  <c r="C62" i="10"/>
  <c r="E62" i="10" s="1"/>
  <c r="F62" i="10" s="1"/>
  <c r="C63" i="10"/>
  <c r="E63" i="10" s="1"/>
  <c r="F63" i="10" s="1"/>
  <c r="C64" i="10"/>
  <c r="E64" i="10"/>
  <c r="F64" i="10" s="1"/>
  <c r="C65" i="10"/>
  <c r="E65" i="10"/>
  <c r="F65" i="10" s="1"/>
  <c r="C66" i="10"/>
  <c r="E66" i="10" s="1"/>
  <c r="F66" i="10" s="1"/>
  <c r="C67" i="10"/>
  <c r="E67" i="10" s="1"/>
  <c r="F67" i="10" s="1"/>
  <c r="C68" i="10"/>
  <c r="E68" i="10"/>
  <c r="F68" i="10"/>
  <c r="C69" i="10"/>
  <c r="E69" i="10" s="1"/>
  <c r="F69" i="10" s="1"/>
  <c r="C70" i="10"/>
  <c r="D70" i="10"/>
  <c r="C11" i="10"/>
  <c r="E11" i="10" s="1"/>
  <c r="A11" i="10"/>
  <c r="A12" i="10"/>
  <c r="A13" i="10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10" i="10"/>
  <c r="E2" i="5"/>
  <c r="F9" i="5"/>
  <c r="A11" i="5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10" i="5"/>
  <c r="B6" i="9"/>
  <c r="B5" i="9"/>
  <c r="B4" i="9"/>
  <c r="B3" i="9"/>
  <c r="B1" i="9"/>
  <c r="C15" i="9"/>
  <c r="E15" i="9" s="1"/>
  <c r="C33" i="9"/>
  <c r="E33" i="9" s="1"/>
  <c r="C55" i="9"/>
  <c r="E55" i="9" s="1"/>
  <c r="C41" i="11"/>
  <c r="E41" i="11" s="1"/>
  <c r="F41" i="11" s="1"/>
  <c r="C40" i="9"/>
  <c r="E40" i="9"/>
  <c r="E24" i="5"/>
  <c r="F24" i="5" s="1"/>
  <c r="C25" i="11"/>
  <c r="E25" i="11"/>
  <c r="F25" i="11" s="1"/>
  <c r="D70" i="11"/>
  <c r="C53" i="9"/>
  <c r="E53" i="9" s="1"/>
  <c r="C53" i="11"/>
  <c r="E53" i="11" s="1"/>
  <c r="F53" i="11" s="1"/>
  <c r="C69" i="11"/>
  <c r="E69" i="11" s="1"/>
  <c r="F69" i="11" s="1"/>
  <c r="E51" i="5"/>
  <c r="F51" i="5" s="1"/>
  <c r="C52" i="11"/>
  <c r="E52" i="11"/>
  <c r="F52" i="11"/>
  <c r="C37" i="9"/>
  <c r="E37" i="9" s="1"/>
  <c r="C37" i="11"/>
  <c r="E37" i="11"/>
  <c r="F37" i="11" s="1"/>
  <c r="E35" i="5"/>
  <c r="F35" i="5" s="1"/>
  <c r="C36" i="11"/>
  <c r="E36" i="11" s="1"/>
  <c r="F36" i="11" s="1"/>
  <c r="C66" i="11"/>
  <c r="E66" i="11" s="1"/>
  <c r="F66" i="11" s="1"/>
  <c r="E33" i="5"/>
  <c r="F33" i="5" s="1"/>
  <c r="C34" i="11"/>
  <c r="E34" i="11"/>
  <c r="F34" i="11" s="1"/>
  <c r="E17" i="5"/>
  <c r="F17" i="5"/>
  <c r="C18" i="11"/>
  <c r="E18" i="11"/>
  <c r="F18" i="11" s="1"/>
  <c r="E54" i="5"/>
  <c r="F54" i="5" s="1"/>
  <c r="C32" i="9"/>
  <c r="E32" i="9" s="1"/>
  <c r="C47" i="9"/>
  <c r="E47" i="9" s="1"/>
  <c r="C17" i="9"/>
  <c r="E17" i="9" s="1"/>
  <c r="C61" i="9"/>
  <c r="E61" i="9" s="1"/>
  <c r="C61" i="11"/>
  <c r="E61" i="11" s="1"/>
  <c r="F61" i="11" s="1"/>
  <c r="E50" i="5"/>
  <c r="F50" i="5" s="1"/>
  <c r="C14" i="9"/>
  <c r="E14" i="9" s="1"/>
  <c r="C14" i="11"/>
  <c r="E14" i="11" s="1"/>
  <c r="F14" i="11" s="1"/>
  <c r="E18" i="5"/>
  <c r="F18" i="5" s="1"/>
  <c r="E58" i="5"/>
  <c r="F58" i="5"/>
  <c r="C59" i="11"/>
  <c r="E59" i="11" s="1"/>
  <c r="F59" i="11" s="1"/>
  <c r="E42" i="5"/>
  <c r="F42" i="5" s="1"/>
  <c r="C43" i="11"/>
  <c r="E43" i="11" s="1"/>
  <c r="F43" i="11" s="1"/>
  <c r="C27" i="11"/>
  <c r="E27" i="11" s="1"/>
  <c r="F27" i="11" s="1"/>
  <c r="C58" i="9"/>
  <c r="E58" i="9" s="1"/>
  <c r="C27" i="9"/>
  <c r="E27" i="9" s="1"/>
  <c r="B7" i="8"/>
  <c r="B9" i="8" s="1"/>
  <c r="B11" i="8" s="1"/>
  <c r="B13" i="8" s="1"/>
  <c r="B15" i="8" s="1"/>
  <c r="F71" i="9"/>
  <c r="F1" i="9"/>
  <c r="B7" i="12" l="1"/>
  <c r="B8" i="12" s="1"/>
  <c r="B9" i="12" s="1"/>
  <c r="B11" i="12" s="1"/>
  <c r="E68" i="5"/>
  <c r="F68" i="5" s="1"/>
  <c r="E53" i="5"/>
  <c r="F53" i="5" s="1"/>
  <c r="C32" i="11"/>
  <c r="E32" i="11" s="1"/>
  <c r="F32" i="11" s="1"/>
  <c r="E55" i="5"/>
  <c r="F55" i="5" s="1"/>
  <c r="E12" i="5"/>
  <c r="F12" i="5" s="1"/>
  <c r="C50" i="9"/>
  <c r="E50" i="9" s="1"/>
  <c r="E27" i="5"/>
  <c r="F27" i="5" s="1"/>
  <c r="E48" i="5"/>
  <c r="F48" i="5" s="1"/>
  <c r="C56" i="9"/>
  <c r="E56" i="9" s="1"/>
  <c r="C66" i="9"/>
  <c r="E66" i="9" s="1"/>
  <c r="C50" i="11"/>
  <c r="E50" i="11" s="1"/>
  <c r="F50" i="11" s="1"/>
  <c r="E30" i="5"/>
  <c r="F30" i="5" s="1"/>
  <c r="C41" i="9"/>
  <c r="E41" i="9" s="1"/>
  <c r="C48" i="9"/>
  <c r="E48" i="9" s="1"/>
  <c r="C30" i="11"/>
  <c r="E30" i="11" s="1"/>
  <c r="F30" i="11" s="1"/>
  <c r="C29" i="9"/>
  <c r="E29" i="9" s="1"/>
  <c r="C30" i="9"/>
  <c r="E30" i="9" s="1"/>
  <c r="C67" i="9"/>
  <c r="E67" i="9" s="1"/>
  <c r="C39" i="11"/>
  <c r="E39" i="11" s="1"/>
  <c r="F39" i="11" s="1"/>
  <c r="E59" i="5"/>
  <c r="F59" i="5" s="1"/>
  <c r="E67" i="5"/>
  <c r="F67" i="5" s="1"/>
  <c r="C60" i="11"/>
  <c r="E60" i="11" s="1"/>
  <c r="F60" i="11" s="1"/>
  <c r="C31" i="9"/>
  <c r="E31" i="9" s="1"/>
  <c r="C45" i="11"/>
  <c r="E45" i="11" s="1"/>
  <c r="F45" i="11" s="1"/>
  <c r="C22" i="11"/>
  <c r="E22" i="11" s="1"/>
  <c r="F22" i="11" s="1"/>
  <c r="E23" i="5"/>
  <c r="F23" i="5" s="1"/>
  <c r="C28" i="9"/>
  <c r="E28" i="9" s="1"/>
  <c r="C45" i="9"/>
  <c r="E45" i="9" s="1"/>
  <c r="C22" i="9"/>
  <c r="E22" i="9" s="1"/>
  <c r="E69" i="5"/>
  <c r="F69" i="5" s="1"/>
  <c r="C40" i="11"/>
  <c r="E40" i="11" s="1"/>
  <c r="F40" i="11" s="1"/>
  <c r="C44" i="9"/>
  <c r="E44" i="9" s="1"/>
  <c r="E70" i="10"/>
  <c r="F70" i="10" s="1"/>
  <c r="C26" i="11"/>
  <c r="E26" i="11" s="1"/>
  <c r="F26" i="11" s="1"/>
  <c r="C57" i="9"/>
  <c r="E57" i="9" s="1"/>
  <c r="C70" i="11"/>
  <c r="E70" i="11" s="1"/>
  <c r="F70" i="11" s="1"/>
  <c r="C46" i="11"/>
  <c r="E46" i="11" s="1"/>
  <c r="F46" i="11" s="1"/>
  <c r="C46" i="9"/>
  <c r="E46" i="9" s="1"/>
  <c r="C20" i="11"/>
  <c r="E20" i="11" s="1"/>
  <c r="F20" i="11" s="1"/>
  <c r="C44" i="11"/>
  <c r="E44" i="11" s="1"/>
  <c r="F44" i="11" s="1"/>
  <c r="E19" i="5"/>
  <c r="F19" i="5" s="1"/>
  <c r="C65" i="9"/>
  <c r="E65" i="9" s="1"/>
  <c r="E70" i="9"/>
  <c r="C58" i="11"/>
  <c r="E58" i="11" s="1"/>
  <c r="F58" i="11" s="1"/>
  <c r="C23" i="9"/>
  <c r="E23" i="9" s="1"/>
  <c r="C21" i="11"/>
  <c r="E21" i="11" s="1"/>
  <c r="F21" i="11" s="1"/>
  <c r="C24" i="11"/>
  <c r="E24" i="11" s="1"/>
  <c r="F24" i="11" s="1"/>
  <c r="C68" i="9"/>
  <c r="E68" i="9" s="1"/>
  <c r="C62" i="11"/>
  <c r="E62" i="11" s="1"/>
  <c r="F62" i="11" s="1"/>
  <c r="C21" i="9"/>
  <c r="E21" i="9" s="1"/>
  <c r="C62" i="9"/>
  <c r="E62" i="9" s="1"/>
  <c r="C51" i="9"/>
  <c r="E51" i="9" s="1"/>
  <c r="C49" i="9"/>
  <c r="E49" i="9" s="1"/>
  <c r="E22" i="5"/>
  <c r="F22" i="5" s="1"/>
  <c r="C13" i="11"/>
  <c r="E13" i="11" s="1"/>
  <c r="F13" i="11" s="1"/>
  <c r="B12" i="12"/>
  <c r="B13" i="12" s="1"/>
  <c r="B15" i="12" s="1"/>
  <c r="F11" i="10"/>
  <c r="F15" i="5"/>
  <c r="C38" i="9"/>
  <c r="E38" i="9" s="1"/>
  <c r="C64" i="9"/>
  <c r="E64" i="9" s="1"/>
  <c r="C42" i="9"/>
  <c r="E42" i="9" s="1"/>
  <c r="C29" i="11"/>
  <c r="E29" i="11" s="1"/>
  <c r="F29" i="11" s="1"/>
  <c r="C67" i="11"/>
  <c r="E67" i="11" s="1"/>
  <c r="F67" i="11" s="1"/>
  <c r="C16" i="11"/>
  <c r="E16" i="11" s="1"/>
  <c r="F16" i="11" s="1"/>
  <c r="E41" i="5"/>
  <c r="F41" i="5" s="1"/>
  <c r="C16" i="9"/>
  <c r="E16" i="9" s="1"/>
  <c r="C65" i="11"/>
  <c r="E65" i="11" s="1"/>
  <c r="F65" i="11" s="1"/>
  <c r="E37" i="5"/>
  <c r="F37" i="5" s="1"/>
  <c r="C35" i="9"/>
  <c r="E35" i="9" s="1"/>
  <c r="C54" i="11"/>
  <c r="E54" i="11" s="1"/>
  <c r="F54" i="11" s="1"/>
  <c r="E63" i="5"/>
  <c r="F63" i="5" s="1"/>
  <c r="C57" i="11"/>
  <c r="E57" i="11" s="1"/>
  <c r="F57" i="11" s="1"/>
  <c r="F71" i="5" l="1"/>
  <c r="E71" i="9"/>
  <c r="E71" i="10"/>
  <c r="F2" i="5"/>
  <c r="E71" i="5"/>
  <c r="E71" i="11"/>
  <c r="F71" i="11"/>
  <c r="F1" i="11"/>
  <c r="F2" i="10"/>
  <c r="F71" i="10"/>
</calcChain>
</file>

<file path=xl/sharedStrings.xml><?xml version="1.0" encoding="utf-8"?>
<sst xmlns="http://schemas.openxmlformats.org/spreadsheetml/2006/main" count="1214" uniqueCount="181">
  <si>
    <t>Term</t>
  </si>
  <si>
    <t>years</t>
  </si>
  <si>
    <t>Coupon</t>
  </si>
  <si>
    <t>Face</t>
  </si>
  <si>
    <t>Time</t>
  </si>
  <si>
    <t>Total Cash Flow</t>
  </si>
  <si>
    <t>PV of cash flow</t>
  </si>
  <si>
    <t>Face_Value</t>
  </si>
  <si>
    <t>Coupon_rate</t>
  </si>
  <si>
    <t>Amount_to_Spend</t>
  </si>
  <si>
    <t>Interest_rate</t>
  </si>
  <si>
    <t>Total</t>
  </si>
  <si>
    <t>One_Period_Equals</t>
  </si>
  <si>
    <t>Paid</t>
  </si>
  <si>
    <t>ProblemType</t>
  </si>
  <si>
    <t>WorksheetName</t>
  </si>
  <si>
    <t>Range</t>
  </si>
  <si>
    <t>Comparison</t>
  </si>
  <si>
    <t>Grade</t>
  </si>
  <si>
    <t>IncorrectFeedback</t>
  </si>
  <si>
    <t>CorrectFeedback</t>
  </si>
  <si>
    <t>CELL</t>
  </si>
  <si>
    <t>Got it!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</si>
  <si>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</si>
  <si>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</si>
  <si>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</si>
  <si>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</si>
  <si>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</si>
  <si>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</si>
  <si>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</si>
  <si>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</si>
  <si>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</si>
  <si>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</si>
  <si>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</si>
  <si>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</si>
  <si>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</si>
  <si>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</si>
  <si>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</si>
  <si>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</si>
  <si>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</si>
  <si>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</si>
  <si>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</si>
  <si>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</si>
  <si>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</si>
  <si>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</si>
  <si>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</si>
  <si>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</si>
  <si>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</si>
  <si>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</si>
  <si>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</si>
  <si>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</si>
  <si>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</si>
  <si>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</si>
  <si>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</si>
  <si>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</si>
  <si>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</si>
  <si>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</si>
  <si>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</si>
  <si>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</si>
  <si>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</si>
  <si>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</si>
  <si>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</si>
  <si>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</si>
  <si>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</si>
  <si>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</si>
  <si>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</si>
  <si>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</si>
  <si>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</si>
  <si>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</si>
  <si>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</si>
  <si>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</si>
  <si>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</si>
  <si>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</si>
  <si>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</si>
  <si>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</si>
  <si>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</si>
  <si>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</si>
  <si>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</si>
  <si>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</si>
  <si>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</si>
  <si>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</si>
  <si>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Incorrect Face Value</t>
  </si>
  <si>
    <t>Incorrect coupon payment</t>
  </si>
  <si>
    <t>Amount of initial loan to US Government</t>
  </si>
  <si>
    <t>Total amount owed by US Gov't immediately after the 2nd coupon payment</t>
  </si>
  <si>
    <t>Total amount owed by US Gov't immediately before the 3rd coupon payment</t>
  </si>
  <si>
    <t>Total amount owed by US Gov't immediately after the 3rd coupon payment</t>
  </si>
  <si>
    <t>Date</t>
  </si>
  <si>
    <t>Start_date</t>
  </si>
  <si>
    <t>PV at Date</t>
  </si>
  <si>
    <t>Can you see the pattern of the calculations?</t>
  </si>
  <si>
    <t>YES</t>
  </si>
  <si>
    <t>Value of bonds immediately before the 1st coupon payment</t>
  </si>
  <si>
    <t>Value of bonds immediately before the 2nd coupon payment</t>
  </si>
  <si>
    <t>Value of bonds immediately after the 1st payment</t>
  </si>
  <si>
    <t>Value of Bonds 6 mos later</t>
  </si>
  <si>
    <t>F2</t>
  </si>
  <si>
    <t>C70</t>
  </si>
  <si>
    <t>D70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</si>
  <si>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</si>
  <si>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</si>
  <si>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</si>
  <si>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</si>
  <si>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</si>
  <si>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</si>
  <si>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</si>
  <si>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</si>
  <si>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</si>
  <si>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</si>
  <si>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</si>
  <si>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</si>
  <si>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</si>
  <si>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</si>
  <si>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</si>
  <si>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</si>
  <si>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</si>
  <si>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</si>
  <si>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</si>
  <si>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</si>
  <si>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</si>
  <si>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</si>
  <si>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</si>
  <si>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</si>
  <si>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</si>
  <si>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</si>
  <si>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</si>
  <si>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</si>
  <si>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</si>
  <si>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</si>
  <si>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</si>
  <si>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</si>
  <si>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</si>
  <si>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</si>
  <si>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</si>
  <si>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</si>
  <si>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</si>
  <si>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</si>
  <si>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</si>
  <si>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</si>
  <si>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</si>
  <si>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</si>
  <si>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</si>
  <si>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</si>
  <si>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</si>
  <si>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</si>
  <si>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</si>
  <si>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</si>
  <si>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</si>
  <si>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</si>
  <si>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</si>
  <si>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</si>
  <si>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</si>
  <si>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</si>
  <si>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</si>
  <si>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</si>
  <si>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</si>
  <si>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</si>
  <si>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</si>
  <si>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Incorrect present value of payment</t>
  </si>
  <si>
    <t>Incorrect PV</t>
  </si>
  <si>
    <t>Value of Bonds 1 yr later</t>
  </si>
  <si>
    <r>
      <rPr>
        <b/>
        <sz val="12"/>
        <color theme="1"/>
        <rFont val="Calibri"/>
        <family val="2"/>
        <scheme val="minor"/>
      </rPr>
      <t>Interest</t>
    </r>
    <r>
      <rPr>
        <sz val="12"/>
        <color theme="1"/>
        <rFont val="Calibri"/>
        <family val="2"/>
        <scheme val="minor"/>
      </rPr>
      <t xml:space="preserve"> over 1st 6 months</t>
    </r>
  </si>
  <si>
    <r>
      <t xml:space="preserve">1st  </t>
    </r>
    <r>
      <rPr>
        <b/>
        <sz val="12"/>
        <color rgb="FFFF0000"/>
        <rFont val="Calibri"/>
        <family val="2"/>
        <scheme val="minor"/>
      </rPr>
      <t>Coupon Payment</t>
    </r>
  </si>
  <si>
    <r>
      <t xml:space="preserve">2nd </t>
    </r>
    <r>
      <rPr>
        <b/>
        <sz val="12"/>
        <color rgb="FFFF0000"/>
        <rFont val="Calibri"/>
        <family val="2"/>
        <scheme val="minor"/>
      </rPr>
      <t>Coupon Payment</t>
    </r>
  </si>
  <si>
    <r>
      <t xml:space="preserve">3rd </t>
    </r>
    <r>
      <rPr>
        <b/>
        <sz val="12"/>
        <color rgb="FFFF0000"/>
        <rFont val="Calibri"/>
        <family val="2"/>
        <scheme val="minor"/>
      </rPr>
      <t>Coupon Payment</t>
    </r>
  </si>
  <si>
    <r>
      <rPr>
        <b/>
        <sz val="12"/>
        <color theme="1"/>
        <rFont val="Calibri"/>
        <family val="2"/>
        <scheme val="minor"/>
      </rPr>
      <t>Interest</t>
    </r>
    <r>
      <rPr>
        <sz val="12"/>
        <color theme="1"/>
        <rFont val="Calibri"/>
        <family val="2"/>
        <scheme val="minor"/>
      </rPr>
      <t xml:space="preserve"> over 2nd 6 months</t>
    </r>
  </si>
  <si>
    <r>
      <rPr>
        <b/>
        <sz val="12"/>
        <color theme="1"/>
        <rFont val="Calibri"/>
        <family val="2"/>
        <scheme val="minor"/>
      </rPr>
      <t>Interest</t>
    </r>
    <r>
      <rPr>
        <sz val="12"/>
        <color theme="1"/>
        <rFont val="Calibri"/>
        <family val="2"/>
        <scheme val="minor"/>
      </rPr>
      <t xml:space="preserve"> over 3rd 6 months</t>
    </r>
  </si>
  <si>
    <t>B8</t>
  </si>
  <si>
    <t>B10</t>
  </si>
  <si>
    <t>B12</t>
  </si>
  <si>
    <t>B14</t>
  </si>
  <si>
    <t>Incorrect interest</t>
  </si>
  <si>
    <t>Interest Earned vs Coupon Pymnt</t>
  </si>
  <si>
    <t>B16</t>
  </si>
  <si>
    <t>See TA or Instructor</t>
  </si>
  <si>
    <t>GREAT!</t>
  </si>
  <si>
    <t>Compounded semi-annually</t>
  </si>
  <si>
    <t>Paid semi-annually</t>
  </si>
  <si>
    <t>years remaining</t>
  </si>
  <si>
    <t>F1</t>
  </si>
  <si>
    <t>MOEValue(0.1)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</si>
</sst>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;;;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3">
    <xf numFmtId="0" fontId="0" fillId="0" borderId="0" xfId="0"/>
    <xf numFmtId="10" fontId="0" fillId="0" borderId="0" xfId="0" applyNumberFormat="1"/>
    <xf numFmtId="6" fontId="0" fillId="0" borderId="0" xfId="0" applyNumberFormat="1"/>
    <xf numFmtId="0" fontId="2" fillId="0" borderId="1" xfId="0" applyFont="1" applyBorder="1" applyAlignment="1">
      <alignment horizontal="center"/>
    </xf>
    <xf numFmtId="0" fontId="2" fillId="0" borderId="0" xfId="0" applyFont="1"/>
    <xf numFmtId="44" fontId="0" fillId="0" borderId="0" xfId="1" applyFont="1"/>
    <xf numFmtId="44" fontId="0" fillId="0" borderId="2" xfId="1" applyFont="1" applyBorder="1"/>
    <xf numFmtId="8" fontId="0" fillId="0" borderId="0" xfId="0" applyNumberFormat="1"/>
    <xf numFmtId="0" fontId="3" fillId="0" borderId="0" xfId="2"/>
    <xf numFmtId="44" fontId="0" fillId="0" borderId="0" xfId="1" applyFont="1" applyAlignment="1">
      <alignment horizontal="center"/>
    </xf>
    <xf numFmtId="44" fontId="0" fillId="2" borderId="0" xfId="0" applyNumberFormat="1" applyFill="1"/>
    <xf numFmtId="44" fontId="0" fillId="0" borderId="0" xfId="1" applyFont="1" applyFill="1"/>
    <xf numFmtId="0" fontId="4" fillId="0" borderId="1" xfId="0" applyFont="1" applyBorder="1" applyAlignment="1">
      <alignment horizontal="center"/>
    </xf>
    <xf numFmtId="44" fontId="0" fillId="3" borderId="0" xfId="1" applyFont="1" applyFill="1" applyProtection="1">
      <protection locked="0"/>
    </xf>
    <xf numFmtId="15" fontId="0" fillId="0" borderId="0" xfId="0" applyNumberFormat="1"/>
    <xf numFmtId="14" fontId="0" fillId="0" borderId="0" xfId="0" applyNumberFormat="1"/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3" borderId="0" xfId="0" applyFont="1" applyFill="1" applyAlignment="1">
      <alignment horizontal="center"/>
    </xf>
    <xf numFmtId="44" fontId="0" fillId="4" borderId="0" xfId="0" applyNumberFormat="1" applyFill="1"/>
    <xf numFmtId="44" fontId="0" fillId="4" borderId="0" xfId="1" applyFont="1" applyFill="1" applyProtection="1">
      <protection locked="0"/>
    </xf>
    <xf numFmtId="44" fontId="0" fillId="4" borderId="0" xfId="1" applyFont="1" applyFill="1" applyProtection="1"/>
    <xf numFmtId="44" fontId="0" fillId="3" borderId="3" xfId="1" applyFont="1" applyFill="1" applyBorder="1"/>
    <xf numFmtId="44" fontId="0" fillId="0" borderId="4" xfId="0" applyNumberFormat="1" applyBorder="1"/>
    <xf numFmtId="44" fontId="0" fillId="4" borderId="0" xfId="1" applyFont="1" applyFill="1"/>
    <xf numFmtId="44" fontId="0" fillId="4" borderId="3" xfId="0" applyNumberFormat="1" applyFill="1" applyBorder="1"/>
    <xf numFmtId="44" fontId="0" fillId="2" borderId="0" xfId="1" applyFont="1" applyFill="1"/>
    <xf numFmtId="44" fontId="0" fillId="0" borderId="0" xfId="1" applyFont="1" applyProtection="1"/>
    <xf numFmtId="14" fontId="2" fillId="0" borderId="0" xfId="0" applyNumberFormat="1" applyFont="1"/>
    <xf numFmtId="0" fontId="0" fillId="0" borderId="1" xfId="0" applyBorder="1" applyAlignment="1">
      <alignment horizontal="center"/>
    </xf>
    <xf numFmtId="164" fontId="0" fillId="0" borderId="0" xfId="0" applyNumberFormat="1" applyProtection="1">
      <protection locked="0"/>
    </xf>
    <xf numFmtId="44" fontId="0" fillId="3" borderId="3" xfId="1" applyFont="1" applyFill="1" applyBorder="1" applyProtection="1">
      <protection locked="0"/>
    </xf>
    <xf numFmtId="0" fontId="2" fillId="3" borderId="0" xfId="0" applyFont="1" applyFill="1" applyAlignment="1" applyProtection="1">
      <alignment horizontal="center"/>
      <protection locked="0"/>
    </xf>
  </cellXfs>
  <cellStyles count="3">
    <cellStyle name="Currency" xfId="1" builtinId="4"/>
    <cellStyle name="Hyperlink" xfId="2" builtinId="8"/>
    <cellStyle name="Normal" xfId="0" builtinId="0"/>
  </cellStyles>
  <dxfs count="6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fmlaLink="$F$6" lockText="1" noThreeD="1"/>
</file>

<file path=xl/ctrlProps/ctrlProp2.xml><?xml version="1.0" encoding="utf-8"?>
<formControlPr xmlns="http://schemas.microsoft.com/office/spreadsheetml/2009/9/main" objectType="CheckBox" fmlaLink="$B$18" lockText="1" noThreeD="1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390525</xdr:colOff>
      <xdr:row>2</xdr:row>
      <xdr:rowOff>57150</xdr:rowOff>
    </xdr:from>
    <xdr:ext cx="9432903" cy="876681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390525" y="453390"/>
          <a:ext cx="9432903" cy="8766810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2000"/>
            <a:t>Calculate the value of 165 Whitney Associates</a:t>
          </a:r>
        </a:p>
        <a:p>
          <a:r>
            <a:rPr lang="en-US" sz="2000"/>
            <a:t>U.S. Government Bonds as of the End of Day (EOD) at </a:t>
          </a:r>
        </a:p>
        <a:p>
          <a:r>
            <a:rPr lang="en-US" sz="2000"/>
            <a:t>various times after it was purchased. </a:t>
          </a:r>
        </a:p>
        <a:p>
          <a:endParaRPr lang="en-US" sz="2000"/>
        </a:p>
        <a:p>
          <a:r>
            <a:rPr lang="en-US" sz="2000"/>
            <a:t>The first tab gives the value of the bond on the date</a:t>
          </a:r>
        </a:p>
        <a:p>
          <a:r>
            <a:rPr lang="en-US" sz="2000"/>
            <a:t>of purchase.</a:t>
          </a:r>
        </a:p>
        <a:p>
          <a:endParaRPr lang="en-US" sz="2000"/>
        </a:p>
        <a:p>
          <a:r>
            <a:rPr lang="en-US" sz="2000"/>
            <a:t>The tab 'Value of Bonds 6 mos later' gives the value of the bond 6 months after purchase</a:t>
          </a:r>
        </a:p>
        <a:p>
          <a:r>
            <a:rPr lang="en-US" sz="2000"/>
            <a:t>(You did this in 165WA_1):</a:t>
          </a:r>
        </a:p>
        <a:p>
          <a:endParaRPr lang="en-US" sz="2000"/>
        </a:p>
        <a:p>
          <a:r>
            <a:rPr lang="en-US" sz="2000"/>
            <a:t>	Note that the first coupon payment has been</a:t>
          </a:r>
        </a:p>
        <a:p>
          <a:r>
            <a:rPr lang="en-US" sz="2000"/>
            <a:t>	made, so there are 59 more to be received.</a:t>
          </a:r>
        </a:p>
        <a:p>
          <a:r>
            <a:rPr lang="en-US" sz="2000"/>
            <a:t>	Also, the Face Value payment is 6 months closer.</a:t>
          </a:r>
        </a:p>
        <a:p>
          <a:endParaRPr lang="en-US" sz="2000"/>
        </a:p>
        <a:p>
          <a:r>
            <a:rPr lang="en-US" sz="2000"/>
            <a:t>The set up on the tab 'Value of Bonds 1 year later' should be</a:t>
          </a:r>
        </a:p>
        <a:p>
          <a:r>
            <a:rPr lang="en-US" sz="2000"/>
            <a:t>used to calculate the value of the bond 12 months after</a:t>
          </a:r>
        </a:p>
        <a:p>
          <a:r>
            <a:rPr lang="en-US" sz="2000"/>
            <a:t>purchase:</a:t>
          </a:r>
        </a:p>
        <a:p>
          <a:endParaRPr lang="en-US" sz="2000"/>
        </a:p>
        <a:p>
          <a:r>
            <a:rPr lang="en-US" sz="2000"/>
            <a:t>	Note that the first and second coupon payments</a:t>
          </a:r>
        </a:p>
        <a:p>
          <a:r>
            <a:rPr lang="en-US" sz="2000"/>
            <a:t>	have been made, so there are 58 more to be received.</a:t>
          </a:r>
        </a:p>
        <a:p>
          <a:r>
            <a:rPr lang="en-US" sz="2000"/>
            <a:t>	Also, the Face Value payment is 6 months closer.</a:t>
          </a:r>
        </a:p>
        <a:p>
          <a:endParaRPr lang="en-US" sz="2000"/>
        </a:p>
        <a:p>
          <a:r>
            <a:rPr lang="en-US" sz="2000"/>
            <a:t>The</a:t>
          </a:r>
          <a:r>
            <a:rPr lang="en-US" sz="2000" baseline="0"/>
            <a:t> tab 'Interest Earned vs Coupon Pymnt' asks you to walk through a few steps </a:t>
          </a:r>
        </a:p>
        <a:p>
          <a:r>
            <a:rPr lang="en-US" sz="2000" baseline="0"/>
            <a:t>comparing the cash received and the interest earned. </a:t>
          </a:r>
          <a:endParaRPr lang="en-US" sz="2000"/>
        </a:p>
        <a:p>
          <a:endParaRPr lang="en-US" sz="2800" baseline="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57150</xdr:colOff>
          <xdr:row>4</xdr:row>
          <xdr:rowOff>190500</xdr:rowOff>
        </xdr:from>
        <xdr:to>
          <xdr:col>5</xdr:col>
          <xdr:colOff>1181100</xdr:colOff>
          <xdr:row>6</xdr:row>
          <xdr:rowOff>19050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Your Answer</a:t>
              </a:r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333375</xdr:colOff>
          <xdr:row>16</xdr:row>
          <xdr:rowOff>171450</xdr:rowOff>
        </xdr:from>
        <xdr:to>
          <xdr:col>3</xdr:col>
          <xdr:colOff>60960</xdr:colOff>
          <xdr:row>17</xdr:row>
          <xdr:rowOff>198120</xdr:rowOff>
        </xdr:to>
        <xdr:sp macro="" textlink="">
          <xdr:nvSpPr>
            <xdr:cNvPr id="5123" name="Check Box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5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your answers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AFAAA-BCEA-4738-8ABC-EC7D325851F7}">
  <dimension ref="A1"/>
  <sheetViews>
    <sheetView tabSelected="1" workbookViewId="0"/>
  </sheetViews>
  <sheetFormatPr defaultRowHeight="15.7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4C329-F798-4C6B-B573-F7F1B1B61FB8}">
  <dimension ref="A1:G72"/>
  <sheetViews>
    <sheetView zoomScale="115" zoomScaleNormal="115" workbookViewId="0">
      <selection activeCell="B6" sqref="B6"/>
    </sheetView>
  </sheetViews>
  <sheetFormatPr defaultColWidth="11" defaultRowHeight="15.75" x14ac:dyDescent="0.25"/>
  <cols>
    <col min="1" max="1" width="26.375" bestFit="1" customWidth="1"/>
    <col min="4" max="4" width="11.5" bestFit="1" customWidth="1"/>
    <col min="5" max="5" width="13.875" bestFit="1" customWidth="1"/>
    <col min="6" max="6" width="14.375" customWidth="1"/>
  </cols>
  <sheetData>
    <row r="1" spans="1:7" ht="16.5" thickBot="1" x14ac:dyDescent="0.3">
      <c r="A1" s="4" t="s">
        <v>7</v>
      </c>
      <c r="B1" s="7">
        <v>57901.64</v>
      </c>
      <c r="E1" s="3" t="s">
        <v>87</v>
      </c>
      <c r="F1" s="3" t="s">
        <v>89</v>
      </c>
      <c r="G1" s="8"/>
    </row>
    <row r="2" spans="1:7" x14ac:dyDescent="0.25">
      <c r="A2" s="4" t="s">
        <v>0</v>
      </c>
      <c r="B2">
        <v>30</v>
      </c>
      <c r="C2" t="s">
        <v>1</v>
      </c>
      <c r="E2" s="17">
        <f>Start_date</f>
        <v>46055</v>
      </c>
      <c r="F2" s="19">
        <f>SUM(F11:F70)</f>
        <v>50000.001827595937</v>
      </c>
    </row>
    <row r="3" spans="1:7" x14ac:dyDescent="0.25">
      <c r="A3" s="4" t="s">
        <v>8</v>
      </c>
      <c r="B3" s="1">
        <v>0.04</v>
      </c>
      <c r="C3" t="s">
        <v>177</v>
      </c>
    </row>
    <row r="4" spans="1:7" x14ac:dyDescent="0.25">
      <c r="A4" s="4" t="s">
        <v>12</v>
      </c>
      <c r="B4">
        <v>0.5</v>
      </c>
      <c r="C4" t="s">
        <v>1</v>
      </c>
    </row>
    <row r="5" spans="1:7" x14ac:dyDescent="0.25">
      <c r="A5" s="4" t="s">
        <v>10</v>
      </c>
      <c r="B5" s="1">
        <v>4.87E-2</v>
      </c>
      <c r="C5" t="s">
        <v>176</v>
      </c>
    </row>
    <row r="6" spans="1:7" x14ac:dyDescent="0.25">
      <c r="A6" s="4" t="s">
        <v>9</v>
      </c>
      <c r="B6" s="2">
        <v>50000</v>
      </c>
    </row>
    <row r="7" spans="1:7" x14ac:dyDescent="0.25">
      <c r="A7" s="4" t="s">
        <v>88</v>
      </c>
      <c r="B7" s="15">
        <v>46055</v>
      </c>
    </row>
    <row r="9" spans="1:7" ht="16.5" thickBot="1" x14ac:dyDescent="0.3">
      <c r="A9" s="3" t="s">
        <v>87</v>
      </c>
      <c r="B9" s="3" t="s">
        <v>4</v>
      </c>
      <c r="C9" s="3" t="s">
        <v>2</v>
      </c>
      <c r="D9" s="3" t="s">
        <v>3</v>
      </c>
      <c r="E9" s="3" t="s">
        <v>5</v>
      </c>
      <c r="F9" s="3" t="s">
        <v>6</v>
      </c>
    </row>
    <row r="10" spans="1:7" x14ac:dyDescent="0.25">
      <c r="A10" s="14">
        <f>Start_date</f>
        <v>46055</v>
      </c>
      <c r="B10">
        <v>0</v>
      </c>
    </row>
    <row r="11" spans="1:7" x14ac:dyDescent="0.25">
      <c r="A11" s="14">
        <f>EDATE(Start_date,6)</f>
        <v>46236</v>
      </c>
      <c r="B11">
        <v>1</v>
      </c>
      <c r="C11" s="20">
        <f t="shared" ref="C11:C43" si="0">Face_Value*Coupon_rate/2</f>
        <v>1158.0328</v>
      </c>
      <c r="D11" s="5"/>
      <c r="E11" s="5">
        <f>SUM(C11:D11)</f>
        <v>1158.0328</v>
      </c>
      <c r="F11" s="20">
        <f t="shared" ref="F11:F42" si="1">E11/(1+Interest_rate/2)^(B11-0)</f>
        <v>1130.5050031727435</v>
      </c>
    </row>
    <row r="12" spans="1:7" x14ac:dyDescent="0.25">
      <c r="A12" s="14">
        <f>EDATE(A11,6)</f>
        <v>46420</v>
      </c>
      <c r="B12">
        <v>2</v>
      </c>
      <c r="C12" s="20">
        <f t="shared" si="0"/>
        <v>1158.0328</v>
      </c>
      <c r="D12" s="11"/>
      <c r="E12" s="5">
        <f>SUM(C12:D12)</f>
        <v>1158.0328</v>
      </c>
      <c r="F12" s="20">
        <f t="shared" si="1"/>
        <v>1103.6315743376222</v>
      </c>
    </row>
    <row r="13" spans="1:7" x14ac:dyDescent="0.25">
      <c r="A13" s="14">
        <f t="shared" ref="A13:A70" si="2">EDATE(A12,6)</f>
        <v>46601</v>
      </c>
      <c r="B13">
        <v>3</v>
      </c>
      <c r="C13" s="20">
        <f t="shared" si="0"/>
        <v>1158.0328</v>
      </c>
      <c r="D13" s="11"/>
      <c r="E13" s="5">
        <f t="shared" ref="E13:E70" si="3">SUM(C13:D13)</f>
        <v>1158.0328</v>
      </c>
      <c r="F13" s="20">
        <f t="shared" si="1"/>
        <v>1077.3969584005683</v>
      </c>
    </row>
    <row r="14" spans="1:7" x14ac:dyDescent="0.25">
      <c r="A14" s="14">
        <f t="shared" si="2"/>
        <v>46785</v>
      </c>
      <c r="B14">
        <v>4</v>
      </c>
      <c r="C14" s="20">
        <f t="shared" si="0"/>
        <v>1158.0328</v>
      </c>
      <c r="D14" s="11"/>
      <c r="E14" s="5">
        <f t="shared" si="3"/>
        <v>1158.0328</v>
      </c>
      <c r="F14" s="20">
        <f t="shared" si="1"/>
        <v>1051.7859700303297</v>
      </c>
    </row>
    <row r="15" spans="1:7" x14ac:dyDescent="0.25">
      <c r="A15" s="14">
        <f t="shared" si="2"/>
        <v>46967</v>
      </c>
      <c r="B15">
        <v>5</v>
      </c>
      <c r="C15" s="20">
        <f t="shared" si="0"/>
        <v>1158.0328</v>
      </c>
      <c r="D15" s="11"/>
      <c r="E15" s="5">
        <f t="shared" si="3"/>
        <v>1158.0328</v>
      </c>
      <c r="F15" s="20">
        <f t="shared" si="1"/>
        <v>1026.7837848687748</v>
      </c>
    </row>
    <row r="16" spans="1:7" x14ac:dyDescent="0.25">
      <c r="A16" s="14">
        <f t="shared" si="2"/>
        <v>47151</v>
      </c>
      <c r="B16">
        <v>6</v>
      </c>
      <c r="C16" s="20">
        <f t="shared" si="0"/>
        <v>1158.0328</v>
      </c>
      <c r="D16" s="11"/>
      <c r="E16" s="5">
        <f t="shared" si="3"/>
        <v>1158.0328</v>
      </c>
      <c r="F16" s="20">
        <f t="shared" si="1"/>
        <v>1002.3759309501388</v>
      </c>
    </row>
    <row r="17" spans="1:6" x14ac:dyDescent="0.25">
      <c r="A17" s="14">
        <f t="shared" si="2"/>
        <v>47332</v>
      </c>
      <c r="B17">
        <v>7</v>
      </c>
      <c r="C17" s="20">
        <f t="shared" si="0"/>
        <v>1158.0328</v>
      </c>
      <c r="D17" s="11"/>
      <c r="E17" s="5">
        <f t="shared" si="3"/>
        <v>1158.0328</v>
      </c>
      <c r="F17" s="20">
        <f t="shared" si="1"/>
        <v>978.54828032424336</v>
      </c>
    </row>
    <row r="18" spans="1:6" x14ac:dyDescent="0.25">
      <c r="A18" s="14">
        <f t="shared" si="2"/>
        <v>47516</v>
      </c>
      <c r="B18">
        <v>8</v>
      </c>
      <c r="C18" s="20">
        <f t="shared" si="0"/>
        <v>1158.0328</v>
      </c>
      <c r="D18" s="11"/>
      <c r="E18" s="5">
        <f t="shared" si="3"/>
        <v>1158.0328</v>
      </c>
      <c r="F18" s="20">
        <f t="shared" si="1"/>
        <v>955.28704087884341</v>
      </c>
    </row>
    <row r="19" spans="1:6" x14ac:dyDescent="0.25">
      <c r="A19" s="14">
        <f t="shared" si="2"/>
        <v>47697</v>
      </c>
      <c r="B19">
        <v>9</v>
      </c>
      <c r="C19" s="20">
        <f t="shared" si="0"/>
        <v>1158.0328</v>
      </c>
      <c r="D19" s="11"/>
      <c r="E19" s="5">
        <f t="shared" si="3"/>
        <v>1158.0328</v>
      </c>
      <c r="F19" s="20">
        <f t="shared" si="1"/>
        <v>932.57874835636574</v>
      </c>
    </row>
    <row r="20" spans="1:6" x14ac:dyDescent="0.25">
      <c r="A20" s="14">
        <f t="shared" si="2"/>
        <v>47881</v>
      </c>
      <c r="B20">
        <v>10</v>
      </c>
      <c r="C20" s="20">
        <f t="shared" si="0"/>
        <v>1158.0328</v>
      </c>
      <c r="D20" s="11"/>
      <c r="E20" s="5">
        <f t="shared" si="3"/>
        <v>1158.0328</v>
      </c>
      <c r="F20" s="20">
        <f t="shared" si="1"/>
        <v>910.41025856041938</v>
      </c>
    </row>
    <row r="21" spans="1:6" x14ac:dyDescent="0.25">
      <c r="A21" s="14">
        <f t="shared" si="2"/>
        <v>48062</v>
      </c>
      <c r="B21">
        <v>11</v>
      </c>
      <c r="C21" s="20">
        <f t="shared" si="0"/>
        <v>1158.0328</v>
      </c>
      <c r="D21" s="11"/>
      <c r="E21" s="5">
        <f t="shared" si="3"/>
        <v>1158.0328</v>
      </c>
      <c r="F21" s="20">
        <f t="shared" si="1"/>
        <v>888.7687397475662</v>
      </c>
    </row>
    <row r="22" spans="1:6" x14ac:dyDescent="0.25">
      <c r="A22" s="14">
        <f t="shared" si="2"/>
        <v>48246</v>
      </c>
      <c r="B22">
        <v>12</v>
      </c>
      <c r="C22" s="20">
        <f t="shared" si="0"/>
        <v>1158.0328</v>
      </c>
      <c r="D22" s="11"/>
      <c r="E22" s="5">
        <f t="shared" si="3"/>
        <v>1158.0328</v>
      </c>
      <c r="F22" s="20">
        <f t="shared" si="1"/>
        <v>867.64166519994728</v>
      </c>
    </row>
    <row r="23" spans="1:6" x14ac:dyDescent="0.25">
      <c r="A23" s="14">
        <f t="shared" si="2"/>
        <v>48428</v>
      </c>
      <c r="B23">
        <v>13</v>
      </c>
      <c r="C23" s="20">
        <f t="shared" si="0"/>
        <v>1158.0328</v>
      </c>
      <c r="D23" s="11"/>
      <c r="E23" s="5">
        <f t="shared" si="3"/>
        <v>1158.0328</v>
      </c>
      <c r="F23" s="20">
        <f t="shared" si="1"/>
        <v>847.01680597446887</v>
      </c>
    </row>
    <row r="24" spans="1:6" x14ac:dyDescent="0.25">
      <c r="A24" s="14">
        <f t="shared" si="2"/>
        <v>48612</v>
      </c>
      <c r="B24">
        <v>14</v>
      </c>
      <c r="C24" s="20">
        <f t="shared" si="0"/>
        <v>1158.0328</v>
      </c>
      <c r="D24" s="11"/>
      <c r="E24" s="5">
        <f t="shared" si="3"/>
        <v>1158.0328</v>
      </c>
      <c r="F24" s="20">
        <f t="shared" si="1"/>
        <v>826.88222382434594</v>
      </c>
    </row>
    <row r="25" spans="1:6" x14ac:dyDescent="0.25">
      <c r="A25" s="14">
        <f t="shared" si="2"/>
        <v>48793</v>
      </c>
      <c r="B25">
        <v>15</v>
      </c>
      <c r="C25" s="20">
        <f t="shared" si="0"/>
        <v>1158.0328</v>
      </c>
      <c r="D25" s="11"/>
      <c r="E25" s="5">
        <f t="shared" si="3"/>
        <v>1158.0328</v>
      </c>
      <c r="F25" s="20">
        <f t="shared" si="1"/>
        <v>807.2262642889109</v>
      </c>
    </row>
    <row r="26" spans="1:6" x14ac:dyDescent="0.25">
      <c r="A26" s="14">
        <f t="shared" si="2"/>
        <v>48977</v>
      </c>
      <c r="B26">
        <v>16</v>
      </c>
      <c r="C26" s="20">
        <f t="shared" si="0"/>
        <v>1158.0328</v>
      </c>
      <c r="D26" s="11"/>
      <c r="E26" s="5">
        <f t="shared" si="3"/>
        <v>1158.0328</v>
      </c>
      <c r="F26" s="20">
        <f t="shared" si="1"/>
        <v>788.03754994768462</v>
      </c>
    </row>
    <row r="27" spans="1:6" x14ac:dyDescent="0.25">
      <c r="A27" s="14">
        <f t="shared" si="2"/>
        <v>49158</v>
      </c>
      <c r="B27">
        <v>17</v>
      </c>
      <c r="C27" s="20">
        <f t="shared" si="0"/>
        <v>1158.0328</v>
      </c>
      <c r="D27" s="11"/>
      <c r="E27" s="5">
        <f t="shared" si="3"/>
        <v>1158.0328</v>
      </c>
      <c r="F27" s="20">
        <f t="shared" si="1"/>
        <v>769.30497383480702</v>
      </c>
    </row>
    <row r="28" spans="1:6" x14ac:dyDescent="0.25">
      <c r="A28" s="14">
        <f t="shared" si="2"/>
        <v>49342</v>
      </c>
      <c r="B28">
        <v>18</v>
      </c>
      <c r="C28" s="20">
        <f t="shared" si="0"/>
        <v>1158.0328</v>
      </c>
      <c r="D28" s="11"/>
      <c r="E28" s="5">
        <f t="shared" si="3"/>
        <v>1158.0328</v>
      </c>
      <c r="F28" s="20">
        <f t="shared" si="1"/>
        <v>751.01769301001298</v>
      </c>
    </row>
    <row r="29" spans="1:6" x14ac:dyDescent="0.25">
      <c r="A29" s="14">
        <f t="shared" si="2"/>
        <v>49523</v>
      </c>
      <c r="B29">
        <v>19</v>
      </c>
      <c r="C29" s="20">
        <f t="shared" si="0"/>
        <v>1158.0328</v>
      </c>
      <c r="D29" s="11"/>
      <c r="E29" s="5">
        <f t="shared" si="3"/>
        <v>1158.0328</v>
      </c>
      <c r="F29" s="20">
        <f t="shared" si="1"/>
        <v>733.16512228243573</v>
      </c>
    </row>
    <row r="30" spans="1:6" x14ac:dyDescent="0.25">
      <c r="A30" s="14">
        <f t="shared" si="2"/>
        <v>49707</v>
      </c>
      <c r="B30">
        <v>20</v>
      </c>
      <c r="C30" s="20">
        <f t="shared" si="0"/>
        <v>1158.0328</v>
      </c>
      <c r="D30" s="11"/>
      <c r="E30" s="5">
        <f t="shared" si="3"/>
        <v>1158.0328</v>
      </c>
      <c r="F30" s="20">
        <f t="shared" si="1"/>
        <v>715.73692808359999</v>
      </c>
    </row>
    <row r="31" spans="1:6" x14ac:dyDescent="0.25">
      <c r="A31" s="14">
        <f t="shared" si="2"/>
        <v>49889</v>
      </c>
      <c r="B31">
        <v>21</v>
      </c>
      <c r="C31" s="20">
        <f t="shared" si="0"/>
        <v>1158.0328</v>
      </c>
      <c r="D31" s="11"/>
      <c r="E31" s="5">
        <f t="shared" si="3"/>
        <v>1158.0328</v>
      </c>
      <c r="F31" s="20">
        <f t="shared" si="1"/>
        <v>698.72302248606422</v>
      </c>
    </row>
    <row r="32" spans="1:6" x14ac:dyDescent="0.25">
      <c r="A32" s="14">
        <f t="shared" si="2"/>
        <v>50073</v>
      </c>
      <c r="B32">
        <v>22</v>
      </c>
      <c r="C32" s="20">
        <f t="shared" si="0"/>
        <v>1158.0328</v>
      </c>
      <c r="D32" s="11"/>
      <c r="E32" s="5">
        <f t="shared" si="3"/>
        <v>1158.0328</v>
      </c>
      <c r="F32" s="20">
        <f t="shared" si="1"/>
        <v>682.11355736424468</v>
      </c>
    </row>
    <row r="33" spans="1:6" x14ac:dyDescent="0.25">
      <c r="A33" s="14">
        <f t="shared" si="2"/>
        <v>50254</v>
      </c>
      <c r="B33">
        <v>23</v>
      </c>
      <c r="C33" s="20">
        <f t="shared" si="0"/>
        <v>1158.0328</v>
      </c>
      <c r="D33" s="11"/>
      <c r="E33" s="5">
        <f t="shared" si="3"/>
        <v>1158.0328</v>
      </c>
      <c r="F33" s="20">
        <f t="shared" si="1"/>
        <v>665.89891869404471</v>
      </c>
    </row>
    <row r="34" spans="1:6" x14ac:dyDescent="0.25">
      <c r="A34" s="14">
        <f t="shared" si="2"/>
        <v>50438</v>
      </c>
      <c r="B34">
        <v>24</v>
      </c>
      <c r="C34" s="20">
        <f t="shared" si="0"/>
        <v>1158.0328</v>
      </c>
      <c r="D34" s="11"/>
      <c r="E34" s="5">
        <f t="shared" si="3"/>
        <v>1158.0328</v>
      </c>
      <c r="F34" s="20">
        <f t="shared" si="1"/>
        <v>650.06972098798713</v>
      </c>
    </row>
    <row r="35" spans="1:6" x14ac:dyDescent="0.25">
      <c r="A35" s="14">
        <f t="shared" si="2"/>
        <v>50619</v>
      </c>
      <c r="B35">
        <v>25</v>
      </c>
      <c r="C35" s="20">
        <f t="shared" si="0"/>
        <v>1158.0328</v>
      </c>
      <c r="D35" s="11"/>
      <c r="E35" s="5">
        <f t="shared" si="3"/>
        <v>1158.0328</v>
      </c>
      <c r="F35" s="20">
        <f t="shared" si="1"/>
        <v>634.61680186263197</v>
      </c>
    </row>
    <row r="36" spans="1:6" x14ac:dyDescent="0.25">
      <c r="A36" s="14">
        <f t="shared" si="2"/>
        <v>50803</v>
      </c>
      <c r="B36">
        <v>26</v>
      </c>
      <c r="C36" s="20">
        <f t="shared" si="0"/>
        <v>1158.0328</v>
      </c>
      <c r="D36" s="11"/>
      <c r="E36" s="5">
        <f t="shared" si="3"/>
        <v>1158.0328</v>
      </c>
      <c r="F36" s="20">
        <f t="shared" si="1"/>
        <v>619.53121673513147</v>
      </c>
    </row>
    <row r="37" spans="1:6" x14ac:dyDescent="0.25">
      <c r="A37" s="14">
        <f t="shared" si="2"/>
        <v>50984</v>
      </c>
      <c r="B37">
        <v>27</v>
      </c>
      <c r="C37" s="20">
        <f t="shared" si="0"/>
        <v>1158.0328</v>
      </c>
      <c r="D37" s="11"/>
      <c r="E37" s="5">
        <f t="shared" si="3"/>
        <v>1158.0328</v>
      </c>
      <c r="F37" s="20">
        <f t="shared" si="1"/>
        <v>604.80423364585488</v>
      </c>
    </row>
    <row r="38" spans="1:6" x14ac:dyDescent="0.25">
      <c r="A38" s="14">
        <f t="shared" si="2"/>
        <v>51168</v>
      </c>
      <c r="B38">
        <v>28</v>
      </c>
      <c r="C38" s="20">
        <f t="shared" si="0"/>
        <v>1158.0328</v>
      </c>
      <c r="D38" s="11"/>
      <c r="E38" s="5">
        <f t="shared" si="3"/>
        <v>1158.0328</v>
      </c>
      <c r="F38" s="20">
        <f t="shared" si="1"/>
        <v>590.42732820408526</v>
      </c>
    </row>
    <row r="39" spans="1:6" x14ac:dyDescent="0.25">
      <c r="A39" s="14">
        <f t="shared" si="2"/>
        <v>51350</v>
      </c>
      <c r="B39">
        <v>29</v>
      </c>
      <c r="C39" s="20">
        <f t="shared" si="0"/>
        <v>1158.0328</v>
      </c>
      <c r="D39" s="11"/>
      <c r="E39" s="5">
        <f t="shared" si="3"/>
        <v>1158.0328</v>
      </c>
      <c r="F39" s="20">
        <f t="shared" si="1"/>
        <v>576.39217865386365</v>
      </c>
    </row>
    <row r="40" spans="1:6" x14ac:dyDescent="0.25">
      <c r="A40" s="14">
        <f t="shared" si="2"/>
        <v>51534</v>
      </c>
      <c r="B40">
        <v>30</v>
      </c>
      <c r="C40" s="20">
        <f t="shared" si="0"/>
        <v>1158.0328</v>
      </c>
      <c r="D40" s="11"/>
      <c r="E40" s="5">
        <f t="shared" si="3"/>
        <v>1158.0328</v>
      </c>
      <c r="F40" s="20">
        <f t="shared" si="1"/>
        <v>562.6906610571225</v>
      </c>
    </row>
    <row r="41" spans="1:6" x14ac:dyDescent="0.25">
      <c r="A41" s="14">
        <f t="shared" si="2"/>
        <v>51715</v>
      </c>
      <c r="B41">
        <v>31</v>
      </c>
      <c r="C41" s="20">
        <f t="shared" si="0"/>
        <v>1158.0328</v>
      </c>
      <c r="D41" s="11"/>
      <c r="E41" s="5">
        <f t="shared" si="3"/>
        <v>1158.0328</v>
      </c>
      <c r="F41" s="20">
        <f t="shared" si="1"/>
        <v>549.31484459132378</v>
      </c>
    </row>
    <row r="42" spans="1:6" x14ac:dyDescent="0.25">
      <c r="A42" s="14">
        <f t="shared" si="2"/>
        <v>51899</v>
      </c>
      <c r="B42">
        <v>32</v>
      </c>
      <c r="C42" s="20">
        <f t="shared" si="0"/>
        <v>1158.0328</v>
      </c>
      <c r="D42" s="11"/>
      <c r="E42" s="5">
        <f t="shared" si="3"/>
        <v>1158.0328</v>
      </c>
      <c r="F42" s="20">
        <f t="shared" si="1"/>
        <v>536.25698695887502</v>
      </c>
    </row>
    <row r="43" spans="1:6" x14ac:dyDescent="0.25">
      <c r="A43" s="14">
        <f t="shared" si="2"/>
        <v>52080</v>
      </c>
      <c r="B43">
        <v>33</v>
      </c>
      <c r="C43" s="20">
        <f t="shared" si="0"/>
        <v>1158.0328</v>
      </c>
      <c r="D43" s="11"/>
      <c r="E43" s="5">
        <f t="shared" si="3"/>
        <v>1158.0328</v>
      </c>
      <c r="F43" s="20">
        <f t="shared" ref="F43:F70" si="4">E43/(1+Interest_rate/2)^(B43-0)</f>
        <v>523.5095299056718</v>
      </c>
    </row>
    <row r="44" spans="1:6" x14ac:dyDescent="0.25">
      <c r="A44" s="14">
        <f t="shared" si="2"/>
        <v>52264</v>
      </c>
      <c r="B44">
        <v>34</v>
      </c>
      <c r="C44" s="20">
        <f t="shared" ref="C44:C70" si="5">Face_Value*Coupon_rate/2</f>
        <v>1158.0328</v>
      </c>
      <c r="D44" s="11"/>
      <c r="E44" s="5">
        <f t="shared" si="3"/>
        <v>1158.0328</v>
      </c>
      <c r="F44" s="20">
        <f t="shared" si="4"/>
        <v>511.06509484616765</v>
      </c>
    </row>
    <row r="45" spans="1:6" x14ac:dyDescent="0.25">
      <c r="A45" s="14">
        <f t="shared" si="2"/>
        <v>52445</v>
      </c>
      <c r="B45">
        <v>35</v>
      </c>
      <c r="C45" s="20">
        <f t="shared" si="5"/>
        <v>1158.0328</v>
      </c>
      <c r="D45" s="11"/>
      <c r="E45" s="5">
        <f t="shared" si="3"/>
        <v>1158.0328</v>
      </c>
      <c r="F45" s="20">
        <f t="shared" si="4"/>
        <v>498.91647859244159</v>
      </c>
    </row>
    <row r="46" spans="1:6" x14ac:dyDescent="0.25">
      <c r="A46" s="14">
        <f t="shared" si="2"/>
        <v>52629</v>
      </c>
      <c r="B46">
        <v>36</v>
      </c>
      <c r="C46" s="20">
        <f t="shared" si="5"/>
        <v>1158.0328</v>
      </c>
      <c r="D46" s="11"/>
      <c r="E46" s="5">
        <f t="shared" si="3"/>
        <v>1158.0328</v>
      </c>
      <c r="F46" s="20">
        <f t="shared" si="4"/>
        <v>487.05664918479187</v>
      </c>
    </row>
    <row r="47" spans="1:6" x14ac:dyDescent="0.25">
      <c r="A47" s="14">
        <f t="shared" si="2"/>
        <v>52811</v>
      </c>
      <c r="B47">
        <v>37</v>
      </c>
      <c r="C47" s="20">
        <f t="shared" si="5"/>
        <v>1158.0328</v>
      </c>
      <c r="D47" s="11"/>
      <c r="E47" s="5">
        <f t="shared" si="3"/>
        <v>1158.0328</v>
      </c>
      <c r="F47" s="20">
        <f t="shared" si="4"/>
        <v>475.47874182143977</v>
      </c>
    </row>
    <row r="48" spans="1:6" x14ac:dyDescent="0.25">
      <c r="A48" s="14">
        <f t="shared" si="2"/>
        <v>52995</v>
      </c>
      <c r="B48">
        <v>38</v>
      </c>
      <c r="C48" s="20">
        <f t="shared" si="5"/>
        <v>1158.0328</v>
      </c>
      <c r="D48" s="11"/>
      <c r="E48" s="5">
        <f t="shared" si="3"/>
        <v>1158.0328</v>
      </c>
      <c r="F48" s="20">
        <f t="shared" si="4"/>
        <v>464.17605488499021</v>
      </c>
    </row>
    <row r="49" spans="1:6" x14ac:dyDescent="0.25">
      <c r="A49" s="14">
        <f t="shared" si="2"/>
        <v>53176</v>
      </c>
      <c r="B49">
        <v>39</v>
      </c>
      <c r="C49" s="20">
        <f t="shared" si="5"/>
        <v>1158.0328</v>
      </c>
      <c r="D49" s="11"/>
      <c r="E49" s="5">
        <f t="shared" si="3"/>
        <v>1158.0328</v>
      </c>
      <c r="F49" s="20">
        <f t="shared" si="4"/>
        <v>453.14204606334761</v>
      </c>
    </row>
    <row r="50" spans="1:6" x14ac:dyDescent="0.25">
      <c r="A50" s="14">
        <f t="shared" si="2"/>
        <v>53360</v>
      </c>
      <c r="B50">
        <v>40</v>
      </c>
      <c r="C50" s="20">
        <f t="shared" si="5"/>
        <v>1158.0328</v>
      </c>
      <c r="D50" s="11"/>
      <c r="E50" s="5">
        <f t="shared" si="3"/>
        <v>1158.0328</v>
      </c>
      <c r="F50" s="20">
        <f t="shared" si="4"/>
        <v>442.37032856284236</v>
      </c>
    </row>
    <row r="51" spans="1:6" x14ac:dyDescent="0.25">
      <c r="A51" s="14">
        <f t="shared" si="2"/>
        <v>53541</v>
      </c>
      <c r="B51">
        <v>41</v>
      </c>
      <c r="C51" s="20">
        <f t="shared" si="5"/>
        <v>1158.0328</v>
      </c>
      <c r="D51" s="11"/>
      <c r="E51" s="5">
        <f t="shared" si="3"/>
        <v>1158.0328</v>
      </c>
      <c r="F51" s="20">
        <f t="shared" si="4"/>
        <v>431.85466741137532</v>
      </c>
    </row>
    <row r="52" spans="1:6" x14ac:dyDescent="0.25">
      <c r="A52" s="14">
        <f t="shared" si="2"/>
        <v>53725</v>
      </c>
      <c r="B52">
        <v>42</v>
      </c>
      <c r="C52" s="20">
        <f t="shared" si="5"/>
        <v>1158.0328</v>
      </c>
      <c r="D52" s="11"/>
      <c r="E52" s="5">
        <f t="shared" si="3"/>
        <v>1158.0328</v>
      </c>
      <c r="F52" s="20">
        <f t="shared" si="4"/>
        <v>421.58897584944128</v>
      </c>
    </row>
    <row r="53" spans="1:6" x14ac:dyDescent="0.25">
      <c r="A53" s="14">
        <f t="shared" si="2"/>
        <v>53906</v>
      </c>
      <c r="B53">
        <v>43</v>
      </c>
      <c r="C53" s="20">
        <f t="shared" si="5"/>
        <v>1158.0328</v>
      </c>
      <c r="D53" s="11"/>
      <c r="E53" s="5">
        <f t="shared" si="3"/>
        <v>1158.0328</v>
      </c>
      <c r="F53" s="20">
        <f t="shared" si="4"/>
        <v>411.56731180694231</v>
      </c>
    </row>
    <row r="54" spans="1:6" x14ac:dyDescent="0.25">
      <c r="A54" s="14">
        <f t="shared" si="2"/>
        <v>54090</v>
      </c>
      <c r="B54">
        <v>44</v>
      </c>
      <c r="C54" s="20">
        <f t="shared" si="5"/>
        <v>1158.0328</v>
      </c>
      <c r="D54" s="11"/>
      <c r="E54" s="5">
        <f t="shared" si="3"/>
        <v>1158.0328</v>
      </c>
      <c r="F54" s="20">
        <f t="shared" si="4"/>
        <v>401.7838744637499</v>
      </c>
    </row>
    <row r="55" spans="1:6" x14ac:dyDescent="0.25">
      <c r="A55" s="14">
        <f t="shared" si="2"/>
        <v>54272</v>
      </c>
      <c r="B55">
        <v>45</v>
      </c>
      <c r="C55" s="20">
        <f t="shared" si="5"/>
        <v>1158.0328</v>
      </c>
      <c r="D55" s="11"/>
      <c r="E55" s="5">
        <f t="shared" si="3"/>
        <v>1158.0328</v>
      </c>
      <c r="F55" s="20">
        <f t="shared" si="4"/>
        <v>392.23300089202894</v>
      </c>
    </row>
    <row r="56" spans="1:6" x14ac:dyDescent="0.25">
      <c r="A56" s="14">
        <f t="shared" si="2"/>
        <v>54456</v>
      </c>
      <c r="B56">
        <v>46</v>
      </c>
      <c r="C56" s="20">
        <f t="shared" si="5"/>
        <v>1158.0328</v>
      </c>
      <c r="D56" s="11"/>
      <c r="E56" s="5">
        <f t="shared" si="3"/>
        <v>1158.0328</v>
      </c>
      <c r="F56" s="20">
        <f t="shared" si="4"/>
        <v>382.9091627783755</v>
      </c>
    </row>
    <row r="57" spans="1:6" x14ac:dyDescent="0.25">
      <c r="A57" s="14">
        <f t="shared" si="2"/>
        <v>54637</v>
      </c>
      <c r="B57">
        <v>47</v>
      </c>
      <c r="C57" s="20">
        <f t="shared" si="5"/>
        <v>1158.0328</v>
      </c>
      <c r="D57" s="11"/>
      <c r="E57" s="5">
        <f t="shared" si="3"/>
        <v>1158.0328</v>
      </c>
      <c r="F57" s="20">
        <f t="shared" si="4"/>
        <v>373.80696322387405</v>
      </c>
    </row>
    <row r="58" spans="1:6" x14ac:dyDescent="0.25">
      <c r="A58" s="14">
        <f t="shared" si="2"/>
        <v>54821</v>
      </c>
      <c r="B58">
        <v>48</v>
      </c>
      <c r="C58" s="20">
        <f t="shared" si="5"/>
        <v>1158.0328</v>
      </c>
      <c r="D58" s="11"/>
      <c r="E58" s="5">
        <f t="shared" si="3"/>
        <v>1158.0328</v>
      </c>
      <c r="F58" s="20">
        <f t="shared" si="4"/>
        <v>364.92113362022167</v>
      </c>
    </row>
    <row r="59" spans="1:6" x14ac:dyDescent="0.25">
      <c r="A59" s="14">
        <f t="shared" si="2"/>
        <v>55002</v>
      </c>
      <c r="B59">
        <v>49</v>
      </c>
      <c r="C59" s="20">
        <f t="shared" si="5"/>
        <v>1158.0328</v>
      </c>
      <c r="D59" s="11"/>
      <c r="E59" s="5">
        <f t="shared" si="3"/>
        <v>1158.0328</v>
      </c>
      <c r="F59" s="20">
        <f t="shared" si="4"/>
        <v>356.24653060010894</v>
      </c>
    </row>
    <row r="60" spans="1:6" x14ac:dyDescent="0.25">
      <c r="A60" s="14">
        <f t="shared" si="2"/>
        <v>55186</v>
      </c>
      <c r="B60">
        <v>50</v>
      </c>
      <c r="C60" s="20">
        <f t="shared" si="5"/>
        <v>1158.0328</v>
      </c>
      <c r="D60" s="11"/>
      <c r="E60" s="5">
        <f t="shared" si="3"/>
        <v>1158.0328</v>
      </c>
      <c r="F60" s="20">
        <f t="shared" si="4"/>
        <v>347.77813306009551</v>
      </c>
    </row>
    <row r="61" spans="1:6" x14ac:dyDescent="0.25">
      <c r="A61" s="14">
        <f t="shared" si="2"/>
        <v>55367</v>
      </c>
      <c r="B61">
        <v>51</v>
      </c>
      <c r="C61" s="20">
        <f t="shared" si="5"/>
        <v>1158.0328</v>
      </c>
      <c r="D61" s="11"/>
      <c r="E61" s="5">
        <f t="shared" si="3"/>
        <v>1158.0328</v>
      </c>
      <c r="F61" s="20">
        <f t="shared" si="4"/>
        <v>339.51103925425446</v>
      </c>
    </row>
    <row r="62" spans="1:6" x14ac:dyDescent="0.25">
      <c r="A62" s="14">
        <f t="shared" si="2"/>
        <v>55551</v>
      </c>
      <c r="B62">
        <v>52</v>
      </c>
      <c r="C62" s="20">
        <f t="shared" si="5"/>
        <v>1158.0328</v>
      </c>
      <c r="D62" s="11"/>
      <c r="E62" s="5">
        <f t="shared" si="3"/>
        <v>1158.0328</v>
      </c>
      <c r="F62" s="20">
        <f t="shared" si="4"/>
        <v>331.44046395690378</v>
      </c>
    </row>
    <row r="63" spans="1:6" x14ac:dyDescent="0.25">
      <c r="A63" s="14">
        <f t="shared" si="2"/>
        <v>55733</v>
      </c>
      <c r="B63">
        <v>53</v>
      </c>
      <c r="C63" s="20">
        <f t="shared" si="5"/>
        <v>1158.0328</v>
      </c>
      <c r="D63" s="11"/>
      <c r="E63" s="5">
        <f t="shared" si="3"/>
        <v>1158.0328</v>
      </c>
      <c r="F63" s="20">
        <f t="shared" si="4"/>
        <v>323.56173569278445</v>
      </c>
    </row>
    <row r="64" spans="1:6" x14ac:dyDescent="0.25">
      <c r="A64" s="14">
        <f t="shared" si="2"/>
        <v>55917</v>
      </c>
      <c r="B64">
        <v>54</v>
      </c>
      <c r="C64" s="20">
        <f t="shared" si="5"/>
        <v>1158.0328</v>
      </c>
      <c r="D64" s="11"/>
      <c r="E64" s="5">
        <f t="shared" si="3"/>
        <v>1158.0328</v>
      </c>
      <c r="F64" s="20">
        <f t="shared" si="4"/>
        <v>315.87029403307895</v>
      </c>
    </row>
    <row r="65" spans="1:6" x14ac:dyDescent="0.25">
      <c r="A65" s="14">
        <f t="shared" si="2"/>
        <v>56098</v>
      </c>
      <c r="B65">
        <v>55</v>
      </c>
      <c r="C65" s="20">
        <f t="shared" si="5"/>
        <v>1158.0328</v>
      </c>
      <c r="D65" s="11"/>
      <c r="E65" s="5">
        <f t="shared" si="3"/>
        <v>1158.0328</v>
      </c>
      <c r="F65" s="20">
        <f t="shared" si="4"/>
        <v>308.3616869557074</v>
      </c>
    </row>
    <row r="66" spans="1:6" x14ac:dyDescent="0.25">
      <c r="A66" s="14">
        <f t="shared" si="2"/>
        <v>56282</v>
      </c>
      <c r="B66">
        <v>56</v>
      </c>
      <c r="C66" s="20">
        <f t="shared" si="5"/>
        <v>1158.0328</v>
      </c>
      <c r="D66" s="11"/>
      <c r="E66" s="5">
        <f t="shared" si="3"/>
        <v>1158.0328</v>
      </c>
      <c r="F66" s="20">
        <f t="shared" si="4"/>
        <v>301.0315682683725</v>
      </c>
    </row>
    <row r="67" spans="1:6" x14ac:dyDescent="0.25">
      <c r="A67" s="14">
        <f t="shared" si="2"/>
        <v>56463</v>
      </c>
      <c r="B67">
        <v>57</v>
      </c>
      <c r="C67" s="20">
        <f t="shared" si="5"/>
        <v>1158.0328</v>
      </c>
      <c r="D67" s="11"/>
      <c r="E67" s="5">
        <f t="shared" si="3"/>
        <v>1158.0328</v>
      </c>
      <c r="F67" s="20">
        <f t="shared" si="4"/>
        <v>293.87569509286129</v>
      </c>
    </row>
    <row r="68" spans="1:6" x14ac:dyDescent="0.25">
      <c r="A68" s="14">
        <f t="shared" si="2"/>
        <v>56647</v>
      </c>
      <c r="B68">
        <v>58</v>
      </c>
      <c r="C68" s="20">
        <f t="shared" si="5"/>
        <v>1158.0328</v>
      </c>
      <c r="D68" s="11"/>
      <c r="E68" s="5">
        <f t="shared" si="3"/>
        <v>1158.0328</v>
      </c>
      <c r="F68" s="20">
        <f t="shared" si="4"/>
        <v>286.88992540914847</v>
      </c>
    </row>
    <row r="69" spans="1:6" x14ac:dyDescent="0.25">
      <c r="A69" s="14">
        <f t="shared" si="2"/>
        <v>56828</v>
      </c>
      <c r="B69">
        <v>59</v>
      </c>
      <c r="C69" s="20">
        <f t="shared" si="5"/>
        <v>1158.0328</v>
      </c>
      <c r="D69" s="11"/>
      <c r="E69" s="5">
        <f t="shared" si="3"/>
        <v>1158.0328</v>
      </c>
      <c r="F69" s="20">
        <f t="shared" si="4"/>
        <v>280.07021565787915</v>
      </c>
    </row>
    <row r="70" spans="1:6" x14ac:dyDescent="0.25">
      <c r="A70" s="14">
        <f t="shared" si="2"/>
        <v>57012</v>
      </c>
      <c r="B70">
        <v>60</v>
      </c>
      <c r="C70" s="20">
        <f t="shared" si="5"/>
        <v>1158.0328</v>
      </c>
      <c r="D70" s="20">
        <f>Face_Value</f>
        <v>57901.64</v>
      </c>
      <c r="E70" s="5">
        <f t="shared" si="3"/>
        <v>59059.6728</v>
      </c>
      <c r="F70" s="20">
        <f t="shared" si="4"/>
        <v>13944.043538391988</v>
      </c>
    </row>
    <row r="71" spans="1:6" ht="16.5" thickBot="1" x14ac:dyDescent="0.3">
      <c r="B71" t="s">
        <v>11</v>
      </c>
      <c r="C71" s="5"/>
      <c r="D71" s="5"/>
      <c r="E71" s="6">
        <f>SUM(E11:E70)</f>
        <v>127383.60800000004</v>
      </c>
      <c r="F71" s="6">
        <f>SUM(F11:F70)</f>
        <v>50000.001827595937</v>
      </c>
    </row>
    <row r="72" spans="1:6" ht="16.5" thickTop="1" x14ac:dyDescent="0.2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2"/>
  <sheetViews>
    <sheetView zoomScale="115" zoomScaleNormal="115" workbookViewId="0">
      <selection activeCell="H10" sqref="H10"/>
    </sheetView>
  </sheetViews>
  <sheetFormatPr defaultColWidth="11" defaultRowHeight="15.75" x14ac:dyDescent="0.25"/>
  <cols>
    <col min="1" max="1" width="26.375" bestFit="1" customWidth="1"/>
    <col min="4" max="4" width="11.5" bestFit="1" customWidth="1"/>
    <col min="5" max="5" width="13.875" bestFit="1" customWidth="1"/>
    <col min="6" max="6" width="25.75" bestFit="1" customWidth="1"/>
  </cols>
  <sheetData>
    <row r="1" spans="1:7" ht="16.5" thickBot="1" x14ac:dyDescent="0.3">
      <c r="A1" s="4" t="s">
        <v>7</v>
      </c>
      <c r="B1" s="7">
        <f>Face_Value</f>
        <v>57901.64</v>
      </c>
      <c r="E1" s="3" t="s">
        <v>87</v>
      </c>
      <c r="F1" s="3" t="s">
        <v>89</v>
      </c>
      <c r="G1" s="8"/>
    </row>
    <row r="2" spans="1:7" x14ac:dyDescent="0.25">
      <c r="A2" s="4" t="s">
        <v>0</v>
      </c>
      <c r="B2">
        <f>Term-0.5</f>
        <v>29.5</v>
      </c>
      <c r="C2" t="s">
        <v>178</v>
      </c>
      <c r="E2" s="17">
        <f>EDATE(Start_date,6)</f>
        <v>46236</v>
      </c>
      <c r="F2" s="10">
        <f>SUM(F11:F70)</f>
        <v>50059.469072097905</v>
      </c>
    </row>
    <row r="3" spans="1:7" x14ac:dyDescent="0.25">
      <c r="A3" s="4" t="s">
        <v>8</v>
      </c>
      <c r="B3" s="1">
        <v>4.2500000000000003E-2</v>
      </c>
    </row>
    <row r="4" spans="1:7" x14ac:dyDescent="0.25">
      <c r="A4" s="4" t="s">
        <v>12</v>
      </c>
      <c r="B4">
        <v>0.5</v>
      </c>
      <c r="C4" t="s">
        <v>1</v>
      </c>
    </row>
    <row r="5" spans="1:7" x14ac:dyDescent="0.25">
      <c r="A5" s="4" t="s">
        <v>10</v>
      </c>
      <c r="B5" s="1">
        <f>Interest_rate</f>
        <v>4.87E-2</v>
      </c>
    </row>
    <row r="6" spans="1:7" x14ac:dyDescent="0.25">
      <c r="A6" s="4" t="s">
        <v>9</v>
      </c>
      <c r="B6" s="2">
        <v>50000</v>
      </c>
    </row>
    <row r="7" spans="1:7" x14ac:dyDescent="0.25">
      <c r="A7" s="4" t="s">
        <v>88</v>
      </c>
      <c r="B7" s="15">
        <f>Start_date</f>
        <v>46055</v>
      </c>
    </row>
    <row r="9" spans="1:7" ht="16.5" thickBot="1" x14ac:dyDescent="0.3">
      <c r="A9" s="3" t="s">
        <v>87</v>
      </c>
      <c r="B9" s="3" t="s">
        <v>4</v>
      </c>
      <c r="C9" s="3" t="s">
        <v>2</v>
      </c>
      <c r="D9" s="3" t="s">
        <v>3</v>
      </c>
      <c r="E9" s="3" t="s">
        <v>5</v>
      </c>
      <c r="F9" s="3" t="str">
        <f>"PV of cash flow @ "&amp;TEXT(E2,"d-mmm-yy")</f>
        <v>PV of cash flow @ 2-Aug-26</v>
      </c>
    </row>
    <row r="10" spans="1:7" x14ac:dyDescent="0.25">
      <c r="A10" s="14">
        <f>Start_date</f>
        <v>46055</v>
      </c>
      <c r="B10">
        <v>0</v>
      </c>
    </row>
    <row r="11" spans="1:7" x14ac:dyDescent="0.25">
      <c r="A11" s="14">
        <f>EDATE(Start_date,6)</f>
        <v>46236</v>
      </c>
      <c r="B11">
        <v>1</v>
      </c>
      <c r="C11" s="9" t="s">
        <v>13</v>
      </c>
      <c r="D11" s="5"/>
      <c r="E11" s="5"/>
      <c r="F11" s="5"/>
    </row>
    <row r="12" spans="1:7" x14ac:dyDescent="0.25">
      <c r="A12" s="14">
        <f>EDATE(A11,6)</f>
        <v>46420</v>
      </c>
      <c r="B12">
        <v>2</v>
      </c>
      <c r="C12" s="20">
        <f t="shared" ref="C12:C43" si="0">Face_Value*Coupon_rate/2</f>
        <v>1158.0328</v>
      </c>
      <c r="D12" s="11"/>
      <c r="E12" s="27">
        <f>SUM(C12:D12)</f>
        <v>1158.0328</v>
      </c>
      <c r="F12" s="20">
        <f t="shared" ref="F12:F43" si="1">E12/(1+Interest_rate/2)^(B12-1)</f>
        <v>1130.5050031727435</v>
      </c>
    </row>
    <row r="13" spans="1:7" x14ac:dyDescent="0.25">
      <c r="A13" s="14">
        <f t="shared" ref="A13:A70" si="2">EDATE(A12,6)</f>
        <v>46601</v>
      </c>
      <c r="B13">
        <v>3</v>
      </c>
      <c r="C13" s="20">
        <f t="shared" si="0"/>
        <v>1158.0328</v>
      </c>
      <c r="D13" s="11"/>
      <c r="E13" s="27">
        <f t="shared" ref="E13:E70" si="3">SUM(C13:D13)</f>
        <v>1158.0328</v>
      </c>
      <c r="F13" s="20">
        <f t="shared" si="1"/>
        <v>1103.6315743376222</v>
      </c>
    </row>
    <row r="14" spans="1:7" x14ac:dyDescent="0.25">
      <c r="A14" s="14">
        <f t="shared" si="2"/>
        <v>46785</v>
      </c>
      <c r="B14">
        <v>4</v>
      </c>
      <c r="C14" s="20">
        <f t="shared" si="0"/>
        <v>1158.0328</v>
      </c>
      <c r="D14" s="11"/>
      <c r="E14" s="27">
        <f t="shared" si="3"/>
        <v>1158.0328</v>
      </c>
      <c r="F14" s="20">
        <f t="shared" si="1"/>
        <v>1077.3969584005683</v>
      </c>
    </row>
    <row r="15" spans="1:7" x14ac:dyDescent="0.25">
      <c r="A15" s="14">
        <f t="shared" si="2"/>
        <v>46967</v>
      </c>
      <c r="B15">
        <v>5</v>
      </c>
      <c r="C15" s="20">
        <f t="shared" si="0"/>
        <v>1158.0328</v>
      </c>
      <c r="D15" s="11"/>
      <c r="E15" s="27">
        <f t="shared" si="3"/>
        <v>1158.0328</v>
      </c>
      <c r="F15" s="20">
        <f t="shared" si="1"/>
        <v>1051.7859700303297</v>
      </c>
    </row>
    <row r="16" spans="1:7" x14ac:dyDescent="0.25">
      <c r="A16" s="14">
        <f t="shared" si="2"/>
        <v>47151</v>
      </c>
      <c r="B16">
        <v>6</v>
      </c>
      <c r="C16" s="20">
        <f t="shared" si="0"/>
        <v>1158.0328</v>
      </c>
      <c r="D16" s="11"/>
      <c r="E16" s="27">
        <f t="shared" si="3"/>
        <v>1158.0328</v>
      </c>
      <c r="F16" s="20">
        <f t="shared" si="1"/>
        <v>1026.7837848687748</v>
      </c>
    </row>
    <row r="17" spans="1:6" x14ac:dyDescent="0.25">
      <c r="A17" s="14">
        <f t="shared" si="2"/>
        <v>47332</v>
      </c>
      <c r="B17">
        <v>7</v>
      </c>
      <c r="C17" s="20">
        <f t="shared" si="0"/>
        <v>1158.0328</v>
      </c>
      <c r="D17" s="11"/>
      <c r="E17" s="27">
        <f t="shared" si="3"/>
        <v>1158.0328</v>
      </c>
      <c r="F17" s="20">
        <f t="shared" si="1"/>
        <v>1002.3759309501388</v>
      </c>
    </row>
    <row r="18" spans="1:6" x14ac:dyDescent="0.25">
      <c r="A18" s="14">
        <f t="shared" si="2"/>
        <v>47516</v>
      </c>
      <c r="B18">
        <v>8</v>
      </c>
      <c r="C18" s="20">
        <f t="shared" si="0"/>
        <v>1158.0328</v>
      </c>
      <c r="D18" s="11"/>
      <c r="E18" s="27">
        <f t="shared" si="3"/>
        <v>1158.0328</v>
      </c>
      <c r="F18" s="20">
        <f t="shared" si="1"/>
        <v>978.54828032424336</v>
      </c>
    </row>
    <row r="19" spans="1:6" x14ac:dyDescent="0.25">
      <c r="A19" s="14">
        <f t="shared" si="2"/>
        <v>47697</v>
      </c>
      <c r="B19">
        <v>9</v>
      </c>
      <c r="C19" s="20">
        <f t="shared" si="0"/>
        <v>1158.0328</v>
      </c>
      <c r="D19" s="11"/>
      <c r="E19" s="27">
        <f t="shared" si="3"/>
        <v>1158.0328</v>
      </c>
      <c r="F19" s="20">
        <f t="shared" si="1"/>
        <v>955.28704087884341</v>
      </c>
    </row>
    <row r="20" spans="1:6" x14ac:dyDescent="0.25">
      <c r="A20" s="14">
        <f t="shared" si="2"/>
        <v>47881</v>
      </c>
      <c r="B20">
        <v>10</v>
      </c>
      <c r="C20" s="20">
        <f t="shared" si="0"/>
        <v>1158.0328</v>
      </c>
      <c r="D20" s="11"/>
      <c r="E20" s="27">
        <f t="shared" si="3"/>
        <v>1158.0328</v>
      </c>
      <c r="F20" s="20">
        <f t="shared" si="1"/>
        <v>932.57874835636574</v>
      </c>
    </row>
    <row r="21" spans="1:6" x14ac:dyDescent="0.25">
      <c r="A21" s="14">
        <f t="shared" si="2"/>
        <v>48062</v>
      </c>
      <c r="B21">
        <v>11</v>
      </c>
      <c r="C21" s="20">
        <f t="shared" si="0"/>
        <v>1158.0328</v>
      </c>
      <c r="D21" s="11"/>
      <c r="E21" s="27">
        <f t="shared" si="3"/>
        <v>1158.0328</v>
      </c>
      <c r="F21" s="20">
        <f t="shared" si="1"/>
        <v>910.41025856041938</v>
      </c>
    </row>
    <row r="22" spans="1:6" x14ac:dyDescent="0.25">
      <c r="A22" s="14">
        <f t="shared" si="2"/>
        <v>48246</v>
      </c>
      <c r="B22">
        <v>12</v>
      </c>
      <c r="C22" s="20">
        <f t="shared" si="0"/>
        <v>1158.0328</v>
      </c>
      <c r="D22" s="11"/>
      <c r="E22" s="27">
        <f t="shared" si="3"/>
        <v>1158.0328</v>
      </c>
      <c r="F22" s="20">
        <f t="shared" si="1"/>
        <v>888.7687397475662</v>
      </c>
    </row>
    <row r="23" spans="1:6" x14ac:dyDescent="0.25">
      <c r="A23" s="14">
        <f t="shared" si="2"/>
        <v>48428</v>
      </c>
      <c r="B23">
        <v>13</v>
      </c>
      <c r="C23" s="20">
        <f t="shared" si="0"/>
        <v>1158.0328</v>
      </c>
      <c r="D23" s="11"/>
      <c r="E23" s="27">
        <f t="shared" si="3"/>
        <v>1158.0328</v>
      </c>
      <c r="F23" s="20">
        <f t="shared" si="1"/>
        <v>867.64166519994728</v>
      </c>
    </row>
    <row r="24" spans="1:6" x14ac:dyDescent="0.25">
      <c r="A24" s="14">
        <f t="shared" si="2"/>
        <v>48612</v>
      </c>
      <c r="B24">
        <v>14</v>
      </c>
      <c r="C24" s="20">
        <f t="shared" si="0"/>
        <v>1158.0328</v>
      </c>
      <c r="D24" s="11"/>
      <c r="E24" s="27">
        <f t="shared" si="3"/>
        <v>1158.0328</v>
      </c>
      <c r="F24" s="20">
        <f t="shared" si="1"/>
        <v>847.01680597446887</v>
      </c>
    </row>
    <row r="25" spans="1:6" x14ac:dyDescent="0.25">
      <c r="A25" s="14">
        <f t="shared" si="2"/>
        <v>48793</v>
      </c>
      <c r="B25">
        <v>15</v>
      </c>
      <c r="C25" s="20">
        <f t="shared" si="0"/>
        <v>1158.0328</v>
      </c>
      <c r="D25" s="11"/>
      <c r="E25" s="27">
        <f t="shared" si="3"/>
        <v>1158.0328</v>
      </c>
      <c r="F25" s="20">
        <f t="shared" si="1"/>
        <v>826.88222382434594</v>
      </c>
    </row>
    <row r="26" spans="1:6" x14ac:dyDescent="0.25">
      <c r="A26" s="14">
        <f t="shared" si="2"/>
        <v>48977</v>
      </c>
      <c r="B26">
        <v>16</v>
      </c>
      <c r="C26" s="20">
        <f t="shared" si="0"/>
        <v>1158.0328</v>
      </c>
      <c r="D26" s="11"/>
      <c r="E26" s="27">
        <f t="shared" si="3"/>
        <v>1158.0328</v>
      </c>
      <c r="F26" s="20">
        <f t="shared" si="1"/>
        <v>807.2262642889109</v>
      </c>
    </row>
    <row r="27" spans="1:6" x14ac:dyDescent="0.25">
      <c r="A27" s="14">
        <f t="shared" si="2"/>
        <v>49158</v>
      </c>
      <c r="B27">
        <v>17</v>
      </c>
      <c r="C27" s="20">
        <f t="shared" si="0"/>
        <v>1158.0328</v>
      </c>
      <c r="D27" s="11"/>
      <c r="E27" s="27">
        <f t="shared" si="3"/>
        <v>1158.0328</v>
      </c>
      <c r="F27" s="20">
        <f t="shared" si="1"/>
        <v>788.03754994768462</v>
      </c>
    </row>
    <row r="28" spans="1:6" x14ac:dyDescent="0.25">
      <c r="A28" s="14">
        <f t="shared" si="2"/>
        <v>49342</v>
      </c>
      <c r="B28">
        <v>18</v>
      </c>
      <c r="C28" s="20">
        <f t="shared" si="0"/>
        <v>1158.0328</v>
      </c>
      <c r="D28" s="11"/>
      <c r="E28" s="27">
        <f t="shared" si="3"/>
        <v>1158.0328</v>
      </c>
      <c r="F28" s="20">
        <f t="shared" si="1"/>
        <v>769.30497383480702</v>
      </c>
    </row>
    <row r="29" spans="1:6" x14ac:dyDescent="0.25">
      <c r="A29" s="14">
        <f t="shared" si="2"/>
        <v>49523</v>
      </c>
      <c r="B29">
        <v>19</v>
      </c>
      <c r="C29" s="20">
        <f t="shared" si="0"/>
        <v>1158.0328</v>
      </c>
      <c r="D29" s="11"/>
      <c r="E29" s="27">
        <f t="shared" si="3"/>
        <v>1158.0328</v>
      </c>
      <c r="F29" s="20">
        <f t="shared" si="1"/>
        <v>751.01769301001298</v>
      </c>
    </row>
    <row r="30" spans="1:6" x14ac:dyDescent="0.25">
      <c r="A30" s="14">
        <f t="shared" si="2"/>
        <v>49707</v>
      </c>
      <c r="B30">
        <v>20</v>
      </c>
      <c r="C30" s="20">
        <f t="shared" si="0"/>
        <v>1158.0328</v>
      </c>
      <c r="D30" s="11"/>
      <c r="E30" s="27">
        <f t="shared" si="3"/>
        <v>1158.0328</v>
      </c>
      <c r="F30" s="20">
        <f t="shared" si="1"/>
        <v>733.16512228243573</v>
      </c>
    </row>
    <row r="31" spans="1:6" x14ac:dyDescent="0.25">
      <c r="A31" s="14">
        <f t="shared" si="2"/>
        <v>49889</v>
      </c>
      <c r="B31">
        <v>21</v>
      </c>
      <c r="C31" s="20">
        <f t="shared" si="0"/>
        <v>1158.0328</v>
      </c>
      <c r="D31" s="11"/>
      <c r="E31" s="27">
        <f t="shared" si="3"/>
        <v>1158.0328</v>
      </c>
      <c r="F31" s="20">
        <f t="shared" si="1"/>
        <v>715.73692808359999</v>
      </c>
    </row>
    <row r="32" spans="1:6" x14ac:dyDescent="0.25">
      <c r="A32" s="14">
        <f t="shared" si="2"/>
        <v>50073</v>
      </c>
      <c r="B32">
        <v>22</v>
      </c>
      <c r="C32" s="20">
        <f t="shared" si="0"/>
        <v>1158.0328</v>
      </c>
      <c r="D32" s="11"/>
      <c r="E32" s="27">
        <f t="shared" si="3"/>
        <v>1158.0328</v>
      </c>
      <c r="F32" s="20">
        <f t="shared" si="1"/>
        <v>698.72302248606422</v>
      </c>
    </row>
    <row r="33" spans="1:6" x14ac:dyDescent="0.25">
      <c r="A33" s="14">
        <f t="shared" si="2"/>
        <v>50254</v>
      </c>
      <c r="B33">
        <v>23</v>
      </c>
      <c r="C33" s="20">
        <f t="shared" si="0"/>
        <v>1158.0328</v>
      </c>
      <c r="D33" s="11"/>
      <c r="E33" s="27">
        <f t="shared" si="3"/>
        <v>1158.0328</v>
      </c>
      <c r="F33" s="20">
        <f t="shared" si="1"/>
        <v>682.11355736424468</v>
      </c>
    </row>
    <row r="34" spans="1:6" x14ac:dyDescent="0.25">
      <c r="A34" s="14">
        <f t="shared" si="2"/>
        <v>50438</v>
      </c>
      <c r="B34">
        <v>24</v>
      </c>
      <c r="C34" s="20">
        <f t="shared" si="0"/>
        <v>1158.0328</v>
      </c>
      <c r="D34" s="11"/>
      <c r="E34" s="27">
        <f t="shared" si="3"/>
        <v>1158.0328</v>
      </c>
      <c r="F34" s="20">
        <f t="shared" si="1"/>
        <v>665.89891869404471</v>
      </c>
    </row>
    <row r="35" spans="1:6" x14ac:dyDescent="0.25">
      <c r="A35" s="14">
        <f t="shared" si="2"/>
        <v>50619</v>
      </c>
      <c r="B35">
        <v>25</v>
      </c>
      <c r="C35" s="20">
        <f t="shared" si="0"/>
        <v>1158.0328</v>
      </c>
      <c r="D35" s="11"/>
      <c r="E35" s="27">
        <f t="shared" si="3"/>
        <v>1158.0328</v>
      </c>
      <c r="F35" s="20">
        <f t="shared" si="1"/>
        <v>650.06972098798713</v>
      </c>
    </row>
    <row r="36" spans="1:6" x14ac:dyDescent="0.25">
      <c r="A36" s="14">
        <f t="shared" si="2"/>
        <v>50803</v>
      </c>
      <c r="B36">
        <v>26</v>
      </c>
      <c r="C36" s="20">
        <f t="shared" si="0"/>
        <v>1158.0328</v>
      </c>
      <c r="D36" s="11"/>
      <c r="E36" s="27">
        <f t="shared" si="3"/>
        <v>1158.0328</v>
      </c>
      <c r="F36" s="20">
        <f t="shared" si="1"/>
        <v>634.61680186263197</v>
      </c>
    </row>
    <row r="37" spans="1:6" x14ac:dyDescent="0.25">
      <c r="A37" s="14">
        <f t="shared" si="2"/>
        <v>50984</v>
      </c>
      <c r="B37">
        <v>27</v>
      </c>
      <c r="C37" s="20">
        <f t="shared" si="0"/>
        <v>1158.0328</v>
      </c>
      <c r="D37" s="11"/>
      <c r="E37" s="27">
        <f t="shared" si="3"/>
        <v>1158.0328</v>
      </c>
      <c r="F37" s="20">
        <f t="shared" si="1"/>
        <v>619.53121673513147</v>
      </c>
    </row>
    <row r="38" spans="1:6" x14ac:dyDescent="0.25">
      <c r="A38" s="14">
        <f t="shared" si="2"/>
        <v>51168</v>
      </c>
      <c r="B38">
        <v>28</v>
      </c>
      <c r="C38" s="20">
        <f t="shared" si="0"/>
        <v>1158.0328</v>
      </c>
      <c r="D38" s="11"/>
      <c r="E38" s="27">
        <f t="shared" si="3"/>
        <v>1158.0328</v>
      </c>
      <c r="F38" s="20">
        <f t="shared" si="1"/>
        <v>604.80423364585488</v>
      </c>
    </row>
    <row r="39" spans="1:6" x14ac:dyDescent="0.25">
      <c r="A39" s="14">
        <f t="shared" si="2"/>
        <v>51350</v>
      </c>
      <c r="B39">
        <v>29</v>
      </c>
      <c r="C39" s="20">
        <f t="shared" si="0"/>
        <v>1158.0328</v>
      </c>
      <c r="D39" s="11"/>
      <c r="E39" s="27">
        <f t="shared" si="3"/>
        <v>1158.0328</v>
      </c>
      <c r="F39" s="20">
        <f t="shared" si="1"/>
        <v>590.42732820408526</v>
      </c>
    </row>
    <row r="40" spans="1:6" x14ac:dyDescent="0.25">
      <c r="A40" s="14">
        <f t="shared" si="2"/>
        <v>51534</v>
      </c>
      <c r="B40">
        <v>30</v>
      </c>
      <c r="C40" s="20">
        <f t="shared" si="0"/>
        <v>1158.0328</v>
      </c>
      <c r="D40" s="11"/>
      <c r="E40" s="27">
        <f t="shared" si="3"/>
        <v>1158.0328</v>
      </c>
      <c r="F40" s="20">
        <f t="shared" si="1"/>
        <v>576.39217865386365</v>
      </c>
    </row>
    <row r="41" spans="1:6" x14ac:dyDescent="0.25">
      <c r="A41" s="14">
        <f t="shared" si="2"/>
        <v>51715</v>
      </c>
      <c r="B41">
        <v>31</v>
      </c>
      <c r="C41" s="20">
        <f t="shared" si="0"/>
        <v>1158.0328</v>
      </c>
      <c r="D41" s="11"/>
      <c r="E41" s="27">
        <f t="shared" si="3"/>
        <v>1158.0328</v>
      </c>
      <c r="F41" s="20">
        <f t="shared" si="1"/>
        <v>562.6906610571225</v>
      </c>
    </row>
    <row r="42" spans="1:6" x14ac:dyDescent="0.25">
      <c r="A42" s="14">
        <f t="shared" si="2"/>
        <v>51899</v>
      </c>
      <c r="B42">
        <v>32</v>
      </c>
      <c r="C42" s="20">
        <f t="shared" si="0"/>
        <v>1158.0328</v>
      </c>
      <c r="D42" s="11"/>
      <c r="E42" s="27">
        <f t="shared" si="3"/>
        <v>1158.0328</v>
      </c>
      <c r="F42" s="20">
        <f t="shared" si="1"/>
        <v>549.31484459132378</v>
      </c>
    </row>
    <row r="43" spans="1:6" x14ac:dyDescent="0.25">
      <c r="A43" s="14">
        <f t="shared" si="2"/>
        <v>52080</v>
      </c>
      <c r="B43">
        <v>33</v>
      </c>
      <c r="C43" s="20">
        <f t="shared" si="0"/>
        <v>1158.0328</v>
      </c>
      <c r="D43" s="11"/>
      <c r="E43" s="27">
        <f t="shared" si="3"/>
        <v>1158.0328</v>
      </c>
      <c r="F43" s="20">
        <f t="shared" si="1"/>
        <v>536.25698695887502</v>
      </c>
    </row>
    <row r="44" spans="1:6" x14ac:dyDescent="0.25">
      <c r="A44" s="14">
        <f t="shared" si="2"/>
        <v>52264</v>
      </c>
      <c r="B44">
        <v>34</v>
      </c>
      <c r="C44" s="20">
        <f t="shared" ref="C44:C70" si="4">Face_Value*Coupon_rate/2</f>
        <v>1158.0328</v>
      </c>
      <c r="D44" s="11"/>
      <c r="E44" s="27">
        <f t="shared" si="3"/>
        <v>1158.0328</v>
      </c>
      <c r="F44" s="20">
        <f t="shared" ref="F44:F70" si="5">E44/(1+Interest_rate/2)^(B44-1)</f>
        <v>523.5095299056718</v>
      </c>
    </row>
    <row r="45" spans="1:6" x14ac:dyDescent="0.25">
      <c r="A45" s="14">
        <f t="shared" si="2"/>
        <v>52445</v>
      </c>
      <c r="B45">
        <v>35</v>
      </c>
      <c r="C45" s="20">
        <f t="shared" si="4"/>
        <v>1158.0328</v>
      </c>
      <c r="D45" s="11"/>
      <c r="E45" s="27">
        <f t="shared" si="3"/>
        <v>1158.0328</v>
      </c>
      <c r="F45" s="20">
        <f t="shared" si="5"/>
        <v>511.06509484616765</v>
      </c>
    </row>
    <row r="46" spans="1:6" x14ac:dyDescent="0.25">
      <c r="A46" s="14">
        <f t="shared" si="2"/>
        <v>52629</v>
      </c>
      <c r="B46">
        <v>36</v>
      </c>
      <c r="C46" s="20">
        <f t="shared" si="4"/>
        <v>1158.0328</v>
      </c>
      <c r="D46" s="11"/>
      <c r="E46" s="27">
        <f t="shared" si="3"/>
        <v>1158.0328</v>
      </c>
      <c r="F46" s="20">
        <f t="shared" si="5"/>
        <v>498.91647859244159</v>
      </c>
    </row>
    <row r="47" spans="1:6" x14ac:dyDescent="0.25">
      <c r="A47" s="14">
        <f t="shared" si="2"/>
        <v>52811</v>
      </c>
      <c r="B47">
        <v>37</v>
      </c>
      <c r="C47" s="20">
        <f t="shared" si="4"/>
        <v>1158.0328</v>
      </c>
      <c r="D47" s="11"/>
      <c r="E47" s="27">
        <f t="shared" si="3"/>
        <v>1158.0328</v>
      </c>
      <c r="F47" s="20">
        <f t="shared" si="5"/>
        <v>487.05664918479187</v>
      </c>
    </row>
    <row r="48" spans="1:6" x14ac:dyDescent="0.25">
      <c r="A48" s="14">
        <f t="shared" si="2"/>
        <v>52995</v>
      </c>
      <c r="B48">
        <v>38</v>
      </c>
      <c r="C48" s="20">
        <f t="shared" si="4"/>
        <v>1158.0328</v>
      </c>
      <c r="D48" s="11"/>
      <c r="E48" s="27">
        <f t="shared" si="3"/>
        <v>1158.0328</v>
      </c>
      <c r="F48" s="20">
        <f t="shared" si="5"/>
        <v>475.47874182143977</v>
      </c>
    </row>
    <row r="49" spans="1:6" x14ac:dyDescent="0.25">
      <c r="A49" s="14">
        <f t="shared" si="2"/>
        <v>53176</v>
      </c>
      <c r="B49">
        <v>39</v>
      </c>
      <c r="C49" s="20">
        <f t="shared" si="4"/>
        <v>1158.0328</v>
      </c>
      <c r="D49" s="11"/>
      <c r="E49" s="27">
        <f t="shared" si="3"/>
        <v>1158.0328</v>
      </c>
      <c r="F49" s="20">
        <f t="shared" si="5"/>
        <v>464.17605488499021</v>
      </c>
    </row>
    <row r="50" spans="1:6" x14ac:dyDescent="0.25">
      <c r="A50" s="14">
        <f t="shared" si="2"/>
        <v>53360</v>
      </c>
      <c r="B50">
        <v>40</v>
      </c>
      <c r="C50" s="20">
        <f t="shared" si="4"/>
        <v>1158.0328</v>
      </c>
      <c r="D50" s="11"/>
      <c r="E50" s="27">
        <f t="shared" si="3"/>
        <v>1158.0328</v>
      </c>
      <c r="F50" s="20">
        <f t="shared" si="5"/>
        <v>453.14204606334761</v>
      </c>
    </row>
    <row r="51" spans="1:6" x14ac:dyDescent="0.25">
      <c r="A51" s="14">
        <f t="shared" si="2"/>
        <v>53541</v>
      </c>
      <c r="B51">
        <v>41</v>
      </c>
      <c r="C51" s="20">
        <f t="shared" si="4"/>
        <v>1158.0328</v>
      </c>
      <c r="D51" s="11"/>
      <c r="E51" s="27">
        <f t="shared" si="3"/>
        <v>1158.0328</v>
      </c>
      <c r="F51" s="20">
        <f t="shared" si="5"/>
        <v>442.37032856284236</v>
      </c>
    </row>
    <row r="52" spans="1:6" x14ac:dyDescent="0.25">
      <c r="A52" s="14">
        <f t="shared" si="2"/>
        <v>53725</v>
      </c>
      <c r="B52">
        <v>42</v>
      </c>
      <c r="C52" s="20">
        <f t="shared" si="4"/>
        <v>1158.0328</v>
      </c>
      <c r="D52" s="11"/>
      <c r="E52" s="27">
        <f t="shared" si="3"/>
        <v>1158.0328</v>
      </c>
      <c r="F52" s="20">
        <f t="shared" si="5"/>
        <v>431.85466741137532</v>
      </c>
    </row>
    <row r="53" spans="1:6" x14ac:dyDescent="0.25">
      <c r="A53" s="14">
        <f t="shared" si="2"/>
        <v>53906</v>
      </c>
      <c r="B53">
        <v>43</v>
      </c>
      <c r="C53" s="20">
        <f t="shared" si="4"/>
        <v>1158.0328</v>
      </c>
      <c r="D53" s="11"/>
      <c r="E53" s="27">
        <f t="shared" si="3"/>
        <v>1158.0328</v>
      </c>
      <c r="F53" s="20">
        <f t="shared" si="5"/>
        <v>421.58897584944128</v>
      </c>
    </row>
    <row r="54" spans="1:6" x14ac:dyDescent="0.25">
      <c r="A54" s="14">
        <f t="shared" si="2"/>
        <v>54090</v>
      </c>
      <c r="B54">
        <v>44</v>
      </c>
      <c r="C54" s="20">
        <f t="shared" si="4"/>
        <v>1158.0328</v>
      </c>
      <c r="D54" s="11"/>
      <c r="E54" s="27">
        <f t="shared" si="3"/>
        <v>1158.0328</v>
      </c>
      <c r="F54" s="20">
        <f t="shared" si="5"/>
        <v>411.56731180694231</v>
      </c>
    </row>
    <row r="55" spans="1:6" x14ac:dyDescent="0.25">
      <c r="A55" s="14">
        <f t="shared" si="2"/>
        <v>54272</v>
      </c>
      <c r="B55">
        <v>45</v>
      </c>
      <c r="C55" s="20">
        <f t="shared" si="4"/>
        <v>1158.0328</v>
      </c>
      <c r="D55" s="11"/>
      <c r="E55" s="27">
        <f t="shared" si="3"/>
        <v>1158.0328</v>
      </c>
      <c r="F55" s="20">
        <f t="shared" si="5"/>
        <v>401.7838744637499</v>
      </c>
    </row>
    <row r="56" spans="1:6" x14ac:dyDescent="0.25">
      <c r="A56" s="14">
        <f t="shared" si="2"/>
        <v>54456</v>
      </c>
      <c r="B56">
        <v>46</v>
      </c>
      <c r="C56" s="20">
        <f t="shared" si="4"/>
        <v>1158.0328</v>
      </c>
      <c r="D56" s="11"/>
      <c r="E56" s="27">
        <f t="shared" si="3"/>
        <v>1158.0328</v>
      </c>
      <c r="F56" s="20">
        <f t="shared" si="5"/>
        <v>392.23300089202894</v>
      </c>
    </row>
    <row r="57" spans="1:6" x14ac:dyDescent="0.25">
      <c r="A57" s="14">
        <f t="shared" si="2"/>
        <v>54637</v>
      </c>
      <c r="B57">
        <v>47</v>
      </c>
      <c r="C57" s="20">
        <f t="shared" si="4"/>
        <v>1158.0328</v>
      </c>
      <c r="D57" s="11"/>
      <c r="E57" s="27">
        <f t="shared" si="3"/>
        <v>1158.0328</v>
      </c>
      <c r="F57" s="20">
        <f t="shared" si="5"/>
        <v>382.9091627783755</v>
      </c>
    </row>
    <row r="58" spans="1:6" x14ac:dyDescent="0.25">
      <c r="A58" s="14">
        <f t="shared" si="2"/>
        <v>54821</v>
      </c>
      <c r="B58">
        <v>48</v>
      </c>
      <c r="C58" s="20">
        <f t="shared" si="4"/>
        <v>1158.0328</v>
      </c>
      <c r="D58" s="11"/>
      <c r="E58" s="27">
        <f t="shared" si="3"/>
        <v>1158.0328</v>
      </c>
      <c r="F58" s="20">
        <f t="shared" si="5"/>
        <v>373.80696322387405</v>
      </c>
    </row>
    <row r="59" spans="1:6" x14ac:dyDescent="0.25">
      <c r="A59" s="14">
        <f t="shared" si="2"/>
        <v>55002</v>
      </c>
      <c r="B59">
        <v>49</v>
      </c>
      <c r="C59" s="20">
        <f t="shared" si="4"/>
        <v>1158.0328</v>
      </c>
      <c r="D59" s="11"/>
      <c r="E59" s="27">
        <f t="shared" si="3"/>
        <v>1158.0328</v>
      </c>
      <c r="F59" s="20">
        <f t="shared" si="5"/>
        <v>364.92113362022167</v>
      </c>
    </row>
    <row r="60" spans="1:6" x14ac:dyDescent="0.25">
      <c r="A60" s="14">
        <f t="shared" si="2"/>
        <v>55186</v>
      </c>
      <c r="B60">
        <v>50</v>
      </c>
      <c r="C60" s="20">
        <f t="shared" si="4"/>
        <v>1158.0328</v>
      </c>
      <c r="D60" s="11"/>
      <c r="E60" s="27">
        <f t="shared" si="3"/>
        <v>1158.0328</v>
      </c>
      <c r="F60" s="20">
        <f t="shared" si="5"/>
        <v>356.24653060010894</v>
      </c>
    </row>
    <row r="61" spans="1:6" x14ac:dyDescent="0.25">
      <c r="A61" s="14">
        <f t="shared" si="2"/>
        <v>55367</v>
      </c>
      <c r="B61">
        <v>51</v>
      </c>
      <c r="C61" s="20">
        <f t="shared" si="4"/>
        <v>1158.0328</v>
      </c>
      <c r="D61" s="11"/>
      <c r="E61" s="27">
        <f t="shared" si="3"/>
        <v>1158.0328</v>
      </c>
      <c r="F61" s="20">
        <f t="shared" si="5"/>
        <v>347.77813306009551</v>
      </c>
    </row>
    <row r="62" spans="1:6" x14ac:dyDescent="0.25">
      <c r="A62" s="14">
        <f t="shared" si="2"/>
        <v>55551</v>
      </c>
      <c r="B62">
        <v>52</v>
      </c>
      <c r="C62" s="20">
        <f t="shared" si="4"/>
        <v>1158.0328</v>
      </c>
      <c r="D62" s="11"/>
      <c r="E62" s="27">
        <f t="shared" si="3"/>
        <v>1158.0328</v>
      </c>
      <c r="F62" s="20">
        <f t="shared" si="5"/>
        <v>339.51103925425446</v>
      </c>
    </row>
    <row r="63" spans="1:6" x14ac:dyDescent="0.25">
      <c r="A63" s="14">
        <f t="shared" si="2"/>
        <v>55733</v>
      </c>
      <c r="B63">
        <v>53</v>
      </c>
      <c r="C63" s="20">
        <f t="shared" si="4"/>
        <v>1158.0328</v>
      </c>
      <c r="D63" s="11"/>
      <c r="E63" s="27">
        <f t="shared" si="3"/>
        <v>1158.0328</v>
      </c>
      <c r="F63" s="20">
        <f t="shared" si="5"/>
        <v>331.44046395690378</v>
      </c>
    </row>
    <row r="64" spans="1:6" x14ac:dyDescent="0.25">
      <c r="A64" s="14">
        <f t="shared" si="2"/>
        <v>55917</v>
      </c>
      <c r="B64">
        <v>54</v>
      </c>
      <c r="C64" s="20">
        <f t="shared" si="4"/>
        <v>1158.0328</v>
      </c>
      <c r="D64" s="11"/>
      <c r="E64" s="27">
        <f t="shared" si="3"/>
        <v>1158.0328</v>
      </c>
      <c r="F64" s="20">
        <f t="shared" si="5"/>
        <v>323.56173569278445</v>
      </c>
    </row>
    <row r="65" spans="1:6" x14ac:dyDescent="0.25">
      <c r="A65" s="14">
        <f t="shared" si="2"/>
        <v>56098</v>
      </c>
      <c r="B65">
        <v>55</v>
      </c>
      <c r="C65" s="20">
        <f t="shared" si="4"/>
        <v>1158.0328</v>
      </c>
      <c r="D65" s="11"/>
      <c r="E65" s="27">
        <f t="shared" si="3"/>
        <v>1158.0328</v>
      </c>
      <c r="F65" s="20">
        <f t="shared" si="5"/>
        <v>315.87029403307895</v>
      </c>
    </row>
    <row r="66" spans="1:6" x14ac:dyDescent="0.25">
      <c r="A66" s="14">
        <f t="shared" si="2"/>
        <v>56282</v>
      </c>
      <c r="B66">
        <v>56</v>
      </c>
      <c r="C66" s="20">
        <f t="shared" si="4"/>
        <v>1158.0328</v>
      </c>
      <c r="D66" s="11"/>
      <c r="E66" s="27">
        <f t="shared" si="3"/>
        <v>1158.0328</v>
      </c>
      <c r="F66" s="20">
        <f t="shared" si="5"/>
        <v>308.3616869557074</v>
      </c>
    </row>
    <row r="67" spans="1:6" x14ac:dyDescent="0.25">
      <c r="A67" s="14">
        <f t="shared" si="2"/>
        <v>56463</v>
      </c>
      <c r="B67">
        <v>57</v>
      </c>
      <c r="C67" s="20">
        <f t="shared" si="4"/>
        <v>1158.0328</v>
      </c>
      <c r="D67" s="11"/>
      <c r="E67" s="27">
        <f t="shared" si="3"/>
        <v>1158.0328</v>
      </c>
      <c r="F67" s="20">
        <f t="shared" si="5"/>
        <v>301.0315682683725</v>
      </c>
    </row>
    <row r="68" spans="1:6" x14ac:dyDescent="0.25">
      <c r="A68" s="14">
        <f t="shared" si="2"/>
        <v>56647</v>
      </c>
      <c r="B68">
        <v>58</v>
      </c>
      <c r="C68" s="20">
        <f t="shared" si="4"/>
        <v>1158.0328</v>
      </c>
      <c r="D68" s="11"/>
      <c r="E68" s="27">
        <f t="shared" si="3"/>
        <v>1158.0328</v>
      </c>
      <c r="F68" s="20">
        <f t="shared" si="5"/>
        <v>293.87569509286129</v>
      </c>
    </row>
    <row r="69" spans="1:6" x14ac:dyDescent="0.25">
      <c r="A69" s="14">
        <f t="shared" si="2"/>
        <v>56828</v>
      </c>
      <c r="B69">
        <v>59</v>
      </c>
      <c r="C69" s="20">
        <f t="shared" si="4"/>
        <v>1158.0328</v>
      </c>
      <c r="D69" s="11"/>
      <c r="E69" s="27">
        <f t="shared" si="3"/>
        <v>1158.0328</v>
      </c>
      <c r="F69" s="20">
        <f t="shared" si="5"/>
        <v>286.88992540914847</v>
      </c>
    </row>
    <row r="70" spans="1:6" x14ac:dyDescent="0.25">
      <c r="A70" s="14">
        <f t="shared" si="2"/>
        <v>57012</v>
      </c>
      <c r="B70">
        <v>60</v>
      </c>
      <c r="C70" s="20">
        <f t="shared" si="4"/>
        <v>1158.0328</v>
      </c>
      <c r="D70" s="20">
        <f>Face_Value</f>
        <v>57901.64</v>
      </c>
      <c r="E70" s="27">
        <f t="shared" si="3"/>
        <v>59059.6728</v>
      </c>
      <c r="F70" s="20">
        <f t="shared" si="5"/>
        <v>14283.580998551837</v>
      </c>
    </row>
    <row r="71" spans="1:6" ht="16.5" thickBot="1" x14ac:dyDescent="0.3">
      <c r="B71" t="s">
        <v>11</v>
      </c>
      <c r="C71" s="5"/>
      <c r="D71" s="5"/>
      <c r="E71" s="6">
        <f>SUM(E11:E70)</f>
        <v>126225.57520000004</v>
      </c>
      <c r="F71" s="6">
        <f>SUM(F11:F70)</f>
        <v>50059.469072097905</v>
      </c>
    </row>
    <row r="72" spans="1:6" ht="16.5" thickTop="1" x14ac:dyDescent="0.25"/>
  </sheetData>
  <pageMargins left="0.7" right="0.7" top="0.75" bottom="0.75" header="0.3" footer="0.3"/>
  <pageSetup orientation="portrait" r:id="rId1"/>
  <ignoredErrors>
    <ignoredError sqref="E70 E12:E6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F507F-C68B-4D92-84A0-A9E0B991BB1B}">
  <dimension ref="A1:G72"/>
  <sheetViews>
    <sheetView zoomScale="130" zoomScaleNormal="130" workbookViewId="0">
      <selection activeCell="I18" sqref="I18"/>
    </sheetView>
  </sheetViews>
  <sheetFormatPr defaultColWidth="11" defaultRowHeight="15.75" x14ac:dyDescent="0.25"/>
  <cols>
    <col min="1" max="1" width="26.375" bestFit="1" customWidth="1"/>
    <col min="4" max="4" width="11.5" bestFit="1" customWidth="1"/>
    <col min="5" max="5" width="13.875" bestFit="1" customWidth="1"/>
    <col min="6" max="6" width="24.75" bestFit="1" customWidth="1"/>
  </cols>
  <sheetData>
    <row r="1" spans="1:7" x14ac:dyDescent="0.25">
      <c r="A1" s="4" t="s">
        <v>7</v>
      </c>
      <c r="B1" s="7">
        <f>Face_Value</f>
        <v>57901.64</v>
      </c>
      <c r="E1" s="28">
        <f>EDATE(Start_date,12)</f>
        <v>46420</v>
      </c>
      <c r="F1" s="10">
        <f>SUM(F11:F70)</f>
        <v>0</v>
      </c>
      <c r="G1" s="8"/>
    </row>
    <row r="2" spans="1:7" x14ac:dyDescent="0.25">
      <c r="A2" s="4" t="s">
        <v>0</v>
      </c>
      <c r="B2">
        <f>Term-1</f>
        <v>29</v>
      </c>
      <c r="C2" t="s">
        <v>178</v>
      </c>
    </row>
    <row r="3" spans="1:7" x14ac:dyDescent="0.25">
      <c r="A3" s="4" t="s">
        <v>8</v>
      </c>
      <c r="B3" s="1">
        <f>Coupon_rate</f>
        <v>0.04</v>
      </c>
    </row>
    <row r="4" spans="1:7" x14ac:dyDescent="0.25">
      <c r="A4" s="4" t="s">
        <v>12</v>
      </c>
      <c r="B4">
        <f>One_Period_Equals</f>
        <v>0.5</v>
      </c>
      <c r="C4" t="s">
        <v>1</v>
      </c>
    </row>
    <row r="5" spans="1:7" x14ac:dyDescent="0.25">
      <c r="A5" s="4" t="s">
        <v>10</v>
      </c>
      <c r="B5" s="1">
        <f>Interest_rate</f>
        <v>4.87E-2</v>
      </c>
    </row>
    <row r="6" spans="1:7" x14ac:dyDescent="0.25">
      <c r="A6" s="4" t="s">
        <v>9</v>
      </c>
      <c r="B6" s="2">
        <f>Amount_to_Spend</f>
        <v>50000</v>
      </c>
      <c r="F6" s="30" t="b">
        <v>0</v>
      </c>
    </row>
    <row r="7" spans="1:7" x14ac:dyDescent="0.25">
      <c r="A7" s="4" t="s">
        <v>88</v>
      </c>
      <c r="B7" s="15">
        <f>Start_date</f>
        <v>46055</v>
      </c>
    </row>
    <row r="9" spans="1:7" ht="16.5" thickBot="1" x14ac:dyDescent="0.3">
      <c r="A9" s="3" t="s">
        <v>87</v>
      </c>
      <c r="B9" s="3" t="s">
        <v>4</v>
      </c>
      <c r="C9" s="3" t="s">
        <v>2</v>
      </c>
      <c r="D9" s="3" t="s">
        <v>3</v>
      </c>
      <c r="E9" s="3" t="s">
        <v>5</v>
      </c>
      <c r="F9" s="3" t="str">
        <f>"PV of cash flow @ "&amp;TEXT(E1,"d-mmm-yy")</f>
        <v>PV of cash flow @ 2-Feb-27</v>
      </c>
    </row>
    <row r="10" spans="1:7" x14ac:dyDescent="0.25">
      <c r="A10" s="14">
        <f>Start_date</f>
        <v>46055</v>
      </c>
    </row>
    <row r="11" spans="1:7" x14ac:dyDescent="0.25">
      <c r="A11" s="14">
        <f>EDATE(Start_date,6)</f>
        <v>46236</v>
      </c>
      <c r="B11">
        <v>1</v>
      </c>
      <c r="C11" s="9" t="s">
        <v>13</v>
      </c>
      <c r="D11" s="5"/>
      <c r="E11" s="5"/>
      <c r="F11" s="5"/>
    </row>
    <row r="12" spans="1:7" x14ac:dyDescent="0.25">
      <c r="A12" s="14">
        <f>EDATE(A11,6)</f>
        <v>46420</v>
      </c>
      <c r="B12">
        <v>2</v>
      </c>
      <c r="C12" s="9" t="s">
        <v>13</v>
      </c>
      <c r="D12" s="11"/>
      <c r="E12" s="5"/>
      <c r="F12" s="5"/>
    </row>
    <row r="13" spans="1:7" x14ac:dyDescent="0.25">
      <c r="A13" s="14">
        <f t="shared" ref="A13:A70" si="0">EDATE(A12,6)</f>
        <v>46601</v>
      </c>
      <c r="B13">
        <v>3</v>
      </c>
      <c r="C13" s="21">
        <f>'Value of Bonds 6 mos later'!C12</f>
        <v>1158.0328</v>
      </c>
      <c r="D13" s="11"/>
      <c r="E13" s="5">
        <f t="shared" ref="E13:E70" si="1">SUM(C13:D13)</f>
        <v>1158.0328</v>
      </c>
      <c r="F13" s="13"/>
    </row>
    <row r="14" spans="1:7" x14ac:dyDescent="0.25">
      <c r="A14" s="14">
        <f t="shared" si="0"/>
        <v>46785</v>
      </c>
      <c r="B14">
        <v>4</v>
      </c>
      <c r="C14" s="20">
        <f>'Value of Bonds 6 mos later'!C13</f>
        <v>1158.0328</v>
      </c>
      <c r="D14" s="11"/>
      <c r="E14" s="5">
        <f t="shared" si="1"/>
        <v>1158.0328</v>
      </c>
      <c r="F14" s="13"/>
    </row>
    <row r="15" spans="1:7" x14ac:dyDescent="0.25">
      <c r="A15" s="14">
        <f t="shared" si="0"/>
        <v>46967</v>
      </c>
      <c r="B15">
        <v>5</v>
      </c>
      <c r="C15" s="20">
        <f>'Value of Bonds 6 mos later'!C14</f>
        <v>1158.0328</v>
      </c>
      <c r="D15" s="11"/>
      <c r="E15" s="5">
        <f t="shared" si="1"/>
        <v>1158.0328</v>
      </c>
      <c r="F15" s="13"/>
    </row>
    <row r="16" spans="1:7" x14ac:dyDescent="0.25">
      <c r="A16" s="14">
        <f t="shared" si="0"/>
        <v>47151</v>
      </c>
      <c r="B16">
        <v>6</v>
      </c>
      <c r="C16" s="20">
        <f>'Value of Bonds 6 mos later'!C15</f>
        <v>1158.0328</v>
      </c>
      <c r="D16" s="11"/>
      <c r="E16" s="5">
        <f t="shared" si="1"/>
        <v>1158.0328</v>
      </c>
      <c r="F16" s="13"/>
    </row>
    <row r="17" spans="1:6" x14ac:dyDescent="0.25">
      <c r="A17" s="14">
        <f t="shared" si="0"/>
        <v>47332</v>
      </c>
      <c r="B17">
        <v>7</v>
      </c>
      <c r="C17" s="20">
        <f>'Value of Bonds 6 mos later'!C16</f>
        <v>1158.0328</v>
      </c>
      <c r="D17" s="11"/>
      <c r="E17" s="5">
        <f t="shared" si="1"/>
        <v>1158.0328</v>
      </c>
      <c r="F17" s="13"/>
    </row>
    <row r="18" spans="1:6" x14ac:dyDescent="0.25">
      <c r="A18" s="14">
        <f t="shared" si="0"/>
        <v>47516</v>
      </c>
      <c r="B18">
        <v>8</v>
      </c>
      <c r="C18" s="20">
        <f>'Value of Bonds 6 mos later'!C17</f>
        <v>1158.0328</v>
      </c>
      <c r="D18" s="11"/>
      <c r="E18" s="5">
        <f t="shared" si="1"/>
        <v>1158.0328</v>
      </c>
      <c r="F18" s="13"/>
    </row>
    <row r="19" spans="1:6" x14ac:dyDescent="0.25">
      <c r="A19" s="14">
        <f t="shared" si="0"/>
        <v>47697</v>
      </c>
      <c r="B19">
        <v>9</v>
      </c>
      <c r="C19" s="20">
        <f>'Value of Bonds 6 mos later'!C18</f>
        <v>1158.0328</v>
      </c>
      <c r="D19" s="11"/>
      <c r="E19" s="5">
        <f t="shared" si="1"/>
        <v>1158.0328</v>
      </c>
      <c r="F19" s="13"/>
    </row>
    <row r="20" spans="1:6" x14ac:dyDescent="0.25">
      <c r="A20" s="14">
        <f t="shared" si="0"/>
        <v>47881</v>
      </c>
      <c r="B20">
        <v>10</v>
      </c>
      <c r="C20" s="20">
        <f>'Value of Bonds 6 mos later'!C19</f>
        <v>1158.0328</v>
      </c>
      <c r="D20" s="11"/>
      <c r="E20" s="5">
        <f t="shared" si="1"/>
        <v>1158.0328</v>
      </c>
      <c r="F20" s="13"/>
    </row>
    <row r="21" spans="1:6" x14ac:dyDescent="0.25">
      <c r="A21" s="14">
        <f t="shared" si="0"/>
        <v>48062</v>
      </c>
      <c r="B21">
        <v>11</v>
      </c>
      <c r="C21" s="20">
        <f>'Value of Bonds 6 mos later'!C20</f>
        <v>1158.0328</v>
      </c>
      <c r="D21" s="11"/>
      <c r="E21" s="5">
        <f t="shared" si="1"/>
        <v>1158.0328</v>
      </c>
      <c r="F21" s="13"/>
    </row>
    <row r="22" spans="1:6" x14ac:dyDescent="0.25">
      <c r="A22" s="14">
        <f t="shared" si="0"/>
        <v>48246</v>
      </c>
      <c r="B22">
        <v>12</v>
      </c>
      <c r="C22" s="20">
        <f>'Value of Bonds 6 mos later'!C21</f>
        <v>1158.0328</v>
      </c>
      <c r="D22" s="11"/>
      <c r="E22" s="5">
        <f t="shared" si="1"/>
        <v>1158.0328</v>
      </c>
      <c r="F22" s="13"/>
    </row>
    <row r="23" spans="1:6" x14ac:dyDescent="0.25">
      <c r="A23" s="14">
        <f t="shared" si="0"/>
        <v>48428</v>
      </c>
      <c r="B23">
        <v>13</v>
      </c>
      <c r="C23" s="20">
        <f>'Value of Bonds 6 mos later'!C22</f>
        <v>1158.0328</v>
      </c>
      <c r="D23" s="11"/>
      <c r="E23" s="5">
        <f t="shared" si="1"/>
        <v>1158.0328</v>
      </c>
      <c r="F23" s="13"/>
    </row>
    <row r="24" spans="1:6" x14ac:dyDescent="0.25">
      <c r="A24" s="14">
        <f t="shared" si="0"/>
        <v>48612</v>
      </c>
      <c r="B24">
        <v>14</v>
      </c>
      <c r="C24" s="20">
        <f>'Value of Bonds 6 mos later'!C23</f>
        <v>1158.0328</v>
      </c>
      <c r="D24" s="11"/>
      <c r="E24" s="5">
        <f t="shared" si="1"/>
        <v>1158.0328</v>
      </c>
      <c r="F24" s="13"/>
    </row>
    <row r="25" spans="1:6" x14ac:dyDescent="0.25">
      <c r="A25" s="14">
        <f t="shared" si="0"/>
        <v>48793</v>
      </c>
      <c r="B25">
        <v>15</v>
      </c>
      <c r="C25" s="20">
        <f>'Value of Bonds 6 mos later'!C24</f>
        <v>1158.0328</v>
      </c>
      <c r="D25" s="11"/>
      <c r="E25" s="5">
        <f t="shared" si="1"/>
        <v>1158.0328</v>
      </c>
      <c r="F25" s="13"/>
    </row>
    <row r="26" spans="1:6" x14ac:dyDescent="0.25">
      <c r="A26" s="14">
        <f t="shared" si="0"/>
        <v>48977</v>
      </c>
      <c r="B26">
        <v>16</v>
      </c>
      <c r="C26" s="20">
        <f>'Value of Bonds 6 mos later'!C25</f>
        <v>1158.0328</v>
      </c>
      <c r="D26" s="11"/>
      <c r="E26" s="5">
        <f t="shared" si="1"/>
        <v>1158.0328</v>
      </c>
      <c r="F26" s="13"/>
    </row>
    <row r="27" spans="1:6" x14ac:dyDescent="0.25">
      <c r="A27" s="14">
        <f t="shared" si="0"/>
        <v>49158</v>
      </c>
      <c r="B27">
        <v>17</v>
      </c>
      <c r="C27" s="20">
        <f>'Value of Bonds 6 mos later'!C26</f>
        <v>1158.0328</v>
      </c>
      <c r="D27" s="11"/>
      <c r="E27" s="5">
        <f t="shared" si="1"/>
        <v>1158.0328</v>
      </c>
      <c r="F27" s="13"/>
    </row>
    <row r="28" spans="1:6" x14ac:dyDescent="0.25">
      <c r="A28" s="14">
        <f t="shared" si="0"/>
        <v>49342</v>
      </c>
      <c r="B28">
        <v>18</v>
      </c>
      <c r="C28" s="20">
        <f>'Value of Bonds 6 mos later'!C27</f>
        <v>1158.0328</v>
      </c>
      <c r="D28" s="11"/>
      <c r="E28" s="5">
        <f t="shared" si="1"/>
        <v>1158.0328</v>
      </c>
      <c r="F28" s="13"/>
    </row>
    <row r="29" spans="1:6" x14ac:dyDescent="0.25">
      <c r="A29" s="14">
        <f t="shared" si="0"/>
        <v>49523</v>
      </c>
      <c r="B29">
        <v>19</v>
      </c>
      <c r="C29" s="20">
        <f>'Value of Bonds 6 mos later'!C28</f>
        <v>1158.0328</v>
      </c>
      <c r="D29" s="11"/>
      <c r="E29" s="5">
        <f t="shared" si="1"/>
        <v>1158.0328</v>
      </c>
      <c r="F29" s="13"/>
    </row>
    <row r="30" spans="1:6" x14ac:dyDescent="0.25">
      <c r="A30" s="14">
        <f t="shared" si="0"/>
        <v>49707</v>
      </c>
      <c r="B30">
        <v>20</v>
      </c>
      <c r="C30" s="20">
        <f>'Value of Bonds 6 mos later'!C29</f>
        <v>1158.0328</v>
      </c>
      <c r="D30" s="11"/>
      <c r="E30" s="5">
        <f t="shared" si="1"/>
        <v>1158.0328</v>
      </c>
      <c r="F30" s="13"/>
    </row>
    <row r="31" spans="1:6" x14ac:dyDescent="0.25">
      <c r="A31" s="14">
        <f t="shared" si="0"/>
        <v>49889</v>
      </c>
      <c r="B31">
        <v>21</v>
      </c>
      <c r="C31" s="20">
        <f>'Value of Bonds 6 mos later'!C30</f>
        <v>1158.0328</v>
      </c>
      <c r="D31" s="11"/>
      <c r="E31" s="5">
        <f t="shared" si="1"/>
        <v>1158.0328</v>
      </c>
      <c r="F31" s="13"/>
    </row>
    <row r="32" spans="1:6" x14ac:dyDescent="0.25">
      <c r="A32" s="14">
        <f t="shared" si="0"/>
        <v>50073</v>
      </c>
      <c r="B32">
        <v>22</v>
      </c>
      <c r="C32" s="20">
        <f>'Value of Bonds 6 mos later'!C31</f>
        <v>1158.0328</v>
      </c>
      <c r="D32" s="11"/>
      <c r="E32" s="5">
        <f t="shared" si="1"/>
        <v>1158.0328</v>
      </c>
      <c r="F32" s="13"/>
    </row>
    <row r="33" spans="1:6" x14ac:dyDescent="0.25">
      <c r="A33" s="14">
        <f t="shared" si="0"/>
        <v>50254</v>
      </c>
      <c r="B33">
        <v>23</v>
      </c>
      <c r="C33" s="20">
        <f>'Value of Bonds 6 mos later'!C32</f>
        <v>1158.0328</v>
      </c>
      <c r="D33" s="11"/>
      <c r="E33" s="5">
        <f t="shared" si="1"/>
        <v>1158.0328</v>
      </c>
      <c r="F33" s="13"/>
    </row>
    <row r="34" spans="1:6" x14ac:dyDescent="0.25">
      <c r="A34" s="14">
        <f t="shared" si="0"/>
        <v>50438</v>
      </c>
      <c r="B34">
        <v>24</v>
      </c>
      <c r="C34" s="20">
        <f>'Value of Bonds 6 mos later'!C33</f>
        <v>1158.0328</v>
      </c>
      <c r="D34" s="11"/>
      <c r="E34" s="5">
        <f t="shared" si="1"/>
        <v>1158.0328</v>
      </c>
      <c r="F34" s="13"/>
    </row>
    <row r="35" spans="1:6" x14ac:dyDescent="0.25">
      <c r="A35" s="14">
        <f t="shared" si="0"/>
        <v>50619</v>
      </c>
      <c r="B35">
        <v>25</v>
      </c>
      <c r="C35" s="20">
        <f>'Value of Bonds 6 mos later'!C34</f>
        <v>1158.0328</v>
      </c>
      <c r="D35" s="11"/>
      <c r="E35" s="5">
        <f t="shared" si="1"/>
        <v>1158.0328</v>
      </c>
      <c r="F35" s="13"/>
    </row>
    <row r="36" spans="1:6" x14ac:dyDescent="0.25">
      <c r="A36" s="14">
        <f t="shared" si="0"/>
        <v>50803</v>
      </c>
      <c r="B36">
        <v>26</v>
      </c>
      <c r="C36" s="20">
        <f>'Value of Bonds 6 mos later'!C35</f>
        <v>1158.0328</v>
      </c>
      <c r="D36" s="11"/>
      <c r="E36" s="5">
        <f t="shared" si="1"/>
        <v>1158.0328</v>
      </c>
      <c r="F36" s="13"/>
    </row>
    <row r="37" spans="1:6" x14ac:dyDescent="0.25">
      <c r="A37" s="14">
        <f t="shared" si="0"/>
        <v>50984</v>
      </c>
      <c r="B37">
        <v>27</v>
      </c>
      <c r="C37" s="20">
        <f>'Value of Bonds 6 mos later'!C36</f>
        <v>1158.0328</v>
      </c>
      <c r="D37" s="11"/>
      <c r="E37" s="5">
        <f t="shared" si="1"/>
        <v>1158.0328</v>
      </c>
      <c r="F37" s="13"/>
    </row>
    <row r="38" spans="1:6" x14ac:dyDescent="0.25">
      <c r="A38" s="14">
        <f t="shared" si="0"/>
        <v>51168</v>
      </c>
      <c r="B38">
        <v>28</v>
      </c>
      <c r="C38" s="20">
        <f>'Value of Bonds 6 mos later'!C37</f>
        <v>1158.0328</v>
      </c>
      <c r="D38" s="11"/>
      <c r="E38" s="5">
        <f t="shared" si="1"/>
        <v>1158.0328</v>
      </c>
      <c r="F38" s="13"/>
    </row>
    <row r="39" spans="1:6" x14ac:dyDescent="0.25">
      <c r="A39" s="14">
        <f t="shared" si="0"/>
        <v>51350</v>
      </c>
      <c r="B39">
        <v>29</v>
      </c>
      <c r="C39" s="20">
        <f>'Value of Bonds 6 mos later'!C38</f>
        <v>1158.0328</v>
      </c>
      <c r="D39" s="11"/>
      <c r="E39" s="5">
        <f t="shared" si="1"/>
        <v>1158.0328</v>
      </c>
      <c r="F39" s="13"/>
    </row>
    <row r="40" spans="1:6" x14ac:dyDescent="0.25">
      <c r="A40" s="14">
        <f t="shared" si="0"/>
        <v>51534</v>
      </c>
      <c r="B40">
        <v>30</v>
      </c>
      <c r="C40" s="20">
        <f>'Value of Bonds 6 mos later'!C39</f>
        <v>1158.0328</v>
      </c>
      <c r="D40" s="11"/>
      <c r="E40" s="5">
        <f t="shared" si="1"/>
        <v>1158.0328</v>
      </c>
      <c r="F40" s="13"/>
    </row>
    <row r="41" spans="1:6" x14ac:dyDescent="0.25">
      <c r="A41" s="14">
        <f t="shared" si="0"/>
        <v>51715</v>
      </c>
      <c r="B41">
        <v>31</v>
      </c>
      <c r="C41" s="20">
        <f>'Value of Bonds 6 mos later'!C40</f>
        <v>1158.0328</v>
      </c>
      <c r="D41" s="11"/>
      <c r="E41" s="5">
        <f t="shared" si="1"/>
        <v>1158.0328</v>
      </c>
      <c r="F41" s="13"/>
    </row>
    <row r="42" spans="1:6" x14ac:dyDescent="0.25">
      <c r="A42" s="14">
        <f t="shared" si="0"/>
        <v>51899</v>
      </c>
      <c r="B42">
        <v>32</v>
      </c>
      <c r="C42" s="20">
        <f>'Value of Bonds 6 mos later'!C41</f>
        <v>1158.0328</v>
      </c>
      <c r="D42" s="11"/>
      <c r="E42" s="5">
        <f t="shared" si="1"/>
        <v>1158.0328</v>
      </c>
      <c r="F42" s="13"/>
    </row>
    <row r="43" spans="1:6" x14ac:dyDescent="0.25">
      <c r="A43" s="14">
        <f t="shared" si="0"/>
        <v>52080</v>
      </c>
      <c r="B43">
        <v>33</v>
      </c>
      <c r="C43" s="20">
        <f>'Value of Bonds 6 mos later'!C42</f>
        <v>1158.0328</v>
      </c>
      <c r="D43" s="11"/>
      <c r="E43" s="5">
        <f t="shared" si="1"/>
        <v>1158.0328</v>
      </c>
      <c r="F43" s="13"/>
    </row>
    <row r="44" spans="1:6" x14ac:dyDescent="0.25">
      <c r="A44" s="14">
        <f t="shared" si="0"/>
        <v>52264</v>
      </c>
      <c r="B44">
        <v>34</v>
      </c>
      <c r="C44" s="20">
        <f>'Value of Bonds 6 mos later'!C43</f>
        <v>1158.0328</v>
      </c>
      <c r="D44" s="11"/>
      <c r="E44" s="5">
        <f t="shared" si="1"/>
        <v>1158.0328</v>
      </c>
      <c r="F44" s="13"/>
    </row>
    <row r="45" spans="1:6" x14ac:dyDescent="0.25">
      <c r="A45" s="14">
        <f t="shared" si="0"/>
        <v>52445</v>
      </c>
      <c r="B45">
        <v>35</v>
      </c>
      <c r="C45" s="20">
        <f>'Value of Bonds 6 mos later'!C44</f>
        <v>1158.0328</v>
      </c>
      <c r="D45" s="11"/>
      <c r="E45" s="5">
        <f t="shared" si="1"/>
        <v>1158.0328</v>
      </c>
      <c r="F45" s="13"/>
    </row>
    <row r="46" spans="1:6" x14ac:dyDescent="0.25">
      <c r="A46" s="14">
        <f t="shared" si="0"/>
        <v>52629</v>
      </c>
      <c r="B46">
        <v>36</v>
      </c>
      <c r="C46" s="20">
        <f>'Value of Bonds 6 mos later'!C45</f>
        <v>1158.0328</v>
      </c>
      <c r="D46" s="11"/>
      <c r="E46" s="5">
        <f t="shared" si="1"/>
        <v>1158.0328</v>
      </c>
      <c r="F46" s="13"/>
    </row>
    <row r="47" spans="1:6" x14ac:dyDescent="0.25">
      <c r="A47" s="14">
        <f t="shared" si="0"/>
        <v>52811</v>
      </c>
      <c r="B47">
        <v>37</v>
      </c>
      <c r="C47" s="20">
        <f>'Value of Bonds 6 mos later'!C46</f>
        <v>1158.0328</v>
      </c>
      <c r="D47" s="11"/>
      <c r="E47" s="5">
        <f t="shared" si="1"/>
        <v>1158.0328</v>
      </c>
      <c r="F47" s="13"/>
    </row>
    <row r="48" spans="1:6" x14ac:dyDescent="0.25">
      <c r="A48" s="14">
        <f t="shared" si="0"/>
        <v>52995</v>
      </c>
      <c r="B48">
        <v>38</v>
      </c>
      <c r="C48" s="20">
        <f>'Value of Bonds 6 mos later'!C47</f>
        <v>1158.0328</v>
      </c>
      <c r="D48" s="11"/>
      <c r="E48" s="5">
        <f t="shared" si="1"/>
        <v>1158.0328</v>
      </c>
      <c r="F48" s="13"/>
    </row>
    <row r="49" spans="1:6" x14ac:dyDescent="0.25">
      <c r="A49" s="14">
        <f t="shared" si="0"/>
        <v>53176</v>
      </c>
      <c r="B49">
        <v>39</v>
      </c>
      <c r="C49" s="20">
        <f>'Value of Bonds 6 mos later'!C48</f>
        <v>1158.0328</v>
      </c>
      <c r="D49" s="11"/>
      <c r="E49" s="5">
        <f t="shared" si="1"/>
        <v>1158.0328</v>
      </c>
      <c r="F49" s="13"/>
    </row>
    <row r="50" spans="1:6" x14ac:dyDescent="0.25">
      <c r="A50" s="14">
        <f t="shared" si="0"/>
        <v>53360</v>
      </c>
      <c r="B50">
        <v>40</v>
      </c>
      <c r="C50" s="20">
        <f>'Value of Bonds 6 mos later'!C49</f>
        <v>1158.0328</v>
      </c>
      <c r="D50" s="11"/>
      <c r="E50" s="5">
        <f t="shared" si="1"/>
        <v>1158.0328</v>
      </c>
      <c r="F50" s="13"/>
    </row>
    <row r="51" spans="1:6" x14ac:dyDescent="0.25">
      <c r="A51" s="14">
        <f t="shared" si="0"/>
        <v>53541</v>
      </c>
      <c r="B51">
        <v>41</v>
      </c>
      <c r="C51" s="20">
        <f>'Value of Bonds 6 mos later'!C50</f>
        <v>1158.0328</v>
      </c>
      <c r="D51" s="11"/>
      <c r="E51" s="5">
        <f t="shared" si="1"/>
        <v>1158.0328</v>
      </c>
      <c r="F51" s="13"/>
    </row>
    <row r="52" spans="1:6" x14ac:dyDescent="0.25">
      <c r="A52" s="14">
        <f t="shared" si="0"/>
        <v>53725</v>
      </c>
      <c r="B52">
        <v>42</v>
      </c>
      <c r="C52" s="20">
        <f>'Value of Bonds 6 mos later'!C51</f>
        <v>1158.0328</v>
      </c>
      <c r="D52" s="11"/>
      <c r="E52" s="5">
        <f t="shared" si="1"/>
        <v>1158.0328</v>
      </c>
      <c r="F52" s="13"/>
    </row>
    <row r="53" spans="1:6" x14ac:dyDescent="0.25">
      <c r="A53" s="14">
        <f t="shared" si="0"/>
        <v>53906</v>
      </c>
      <c r="B53">
        <v>43</v>
      </c>
      <c r="C53" s="20">
        <f>'Value of Bonds 6 mos later'!C52</f>
        <v>1158.0328</v>
      </c>
      <c r="D53" s="11"/>
      <c r="E53" s="5">
        <f t="shared" si="1"/>
        <v>1158.0328</v>
      </c>
      <c r="F53" s="13"/>
    </row>
    <row r="54" spans="1:6" x14ac:dyDescent="0.25">
      <c r="A54" s="14">
        <f t="shared" si="0"/>
        <v>54090</v>
      </c>
      <c r="B54">
        <v>44</v>
      </c>
      <c r="C54" s="20">
        <f>'Value of Bonds 6 mos later'!C53</f>
        <v>1158.0328</v>
      </c>
      <c r="D54" s="11"/>
      <c r="E54" s="5">
        <f t="shared" si="1"/>
        <v>1158.0328</v>
      </c>
      <c r="F54" s="13"/>
    </row>
    <row r="55" spans="1:6" x14ac:dyDescent="0.25">
      <c r="A55" s="14">
        <f t="shared" si="0"/>
        <v>54272</v>
      </c>
      <c r="B55">
        <v>45</v>
      </c>
      <c r="C55" s="20">
        <f>'Value of Bonds 6 mos later'!C54</f>
        <v>1158.0328</v>
      </c>
      <c r="D55" s="11"/>
      <c r="E55" s="5">
        <f t="shared" si="1"/>
        <v>1158.0328</v>
      </c>
      <c r="F55" s="13"/>
    </row>
    <row r="56" spans="1:6" x14ac:dyDescent="0.25">
      <c r="A56" s="14">
        <f t="shared" si="0"/>
        <v>54456</v>
      </c>
      <c r="B56">
        <v>46</v>
      </c>
      <c r="C56" s="20">
        <f>'Value of Bonds 6 mos later'!C55</f>
        <v>1158.0328</v>
      </c>
      <c r="D56" s="11"/>
      <c r="E56" s="5">
        <f t="shared" si="1"/>
        <v>1158.0328</v>
      </c>
      <c r="F56" s="13"/>
    </row>
    <row r="57" spans="1:6" x14ac:dyDescent="0.25">
      <c r="A57" s="14">
        <f t="shared" si="0"/>
        <v>54637</v>
      </c>
      <c r="B57">
        <v>47</v>
      </c>
      <c r="C57" s="20">
        <f>'Value of Bonds 6 mos later'!C56</f>
        <v>1158.0328</v>
      </c>
      <c r="D57" s="11"/>
      <c r="E57" s="5">
        <f t="shared" si="1"/>
        <v>1158.0328</v>
      </c>
      <c r="F57" s="13"/>
    </row>
    <row r="58" spans="1:6" x14ac:dyDescent="0.25">
      <c r="A58" s="14">
        <f t="shared" si="0"/>
        <v>54821</v>
      </c>
      <c r="B58">
        <v>48</v>
      </c>
      <c r="C58" s="20">
        <f>'Value of Bonds 6 mos later'!C57</f>
        <v>1158.0328</v>
      </c>
      <c r="D58" s="11"/>
      <c r="E58" s="5">
        <f t="shared" si="1"/>
        <v>1158.0328</v>
      </c>
      <c r="F58" s="13"/>
    </row>
    <row r="59" spans="1:6" x14ac:dyDescent="0.25">
      <c r="A59" s="14">
        <f t="shared" si="0"/>
        <v>55002</v>
      </c>
      <c r="B59">
        <v>49</v>
      </c>
      <c r="C59" s="20">
        <f>'Value of Bonds 6 mos later'!C58</f>
        <v>1158.0328</v>
      </c>
      <c r="D59" s="11"/>
      <c r="E59" s="5">
        <f t="shared" si="1"/>
        <v>1158.0328</v>
      </c>
      <c r="F59" s="13"/>
    </row>
    <row r="60" spans="1:6" x14ac:dyDescent="0.25">
      <c r="A60" s="14">
        <f t="shared" si="0"/>
        <v>55186</v>
      </c>
      <c r="B60">
        <v>50</v>
      </c>
      <c r="C60" s="20">
        <f>'Value of Bonds 6 mos later'!C59</f>
        <v>1158.0328</v>
      </c>
      <c r="D60" s="11"/>
      <c r="E60" s="5">
        <f t="shared" si="1"/>
        <v>1158.0328</v>
      </c>
      <c r="F60" s="13"/>
    </row>
    <row r="61" spans="1:6" x14ac:dyDescent="0.25">
      <c r="A61" s="14">
        <f t="shared" si="0"/>
        <v>55367</v>
      </c>
      <c r="B61">
        <v>51</v>
      </c>
      <c r="C61" s="20">
        <f>'Value of Bonds 6 mos later'!C60</f>
        <v>1158.0328</v>
      </c>
      <c r="D61" s="11"/>
      <c r="E61" s="5">
        <f t="shared" si="1"/>
        <v>1158.0328</v>
      </c>
      <c r="F61" s="13"/>
    </row>
    <row r="62" spans="1:6" x14ac:dyDescent="0.25">
      <c r="A62" s="14">
        <f t="shared" si="0"/>
        <v>55551</v>
      </c>
      <c r="B62">
        <v>52</v>
      </c>
      <c r="C62" s="20">
        <f>'Value of Bonds 6 mos later'!C61</f>
        <v>1158.0328</v>
      </c>
      <c r="D62" s="11"/>
      <c r="E62" s="5">
        <f t="shared" si="1"/>
        <v>1158.0328</v>
      </c>
      <c r="F62" s="13"/>
    </row>
    <row r="63" spans="1:6" x14ac:dyDescent="0.25">
      <c r="A63" s="14">
        <f t="shared" si="0"/>
        <v>55733</v>
      </c>
      <c r="B63">
        <v>53</v>
      </c>
      <c r="C63" s="20">
        <f>'Value of Bonds 6 mos later'!C62</f>
        <v>1158.0328</v>
      </c>
      <c r="D63" s="11"/>
      <c r="E63" s="5">
        <f t="shared" si="1"/>
        <v>1158.0328</v>
      </c>
      <c r="F63" s="13"/>
    </row>
    <row r="64" spans="1:6" x14ac:dyDescent="0.25">
      <c r="A64" s="14">
        <f t="shared" si="0"/>
        <v>55917</v>
      </c>
      <c r="B64">
        <v>54</v>
      </c>
      <c r="C64" s="20">
        <f>'Value of Bonds 6 mos later'!C63</f>
        <v>1158.0328</v>
      </c>
      <c r="D64" s="11"/>
      <c r="E64" s="5">
        <f t="shared" si="1"/>
        <v>1158.0328</v>
      </c>
      <c r="F64" s="13"/>
    </row>
    <row r="65" spans="1:6" x14ac:dyDescent="0.25">
      <c r="A65" s="14">
        <f t="shared" si="0"/>
        <v>56098</v>
      </c>
      <c r="B65">
        <v>55</v>
      </c>
      <c r="C65" s="20">
        <f>'Value of Bonds 6 mos later'!C64</f>
        <v>1158.0328</v>
      </c>
      <c r="D65" s="11"/>
      <c r="E65" s="5">
        <f t="shared" si="1"/>
        <v>1158.0328</v>
      </c>
      <c r="F65" s="13"/>
    </row>
    <row r="66" spans="1:6" x14ac:dyDescent="0.25">
      <c r="A66" s="14">
        <f t="shared" si="0"/>
        <v>56282</v>
      </c>
      <c r="B66">
        <v>56</v>
      </c>
      <c r="C66" s="20">
        <f>'Value of Bonds 6 mos later'!C65</f>
        <v>1158.0328</v>
      </c>
      <c r="D66" s="11"/>
      <c r="E66" s="5">
        <f t="shared" si="1"/>
        <v>1158.0328</v>
      </c>
      <c r="F66" s="13"/>
    </row>
    <row r="67" spans="1:6" x14ac:dyDescent="0.25">
      <c r="A67" s="14">
        <f t="shared" si="0"/>
        <v>56463</v>
      </c>
      <c r="B67">
        <v>57</v>
      </c>
      <c r="C67" s="20">
        <f>'Value of Bonds 6 mos later'!C66</f>
        <v>1158.0328</v>
      </c>
      <c r="D67" s="11"/>
      <c r="E67" s="5">
        <f t="shared" si="1"/>
        <v>1158.0328</v>
      </c>
      <c r="F67" s="13"/>
    </row>
    <row r="68" spans="1:6" x14ac:dyDescent="0.25">
      <c r="A68" s="14">
        <f t="shared" si="0"/>
        <v>56647</v>
      </c>
      <c r="B68">
        <v>58</v>
      </c>
      <c r="C68" s="20">
        <f>'Value of Bonds 6 mos later'!C67</f>
        <v>1158.0328</v>
      </c>
      <c r="D68" s="11"/>
      <c r="E68" s="5">
        <f t="shared" si="1"/>
        <v>1158.0328</v>
      </c>
      <c r="F68" s="13"/>
    </row>
    <row r="69" spans="1:6" x14ac:dyDescent="0.25">
      <c r="A69" s="14">
        <f t="shared" si="0"/>
        <v>56828</v>
      </c>
      <c r="B69">
        <v>59</v>
      </c>
      <c r="C69" s="20">
        <f>'Value of Bonds 6 mos later'!C68</f>
        <v>1158.0328</v>
      </c>
      <c r="D69" s="11"/>
      <c r="E69" s="5">
        <f t="shared" si="1"/>
        <v>1158.0328</v>
      </c>
      <c r="F69" s="13"/>
    </row>
    <row r="70" spans="1:6" x14ac:dyDescent="0.25">
      <c r="A70" s="14">
        <f t="shared" si="0"/>
        <v>57012</v>
      </c>
      <c r="B70">
        <v>60</v>
      </c>
      <c r="C70" s="20">
        <f>'Value of Bonds 6 mos later'!C69</f>
        <v>1158.0328</v>
      </c>
      <c r="D70" s="20">
        <f>'Value of Bonds 6 mos later'!D70</f>
        <v>57901.64</v>
      </c>
      <c r="E70" s="5">
        <f t="shared" si="1"/>
        <v>59059.6728</v>
      </c>
      <c r="F70" s="13"/>
    </row>
    <row r="71" spans="1:6" ht="16.5" thickBot="1" x14ac:dyDescent="0.3">
      <c r="B71" t="s">
        <v>11</v>
      </c>
      <c r="C71" s="5"/>
      <c r="D71" s="5"/>
      <c r="E71" s="6">
        <f>SUM(E11:E70)</f>
        <v>125067.54240000003</v>
      </c>
      <c r="F71" s="6">
        <f>SUM(F11:F70)</f>
        <v>0</v>
      </c>
    </row>
    <row r="72" spans="1:6" ht="16.5" thickTop="1" x14ac:dyDescent="0.25"/>
  </sheetData>
  <sheetProtection algorithmName="SHA-512" hashValue="YBB8RdyJSCocArTX2T1us6rooaKvyvdhBCtfXLFgx6u2ExARSIpXe7iyjz2ivz1iIBRrqQpi9aPGrhpupTCqCg==" saltValue="HstEf8ibKMBNio+dcYYH5w==" spinCount="100000" sheet="1" objects="1" scenarios="1"/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Check Box 1">
              <controlPr defaultSize="0" autoFill="0" autoLine="0" autoPict="0">
                <anchor moveWithCells="1">
                  <from>
                    <xdr:col>5</xdr:col>
                    <xdr:colOff>57150</xdr:colOff>
                    <xdr:row>4</xdr:row>
                    <xdr:rowOff>190500</xdr:rowOff>
                  </from>
                  <to>
                    <xdr:col>5</xdr:col>
                    <xdr:colOff>1181100</xdr:colOff>
                    <xdr:row>6</xdr:row>
                    <xdr:rowOff>19050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3AD6A11F-EC08-4D9E-B2FE-12707164A42D}">
            <xm:f>AND($F$6,OR(AND((OR(ROUND('Ans1'!F1,2)=0,'Ans1'!F1="")),NOT(OR(ROUND(F1,2)=0,F1=""))),AND(ROUND('Ans1'!F1,2)&lt;&gt;0,ROUND(F1,2)&lt;&gt;ROUND('Ans1'!F1,2))))</xm:f>
            <x14:dxf>
              <fill>
                <patternFill>
                  <bgColor rgb="FFFFFF00"/>
                </patternFill>
              </fill>
            </x14:dxf>
          </x14:cfRule>
          <xm:sqref>F1</xm:sqref>
        </x14:conditionalFormatting>
        <x14:conditionalFormatting xmlns:xm="http://schemas.microsoft.com/office/excel/2006/main">
          <x14:cfRule type="expression" priority="2" id="{0838052F-3A41-4381-8FE4-79E641F896DA}">
            <xm:f>AND($F$6,OR(AND((OR(ROUND('Ans1'!F13,2)=0,'Ans1'!F13="")),NOT(OR(ROUND(F13,2)=0,F13=""))),AND(ROUND('Ans1'!F13,2)&lt;&gt;0,ROUND(F13,2)&lt;&gt;ROUND('Ans1'!F13,2))))</xm:f>
            <x14:dxf>
              <fill>
                <patternFill>
                  <bgColor rgb="FFFFFF00"/>
                </patternFill>
              </fill>
            </x14:dxf>
          </x14:cfRule>
          <xm:sqref>F13:F70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7B913-AEB4-4758-B706-3F52A0DD7BF3}">
  <dimension ref="A1:G72"/>
  <sheetViews>
    <sheetView zoomScale="130" zoomScaleNormal="130" workbookViewId="0">
      <selection activeCell="F5" sqref="F5"/>
    </sheetView>
  </sheetViews>
  <sheetFormatPr defaultColWidth="11" defaultRowHeight="15.75" x14ac:dyDescent="0.25"/>
  <cols>
    <col min="1" max="1" width="26.375" bestFit="1" customWidth="1"/>
    <col min="4" max="4" width="11.5" bestFit="1" customWidth="1"/>
    <col min="5" max="5" width="13.875" bestFit="1" customWidth="1"/>
    <col min="6" max="6" width="24.75" bestFit="1" customWidth="1"/>
  </cols>
  <sheetData>
    <row r="1" spans="1:7" x14ac:dyDescent="0.25">
      <c r="A1" s="4" t="s">
        <v>7</v>
      </c>
      <c r="B1" s="7">
        <f>Face_Value</f>
        <v>57901.64</v>
      </c>
      <c r="E1" s="28">
        <f>EDATE(Start_date,12)</f>
        <v>46420</v>
      </c>
      <c r="F1" s="10">
        <f>SUM(F11:F70)</f>
        <v>50120.384344003491</v>
      </c>
      <c r="G1" s="8"/>
    </row>
    <row r="2" spans="1:7" x14ac:dyDescent="0.25">
      <c r="A2" s="4" t="s">
        <v>0</v>
      </c>
      <c r="B2">
        <f>Term-1</f>
        <v>29</v>
      </c>
      <c r="C2" t="s">
        <v>178</v>
      </c>
    </row>
    <row r="3" spans="1:7" x14ac:dyDescent="0.25">
      <c r="A3" s="4" t="s">
        <v>8</v>
      </c>
      <c r="B3" s="1">
        <f>Coupon_rate</f>
        <v>0.04</v>
      </c>
    </row>
    <row r="4" spans="1:7" x14ac:dyDescent="0.25">
      <c r="A4" s="4" t="s">
        <v>12</v>
      </c>
      <c r="B4">
        <f>One_Period_Equals</f>
        <v>0.5</v>
      </c>
      <c r="C4" t="s">
        <v>1</v>
      </c>
    </row>
    <row r="5" spans="1:7" x14ac:dyDescent="0.25">
      <c r="A5" s="4" t="s">
        <v>10</v>
      </c>
      <c r="B5" s="1">
        <f>Interest_rate</f>
        <v>4.87E-2</v>
      </c>
    </row>
    <row r="6" spans="1:7" x14ac:dyDescent="0.25">
      <c r="A6" s="4" t="s">
        <v>9</v>
      </c>
      <c r="B6" s="2">
        <f>Amount_to_Spend</f>
        <v>50000</v>
      </c>
    </row>
    <row r="7" spans="1:7" x14ac:dyDescent="0.25">
      <c r="A7" s="4" t="s">
        <v>88</v>
      </c>
      <c r="B7" s="15">
        <f>Start_date</f>
        <v>46055</v>
      </c>
    </row>
    <row r="9" spans="1:7" ht="16.5" thickBot="1" x14ac:dyDescent="0.3">
      <c r="A9" s="3" t="s">
        <v>87</v>
      </c>
      <c r="B9" s="3" t="s">
        <v>4</v>
      </c>
      <c r="C9" s="3" t="s">
        <v>2</v>
      </c>
      <c r="D9" s="3" t="s">
        <v>3</v>
      </c>
      <c r="E9" s="3" t="s">
        <v>5</v>
      </c>
      <c r="F9" s="3" t="str">
        <f>"PV of cash flow @ "&amp;TEXT(E1,"d-mmm-yy")</f>
        <v>PV of cash flow @ 2-Feb-27</v>
      </c>
    </row>
    <row r="10" spans="1:7" x14ac:dyDescent="0.25">
      <c r="A10" s="14">
        <f>Start_date</f>
        <v>46055</v>
      </c>
    </row>
    <row r="11" spans="1:7" x14ac:dyDescent="0.25">
      <c r="A11" s="14">
        <f>EDATE(Start_date,6)</f>
        <v>46236</v>
      </c>
      <c r="B11">
        <v>1</v>
      </c>
      <c r="C11" s="9" t="s">
        <v>13</v>
      </c>
      <c r="D11" s="5"/>
      <c r="E11" s="5"/>
      <c r="F11" s="5"/>
    </row>
    <row r="12" spans="1:7" x14ac:dyDescent="0.25">
      <c r="A12" s="14">
        <f>EDATE(A11,6)</f>
        <v>46420</v>
      </c>
      <c r="B12">
        <v>2</v>
      </c>
      <c r="C12" s="9" t="s">
        <v>13</v>
      </c>
      <c r="D12" s="11"/>
      <c r="E12" s="5"/>
      <c r="F12" s="5"/>
    </row>
    <row r="13" spans="1:7" x14ac:dyDescent="0.25">
      <c r="A13" s="14">
        <f t="shared" ref="A13:A70" si="0">EDATE(A12,6)</f>
        <v>46601</v>
      </c>
      <c r="B13">
        <v>3</v>
      </c>
      <c r="C13" s="21">
        <f>'Value of Bonds 6 mos later'!C12</f>
        <v>1158.0328</v>
      </c>
      <c r="D13" s="11"/>
      <c r="E13" s="5">
        <f t="shared" ref="E13:E70" si="1">SUM(C13:D13)</f>
        <v>1158.0328</v>
      </c>
      <c r="F13" s="13">
        <f t="shared" ref="F13:F70" si="2">E13/(1+Interest_rate/2)^(B13-2)</f>
        <v>1130.5050031727435</v>
      </c>
    </row>
    <row r="14" spans="1:7" x14ac:dyDescent="0.25">
      <c r="A14" s="14">
        <f t="shared" si="0"/>
        <v>46785</v>
      </c>
      <c r="B14">
        <v>4</v>
      </c>
      <c r="C14" s="20">
        <f>'Value of Bonds 6 mos later'!C13</f>
        <v>1158.0328</v>
      </c>
      <c r="D14" s="11"/>
      <c r="E14" s="5">
        <f t="shared" si="1"/>
        <v>1158.0328</v>
      </c>
      <c r="F14" s="13">
        <f t="shared" si="2"/>
        <v>1103.6315743376222</v>
      </c>
    </row>
    <row r="15" spans="1:7" x14ac:dyDescent="0.25">
      <c r="A15" s="14">
        <f t="shared" si="0"/>
        <v>46967</v>
      </c>
      <c r="B15">
        <v>5</v>
      </c>
      <c r="C15" s="20">
        <f>'Value of Bonds 6 mos later'!C14</f>
        <v>1158.0328</v>
      </c>
      <c r="D15" s="11"/>
      <c r="E15" s="5">
        <f t="shared" si="1"/>
        <v>1158.0328</v>
      </c>
      <c r="F15" s="13">
        <f t="shared" si="2"/>
        <v>1077.3969584005683</v>
      </c>
    </row>
    <row r="16" spans="1:7" x14ac:dyDescent="0.25">
      <c r="A16" s="14">
        <f t="shared" si="0"/>
        <v>47151</v>
      </c>
      <c r="B16">
        <v>6</v>
      </c>
      <c r="C16" s="20">
        <f>'Value of Bonds 6 mos later'!C15</f>
        <v>1158.0328</v>
      </c>
      <c r="D16" s="11"/>
      <c r="E16" s="5">
        <f t="shared" si="1"/>
        <v>1158.0328</v>
      </c>
      <c r="F16" s="13">
        <f t="shared" si="2"/>
        <v>1051.7859700303297</v>
      </c>
    </row>
    <row r="17" spans="1:6" x14ac:dyDescent="0.25">
      <c r="A17" s="14">
        <f t="shared" si="0"/>
        <v>47332</v>
      </c>
      <c r="B17">
        <v>7</v>
      </c>
      <c r="C17" s="20">
        <f>'Value of Bonds 6 mos later'!C16</f>
        <v>1158.0328</v>
      </c>
      <c r="D17" s="11"/>
      <c r="E17" s="5">
        <f t="shared" si="1"/>
        <v>1158.0328</v>
      </c>
      <c r="F17" s="13">
        <f t="shared" si="2"/>
        <v>1026.7837848687748</v>
      </c>
    </row>
    <row r="18" spans="1:6" x14ac:dyDescent="0.25">
      <c r="A18" s="14">
        <f t="shared" si="0"/>
        <v>47516</v>
      </c>
      <c r="B18">
        <v>8</v>
      </c>
      <c r="C18" s="20">
        <f>'Value of Bonds 6 mos later'!C17</f>
        <v>1158.0328</v>
      </c>
      <c r="D18" s="11"/>
      <c r="E18" s="5">
        <f t="shared" si="1"/>
        <v>1158.0328</v>
      </c>
      <c r="F18" s="13">
        <f t="shared" si="2"/>
        <v>1002.3759309501388</v>
      </c>
    </row>
    <row r="19" spans="1:6" x14ac:dyDescent="0.25">
      <c r="A19" s="14">
        <f t="shared" si="0"/>
        <v>47697</v>
      </c>
      <c r="B19">
        <v>9</v>
      </c>
      <c r="C19" s="20">
        <f>'Value of Bonds 6 mos later'!C18</f>
        <v>1158.0328</v>
      </c>
      <c r="D19" s="11"/>
      <c r="E19" s="5">
        <f t="shared" si="1"/>
        <v>1158.0328</v>
      </c>
      <c r="F19" s="13">
        <f t="shared" si="2"/>
        <v>978.54828032424336</v>
      </c>
    </row>
    <row r="20" spans="1:6" x14ac:dyDescent="0.25">
      <c r="A20" s="14">
        <f t="shared" si="0"/>
        <v>47881</v>
      </c>
      <c r="B20">
        <v>10</v>
      </c>
      <c r="C20" s="20">
        <f>'Value of Bonds 6 mos later'!C19</f>
        <v>1158.0328</v>
      </c>
      <c r="D20" s="11"/>
      <c r="E20" s="5">
        <f t="shared" si="1"/>
        <v>1158.0328</v>
      </c>
      <c r="F20" s="13">
        <f t="shared" si="2"/>
        <v>955.28704087884341</v>
      </c>
    </row>
    <row r="21" spans="1:6" x14ac:dyDescent="0.25">
      <c r="A21" s="14">
        <f t="shared" si="0"/>
        <v>48062</v>
      </c>
      <c r="B21">
        <v>11</v>
      </c>
      <c r="C21" s="20">
        <f>'Value of Bonds 6 mos later'!C20</f>
        <v>1158.0328</v>
      </c>
      <c r="D21" s="11"/>
      <c r="E21" s="5">
        <f t="shared" si="1"/>
        <v>1158.0328</v>
      </c>
      <c r="F21" s="13">
        <f t="shared" si="2"/>
        <v>932.57874835636574</v>
      </c>
    </row>
    <row r="22" spans="1:6" x14ac:dyDescent="0.25">
      <c r="A22" s="14">
        <f t="shared" si="0"/>
        <v>48246</v>
      </c>
      <c r="B22">
        <v>12</v>
      </c>
      <c r="C22" s="20">
        <f>'Value of Bonds 6 mos later'!C21</f>
        <v>1158.0328</v>
      </c>
      <c r="D22" s="11"/>
      <c r="E22" s="5">
        <f t="shared" si="1"/>
        <v>1158.0328</v>
      </c>
      <c r="F22" s="13">
        <f t="shared" si="2"/>
        <v>910.41025856041938</v>
      </c>
    </row>
    <row r="23" spans="1:6" x14ac:dyDescent="0.25">
      <c r="A23" s="14">
        <f t="shared" si="0"/>
        <v>48428</v>
      </c>
      <c r="B23">
        <v>13</v>
      </c>
      <c r="C23" s="20">
        <f>'Value of Bonds 6 mos later'!C22</f>
        <v>1158.0328</v>
      </c>
      <c r="D23" s="11"/>
      <c r="E23" s="5">
        <f t="shared" si="1"/>
        <v>1158.0328</v>
      </c>
      <c r="F23" s="13">
        <f t="shared" si="2"/>
        <v>888.7687397475662</v>
      </c>
    </row>
    <row r="24" spans="1:6" x14ac:dyDescent="0.25">
      <c r="A24" s="14">
        <f t="shared" si="0"/>
        <v>48612</v>
      </c>
      <c r="B24">
        <v>14</v>
      </c>
      <c r="C24" s="20">
        <f>'Value of Bonds 6 mos later'!C23</f>
        <v>1158.0328</v>
      </c>
      <c r="D24" s="11"/>
      <c r="E24" s="5">
        <f t="shared" si="1"/>
        <v>1158.0328</v>
      </c>
      <c r="F24" s="13">
        <f t="shared" si="2"/>
        <v>867.64166519994728</v>
      </c>
    </row>
    <row r="25" spans="1:6" x14ac:dyDescent="0.25">
      <c r="A25" s="14">
        <f t="shared" si="0"/>
        <v>48793</v>
      </c>
      <c r="B25">
        <v>15</v>
      </c>
      <c r="C25" s="20">
        <f>'Value of Bonds 6 mos later'!C24</f>
        <v>1158.0328</v>
      </c>
      <c r="D25" s="11"/>
      <c r="E25" s="5">
        <f t="shared" si="1"/>
        <v>1158.0328</v>
      </c>
      <c r="F25" s="13">
        <f t="shared" si="2"/>
        <v>847.01680597446887</v>
      </c>
    </row>
    <row r="26" spans="1:6" x14ac:dyDescent="0.25">
      <c r="A26" s="14">
        <f t="shared" si="0"/>
        <v>48977</v>
      </c>
      <c r="B26">
        <v>16</v>
      </c>
      <c r="C26" s="20">
        <f>'Value of Bonds 6 mos later'!C25</f>
        <v>1158.0328</v>
      </c>
      <c r="D26" s="11"/>
      <c r="E26" s="5">
        <f t="shared" si="1"/>
        <v>1158.0328</v>
      </c>
      <c r="F26" s="13">
        <f t="shared" si="2"/>
        <v>826.88222382434594</v>
      </c>
    </row>
    <row r="27" spans="1:6" x14ac:dyDescent="0.25">
      <c r="A27" s="14">
        <f t="shared" si="0"/>
        <v>49158</v>
      </c>
      <c r="B27">
        <v>17</v>
      </c>
      <c r="C27" s="20">
        <f>'Value of Bonds 6 mos later'!C26</f>
        <v>1158.0328</v>
      </c>
      <c r="D27" s="11"/>
      <c r="E27" s="5">
        <f t="shared" si="1"/>
        <v>1158.0328</v>
      </c>
      <c r="F27" s="13">
        <f t="shared" si="2"/>
        <v>807.2262642889109</v>
      </c>
    </row>
    <row r="28" spans="1:6" x14ac:dyDescent="0.25">
      <c r="A28" s="14">
        <f t="shared" si="0"/>
        <v>49342</v>
      </c>
      <c r="B28">
        <v>18</v>
      </c>
      <c r="C28" s="20">
        <f>'Value of Bonds 6 mos later'!C27</f>
        <v>1158.0328</v>
      </c>
      <c r="D28" s="11"/>
      <c r="E28" s="5">
        <f t="shared" si="1"/>
        <v>1158.0328</v>
      </c>
      <c r="F28" s="13">
        <f t="shared" si="2"/>
        <v>788.03754994768462</v>
      </c>
    </row>
    <row r="29" spans="1:6" x14ac:dyDescent="0.25">
      <c r="A29" s="14">
        <f t="shared" si="0"/>
        <v>49523</v>
      </c>
      <c r="B29">
        <v>19</v>
      </c>
      <c r="C29" s="20">
        <f>'Value of Bonds 6 mos later'!C28</f>
        <v>1158.0328</v>
      </c>
      <c r="D29" s="11"/>
      <c r="E29" s="5">
        <f t="shared" si="1"/>
        <v>1158.0328</v>
      </c>
      <c r="F29" s="13">
        <f t="shared" si="2"/>
        <v>769.30497383480702</v>
      </c>
    </row>
    <row r="30" spans="1:6" x14ac:dyDescent="0.25">
      <c r="A30" s="14">
        <f t="shared" si="0"/>
        <v>49707</v>
      </c>
      <c r="B30">
        <v>20</v>
      </c>
      <c r="C30" s="20">
        <f>'Value of Bonds 6 mos later'!C29</f>
        <v>1158.0328</v>
      </c>
      <c r="D30" s="11"/>
      <c r="E30" s="5">
        <f t="shared" si="1"/>
        <v>1158.0328</v>
      </c>
      <c r="F30" s="13">
        <f t="shared" si="2"/>
        <v>751.01769301001298</v>
      </c>
    </row>
    <row r="31" spans="1:6" x14ac:dyDescent="0.25">
      <c r="A31" s="14">
        <f t="shared" si="0"/>
        <v>49889</v>
      </c>
      <c r="B31">
        <v>21</v>
      </c>
      <c r="C31" s="20">
        <f>'Value of Bonds 6 mos later'!C30</f>
        <v>1158.0328</v>
      </c>
      <c r="D31" s="11"/>
      <c r="E31" s="5">
        <f t="shared" si="1"/>
        <v>1158.0328</v>
      </c>
      <c r="F31" s="13">
        <f t="shared" si="2"/>
        <v>733.16512228243573</v>
      </c>
    </row>
    <row r="32" spans="1:6" x14ac:dyDescent="0.25">
      <c r="A32" s="14">
        <f t="shared" si="0"/>
        <v>50073</v>
      </c>
      <c r="B32">
        <v>22</v>
      </c>
      <c r="C32" s="20">
        <f>'Value of Bonds 6 mos later'!C31</f>
        <v>1158.0328</v>
      </c>
      <c r="D32" s="11"/>
      <c r="E32" s="5">
        <f t="shared" si="1"/>
        <v>1158.0328</v>
      </c>
      <c r="F32" s="13">
        <f t="shared" si="2"/>
        <v>715.73692808359999</v>
      </c>
    </row>
    <row r="33" spans="1:6" x14ac:dyDescent="0.25">
      <c r="A33" s="14">
        <f t="shared" si="0"/>
        <v>50254</v>
      </c>
      <c r="B33">
        <v>23</v>
      </c>
      <c r="C33" s="20">
        <f>'Value of Bonds 6 mos later'!C32</f>
        <v>1158.0328</v>
      </c>
      <c r="D33" s="11"/>
      <c r="E33" s="5">
        <f t="shared" si="1"/>
        <v>1158.0328</v>
      </c>
      <c r="F33" s="13">
        <f t="shared" si="2"/>
        <v>698.72302248606422</v>
      </c>
    </row>
    <row r="34" spans="1:6" x14ac:dyDescent="0.25">
      <c r="A34" s="14">
        <f t="shared" si="0"/>
        <v>50438</v>
      </c>
      <c r="B34">
        <v>24</v>
      </c>
      <c r="C34" s="20">
        <f>'Value of Bonds 6 mos later'!C33</f>
        <v>1158.0328</v>
      </c>
      <c r="D34" s="11"/>
      <c r="E34" s="5">
        <f t="shared" si="1"/>
        <v>1158.0328</v>
      </c>
      <c r="F34" s="13">
        <f t="shared" si="2"/>
        <v>682.11355736424468</v>
      </c>
    </row>
    <row r="35" spans="1:6" x14ac:dyDescent="0.25">
      <c r="A35" s="14">
        <f t="shared" si="0"/>
        <v>50619</v>
      </c>
      <c r="B35">
        <v>25</v>
      </c>
      <c r="C35" s="20">
        <f>'Value of Bonds 6 mos later'!C34</f>
        <v>1158.0328</v>
      </c>
      <c r="D35" s="11"/>
      <c r="E35" s="5">
        <f t="shared" si="1"/>
        <v>1158.0328</v>
      </c>
      <c r="F35" s="13">
        <f t="shared" si="2"/>
        <v>665.89891869404471</v>
      </c>
    </row>
    <row r="36" spans="1:6" x14ac:dyDescent="0.25">
      <c r="A36" s="14">
        <f t="shared" si="0"/>
        <v>50803</v>
      </c>
      <c r="B36">
        <v>26</v>
      </c>
      <c r="C36" s="20">
        <f>'Value of Bonds 6 mos later'!C35</f>
        <v>1158.0328</v>
      </c>
      <c r="D36" s="11"/>
      <c r="E36" s="5">
        <f t="shared" si="1"/>
        <v>1158.0328</v>
      </c>
      <c r="F36" s="13">
        <f t="shared" si="2"/>
        <v>650.06972098798713</v>
      </c>
    </row>
    <row r="37" spans="1:6" x14ac:dyDescent="0.25">
      <c r="A37" s="14">
        <f t="shared" si="0"/>
        <v>50984</v>
      </c>
      <c r="B37">
        <v>27</v>
      </c>
      <c r="C37" s="20">
        <f>'Value of Bonds 6 mos later'!C36</f>
        <v>1158.0328</v>
      </c>
      <c r="D37" s="11"/>
      <c r="E37" s="5">
        <f t="shared" si="1"/>
        <v>1158.0328</v>
      </c>
      <c r="F37" s="13">
        <f t="shared" si="2"/>
        <v>634.61680186263197</v>
      </c>
    </row>
    <row r="38" spans="1:6" x14ac:dyDescent="0.25">
      <c r="A38" s="14">
        <f t="shared" si="0"/>
        <v>51168</v>
      </c>
      <c r="B38">
        <v>28</v>
      </c>
      <c r="C38" s="20">
        <f>'Value of Bonds 6 mos later'!C37</f>
        <v>1158.0328</v>
      </c>
      <c r="D38" s="11"/>
      <c r="E38" s="5">
        <f t="shared" si="1"/>
        <v>1158.0328</v>
      </c>
      <c r="F38" s="13">
        <f t="shared" si="2"/>
        <v>619.53121673513147</v>
      </c>
    </row>
    <row r="39" spans="1:6" x14ac:dyDescent="0.25">
      <c r="A39" s="14">
        <f t="shared" si="0"/>
        <v>51350</v>
      </c>
      <c r="B39">
        <v>29</v>
      </c>
      <c r="C39" s="20">
        <f>'Value of Bonds 6 mos later'!C38</f>
        <v>1158.0328</v>
      </c>
      <c r="D39" s="11"/>
      <c r="E39" s="5">
        <f t="shared" si="1"/>
        <v>1158.0328</v>
      </c>
      <c r="F39" s="13">
        <f t="shared" si="2"/>
        <v>604.80423364585488</v>
      </c>
    </row>
    <row r="40" spans="1:6" x14ac:dyDescent="0.25">
      <c r="A40" s="14">
        <f t="shared" si="0"/>
        <v>51534</v>
      </c>
      <c r="B40">
        <v>30</v>
      </c>
      <c r="C40" s="20">
        <f>'Value of Bonds 6 mos later'!C39</f>
        <v>1158.0328</v>
      </c>
      <c r="D40" s="11"/>
      <c r="E40" s="5">
        <f t="shared" si="1"/>
        <v>1158.0328</v>
      </c>
      <c r="F40" s="13">
        <f t="shared" si="2"/>
        <v>590.42732820408526</v>
      </c>
    </row>
    <row r="41" spans="1:6" x14ac:dyDescent="0.25">
      <c r="A41" s="14">
        <f t="shared" si="0"/>
        <v>51715</v>
      </c>
      <c r="B41">
        <v>31</v>
      </c>
      <c r="C41" s="20">
        <f>'Value of Bonds 6 mos later'!C40</f>
        <v>1158.0328</v>
      </c>
      <c r="D41" s="11"/>
      <c r="E41" s="5">
        <f t="shared" si="1"/>
        <v>1158.0328</v>
      </c>
      <c r="F41" s="13">
        <f t="shared" si="2"/>
        <v>576.39217865386365</v>
      </c>
    </row>
    <row r="42" spans="1:6" x14ac:dyDescent="0.25">
      <c r="A42" s="14">
        <f t="shared" si="0"/>
        <v>51899</v>
      </c>
      <c r="B42">
        <v>32</v>
      </c>
      <c r="C42" s="20">
        <f>'Value of Bonds 6 mos later'!C41</f>
        <v>1158.0328</v>
      </c>
      <c r="D42" s="11"/>
      <c r="E42" s="5">
        <f t="shared" si="1"/>
        <v>1158.0328</v>
      </c>
      <c r="F42" s="13">
        <f t="shared" si="2"/>
        <v>562.6906610571225</v>
      </c>
    </row>
    <row r="43" spans="1:6" x14ac:dyDescent="0.25">
      <c r="A43" s="14">
        <f t="shared" si="0"/>
        <v>52080</v>
      </c>
      <c r="B43">
        <v>33</v>
      </c>
      <c r="C43" s="20">
        <f>'Value of Bonds 6 mos later'!C42</f>
        <v>1158.0328</v>
      </c>
      <c r="D43" s="11"/>
      <c r="E43" s="5">
        <f t="shared" si="1"/>
        <v>1158.0328</v>
      </c>
      <c r="F43" s="13">
        <f t="shared" si="2"/>
        <v>549.31484459132378</v>
      </c>
    </row>
    <row r="44" spans="1:6" x14ac:dyDescent="0.25">
      <c r="A44" s="14">
        <f t="shared" si="0"/>
        <v>52264</v>
      </c>
      <c r="B44">
        <v>34</v>
      </c>
      <c r="C44" s="20">
        <f>'Value of Bonds 6 mos later'!C43</f>
        <v>1158.0328</v>
      </c>
      <c r="D44" s="11"/>
      <c r="E44" s="5">
        <f t="shared" si="1"/>
        <v>1158.0328</v>
      </c>
      <c r="F44" s="13">
        <f t="shared" si="2"/>
        <v>536.25698695887502</v>
      </c>
    </row>
    <row r="45" spans="1:6" x14ac:dyDescent="0.25">
      <c r="A45" s="14">
        <f t="shared" si="0"/>
        <v>52445</v>
      </c>
      <c r="B45">
        <v>35</v>
      </c>
      <c r="C45" s="20">
        <f>'Value of Bonds 6 mos later'!C44</f>
        <v>1158.0328</v>
      </c>
      <c r="D45" s="11"/>
      <c r="E45" s="5">
        <f t="shared" si="1"/>
        <v>1158.0328</v>
      </c>
      <c r="F45" s="13">
        <f t="shared" si="2"/>
        <v>523.5095299056718</v>
      </c>
    </row>
    <row r="46" spans="1:6" x14ac:dyDescent="0.25">
      <c r="A46" s="14">
        <f t="shared" si="0"/>
        <v>52629</v>
      </c>
      <c r="B46">
        <v>36</v>
      </c>
      <c r="C46" s="20">
        <f>'Value of Bonds 6 mos later'!C45</f>
        <v>1158.0328</v>
      </c>
      <c r="D46" s="11"/>
      <c r="E46" s="5">
        <f t="shared" si="1"/>
        <v>1158.0328</v>
      </c>
      <c r="F46" s="13">
        <f t="shared" si="2"/>
        <v>511.06509484616765</v>
      </c>
    </row>
    <row r="47" spans="1:6" x14ac:dyDescent="0.25">
      <c r="A47" s="14">
        <f t="shared" si="0"/>
        <v>52811</v>
      </c>
      <c r="B47">
        <v>37</v>
      </c>
      <c r="C47" s="20">
        <f>'Value of Bonds 6 mos later'!C46</f>
        <v>1158.0328</v>
      </c>
      <c r="D47" s="11"/>
      <c r="E47" s="5">
        <f t="shared" si="1"/>
        <v>1158.0328</v>
      </c>
      <c r="F47" s="13">
        <f t="shared" si="2"/>
        <v>498.91647859244159</v>
      </c>
    </row>
    <row r="48" spans="1:6" x14ac:dyDescent="0.25">
      <c r="A48" s="14">
        <f t="shared" si="0"/>
        <v>52995</v>
      </c>
      <c r="B48">
        <v>38</v>
      </c>
      <c r="C48" s="20">
        <f>'Value of Bonds 6 mos later'!C47</f>
        <v>1158.0328</v>
      </c>
      <c r="D48" s="11"/>
      <c r="E48" s="5">
        <f t="shared" si="1"/>
        <v>1158.0328</v>
      </c>
      <c r="F48" s="13">
        <f t="shared" si="2"/>
        <v>487.05664918479187</v>
      </c>
    </row>
    <row r="49" spans="1:6" x14ac:dyDescent="0.25">
      <c r="A49" s="14">
        <f t="shared" si="0"/>
        <v>53176</v>
      </c>
      <c r="B49">
        <v>39</v>
      </c>
      <c r="C49" s="20">
        <f>'Value of Bonds 6 mos later'!C48</f>
        <v>1158.0328</v>
      </c>
      <c r="D49" s="11"/>
      <c r="E49" s="5">
        <f t="shared" si="1"/>
        <v>1158.0328</v>
      </c>
      <c r="F49" s="13">
        <f t="shared" si="2"/>
        <v>475.47874182143977</v>
      </c>
    </row>
    <row r="50" spans="1:6" x14ac:dyDescent="0.25">
      <c r="A50" s="14">
        <f t="shared" si="0"/>
        <v>53360</v>
      </c>
      <c r="B50">
        <v>40</v>
      </c>
      <c r="C50" s="20">
        <f>'Value of Bonds 6 mos later'!C49</f>
        <v>1158.0328</v>
      </c>
      <c r="D50" s="11"/>
      <c r="E50" s="5">
        <f t="shared" si="1"/>
        <v>1158.0328</v>
      </c>
      <c r="F50" s="13">
        <f t="shared" si="2"/>
        <v>464.17605488499021</v>
      </c>
    </row>
    <row r="51" spans="1:6" x14ac:dyDescent="0.25">
      <c r="A51" s="14">
        <f t="shared" si="0"/>
        <v>53541</v>
      </c>
      <c r="B51">
        <v>41</v>
      </c>
      <c r="C51" s="20">
        <f>'Value of Bonds 6 mos later'!C50</f>
        <v>1158.0328</v>
      </c>
      <c r="D51" s="11"/>
      <c r="E51" s="5">
        <f t="shared" si="1"/>
        <v>1158.0328</v>
      </c>
      <c r="F51" s="13">
        <f t="shared" si="2"/>
        <v>453.14204606334761</v>
      </c>
    </row>
    <row r="52" spans="1:6" x14ac:dyDescent="0.25">
      <c r="A52" s="14">
        <f t="shared" si="0"/>
        <v>53725</v>
      </c>
      <c r="B52">
        <v>42</v>
      </c>
      <c r="C52" s="20">
        <f>'Value of Bonds 6 mos later'!C51</f>
        <v>1158.0328</v>
      </c>
      <c r="D52" s="11"/>
      <c r="E52" s="5">
        <f t="shared" si="1"/>
        <v>1158.0328</v>
      </c>
      <c r="F52" s="13">
        <f t="shared" si="2"/>
        <v>442.37032856284236</v>
      </c>
    </row>
    <row r="53" spans="1:6" x14ac:dyDescent="0.25">
      <c r="A53" s="14">
        <f t="shared" si="0"/>
        <v>53906</v>
      </c>
      <c r="B53">
        <v>43</v>
      </c>
      <c r="C53" s="20">
        <f>'Value of Bonds 6 mos later'!C52</f>
        <v>1158.0328</v>
      </c>
      <c r="D53" s="11"/>
      <c r="E53" s="5">
        <f t="shared" si="1"/>
        <v>1158.0328</v>
      </c>
      <c r="F53" s="13">
        <f t="shared" si="2"/>
        <v>431.85466741137532</v>
      </c>
    </row>
    <row r="54" spans="1:6" x14ac:dyDescent="0.25">
      <c r="A54" s="14">
        <f t="shared" si="0"/>
        <v>54090</v>
      </c>
      <c r="B54">
        <v>44</v>
      </c>
      <c r="C54" s="20">
        <f>'Value of Bonds 6 mos later'!C53</f>
        <v>1158.0328</v>
      </c>
      <c r="D54" s="11"/>
      <c r="E54" s="5">
        <f t="shared" si="1"/>
        <v>1158.0328</v>
      </c>
      <c r="F54" s="13">
        <f t="shared" si="2"/>
        <v>421.58897584944128</v>
      </c>
    </row>
    <row r="55" spans="1:6" x14ac:dyDescent="0.25">
      <c r="A55" s="14">
        <f t="shared" si="0"/>
        <v>54272</v>
      </c>
      <c r="B55">
        <v>45</v>
      </c>
      <c r="C55" s="20">
        <f>'Value of Bonds 6 mos later'!C54</f>
        <v>1158.0328</v>
      </c>
      <c r="D55" s="11"/>
      <c r="E55" s="5">
        <f t="shared" si="1"/>
        <v>1158.0328</v>
      </c>
      <c r="F55" s="13">
        <f t="shared" si="2"/>
        <v>411.56731180694231</v>
      </c>
    </row>
    <row r="56" spans="1:6" x14ac:dyDescent="0.25">
      <c r="A56" s="14">
        <f t="shared" si="0"/>
        <v>54456</v>
      </c>
      <c r="B56">
        <v>46</v>
      </c>
      <c r="C56" s="20">
        <f>'Value of Bonds 6 mos later'!C55</f>
        <v>1158.0328</v>
      </c>
      <c r="D56" s="11"/>
      <c r="E56" s="5">
        <f t="shared" si="1"/>
        <v>1158.0328</v>
      </c>
      <c r="F56" s="13">
        <f t="shared" si="2"/>
        <v>401.7838744637499</v>
      </c>
    </row>
    <row r="57" spans="1:6" x14ac:dyDescent="0.25">
      <c r="A57" s="14">
        <f t="shared" si="0"/>
        <v>54637</v>
      </c>
      <c r="B57">
        <v>47</v>
      </c>
      <c r="C57" s="20">
        <f>'Value of Bonds 6 mos later'!C56</f>
        <v>1158.0328</v>
      </c>
      <c r="D57" s="11"/>
      <c r="E57" s="5">
        <f t="shared" si="1"/>
        <v>1158.0328</v>
      </c>
      <c r="F57" s="13">
        <f t="shared" si="2"/>
        <v>392.23300089202894</v>
      </c>
    </row>
    <row r="58" spans="1:6" x14ac:dyDescent="0.25">
      <c r="A58" s="14">
        <f t="shared" si="0"/>
        <v>54821</v>
      </c>
      <c r="B58">
        <v>48</v>
      </c>
      <c r="C58" s="20">
        <f>'Value of Bonds 6 mos later'!C57</f>
        <v>1158.0328</v>
      </c>
      <c r="D58" s="11"/>
      <c r="E58" s="5">
        <f t="shared" si="1"/>
        <v>1158.0328</v>
      </c>
      <c r="F58" s="13">
        <f t="shared" si="2"/>
        <v>382.9091627783755</v>
      </c>
    </row>
    <row r="59" spans="1:6" x14ac:dyDescent="0.25">
      <c r="A59" s="14">
        <f t="shared" si="0"/>
        <v>55002</v>
      </c>
      <c r="B59">
        <v>49</v>
      </c>
      <c r="C59" s="20">
        <f>'Value of Bonds 6 mos later'!C58</f>
        <v>1158.0328</v>
      </c>
      <c r="D59" s="11"/>
      <c r="E59" s="5">
        <f t="shared" si="1"/>
        <v>1158.0328</v>
      </c>
      <c r="F59" s="13">
        <f t="shared" si="2"/>
        <v>373.80696322387405</v>
      </c>
    </row>
    <row r="60" spans="1:6" x14ac:dyDescent="0.25">
      <c r="A60" s="14">
        <f t="shared" si="0"/>
        <v>55186</v>
      </c>
      <c r="B60">
        <v>50</v>
      </c>
      <c r="C60" s="20">
        <f>'Value of Bonds 6 mos later'!C59</f>
        <v>1158.0328</v>
      </c>
      <c r="D60" s="11"/>
      <c r="E60" s="5">
        <f t="shared" si="1"/>
        <v>1158.0328</v>
      </c>
      <c r="F60" s="13">
        <f t="shared" si="2"/>
        <v>364.92113362022167</v>
      </c>
    </row>
    <row r="61" spans="1:6" x14ac:dyDescent="0.25">
      <c r="A61" s="14">
        <f t="shared" si="0"/>
        <v>55367</v>
      </c>
      <c r="B61">
        <v>51</v>
      </c>
      <c r="C61" s="20">
        <f>'Value of Bonds 6 mos later'!C60</f>
        <v>1158.0328</v>
      </c>
      <c r="D61" s="11"/>
      <c r="E61" s="5">
        <f t="shared" si="1"/>
        <v>1158.0328</v>
      </c>
      <c r="F61" s="13">
        <f t="shared" si="2"/>
        <v>356.24653060010894</v>
      </c>
    </row>
    <row r="62" spans="1:6" x14ac:dyDescent="0.25">
      <c r="A62" s="14">
        <f t="shared" si="0"/>
        <v>55551</v>
      </c>
      <c r="B62">
        <v>52</v>
      </c>
      <c r="C62" s="20">
        <f>'Value of Bonds 6 mos later'!C61</f>
        <v>1158.0328</v>
      </c>
      <c r="D62" s="11"/>
      <c r="E62" s="5">
        <f t="shared" si="1"/>
        <v>1158.0328</v>
      </c>
      <c r="F62" s="13">
        <f t="shared" si="2"/>
        <v>347.77813306009551</v>
      </c>
    </row>
    <row r="63" spans="1:6" x14ac:dyDescent="0.25">
      <c r="A63" s="14">
        <f t="shared" si="0"/>
        <v>55733</v>
      </c>
      <c r="B63">
        <v>53</v>
      </c>
      <c r="C63" s="20">
        <f>'Value of Bonds 6 mos later'!C62</f>
        <v>1158.0328</v>
      </c>
      <c r="D63" s="11"/>
      <c r="E63" s="5">
        <f t="shared" si="1"/>
        <v>1158.0328</v>
      </c>
      <c r="F63" s="13">
        <f t="shared" si="2"/>
        <v>339.51103925425446</v>
      </c>
    </row>
    <row r="64" spans="1:6" x14ac:dyDescent="0.25">
      <c r="A64" s="14">
        <f t="shared" si="0"/>
        <v>55917</v>
      </c>
      <c r="B64">
        <v>54</v>
      </c>
      <c r="C64" s="20">
        <f>'Value of Bonds 6 mos later'!C63</f>
        <v>1158.0328</v>
      </c>
      <c r="D64" s="11"/>
      <c r="E64" s="5">
        <f t="shared" si="1"/>
        <v>1158.0328</v>
      </c>
      <c r="F64" s="13">
        <f t="shared" si="2"/>
        <v>331.44046395690378</v>
      </c>
    </row>
    <row r="65" spans="1:6" x14ac:dyDescent="0.25">
      <c r="A65" s="14">
        <f t="shared" si="0"/>
        <v>56098</v>
      </c>
      <c r="B65">
        <v>55</v>
      </c>
      <c r="C65" s="20">
        <f>'Value of Bonds 6 mos later'!C64</f>
        <v>1158.0328</v>
      </c>
      <c r="D65" s="11"/>
      <c r="E65" s="5">
        <f t="shared" si="1"/>
        <v>1158.0328</v>
      </c>
      <c r="F65" s="13">
        <f t="shared" si="2"/>
        <v>323.56173569278445</v>
      </c>
    </row>
    <row r="66" spans="1:6" x14ac:dyDescent="0.25">
      <c r="A66" s="14">
        <f t="shared" si="0"/>
        <v>56282</v>
      </c>
      <c r="B66">
        <v>56</v>
      </c>
      <c r="C66" s="20">
        <f>'Value of Bonds 6 mos later'!C65</f>
        <v>1158.0328</v>
      </c>
      <c r="D66" s="11"/>
      <c r="E66" s="5">
        <f t="shared" si="1"/>
        <v>1158.0328</v>
      </c>
      <c r="F66" s="13">
        <f t="shared" si="2"/>
        <v>315.87029403307895</v>
      </c>
    </row>
    <row r="67" spans="1:6" x14ac:dyDescent="0.25">
      <c r="A67" s="14">
        <f t="shared" si="0"/>
        <v>56463</v>
      </c>
      <c r="B67">
        <v>57</v>
      </c>
      <c r="C67" s="20">
        <f>'Value of Bonds 6 mos later'!C66</f>
        <v>1158.0328</v>
      </c>
      <c r="D67" s="11"/>
      <c r="E67" s="5">
        <f t="shared" si="1"/>
        <v>1158.0328</v>
      </c>
      <c r="F67" s="13">
        <f t="shared" si="2"/>
        <v>308.3616869557074</v>
      </c>
    </row>
    <row r="68" spans="1:6" x14ac:dyDescent="0.25">
      <c r="A68" s="14">
        <f t="shared" si="0"/>
        <v>56647</v>
      </c>
      <c r="B68">
        <v>58</v>
      </c>
      <c r="C68" s="20">
        <f>'Value of Bonds 6 mos later'!C67</f>
        <v>1158.0328</v>
      </c>
      <c r="D68" s="11"/>
      <c r="E68" s="5">
        <f t="shared" si="1"/>
        <v>1158.0328</v>
      </c>
      <c r="F68" s="13">
        <f t="shared" si="2"/>
        <v>301.0315682683725</v>
      </c>
    </row>
    <row r="69" spans="1:6" x14ac:dyDescent="0.25">
      <c r="A69" s="14">
        <f t="shared" si="0"/>
        <v>56828</v>
      </c>
      <c r="B69">
        <v>59</v>
      </c>
      <c r="C69" s="20">
        <f>'Value of Bonds 6 mos later'!C68</f>
        <v>1158.0328</v>
      </c>
      <c r="D69" s="11"/>
      <c r="E69" s="5">
        <f t="shared" si="1"/>
        <v>1158.0328</v>
      </c>
      <c r="F69" s="13">
        <f t="shared" si="2"/>
        <v>293.87569509286129</v>
      </c>
    </row>
    <row r="70" spans="1:6" x14ac:dyDescent="0.25">
      <c r="A70" s="14">
        <f t="shared" si="0"/>
        <v>57012</v>
      </c>
      <c r="B70">
        <v>60</v>
      </c>
      <c r="C70" s="20">
        <f>'Value of Bonds 6 mos later'!C69</f>
        <v>1158.0328</v>
      </c>
      <c r="D70" s="20">
        <f>'Value of Bonds 6 mos later'!D70</f>
        <v>57901.64</v>
      </c>
      <c r="E70" s="5">
        <f t="shared" si="1"/>
        <v>59059.6728</v>
      </c>
      <c r="F70" s="13">
        <f t="shared" si="2"/>
        <v>14631.386195866573</v>
      </c>
    </row>
    <row r="71" spans="1:6" ht="16.5" thickBot="1" x14ac:dyDescent="0.3">
      <c r="B71" t="s">
        <v>11</v>
      </c>
      <c r="C71" s="5"/>
      <c r="D71" s="5"/>
      <c r="E71" s="6">
        <f>SUM(E11:E70)</f>
        <v>125067.54240000003</v>
      </c>
      <c r="F71" s="6">
        <f>SUM(F11:F70)</f>
        <v>50120.384344003491</v>
      </c>
    </row>
    <row r="72" spans="1:6" ht="16.5" thickTop="1" x14ac:dyDescent="0.25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A0927-E06A-467B-BBE3-620FAFB7E569}">
  <dimension ref="A1:C18"/>
  <sheetViews>
    <sheetView zoomScale="175" zoomScaleNormal="175" workbookViewId="0">
      <selection activeCell="E7" sqref="E7"/>
    </sheetView>
  </sheetViews>
  <sheetFormatPr defaultRowHeight="15.75" x14ac:dyDescent="0.25"/>
  <cols>
    <col min="1" max="1" width="64.875" bestFit="1" customWidth="1"/>
    <col min="2" max="2" width="11.25" bestFit="1" customWidth="1"/>
    <col min="3" max="3" width="9.625" bestFit="1" customWidth="1"/>
  </cols>
  <sheetData>
    <row r="1" spans="1:3" x14ac:dyDescent="0.25">
      <c r="B1" s="1"/>
    </row>
    <row r="2" spans="1:3" ht="16.5" thickBot="1" x14ac:dyDescent="0.3">
      <c r="B2" s="1"/>
      <c r="C2" s="3" t="s">
        <v>87</v>
      </c>
    </row>
    <row r="3" spans="1:3" x14ac:dyDescent="0.25">
      <c r="A3" t="s">
        <v>83</v>
      </c>
      <c r="B3" s="24">
        <v>50000</v>
      </c>
      <c r="C3" s="15" t="str">
        <f>TEXT(Start_date,"d-mmm-yy")</f>
        <v>2-Feb-26</v>
      </c>
    </row>
    <row r="4" spans="1:3" x14ac:dyDescent="0.25">
      <c r="A4" t="s">
        <v>161</v>
      </c>
      <c r="B4" s="25">
        <f>B3*Interest_rate/2</f>
        <v>1217.5</v>
      </c>
    </row>
    <row r="5" spans="1:3" x14ac:dyDescent="0.25">
      <c r="A5" t="s">
        <v>92</v>
      </c>
      <c r="B5" s="5">
        <f>SUM(B3:B4)</f>
        <v>51217.5</v>
      </c>
    </row>
    <row r="6" spans="1:3" x14ac:dyDescent="0.25">
      <c r="A6" t="s">
        <v>162</v>
      </c>
      <c r="B6" s="25">
        <f>-Face_Value*Coupon_rate/2</f>
        <v>-1158.0328</v>
      </c>
    </row>
    <row r="7" spans="1:3" x14ac:dyDescent="0.25">
      <c r="A7" t="s">
        <v>94</v>
      </c>
      <c r="B7" s="26">
        <f>SUM(B5:B6)</f>
        <v>50059.467199999999</v>
      </c>
      <c r="C7" t="str">
        <f>TEXT(EDATE(Start_date,6),"d-mmm-yy")</f>
        <v>2-Aug-26</v>
      </c>
    </row>
    <row r="8" spans="1:3" x14ac:dyDescent="0.25">
      <c r="A8" t="s">
        <v>165</v>
      </c>
      <c r="B8" s="31"/>
    </row>
    <row r="9" spans="1:3" x14ac:dyDescent="0.25">
      <c r="A9" t="s">
        <v>93</v>
      </c>
      <c r="B9" s="23">
        <f>SUM(B7:B8)</f>
        <v>50059.467199999999</v>
      </c>
    </row>
    <row r="10" spans="1:3" x14ac:dyDescent="0.25">
      <c r="A10" t="s">
        <v>163</v>
      </c>
      <c r="B10" s="31"/>
    </row>
    <row r="11" spans="1:3" x14ac:dyDescent="0.25">
      <c r="A11" t="s">
        <v>84</v>
      </c>
      <c r="B11" s="26">
        <f>SUM(B9:B10)</f>
        <v>50059.467199999999</v>
      </c>
      <c r="C11" t="str">
        <f>TEXT(EDATE(Start_date,12),"d-mmm-yy")</f>
        <v>2-Feb-27</v>
      </c>
    </row>
    <row r="12" spans="1:3" x14ac:dyDescent="0.25">
      <c r="A12" t="s">
        <v>166</v>
      </c>
      <c r="B12" s="31"/>
    </row>
    <row r="13" spans="1:3" x14ac:dyDescent="0.25">
      <c r="A13" t="s">
        <v>85</v>
      </c>
      <c r="B13" s="23">
        <f>SUM(B11:B12)</f>
        <v>50059.467199999999</v>
      </c>
    </row>
    <row r="14" spans="1:3" x14ac:dyDescent="0.25">
      <c r="A14" t="s">
        <v>164</v>
      </c>
      <c r="B14" s="31"/>
    </row>
    <row r="15" spans="1:3" x14ac:dyDescent="0.25">
      <c r="A15" t="s">
        <v>86</v>
      </c>
      <c r="B15" s="26">
        <f>SUM(B13:B14)</f>
        <v>50059.467199999999</v>
      </c>
      <c r="C15" t="str">
        <f>TEXT(EDATE(Start_date,18),"d-mmm-yy")</f>
        <v>2-Aug-27</v>
      </c>
    </row>
    <row r="16" spans="1:3" x14ac:dyDescent="0.25">
      <c r="A16" s="16" t="s">
        <v>90</v>
      </c>
      <c r="B16" s="32"/>
    </row>
    <row r="18" spans="2:2" x14ac:dyDescent="0.25">
      <c r="B18" s="30" t="b">
        <v>0</v>
      </c>
    </row>
  </sheetData>
  <sheetProtection algorithmName="SHA-512" hashValue="CAa9rmDSR1QwUfSF4hw4zrx6iLi05UdEYsEX2uP9TmmgC3RKZfQTqEncjdxKLAV1d9HrALoYJT7UVbgcuQF2wA==" saltValue="l/eBqV3dYrdWjygrUAEMdQ==" spinCount="100000" sheet="1" objects="1" scenarios="1"/>
  <dataValidations count="1">
    <dataValidation type="list" allowBlank="1" showInputMessage="1" showErrorMessage="1" sqref="B16" xr:uid="{6C08F17B-EFAD-4594-A376-5D713C11FD45}">
      <formula1>"YES, NO"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3" r:id="rId3" name="Check Box 3">
              <controlPr defaultSize="0" autoFill="0" autoLine="0" autoPict="0">
                <anchor moveWithCells="1">
                  <from>
                    <xdr:col>1</xdr:col>
                    <xdr:colOff>333375</xdr:colOff>
                    <xdr:row>16</xdr:row>
                    <xdr:rowOff>171450</xdr:rowOff>
                  </from>
                  <to>
                    <xdr:col>3</xdr:col>
                    <xdr:colOff>57150</xdr:colOff>
                    <xdr:row>17</xdr:row>
                    <xdr:rowOff>200025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id="{0140661A-5174-40A4-BF90-E0AC8CA89312}">
            <xm:f>AND($B$18,OR(AND((OR(ROUND('Ans2'!B8,2)=0,'Ans2'!B8="")),NOT(OR(ROUND(B8,2)=0,B8=""))),AND(ROUND('Ans2'!B8,2)&lt;&gt;0,ROUND(B8,2)&lt;&gt;ROUND('Ans2'!B8,2))))</xm:f>
            <x14:dxf>
              <fill>
                <patternFill>
                  <bgColor rgb="FFFFFF00"/>
                </patternFill>
              </fill>
            </x14:dxf>
          </x14:cfRule>
          <xm:sqref>B8</xm:sqref>
        </x14:conditionalFormatting>
        <x14:conditionalFormatting xmlns:xm="http://schemas.microsoft.com/office/excel/2006/main">
          <x14:cfRule type="expression" priority="5" id="{798CC331-4C31-4152-96CF-51654357094A}">
            <xm:f>AND($B$18,OR(AND((OR(ROUND('Ans2'!B10,2)=0,'Ans2'!B10="")),NOT(OR(ROUND(B10,2)=0,B10=""))),AND(ROUND('Ans2'!B10,2)&lt;&gt;0,ROUND(B10,2)&lt;&gt;ROUND('Ans2'!B10,2))))</xm:f>
            <x14:dxf>
              <fill>
                <patternFill>
                  <bgColor rgb="FFFFFF00"/>
                </patternFill>
              </fill>
            </x14:dxf>
          </x14:cfRule>
          <xm:sqref>B10</xm:sqref>
        </x14:conditionalFormatting>
        <x14:conditionalFormatting xmlns:xm="http://schemas.microsoft.com/office/excel/2006/main">
          <x14:cfRule type="expression" priority="1" id="{26B79ED3-198B-4D8F-A6C9-E634FBD6B0EF}">
            <xm:f>AND($B$18,OR(AND((OR(ROUND('Ans2'!B12,2)=0,'Ans2'!B12="")),NOT(OR(ROUND(B12,2)=0,B12=""))),AND(ROUND('Ans2'!B12,2)&lt;&gt;0,ROUND(B12,2)&lt;&gt;ROUND('Ans2'!B12,2))))</xm:f>
            <x14:dxf>
              <fill>
                <patternFill>
                  <bgColor rgb="FFFFFF00"/>
                </patternFill>
              </fill>
            </x14:dxf>
          </x14:cfRule>
          <xm:sqref>B12</xm:sqref>
        </x14:conditionalFormatting>
        <x14:conditionalFormatting xmlns:xm="http://schemas.microsoft.com/office/excel/2006/main">
          <x14:cfRule type="expression" priority="2" id="{4A9F4633-BFC2-4583-ABE1-BD6C093BD0ED}">
            <xm:f>AND($B$18,OR(AND((OR(ROUND('Ans2'!B14,2)=0,'Ans2'!B14="")),NOT(OR(ROUND(B14,2)=0,B14=""))),AND(ROUND('Ans2'!B14,2)&lt;&gt;0,ROUND(B14,2)&lt;&gt;ROUND('Ans2'!B14,2))))</xm:f>
            <x14:dxf>
              <fill>
                <patternFill>
                  <bgColor rgb="FFFFFF00"/>
                </patternFill>
              </fill>
            </x14:dxf>
          </x14:cfRule>
          <xm:sqref>B14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CEFDA-FE3D-4204-BF48-72C3701914FB}">
  <dimension ref="A1:C16"/>
  <sheetViews>
    <sheetView zoomScale="175" zoomScaleNormal="175" workbookViewId="0">
      <selection activeCell="A25" sqref="A25"/>
    </sheetView>
  </sheetViews>
  <sheetFormatPr defaultRowHeight="15.75" x14ac:dyDescent="0.25"/>
  <cols>
    <col min="1" max="1" width="64.875" bestFit="1" customWidth="1"/>
    <col min="2" max="2" width="11.25" bestFit="1" customWidth="1"/>
    <col min="3" max="3" width="9.625" bestFit="1" customWidth="1"/>
  </cols>
  <sheetData>
    <row r="1" spans="1:3" x14ac:dyDescent="0.25">
      <c r="B1" s="1"/>
    </row>
    <row r="2" spans="1:3" ht="16.5" thickBot="1" x14ac:dyDescent="0.3">
      <c r="B2" s="1"/>
      <c r="C2" s="29" t="s">
        <v>87</v>
      </c>
    </row>
    <row r="3" spans="1:3" x14ac:dyDescent="0.25">
      <c r="A3" t="s">
        <v>83</v>
      </c>
      <c r="B3" s="24">
        <v>50000</v>
      </c>
      <c r="C3" s="15" t="str">
        <f>TEXT(Start_date,"d-mmm-yy")</f>
        <v>2-Feb-26</v>
      </c>
    </row>
    <row r="4" spans="1:3" x14ac:dyDescent="0.25">
      <c r="A4" t="s">
        <v>161</v>
      </c>
      <c r="B4" s="25">
        <f>B3*Interest_rate/2</f>
        <v>1217.5</v>
      </c>
    </row>
    <row r="5" spans="1:3" x14ac:dyDescent="0.25">
      <c r="A5" t="s">
        <v>92</v>
      </c>
      <c r="B5" s="5">
        <f>SUM(B3:B4)</f>
        <v>51217.5</v>
      </c>
    </row>
    <row r="6" spans="1:3" x14ac:dyDescent="0.25">
      <c r="A6" t="s">
        <v>162</v>
      </c>
      <c r="B6" s="25">
        <f>-Face_Value*Coupon_rate/2</f>
        <v>-1158.0328</v>
      </c>
    </row>
    <row r="7" spans="1:3" x14ac:dyDescent="0.25">
      <c r="A7" t="s">
        <v>94</v>
      </c>
      <c r="B7" s="26">
        <f>SUM(B5:B6)</f>
        <v>50059.467199999999</v>
      </c>
      <c r="C7" t="str">
        <f>TEXT(EDATE(Start_date,6),"d-mmm-yy")</f>
        <v>2-Aug-26</v>
      </c>
    </row>
    <row r="8" spans="1:3" x14ac:dyDescent="0.25">
      <c r="A8" t="s">
        <v>165</v>
      </c>
      <c r="B8" s="22">
        <f>B7*Interest_rate/2</f>
        <v>1218.9480263200001</v>
      </c>
    </row>
    <row r="9" spans="1:3" x14ac:dyDescent="0.25">
      <c r="A9" t="s">
        <v>93</v>
      </c>
      <c r="B9" s="23">
        <f>SUM(B7:B8)</f>
        <v>51278.415226320001</v>
      </c>
    </row>
    <row r="10" spans="1:3" x14ac:dyDescent="0.25">
      <c r="A10" t="s">
        <v>163</v>
      </c>
      <c r="B10" s="22">
        <f>-Face_Value*Coupon_rate/2</f>
        <v>-1158.0328</v>
      </c>
    </row>
    <row r="11" spans="1:3" x14ac:dyDescent="0.25">
      <c r="A11" t="s">
        <v>84</v>
      </c>
      <c r="B11" s="26">
        <f>SUM(B9:B10)</f>
        <v>50120.38242632</v>
      </c>
      <c r="C11" t="str">
        <f>TEXT(EDATE(Start_date,12),"d-mmm-yy")</f>
        <v>2-Feb-27</v>
      </c>
    </row>
    <row r="12" spans="1:3" x14ac:dyDescent="0.25">
      <c r="A12" t="s">
        <v>166</v>
      </c>
      <c r="B12" s="22">
        <f>B11*Interest_rate/2</f>
        <v>1220.431312080892</v>
      </c>
    </row>
    <row r="13" spans="1:3" x14ac:dyDescent="0.25">
      <c r="A13" t="s">
        <v>85</v>
      </c>
      <c r="B13" s="23">
        <f>SUM(B11:B12)</f>
        <v>51340.813738400895</v>
      </c>
    </row>
    <row r="14" spans="1:3" x14ac:dyDescent="0.25">
      <c r="A14" t="s">
        <v>164</v>
      </c>
      <c r="B14" s="22">
        <f>-Face_Value*Coupon_rate/2</f>
        <v>-1158.0328</v>
      </c>
    </row>
    <row r="15" spans="1:3" x14ac:dyDescent="0.25">
      <c r="A15" t="s">
        <v>86</v>
      </c>
      <c r="B15" s="26">
        <f>SUM(B13:B14)</f>
        <v>50182.780938400894</v>
      </c>
      <c r="C15" t="str">
        <f>TEXT(EDATE(Start_date,18),"d-mmm-yy")</f>
        <v>2-Aug-27</v>
      </c>
    </row>
    <row r="16" spans="1:3" x14ac:dyDescent="0.25">
      <c r="A16" s="16" t="s">
        <v>90</v>
      </c>
      <c r="B16" s="18" t="s">
        <v>91</v>
      </c>
    </row>
  </sheetData>
  <dataValidations count="1">
    <dataValidation type="list" allowBlank="1" showInputMessage="1" showErrorMessage="1" sqref="B16" xr:uid="{930FF26D-EEEF-47E3-801F-CA4DF64140AD}">
      <formula1>"YES, NO"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EF2D8-F516-401F-8637-E3C00B802F71}">
  <dimension ref="A1:G185"/>
  <sheetViews>
    <sheetView workbookViewId="0">
      <selection activeCell="I125" sqref="I125"/>
    </sheetView>
  </sheetViews>
  <sheetFormatPr defaultRowHeight="15.75" x14ac:dyDescent="0.25"/>
  <cols>
    <col min="1" max="1" width="11.5" bestFit="1" customWidth="1"/>
    <col min="2" max="2" width="28.125" bestFit="1" customWidth="1"/>
    <col min="4" max="4" width="13.375" bestFit="1" customWidth="1"/>
    <col min="6" max="6" width="29.75" bestFit="1" customWidth="1"/>
    <col min="7" max="7" width="14.5" bestFit="1" customWidth="1"/>
  </cols>
  <sheetData>
    <row r="1" spans="1:7" ht="16.5" thickBot="1" x14ac:dyDescent="0.3">
      <c r="A1" s="12" t="s">
        <v>14</v>
      </c>
      <c r="B1" s="12" t="s">
        <v>15</v>
      </c>
      <c r="C1" s="12" t="s">
        <v>16</v>
      </c>
      <c r="D1" s="12" t="s">
        <v>17</v>
      </c>
      <c r="E1" s="12" t="s">
        <v>18</v>
      </c>
      <c r="F1" s="12" t="s">
        <v>19</v>
      </c>
      <c r="G1" s="12" t="s">
        <v>20</v>
      </c>
    </row>
    <row r="2" spans="1:7" x14ac:dyDescent="0.25">
      <c r="A2" t="s">
        <v>21</v>
      </c>
      <c r="B2" t="s">
        <v>95</v>
      </c>
      <c r="C2" t="s">
        <v>96</v>
      </c>
      <c r="D2" t="s">
        <v>180</v>
      </c>
      <c r="E2">
        <v>0</v>
      </c>
      <c r="F2" t="s">
        <v>159</v>
      </c>
      <c r="G2" t="s">
        <v>22</v>
      </c>
    </row>
    <row r="3" spans="1:7" x14ac:dyDescent="0.25">
      <c r="A3" t="s">
        <v>21</v>
      </c>
      <c r="B3" t="s">
        <v>95</v>
      </c>
      <c r="C3" t="s">
        <v>23</v>
      </c>
      <c r="D3" t="s">
        <v>180</v>
      </c>
      <c r="E3">
        <v>0</v>
      </c>
      <c r="F3" t="s">
        <v>82</v>
      </c>
      <c r="G3" t="s">
        <v>22</v>
      </c>
    </row>
    <row r="4" spans="1:7" x14ac:dyDescent="0.25">
      <c r="A4" t="s">
        <v>21</v>
      </c>
      <c r="B4" t="s">
        <v>95</v>
      </c>
      <c r="C4" t="s">
        <v>24</v>
      </c>
      <c r="D4" t="s">
        <v>180</v>
      </c>
      <c r="E4">
        <v>0</v>
      </c>
      <c r="F4" t="s">
        <v>82</v>
      </c>
      <c r="G4" t="s">
        <v>22</v>
      </c>
    </row>
    <row r="5" spans="1:7" x14ac:dyDescent="0.25">
      <c r="A5" t="s">
        <v>21</v>
      </c>
      <c r="B5" t="s">
        <v>95</v>
      </c>
      <c r="C5" t="s">
        <v>25</v>
      </c>
      <c r="D5" t="s">
        <v>180</v>
      </c>
      <c r="E5">
        <v>0</v>
      </c>
      <c r="F5" t="s">
        <v>82</v>
      </c>
      <c r="G5" t="s">
        <v>22</v>
      </c>
    </row>
    <row r="6" spans="1:7" x14ac:dyDescent="0.25">
      <c r="A6" t="s">
        <v>21</v>
      </c>
      <c r="B6" t="s">
        <v>95</v>
      </c>
      <c r="C6" t="s">
        <v>26</v>
      </c>
      <c r="D6" t="s">
        <v>180</v>
      </c>
      <c r="E6">
        <v>0</v>
      </c>
      <c r="F6" t="s">
        <v>82</v>
      </c>
      <c r="G6" t="s">
        <v>22</v>
      </c>
    </row>
    <row r="7" spans="1:7" x14ac:dyDescent="0.25">
      <c r="A7" t="s">
        <v>21</v>
      </c>
      <c r="B7" t="s">
        <v>95</v>
      </c>
      <c r="C7" t="s">
        <v>27</v>
      </c>
      <c r="D7" t="s">
        <v>180</v>
      </c>
      <c r="E7">
        <v>0</v>
      </c>
      <c r="F7" t="s">
        <v>82</v>
      </c>
      <c r="G7" t="s">
        <v>22</v>
      </c>
    </row>
    <row r="8" spans="1:7" x14ac:dyDescent="0.25">
      <c r="A8" t="s">
        <v>21</v>
      </c>
      <c r="B8" t="s">
        <v>95</v>
      </c>
      <c r="C8" t="s">
        <v>28</v>
      </c>
      <c r="D8" t="s">
        <v>180</v>
      </c>
      <c r="E8">
        <v>0</v>
      </c>
      <c r="F8" t="s">
        <v>82</v>
      </c>
      <c r="G8" t="s">
        <v>22</v>
      </c>
    </row>
    <row r="9" spans="1:7" x14ac:dyDescent="0.25">
      <c r="A9" t="s">
        <v>21</v>
      </c>
      <c r="B9" t="s">
        <v>95</v>
      </c>
      <c r="C9" t="s">
        <v>29</v>
      </c>
      <c r="D9" t="s">
        <v>180</v>
      </c>
      <c r="E9">
        <v>0</v>
      </c>
      <c r="F9" t="s">
        <v>82</v>
      </c>
      <c r="G9" t="s">
        <v>22</v>
      </c>
    </row>
    <row r="10" spans="1:7" x14ac:dyDescent="0.25">
      <c r="A10" t="s">
        <v>21</v>
      </c>
      <c r="B10" t="s">
        <v>95</v>
      </c>
      <c r="C10" t="s">
        <v>30</v>
      </c>
      <c r="D10" t="s">
        <v>180</v>
      </c>
      <c r="E10">
        <v>0</v>
      </c>
      <c r="F10" t="s">
        <v>82</v>
      </c>
      <c r="G10" t="s">
        <v>22</v>
      </c>
    </row>
    <row r="11" spans="1:7" x14ac:dyDescent="0.25">
      <c r="A11" t="s">
        <v>21</v>
      </c>
      <c r="B11" t="s">
        <v>95</v>
      </c>
      <c r="C11" t="s">
        <v>31</v>
      </c>
      <c r="D11" t="s">
        <v>180</v>
      </c>
      <c r="E11">
        <v>0</v>
      </c>
      <c r="F11" t="s">
        <v>82</v>
      </c>
      <c r="G11" t="s">
        <v>22</v>
      </c>
    </row>
    <row r="12" spans="1:7" x14ac:dyDescent="0.25">
      <c r="A12" t="s">
        <v>21</v>
      </c>
      <c r="B12" t="s">
        <v>95</v>
      </c>
      <c r="C12" t="s">
        <v>32</v>
      </c>
      <c r="D12" t="s">
        <v>180</v>
      </c>
      <c r="E12">
        <v>0</v>
      </c>
      <c r="F12" t="s">
        <v>82</v>
      </c>
      <c r="G12" t="s">
        <v>22</v>
      </c>
    </row>
    <row r="13" spans="1:7" x14ac:dyDescent="0.25">
      <c r="A13" t="s">
        <v>21</v>
      </c>
      <c r="B13" t="s">
        <v>95</v>
      </c>
      <c r="C13" t="s">
        <v>33</v>
      </c>
      <c r="D13" t="s">
        <v>180</v>
      </c>
      <c r="E13">
        <v>0</v>
      </c>
      <c r="F13" t="s">
        <v>82</v>
      </c>
      <c r="G13" t="s">
        <v>22</v>
      </c>
    </row>
    <row r="14" spans="1:7" x14ac:dyDescent="0.25">
      <c r="A14" t="s">
        <v>21</v>
      </c>
      <c r="B14" t="s">
        <v>95</v>
      </c>
      <c r="C14" t="s">
        <v>34</v>
      </c>
      <c r="D14" t="s">
        <v>180</v>
      </c>
      <c r="E14">
        <v>0</v>
      </c>
      <c r="F14" t="s">
        <v>82</v>
      </c>
      <c r="G14" t="s">
        <v>22</v>
      </c>
    </row>
    <row r="15" spans="1:7" x14ac:dyDescent="0.25">
      <c r="A15" t="s">
        <v>21</v>
      </c>
      <c r="B15" t="s">
        <v>95</v>
      </c>
      <c r="C15" t="s">
        <v>35</v>
      </c>
      <c r="D15" t="s">
        <v>180</v>
      </c>
      <c r="E15">
        <v>0</v>
      </c>
      <c r="F15" t="s">
        <v>82</v>
      </c>
      <c r="G15" t="s">
        <v>22</v>
      </c>
    </row>
    <row r="16" spans="1:7" x14ac:dyDescent="0.25">
      <c r="A16" t="s">
        <v>21</v>
      </c>
      <c r="B16" t="s">
        <v>95</v>
      </c>
      <c r="C16" t="s">
        <v>36</v>
      </c>
      <c r="D16" t="s">
        <v>180</v>
      </c>
      <c r="E16">
        <v>0</v>
      </c>
      <c r="F16" t="s">
        <v>82</v>
      </c>
      <c r="G16" t="s">
        <v>22</v>
      </c>
    </row>
    <row r="17" spans="1:7" x14ac:dyDescent="0.25">
      <c r="A17" t="s">
        <v>21</v>
      </c>
      <c r="B17" t="s">
        <v>95</v>
      </c>
      <c r="C17" t="s">
        <v>37</v>
      </c>
      <c r="D17" t="s">
        <v>180</v>
      </c>
      <c r="E17">
        <v>0</v>
      </c>
      <c r="F17" t="s">
        <v>82</v>
      </c>
      <c r="G17" t="s">
        <v>22</v>
      </c>
    </row>
    <row r="18" spans="1:7" x14ac:dyDescent="0.25">
      <c r="A18" t="s">
        <v>21</v>
      </c>
      <c r="B18" t="s">
        <v>95</v>
      </c>
      <c r="C18" t="s">
        <v>38</v>
      </c>
      <c r="D18" t="s">
        <v>180</v>
      </c>
      <c r="E18">
        <v>0</v>
      </c>
      <c r="F18" t="s">
        <v>82</v>
      </c>
      <c r="G18" t="s">
        <v>22</v>
      </c>
    </row>
    <row r="19" spans="1:7" x14ac:dyDescent="0.25">
      <c r="A19" t="s">
        <v>21</v>
      </c>
      <c r="B19" t="s">
        <v>95</v>
      </c>
      <c r="C19" t="s">
        <v>39</v>
      </c>
      <c r="D19" t="s">
        <v>180</v>
      </c>
      <c r="E19">
        <v>0</v>
      </c>
      <c r="F19" t="s">
        <v>82</v>
      </c>
      <c r="G19" t="s">
        <v>22</v>
      </c>
    </row>
    <row r="20" spans="1:7" x14ac:dyDescent="0.25">
      <c r="A20" t="s">
        <v>21</v>
      </c>
      <c r="B20" t="s">
        <v>95</v>
      </c>
      <c r="C20" t="s">
        <v>40</v>
      </c>
      <c r="D20" t="s">
        <v>180</v>
      </c>
      <c r="E20">
        <v>0</v>
      </c>
      <c r="F20" t="s">
        <v>82</v>
      </c>
      <c r="G20" t="s">
        <v>22</v>
      </c>
    </row>
    <row r="21" spans="1:7" x14ac:dyDescent="0.25">
      <c r="A21" t="s">
        <v>21</v>
      </c>
      <c r="B21" t="s">
        <v>95</v>
      </c>
      <c r="C21" t="s">
        <v>41</v>
      </c>
      <c r="D21" t="s">
        <v>180</v>
      </c>
      <c r="E21">
        <v>0</v>
      </c>
      <c r="F21" t="s">
        <v>82</v>
      </c>
      <c r="G21" t="s">
        <v>22</v>
      </c>
    </row>
    <row r="22" spans="1:7" x14ac:dyDescent="0.25">
      <c r="A22" t="s">
        <v>21</v>
      </c>
      <c r="B22" t="s">
        <v>95</v>
      </c>
      <c r="C22" t="s">
        <v>42</v>
      </c>
      <c r="D22" t="s">
        <v>180</v>
      </c>
      <c r="E22">
        <v>0</v>
      </c>
      <c r="F22" t="s">
        <v>82</v>
      </c>
      <c r="G22" t="s">
        <v>22</v>
      </c>
    </row>
    <row r="23" spans="1:7" x14ac:dyDescent="0.25">
      <c r="A23" t="s">
        <v>21</v>
      </c>
      <c r="B23" t="s">
        <v>95</v>
      </c>
      <c r="C23" t="s">
        <v>43</v>
      </c>
      <c r="D23" t="s">
        <v>180</v>
      </c>
      <c r="E23">
        <v>0</v>
      </c>
      <c r="F23" t="s">
        <v>82</v>
      </c>
      <c r="G23" t="s">
        <v>22</v>
      </c>
    </row>
    <row r="24" spans="1:7" x14ac:dyDescent="0.25">
      <c r="A24" t="s">
        <v>21</v>
      </c>
      <c r="B24" t="s">
        <v>95</v>
      </c>
      <c r="C24" t="s">
        <v>44</v>
      </c>
      <c r="D24" t="s">
        <v>180</v>
      </c>
      <c r="E24">
        <v>0</v>
      </c>
      <c r="F24" t="s">
        <v>82</v>
      </c>
      <c r="G24" t="s">
        <v>22</v>
      </c>
    </row>
    <row r="25" spans="1:7" x14ac:dyDescent="0.25">
      <c r="A25" t="s">
        <v>21</v>
      </c>
      <c r="B25" t="s">
        <v>95</v>
      </c>
      <c r="C25" t="s">
        <v>45</v>
      </c>
      <c r="D25" t="s">
        <v>180</v>
      </c>
      <c r="E25">
        <v>0</v>
      </c>
      <c r="F25" t="s">
        <v>82</v>
      </c>
      <c r="G25" t="s">
        <v>22</v>
      </c>
    </row>
    <row r="26" spans="1:7" x14ac:dyDescent="0.25">
      <c r="A26" t="s">
        <v>21</v>
      </c>
      <c r="B26" t="s">
        <v>95</v>
      </c>
      <c r="C26" t="s">
        <v>46</v>
      </c>
      <c r="D26" t="s">
        <v>180</v>
      </c>
      <c r="E26">
        <v>0</v>
      </c>
      <c r="F26" t="s">
        <v>82</v>
      </c>
      <c r="G26" t="s">
        <v>22</v>
      </c>
    </row>
    <row r="27" spans="1:7" x14ac:dyDescent="0.25">
      <c r="A27" t="s">
        <v>21</v>
      </c>
      <c r="B27" t="s">
        <v>95</v>
      </c>
      <c r="C27" t="s">
        <v>47</v>
      </c>
      <c r="D27" t="s">
        <v>180</v>
      </c>
      <c r="E27">
        <v>0</v>
      </c>
      <c r="F27" t="s">
        <v>82</v>
      </c>
      <c r="G27" t="s">
        <v>22</v>
      </c>
    </row>
    <row r="28" spans="1:7" x14ac:dyDescent="0.25">
      <c r="A28" t="s">
        <v>21</v>
      </c>
      <c r="B28" t="s">
        <v>95</v>
      </c>
      <c r="C28" t="s">
        <v>48</v>
      </c>
      <c r="D28" t="s">
        <v>180</v>
      </c>
      <c r="E28">
        <v>0</v>
      </c>
      <c r="F28" t="s">
        <v>82</v>
      </c>
      <c r="G28" t="s">
        <v>22</v>
      </c>
    </row>
    <row r="29" spans="1:7" x14ac:dyDescent="0.25">
      <c r="A29" t="s">
        <v>21</v>
      </c>
      <c r="B29" t="s">
        <v>95</v>
      </c>
      <c r="C29" t="s">
        <v>49</v>
      </c>
      <c r="D29" t="s">
        <v>180</v>
      </c>
      <c r="E29">
        <v>0</v>
      </c>
      <c r="F29" t="s">
        <v>82</v>
      </c>
      <c r="G29" t="s">
        <v>22</v>
      </c>
    </row>
    <row r="30" spans="1:7" x14ac:dyDescent="0.25">
      <c r="A30" t="s">
        <v>21</v>
      </c>
      <c r="B30" t="s">
        <v>95</v>
      </c>
      <c r="C30" t="s">
        <v>50</v>
      </c>
      <c r="D30" t="s">
        <v>180</v>
      </c>
      <c r="E30">
        <v>0</v>
      </c>
      <c r="F30" t="s">
        <v>82</v>
      </c>
      <c r="G30" t="s">
        <v>22</v>
      </c>
    </row>
    <row r="31" spans="1:7" x14ac:dyDescent="0.25">
      <c r="A31" t="s">
        <v>21</v>
      </c>
      <c r="B31" t="s">
        <v>95</v>
      </c>
      <c r="C31" t="s">
        <v>51</v>
      </c>
      <c r="D31" t="s">
        <v>180</v>
      </c>
      <c r="E31">
        <v>0</v>
      </c>
      <c r="F31" t="s">
        <v>82</v>
      </c>
      <c r="G31" t="s">
        <v>22</v>
      </c>
    </row>
    <row r="32" spans="1:7" x14ac:dyDescent="0.25">
      <c r="A32" t="s">
        <v>21</v>
      </c>
      <c r="B32" t="s">
        <v>95</v>
      </c>
      <c r="C32" t="s">
        <v>52</v>
      </c>
      <c r="D32" t="s">
        <v>180</v>
      </c>
      <c r="E32">
        <v>0</v>
      </c>
      <c r="F32" t="s">
        <v>82</v>
      </c>
      <c r="G32" t="s">
        <v>22</v>
      </c>
    </row>
    <row r="33" spans="1:7" x14ac:dyDescent="0.25">
      <c r="A33" t="s">
        <v>21</v>
      </c>
      <c r="B33" t="s">
        <v>95</v>
      </c>
      <c r="C33" t="s">
        <v>53</v>
      </c>
      <c r="D33" t="s">
        <v>180</v>
      </c>
      <c r="E33">
        <v>0</v>
      </c>
      <c r="F33" t="s">
        <v>82</v>
      </c>
      <c r="G33" t="s">
        <v>22</v>
      </c>
    </row>
    <row r="34" spans="1:7" x14ac:dyDescent="0.25">
      <c r="A34" t="s">
        <v>21</v>
      </c>
      <c r="B34" t="s">
        <v>95</v>
      </c>
      <c r="C34" t="s">
        <v>54</v>
      </c>
      <c r="D34" t="s">
        <v>180</v>
      </c>
      <c r="E34">
        <v>0</v>
      </c>
      <c r="F34" t="s">
        <v>82</v>
      </c>
      <c r="G34" t="s">
        <v>22</v>
      </c>
    </row>
    <row r="35" spans="1:7" x14ac:dyDescent="0.25">
      <c r="A35" t="s">
        <v>21</v>
      </c>
      <c r="B35" t="s">
        <v>95</v>
      </c>
      <c r="C35" t="s">
        <v>55</v>
      </c>
      <c r="D35" t="s">
        <v>180</v>
      </c>
      <c r="E35">
        <v>0</v>
      </c>
      <c r="F35" t="s">
        <v>82</v>
      </c>
      <c r="G35" t="s">
        <v>22</v>
      </c>
    </row>
    <row r="36" spans="1:7" x14ac:dyDescent="0.25">
      <c r="A36" t="s">
        <v>21</v>
      </c>
      <c r="B36" t="s">
        <v>95</v>
      </c>
      <c r="C36" t="s">
        <v>56</v>
      </c>
      <c r="D36" t="s">
        <v>180</v>
      </c>
      <c r="E36">
        <v>0</v>
      </c>
      <c r="F36" t="s">
        <v>82</v>
      </c>
      <c r="G36" t="s">
        <v>22</v>
      </c>
    </row>
    <row r="37" spans="1:7" x14ac:dyDescent="0.25">
      <c r="A37" t="s">
        <v>21</v>
      </c>
      <c r="B37" t="s">
        <v>95</v>
      </c>
      <c r="C37" t="s">
        <v>57</v>
      </c>
      <c r="D37" t="s">
        <v>180</v>
      </c>
      <c r="E37">
        <v>0</v>
      </c>
      <c r="F37" t="s">
        <v>82</v>
      </c>
      <c r="G37" t="s">
        <v>22</v>
      </c>
    </row>
    <row r="38" spans="1:7" x14ac:dyDescent="0.25">
      <c r="A38" t="s">
        <v>21</v>
      </c>
      <c r="B38" t="s">
        <v>95</v>
      </c>
      <c r="C38" t="s">
        <v>58</v>
      </c>
      <c r="D38" t="s">
        <v>180</v>
      </c>
      <c r="E38">
        <v>0</v>
      </c>
      <c r="F38" t="s">
        <v>82</v>
      </c>
      <c r="G38" t="s">
        <v>22</v>
      </c>
    </row>
    <row r="39" spans="1:7" x14ac:dyDescent="0.25">
      <c r="A39" t="s">
        <v>21</v>
      </c>
      <c r="B39" t="s">
        <v>95</v>
      </c>
      <c r="C39" t="s">
        <v>59</v>
      </c>
      <c r="D39" t="s">
        <v>180</v>
      </c>
      <c r="E39">
        <v>0</v>
      </c>
      <c r="F39" t="s">
        <v>82</v>
      </c>
      <c r="G39" t="s">
        <v>22</v>
      </c>
    </row>
    <row r="40" spans="1:7" x14ac:dyDescent="0.25">
      <c r="A40" t="s">
        <v>21</v>
      </c>
      <c r="B40" t="s">
        <v>95</v>
      </c>
      <c r="C40" t="s">
        <v>60</v>
      </c>
      <c r="D40" t="s">
        <v>180</v>
      </c>
      <c r="E40">
        <v>0</v>
      </c>
      <c r="F40" t="s">
        <v>82</v>
      </c>
      <c r="G40" t="s">
        <v>22</v>
      </c>
    </row>
    <row r="41" spans="1:7" x14ac:dyDescent="0.25">
      <c r="A41" t="s">
        <v>21</v>
      </c>
      <c r="B41" t="s">
        <v>95</v>
      </c>
      <c r="C41" t="s">
        <v>61</v>
      </c>
      <c r="D41" t="s">
        <v>180</v>
      </c>
      <c r="E41">
        <v>0</v>
      </c>
      <c r="F41" t="s">
        <v>82</v>
      </c>
      <c r="G41" t="s">
        <v>22</v>
      </c>
    </row>
    <row r="42" spans="1:7" x14ac:dyDescent="0.25">
      <c r="A42" t="s">
        <v>21</v>
      </c>
      <c r="B42" t="s">
        <v>95</v>
      </c>
      <c r="C42" t="s">
        <v>62</v>
      </c>
      <c r="D42" t="s">
        <v>180</v>
      </c>
      <c r="E42">
        <v>0</v>
      </c>
      <c r="F42" t="s">
        <v>82</v>
      </c>
      <c r="G42" t="s">
        <v>22</v>
      </c>
    </row>
    <row r="43" spans="1:7" x14ac:dyDescent="0.25">
      <c r="A43" t="s">
        <v>21</v>
      </c>
      <c r="B43" t="s">
        <v>95</v>
      </c>
      <c r="C43" t="s">
        <v>63</v>
      </c>
      <c r="D43" t="s">
        <v>180</v>
      </c>
      <c r="E43">
        <v>0</v>
      </c>
      <c r="F43" t="s">
        <v>82</v>
      </c>
      <c r="G43" t="s">
        <v>22</v>
      </c>
    </row>
    <row r="44" spans="1:7" x14ac:dyDescent="0.25">
      <c r="A44" t="s">
        <v>21</v>
      </c>
      <c r="B44" t="s">
        <v>95</v>
      </c>
      <c r="C44" t="s">
        <v>64</v>
      </c>
      <c r="D44" t="s">
        <v>180</v>
      </c>
      <c r="E44">
        <v>0</v>
      </c>
      <c r="F44" t="s">
        <v>82</v>
      </c>
      <c r="G44" t="s">
        <v>22</v>
      </c>
    </row>
    <row r="45" spans="1:7" x14ac:dyDescent="0.25">
      <c r="A45" t="s">
        <v>21</v>
      </c>
      <c r="B45" t="s">
        <v>95</v>
      </c>
      <c r="C45" t="s">
        <v>65</v>
      </c>
      <c r="D45" t="s">
        <v>180</v>
      </c>
      <c r="E45">
        <v>0</v>
      </c>
      <c r="F45" t="s">
        <v>82</v>
      </c>
      <c r="G45" t="s">
        <v>22</v>
      </c>
    </row>
    <row r="46" spans="1:7" x14ac:dyDescent="0.25">
      <c r="A46" t="s">
        <v>21</v>
      </c>
      <c r="B46" t="s">
        <v>95</v>
      </c>
      <c r="C46" t="s">
        <v>66</v>
      </c>
      <c r="D46" t="s">
        <v>180</v>
      </c>
      <c r="E46">
        <v>0</v>
      </c>
      <c r="F46" t="s">
        <v>82</v>
      </c>
      <c r="G46" t="s">
        <v>22</v>
      </c>
    </row>
    <row r="47" spans="1:7" x14ac:dyDescent="0.25">
      <c r="A47" t="s">
        <v>21</v>
      </c>
      <c r="B47" t="s">
        <v>95</v>
      </c>
      <c r="C47" t="s">
        <v>67</v>
      </c>
      <c r="D47" t="s">
        <v>180</v>
      </c>
      <c r="E47">
        <v>0</v>
      </c>
      <c r="F47" t="s">
        <v>82</v>
      </c>
      <c r="G47" t="s">
        <v>22</v>
      </c>
    </row>
    <row r="48" spans="1:7" x14ac:dyDescent="0.25">
      <c r="A48" t="s">
        <v>21</v>
      </c>
      <c r="B48" t="s">
        <v>95</v>
      </c>
      <c r="C48" t="s">
        <v>68</v>
      </c>
      <c r="D48" t="s">
        <v>180</v>
      </c>
      <c r="E48">
        <v>0</v>
      </c>
      <c r="F48" t="s">
        <v>82</v>
      </c>
      <c r="G48" t="s">
        <v>22</v>
      </c>
    </row>
    <row r="49" spans="1:7" x14ac:dyDescent="0.25">
      <c r="A49" t="s">
        <v>21</v>
      </c>
      <c r="B49" t="s">
        <v>95</v>
      </c>
      <c r="C49" t="s">
        <v>69</v>
      </c>
      <c r="D49" t="s">
        <v>180</v>
      </c>
      <c r="E49">
        <v>0</v>
      </c>
      <c r="F49" t="s">
        <v>82</v>
      </c>
      <c r="G49" t="s">
        <v>22</v>
      </c>
    </row>
    <row r="50" spans="1:7" x14ac:dyDescent="0.25">
      <c r="A50" t="s">
        <v>21</v>
      </c>
      <c r="B50" t="s">
        <v>95</v>
      </c>
      <c r="C50" t="s">
        <v>70</v>
      </c>
      <c r="D50" t="s">
        <v>180</v>
      </c>
      <c r="E50">
        <v>0</v>
      </c>
      <c r="F50" t="s">
        <v>82</v>
      </c>
      <c r="G50" t="s">
        <v>22</v>
      </c>
    </row>
    <row r="51" spans="1:7" x14ac:dyDescent="0.25">
      <c r="A51" t="s">
        <v>21</v>
      </c>
      <c r="B51" t="s">
        <v>95</v>
      </c>
      <c r="C51" t="s">
        <v>71</v>
      </c>
      <c r="D51" t="s">
        <v>180</v>
      </c>
      <c r="E51">
        <v>0</v>
      </c>
      <c r="F51" t="s">
        <v>82</v>
      </c>
      <c r="G51" t="s">
        <v>22</v>
      </c>
    </row>
    <row r="52" spans="1:7" x14ac:dyDescent="0.25">
      <c r="A52" t="s">
        <v>21</v>
      </c>
      <c r="B52" t="s">
        <v>95</v>
      </c>
      <c r="C52" t="s">
        <v>72</v>
      </c>
      <c r="D52" t="s">
        <v>180</v>
      </c>
      <c r="E52">
        <v>0</v>
      </c>
      <c r="F52" t="s">
        <v>82</v>
      </c>
      <c r="G52" t="s">
        <v>22</v>
      </c>
    </row>
    <row r="53" spans="1:7" x14ac:dyDescent="0.25">
      <c r="A53" t="s">
        <v>21</v>
      </c>
      <c r="B53" t="s">
        <v>95</v>
      </c>
      <c r="C53" t="s">
        <v>73</v>
      </c>
      <c r="D53" t="s">
        <v>180</v>
      </c>
      <c r="E53">
        <v>0</v>
      </c>
      <c r="F53" t="s">
        <v>82</v>
      </c>
      <c r="G53" t="s">
        <v>22</v>
      </c>
    </row>
    <row r="54" spans="1:7" x14ac:dyDescent="0.25">
      <c r="A54" t="s">
        <v>21</v>
      </c>
      <c r="B54" t="s">
        <v>95</v>
      </c>
      <c r="C54" t="s">
        <v>74</v>
      </c>
      <c r="D54" t="s">
        <v>180</v>
      </c>
      <c r="E54">
        <v>0</v>
      </c>
      <c r="F54" t="s">
        <v>82</v>
      </c>
      <c r="G54" t="s">
        <v>22</v>
      </c>
    </row>
    <row r="55" spans="1:7" x14ac:dyDescent="0.25">
      <c r="A55" t="s">
        <v>21</v>
      </c>
      <c r="B55" t="s">
        <v>95</v>
      </c>
      <c r="C55" t="s">
        <v>75</v>
      </c>
      <c r="D55" t="s">
        <v>180</v>
      </c>
      <c r="E55">
        <v>0</v>
      </c>
      <c r="F55" t="s">
        <v>82</v>
      </c>
      <c r="G55" t="s">
        <v>22</v>
      </c>
    </row>
    <row r="56" spans="1:7" x14ac:dyDescent="0.25">
      <c r="A56" t="s">
        <v>21</v>
      </c>
      <c r="B56" t="s">
        <v>95</v>
      </c>
      <c r="C56" t="s">
        <v>76</v>
      </c>
      <c r="D56" t="s">
        <v>180</v>
      </c>
      <c r="E56">
        <v>0</v>
      </c>
      <c r="F56" t="s">
        <v>82</v>
      </c>
      <c r="G56" t="s">
        <v>22</v>
      </c>
    </row>
    <row r="57" spans="1:7" x14ac:dyDescent="0.25">
      <c r="A57" t="s">
        <v>21</v>
      </c>
      <c r="B57" t="s">
        <v>95</v>
      </c>
      <c r="C57" t="s">
        <v>77</v>
      </c>
      <c r="D57" t="s">
        <v>180</v>
      </c>
      <c r="E57">
        <v>0</v>
      </c>
      <c r="F57" t="s">
        <v>82</v>
      </c>
      <c r="G57" t="s">
        <v>22</v>
      </c>
    </row>
    <row r="58" spans="1:7" x14ac:dyDescent="0.25">
      <c r="A58" t="s">
        <v>21</v>
      </c>
      <c r="B58" t="s">
        <v>95</v>
      </c>
      <c r="C58" t="s">
        <v>78</v>
      </c>
      <c r="D58" t="s">
        <v>180</v>
      </c>
      <c r="E58">
        <v>0</v>
      </c>
      <c r="F58" t="s">
        <v>82</v>
      </c>
      <c r="G58" t="s">
        <v>22</v>
      </c>
    </row>
    <row r="59" spans="1:7" x14ac:dyDescent="0.25">
      <c r="A59" t="s">
        <v>21</v>
      </c>
      <c r="B59" t="s">
        <v>95</v>
      </c>
      <c r="C59" t="s">
        <v>79</v>
      </c>
      <c r="D59" t="s">
        <v>180</v>
      </c>
      <c r="E59">
        <v>0</v>
      </c>
      <c r="F59" t="s">
        <v>82</v>
      </c>
      <c r="G59" t="s">
        <v>22</v>
      </c>
    </row>
    <row r="60" spans="1:7" x14ac:dyDescent="0.25">
      <c r="A60" t="s">
        <v>21</v>
      </c>
      <c r="B60" t="s">
        <v>95</v>
      </c>
      <c r="C60" t="s">
        <v>80</v>
      </c>
      <c r="D60" t="s">
        <v>180</v>
      </c>
      <c r="E60">
        <v>0</v>
      </c>
      <c r="F60" t="s">
        <v>82</v>
      </c>
      <c r="G60" t="s">
        <v>22</v>
      </c>
    </row>
    <row r="61" spans="1:7" x14ac:dyDescent="0.25">
      <c r="A61" t="s">
        <v>21</v>
      </c>
      <c r="B61" t="s">
        <v>95</v>
      </c>
      <c r="C61" t="s">
        <v>97</v>
      </c>
      <c r="D61" t="s">
        <v>180</v>
      </c>
      <c r="E61">
        <v>0</v>
      </c>
      <c r="F61" t="s">
        <v>82</v>
      </c>
      <c r="G61" t="s">
        <v>22</v>
      </c>
    </row>
    <row r="62" spans="1:7" x14ac:dyDescent="0.25">
      <c r="A62" t="s">
        <v>21</v>
      </c>
      <c r="B62" t="s">
        <v>95</v>
      </c>
      <c r="C62" t="s">
        <v>98</v>
      </c>
      <c r="D62" t="s">
        <v>180</v>
      </c>
      <c r="E62">
        <v>0</v>
      </c>
      <c r="F62" t="s">
        <v>81</v>
      </c>
      <c r="G62" t="s">
        <v>22</v>
      </c>
    </row>
    <row r="63" spans="1:7" x14ac:dyDescent="0.25">
      <c r="A63" t="s">
        <v>21</v>
      </c>
      <c r="B63" t="s">
        <v>95</v>
      </c>
      <c r="C63" t="s">
        <v>99</v>
      </c>
      <c r="D63" t="s">
        <v>180</v>
      </c>
      <c r="E63">
        <v>0</v>
      </c>
      <c r="F63" t="s">
        <v>158</v>
      </c>
      <c r="G63" t="s">
        <v>22</v>
      </c>
    </row>
    <row r="64" spans="1:7" x14ac:dyDescent="0.25">
      <c r="A64" t="s">
        <v>21</v>
      </c>
      <c r="B64" t="s">
        <v>95</v>
      </c>
      <c r="C64" t="s">
        <v>100</v>
      </c>
      <c r="D64" t="s">
        <v>180</v>
      </c>
      <c r="E64">
        <v>0</v>
      </c>
      <c r="F64" t="s">
        <v>158</v>
      </c>
      <c r="G64" t="s">
        <v>22</v>
      </c>
    </row>
    <row r="65" spans="1:7" x14ac:dyDescent="0.25">
      <c r="A65" t="s">
        <v>21</v>
      </c>
      <c r="B65" t="s">
        <v>95</v>
      </c>
      <c r="C65" t="s">
        <v>101</v>
      </c>
      <c r="D65" t="s">
        <v>180</v>
      </c>
      <c r="E65">
        <v>0</v>
      </c>
      <c r="F65" t="s">
        <v>158</v>
      </c>
      <c r="G65" t="s">
        <v>22</v>
      </c>
    </row>
    <row r="66" spans="1:7" x14ac:dyDescent="0.25">
      <c r="A66" t="s">
        <v>21</v>
      </c>
      <c r="B66" t="s">
        <v>95</v>
      </c>
      <c r="C66" t="s">
        <v>102</v>
      </c>
      <c r="D66" t="s">
        <v>180</v>
      </c>
      <c r="E66">
        <v>0</v>
      </c>
      <c r="F66" t="s">
        <v>158</v>
      </c>
      <c r="G66" t="s">
        <v>22</v>
      </c>
    </row>
    <row r="67" spans="1:7" x14ac:dyDescent="0.25">
      <c r="A67" t="s">
        <v>21</v>
      </c>
      <c r="B67" t="s">
        <v>95</v>
      </c>
      <c r="C67" t="s">
        <v>103</v>
      </c>
      <c r="D67" t="s">
        <v>180</v>
      </c>
      <c r="E67">
        <v>0</v>
      </c>
      <c r="F67" t="s">
        <v>158</v>
      </c>
      <c r="G67" t="s">
        <v>22</v>
      </c>
    </row>
    <row r="68" spans="1:7" x14ac:dyDescent="0.25">
      <c r="A68" t="s">
        <v>21</v>
      </c>
      <c r="B68" t="s">
        <v>95</v>
      </c>
      <c r="C68" t="s">
        <v>104</v>
      </c>
      <c r="D68" t="s">
        <v>180</v>
      </c>
      <c r="E68">
        <v>0</v>
      </c>
      <c r="F68" t="s">
        <v>158</v>
      </c>
      <c r="G68" t="s">
        <v>22</v>
      </c>
    </row>
    <row r="69" spans="1:7" x14ac:dyDescent="0.25">
      <c r="A69" t="s">
        <v>21</v>
      </c>
      <c r="B69" t="s">
        <v>95</v>
      </c>
      <c r="C69" t="s">
        <v>105</v>
      </c>
      <c r="D69" t="s">
        <v>180</v>
      </c>
      <c r="E69">
        <v>0</v>
      </c>
      <c r="F69" t="s">
        <v>158</v>
      </c>
      <c r="G69" t="s">
        <v>22</v>
      </c>
    </row>
    <row r="70" spans="1:7" x14ac:dyDescent="0.25">
      <c r="A70" t="s">
        <v>21</v>
      </c>
      <c r="B70" t="s">
        <v>95</v>
      </c>
      <c r="C70" t="s">
        <v>106</v>
      </c>
      <c r="D70" t="s">
        <v>180</v>
      </c>
      <c r="E70">
        <v>0</v>
      </c>
      <c r="F70" t="s">
        <v>158</v>
      </c>
      <c r="G70" t="s">
        <v>22</v>
      </c>
    </row>
    <row r="71" spans="1:7" x14ac:dyDescent="0.25">
      <c r="A71" t="s">
        <v>21</v>
      </c>
      <c r="B71" t="s">
        <v>95</v>
      </c>
      <c r="C71" t="s">
        <v>107</v>
      </c>
      <c r="D71" t="s">
        <v>180</v>
      </c>
      <c r="E71">
        <v>0</v>
      </c>
      <c r="F71" t="s">
        <v>158</v>
      </c>
      <c r="G71" t="s">
        <v>22</v>
      </c>
    </row>
    <row r="72" spans="1:7" x14ac:dyDescent="0.25">
      <c r="A72" t="s">
        <v>21</v>
      </c>
      <c r="B72" t="s">
        <v>95</v>
      </c>
      <c r="C72" t="s">
        <v>108</v>
      </c>
      <c r="D72" t="s">
        <v>180</v>
      </c>
      <c r="E72">
        <v>0</v>
      </c>
      <c r="F72" t="s">
        <v>158</v>
      </c>
      <c r="G72" t="s">
        <v>22</v>
      </c>
    </row>
    <row r="73" spans="1:7" x14ac:dyDescent="0.25">
      <c r="A73" t="s">
        <v>21</v>
      </c>
      <c r="B73" t="s">
        <v>95</v>
      </c>
      <c r="C73" t="s">
        <v>109</v>
      </c>
      <c r="D73" t="s">
        <v>180</v>
      </c>
      <c r="E73">
        <v>0</v>
      </c>
      <c r="F73" t="s">
        <v>158</v>
      </c>
      <c r="G73" t="s">
        <v>22</v>
      </c>
    </row>
    <row r="74" spans="1:7" x14ac:dyDescent="0.25">
      <c r="A74" t="s">
        <v>21</v>
      </c>
      <c r="B74" t="s">
        <v>95</v>
      </c>
      <c r="C74" t="s">
        <v>110</v>
      </c>
      <c r="D74" t="s">
        <v>180</v>
      </c>
      <c r="E74">
        <v>0</v>
      </c>
      <c r="F74" t="s">
        <v>158</v>
      </c>
      <c r="G74" t="s">
        <v>22</v>
      </c>
    </row>
    <row r="75" spans="1:7" x14ac:dyDescent="0.25">
      <c r="A75" t="s">
        <v>21</v>
      </c>
      <c r="B75" t="s">
        <v>95</v>
      </c>
      <c r="C75" t="s">
        <v>111</v>
      </c>
      <c r="D75" t="s">
        <v>180</v>
      </c>
      <c r="E75">
        <v>0</v>
      </c>
      <c r="F75" t="s">
        <v>158</v>
      </c>
      <c r="G75" t="s">
        <v>22</v>
      </c>
    </row>
    <row r="76" spans="1:7" x14ac:dyDescent="0.25">
      <c r="A76" t="s">
        <v>21</v>
      </c>
      <c r="B76" t="s">
        <v>95</v>
      </c>
      <c r="C76" t="s">
        <v>112</v>
      </c>
      <c r="D76" t="s">
        <v>180</v>
      </c>
      <c r="E76">
        <v>0</v>
      </c>
      <c r="F76" t="s">
        <v>158</v>
      </c>
      <c r="G76" t="s">
        <v>22</v>
      </c>
    </row>
    <row r="77" spans="1:7" x14ac:dyDescent="0.25">
      <c r="A77" t="s">
        <v>21</v>
      </c>
      <c r="B77" t="s">
        <v>95</v>
      </c>
      <c r="C77" t="s">
        <v>113</v>
      </c>
      <c r="D77" t="s">
        <v>180</v>
      </c>
      <c r="E77">
        <v>0</v>
      </c>
      <c r="F77" t="s">
        <v>158</v>
      </c>
      <c r="G77" t="s">
        <v>22</v>
      </c>
    </row>
    <row r="78" spans="1:7" x14ac:dyDescent="0.25">
      <c r="A78" t="s">
        <v>21</v>
      </c>
      <c r="B78" t="s">
        <v>95</v>
      </c>
      <c r="C78" t="s">
        <v>114</v>
      </c>
      <c r="D78" t="s">
        <v>180</v>
      </c>
      <c r="E78">
        <v>0</v>
      </c>
      <c r="F78" t="s">
        <v>158</v>
      </c>
      <c r="G78" t="s">
        <v>22</v>
      </c>
    </row>
    <row r="79" spans="1:7" x14ac:dyDescent="0.25">
      <c r="A79" t="s">
        <v>21</v>
      </c>
      <c r="B79" t="s">
        <v>95</v>
      </c>
      <c r="C79" t="s">
        <v>115</v>
      </c>
      <c r="D79" t="s">
        <v>180</v>
      </c>
      <c r="E79">
        <v>0</v>
      </c>
      <c r="F79" t="s">
        <v>158</v>
      </c>
      <c r="G79" t="s">
        <v>22</v>
      </c>
    </row>
    <row r="80" spans="1:7" x14ac:dyDescent="0.25">
      <c r="A80" t="s">
        <v>21</v>
      </c>
      <c r="B80" t="s">
        <v>95</v>
      </c>
      <c r="C80" t="s">
        <v>116</v>
      </c>
      <c r="D80" t="s">
        <v>180</v>
      </c>
      <c r="E80">
        <v>0</v>
      </c>
      <c r="F80" t="s">
        <v>158</v>
      </c>
      <c r="G80" t="s">
        <v>22</v>
      </c>
    </row>
    <row r="81" spans="1:7" x14ac:dyDescent="0.25">
      <c r="A81" t="s">
        <v>21</v>
      </c>
      <c r="B81" t="s">
        <v>95</v>
      </c>
      <c r="C81" t="s">
        <v>117</v>
      </c>
      <c r="D81" t="s">
        <v>180</v>
      </c>
      <c r="E81">
        <v>0</v>
      </c>
      <c r="F81" t="s">
        <v>158</v>
      </c>
      <c r="G81" t="s">
        <v>22</v>
      </c>
    </row>
    <row r="82" spans="1:7" x14ac:dyDescent="0.25">
      <c r="A82" t="s">
        <v>21</v>
      </c>
      <c r="B82" t="s">
        <v>95</v>
      </c>
      <c r="C82" t="s">
        <v>118</v>
      </c>
      <c r="D82" t="s">
        <v>180</v>
      </c>
      <c r="E82">
        <v>0</v>
      </c>
      <c r="F82" t="s">
        <v>158</v>
      </c>
      <c r="G82" t="s">
        <v>22</v>
      </c>
    </row>
    <row r="83" spans="1:7" x14ac:dyDescent="0.25">
      <c r="A83" t="s">
        <v>21</v>
      </c>
      <c r="B83" t="s">
        <v>95</v>
      </c>
      <c r="C83" t="s">
        <v>119</v>
      </c>
      <c r="D83" t="s">
        <v>180</v>
      </c>
      <c r="E83">
        <v>0</v>
      </c>
      <c r="F83" t="s">
        <v>158</v>
      </c>
      <c r="G83" t="s">
        <v>22</v>
      </c>
    </row>
    <row r="84" spans="1:7" x14ac:dyDescent="0.25">
      <c r="A84" t="s">
        <v>21</v>
      </c>
      <c r="B84" t="s">
        <v>95</v>
      </c>
      <c r="C84" t="s">
        <v>120</v>
      </c>
      <c r="D84" t="s">
        <v>180</v>
      </c>
      <c r="E84">
        <v>0</v>
      </c>
      <c r="F84" t="s">
        <v>158</v>
      </c>
      <c r="G84" t="s">
        <v>22</v>
      </c>
    </row>
    <row r="85" spans="1:7" x14ac:dyDescent="0.25">
      <c r="A85" t="s">
        <v>21</v>
      </c>
      <c r="B85" t="s">
        <v>95</v>
      </c>
      <c r="C85" t="s">
        <v>121</v>
      </c>
      <c r="D85" t="s">
        <v>180</v>
      </c>
      <c r="E85">
        <v>0</v>
      </c>
      <c r="F85" t="s">
        <v>158</v>
      </c>
      <c r="G85" t="s">
        <v>22</v>
      </c>
    </row>
    <row r="86" spans="1:7" x14ac:dyDescent="0.25">
      <c r="A86" t="s">
        <v>21</v>
      </c>
      <c r="B86" t="s">
        <v>95</v>
      </c>
      <c r="C86" t="s">
        <v>122</v>
      </c>
      <c r="D86" t="s">
        <v>180</v>
      </c>
      <c r="E86">
        <v>0</v>
      </c>
      <c r="F86" t="s">
        <v>158</v>
      </c>
      <c r="G86" t="s">
        <v>22</v>
      </c>
    </row>
    <row r="87" spans="1:7" x14ac:dyDescent="0.25">
      <c r="A87" t="s">
        <v>21</v>
      </c>
      <c r="B87" t="s">
        <v>95</v>
      </c>
      <c r="C87" t="s">
        <v>123</v>
      </c>
      <c r="D87" t="s">
        <v>180</v>
      </c>
      <c r="E87">
        <v>0</v>
      </c>
      <c r="F87" t="s">
        <v>158</v>
      </c>
      <c r="G87" t="s">
        <v>22</v>
      </c>
    </row>
    <row r="88" spans="1:7" x14ac:dyDescent="0.25">
      <c r="A88" t="s">
        <v>21</v>
      </c>
      <c r="B88" t="s">
        <v>95</v>
      </c>
      <c r="C88" t="s">
        <v>124</v>
      </c>
      <c r="D88" t="s">
        <v>180</v>
      </c>
      <c r="E88">
        <v>0</v>
      </c>
      <c r="F88" t="s">
        <v>158</v>
      </c>
      <c r="G88" t="s">
        <v>22</v>
      </c>
    </row>
    <row r="89" spans="1:7" x14ac:dyDescent="0.25">
      <c r="A89" t="s">
        <v>21</v>
      </c>
      <c r="B89" t="s">
        <v>95</v>
      </c>
      <c r="C89" t="s">
        <v>125</v>
      </c>
      <c r="D89" t="s">
        <v>180</v>
      </c>
      <c r="E89">
        <v>0</v>
      </c>
      <c r="F89" t="s">
        <v>158</v>
      </c>
      <c r="G89" t="s">
        <v>22</v>
      </c>
    </row>
    <row r="90" spans="1:7" x14ac:dyDescent="0.25">
      <c r="A90" t="s">
        <v>21</v>
      </c>
      <c r="B90" t="s">
        <v>95</v>
      </c>
      <c r="C90" t="s">
        <v>126</v>
      </c>
      <c r="D90" t="s">
        <v>180</v>
      </c>
      <c r="E90">
        <v>0</v>
      </c>
      <c r="F90" t="s">
        <v>158</v>
      </c>
      <c r="G90" t="s">
        <v>22</v>
      </c>
    </row>
    <row r="91" spans="1:7" x14ac:dyDescent="0.25">
      <c r="A91" t="s">
        <v>21</v>
      </c>
      <c r="B91" t="s">
        <v>95</v>
      </c>
      <c r="C91" t="s">
        <v>127</v>
      </c>
      <c r="D91" t="s">
        <v>180</v>
      </c>
      <c r="E91">
        <v>0</v>
      </c>
      <c r="F91" t="s">
        <v>158</v>
      </c>
      <c r="G91" t="s">
        <v>22</v>
      </c>
    </row>
    <row r="92" spans="1:7" x14ac:dyDescent="0.25">
      <c r="A92" t="s">
        <v>21</v>
      </c>
      <c r="B92" t="s">
        <v>95</v>
      </c>
      <c r="C92" t="s">
        <v>128</v>
      </c>
      <c r="D92" t="s">
        <v>180</v>
      </c>
      <c r="E92">
        <v>0</v>
      </c>
      <c r="F92" t="s">
        <v>158</v>
      </c>
      <c r="G92" t="s">
        <v>22</v>
      </c>
    </row>
    <row r="93" spans="1:7" x14ac:dyDescent="0.25">
      <c r="A93" t="s">
        <v>21</v>
      </c>
      <c r="B93" t="s">
        <v>95</v>
      </c>
      <c r="C93" t="s">
        <v>129</v>
      </c>
      <c r="D93" t="s">
        <v>180</v>
      </c>
      <c r="E93">
        <v>0</v>
      </c>
      <c r="F93" t="s">
        <v>158</v>
      </c>
      <c r="G93" t="s">
        <v>22</v>
      </c>
    </row>
    <row r="94" spans="1:7" x14ac:dyDescent="0.25">
      <c r="A94" t="s">
        <v>21</v>
      </c>
      <c r="B94" t="s">
        <v>95</v>
      </c>
      <c r="C94" t="s">
        <v>130</v>
      </c>
      <c r="D94" t="s">
        <v>180</v>
      </c>
      <c r="E94">
        <v>0</v>
      </c>
      <c r="F94" t="s">
        <v>158</v>
      </c>
      <c r="G94" t="s">
        <v>22</v>
      </c>
    </row>
    <row r="95" spans="1:7" x14ac:dyDescent="0.25">
      <c r="A95" t="s">
        <v>21</v>
      </c>
      <c r="B95" t="s">
        <v>95</v>
      </c>
      <c r="C95" t="s">
        <v>131</v>
      </c>
      <c r="D95" t="s">
        <v>180</v>
      </c>
      <c r="E95">
        <v>0</v>
      </c>
      <c r="F95" t="s">
        <v>158</v>
      </c>
      <c r="G95" t="s">
        <v>22</v>
      </c>
    </row>
    <row r="96" spans="1:7" x14ac:dyDescent="0.25">
      <c r="A96" t="s">
        <v>21</v>
      </c>
      <c r="B96" t="s">
        <v>95</v>
      </c>
      <c r="C96" t="s">
        <v>132</v>
      </c>
      <c r="D96" t="s">
        <v>180</v>
      </c>
      <c r="E96">
        <v>0</v>
      </c>
      <c r="F96" t="s">
        <v>158</v>
      </c>
      <c r="G96" t="s">
        <v>22</v>
      </c>
    </row>
    <row r="97" spans="1:7" x14ac:dyDescent="0.25">
      <c r="A97" t="s">
        <v>21</v>
      </c>
      <c r="B97" t="s">
        <v>95</v>
      </c>
      <c r="C97" t="s">
        <v>133</v>
      </c>
      <c r="D97" t="s">
        <v>180</v>
      </c>
      <c r="E97">
        <v>0</v>
      </c>
      <c r="F97" t="s">
        <v>158</v>
      </c>
      <c r="G97" t="s">
        <v>22</v>
      </c>
    </row>
    <row r="98" spans="1:7" x14ac:dyDescent="0.25">
      <c r="A98" t="s">
        <v>21</v>
      </c>
      <c r="B98" t="s">
        <v>95</v>
      </c>
      <c r="C98" t="s">
        <v>134</v>
      </c>
      <c r="D98" t="s">
        <v>180</v>
      </c>
      <c r="E98">
        <v>0</v>
      </c>
      <c r="F98" t="s">
        <v>158</v>
      </c>
      <c r="G98" t="s">
        <v>22</v>
      </c>
    </row>
    <row r="99" spans="1:7" x14ac:dyDescent="0.25">
      <c r="A99" t="s">
        <v>21</v>
      </c>
      <c r="B99" t="s">
        <v>95</v>
      </c>
      <c r="C99" t="s">
        <v>135</v>
      </c>
      <c r="D99" t="s">
        <v>180</v>
      </c>
      <c r="E99">
        <v>0</v>
      </c>
      <c r="F99" t="s">
        <v>158</v>
      </c>
      <c r="G99" t="s">
        <v>22</v>
      </c>
    </row>
    <row r="100" spans="1:7" x14ac:dyDescent="0.25">
      <c r="A100" t="s">
        <v>21</v>
      </c>
      <c r="B100" t="s">
        <v>95</v>
      </c>
      <c r="C100" t="s">
        <v>136</v>
      </c>
      <c r="D100" t="s">
        <v>180</v>
      </c>
      <c r="E100">
        <v>0</v>
      </c>
      <c r="F100" t="s">
        <v>158</v>
      </c>
      <c r="G100" t="s">
        <v>22</v>
      </c>
    </row>
    <row r="101" spans="1:7" x14ac:dyDescent="0.25">
      <c r="A101" t="s">
        <v>21</v>
      </c>
      <c r="B101" t="s">
        <v>95</v>
      </c>
      <c r="C101" t="s">
        <v>137</v>
      </c>
      <c r="D101" t="s">
        <v>180</v>
      </c>
      <c r="E101">
        <v>0</v>
      </c>
      <c r="F101" t="s">
        <v>158</v>
      </c>
      <c r="G101" t="s">
        <v>22</v>
      </c>
    </row>
    <row r="102" spans="1:7" x14ac:dyDescent="0.25">
      <c r="A102" t="s">
        <v>21</v>
      </c>
      <c r="B102" t="s">
        <v>95</v>
      </c>
      <c r="C102" t="s">
        <v>138</v>
      </c>
      <c r="D102" t="s">
        <v>180</v>
      </c>
      <c r="E102">
        <v>0</v>
      </c>
      <c r="F102" t="s">
        <v>158</v>
      </c>
      <c r="G102" t="s">
        <v>22</v>
      </c>
    </row>
    <row r="103" spans="1:7" x14ac:dyDescent="0.25">
      <c r="A103" t="s">
        <v>21</v>
      </c>
      <c r="B103" t="s">
        <v>95</v>
      </c>
      <c r="C103" t="s">
        <v>139</v>
      </c>
      <c r="D103" t="s">
        <v>180</v>
      </c>
      <c r="E103">
        <v>0</v>
      </c>
      <c r="F103" t="s">
        <v>158</v>
      </c>
      <c r="G103" t="s">
        <v>22</v>
      </c>
    </row>
    <row r="104" spans="1:7" x14ac:dyDescent="0.25">
      <c r="A104" t="s">
        <v>21</v>
      </c>
      <c r="B104" t="s">
        <v>95</v>
      </c>
      <c r="C104" t="s">
        <v>140</v>
      </c>
      <c r="D104" t="s">
        <v>180</v>
      </c>
      <c r="E104">
        <v>0</v>
      </c>
      <c r="F104" t="s">
        <v>158</v>
      </c>
      <c r="G104" t="s">
        <v>22</v>
      </c>
    </row>
    <row r="105" spans="1:7" x14ac:dyDescent="0.25">
      <c r="A105" t="s">
        <v>21</v>
      </c>
      <c r="B105" t="s">
        <v>95</v>
      </c>
      <c r="C105" t="s">
        <v>141</v>
      </c>
      <c r="D105" t="s">
        <v>180</v>
      </c>
      <c r="E105">
        <v>0</v>
      </c>
      <c r="F105" t="s">
        <v>158</v>
      </c>
      <c r="G105" t="s">
        <v>22</v>
      </c>
    </row>
    <row r="106" spans="1:7" x14ac:dyDescent="0.25">
      <c r="A106" t="s">
        <v>21</v>
      </c>
      <c r="B106" t="s">
        <v>95</v>
      </c>
      <c r="C106" t="s">
        <v>142</v>
      </c>
      <c r="D106" t="s">
        <v>180</v>
      </c>
      <c r="E106">
        <v>0</v>
      </c>
      <c r="F106" t="s">
        <v>158</v>
      </c>
      <c r="G106" t="s">
        <v>22</v>
      </c>
    </row>
    <row r="107" spans="1:7" x14ac:dyDescent="0.25">
      <c r="A107" t="s">
        <v>21</v>
      </c>
      <c r="B107" t="s">
        <v>95</v>
      </c>
      <c r="C107" t="s">
        <v>143</v>
      </c>
      <c r="D107" t="s">
        <v>180</v>
      </c>
      <c r="E107">
        <v>0</v>
      </c>
      <c r="F107" t="s">
        <v>158</v>
      </c>
      <c r="G107" t="s">
        <v>22</v>
      </c>
    </row>
    <row r="108" spans="1:7" x14ac:dyDescent="0.25">
      <c r="A108" t="s">
        <v>21</v>
      </c>
      <c r="B108" t="s">
        <v>95</v>
      </c>
      <c r="C108" t="s">
        <v>144</v>
      </c>
      <c r="D108" t="s">
        <v>180</v>
      </c>
      <c r="E108">
        <v>0</v>
      </c>
      <c r="F108" t="s">
        <v>158</v>
      </c>
      <c r="G108" t="s">
        <v>22</v>
      </c>
    </row>
    <row r="109" spans="1:7" x14ac:dyDescent="0.25">
      <c r="A109" t="s">
        <v>21</v>
      </c>
      <c r="B109" t="s">
        <v>95</v>
      </c>
      <c r="C109" t="s">
        <v>145</v>
      </c>
      <c r="D109" t="s">
        <v>180</v>
      </c>
      <c r="E109">
        <v>0</v>
      </c>
      <c r="F109" t="s">
        <v>158</v>
      </c>
      <c r="G109" t="s">
        <v>22</v>
      </c>
    </row>
    <row r="110" spans="1:7" x14ac:dyDescent="0.25">
      <c r="A110" t="s">
        <v>21</v>
      </c>
      <c r="B110" t="s">
        <v>95</v>
      </c>
      <c r="C110" t="s">
        <v>146</v>
      </c>
      <c r="D110" t="s">
        <v>180</v>
      </c>
      <c r="E110">
        <v>0</v>
      </c>
      <c r="F110" t="s">
        <v>158</v>
      </c>
      <c r="G110" t="s">
        <v>22</v>
      </c>
    </row>
    <row r="111" spans="1:7" x14ac:dyDescent="0.25">
      <c r="A111" t="s">
        <v>21</v>
      </c>
      <c r="B111" t="s">
        <v>95</v>
      </c>
      <c r="C111" t="s">
        <v>147</v>
      </c>
      <c r="D111" t="s">
        <v>180</v>
      </c>
      <c r="E111">
        <v>0</v>
      </c>
      <c r="F111" t="s">
        <v>158</v>
      </c>
      <c r="G111" t="s">
        <v>22</v>
      </c>
    </row>
    <row r="112" spans="1:7" x14ac:dyDescent="0.25">
      <c r="A112" t="s">
        <v>21</v>
      </c>
      <c r="B112" t="s">
        <v>95</v>
      </c>
      <c r="C112" t="s">
        <v>148</v>
      </c>
      <c r="D112" t="s">
        <v>180</v>
      </c>
      <c r="E112">
        <v>0</v>
      </c>
      <c r="F112" t="s">
        <v>158</v>
      </c>
      <c r="G112" t="s">
        <v>22</v>
      </c>
    </row>
    <row r="113" spans="1:7" x14ac:dyDescent="0.25">
      <c r="A113" t="s">
        <v>21</v>
      </c>
      <c r="B113" t="s">
        <v>95</v>
      </c>
      <c r="C113" t="s">
        <v>149</v>
      </c>
      <c r="D113" t="s">
        <v>180</v>
      </c>
      <c r="E113">
        <v>0</v>
      </c>
      <c r="F113" t="s">
        <v>158</v>
      </c>
      <c r="G113" t="s">
        <v>22</v>
      </c>
    </row>
    <row r="114" spans="1:7" x14ac:dyDescent="0.25">
      <c r="A114" t="s">
        <v>21</v>
      </c>
      <c r="B114" t="s">
        <v>95</v>
      </c>
      <c r="C114" t="s">
        <v>150</v>
      </c>
      <c r="D114" t="s">
        <v>180</v>
      </c>
      <c r="E114">
        <v>0</v>
      </c>
      <c r="F114" t="s">
        <v>158</v>
      </c>
      <c r="G114" t="s">
        <v>22</v>
      </c>
    </row>
    <row r="115" spans="1:7" x14ac:dyDescent="0.25">
      <c r="A115" t="s">
        <v>21</v>
      </c>
      <c r="B115" t="s">
        <v>95</v>
      </c>
      <c r="C115" t="s">
        <v>151</v>
      </c>
      <c r="D115" t="s">
        <v>180</v>
      </c>
      <c r="E115">
        <v>0</v>
      </c>
      <c r="F115" t="s">
        <v>158</v>
      </c>
      <c r="G115" t="s">
        <v>22</v>
      </c>
    </row>
    <row r="116" spans="1:7" x14ac:dyDescent="0.25">
      <c r="A116" t="s">
        <v>21</v>
      </c>
      <c r="B116" t="s">
        <v>95</v>
      </c>
      <c r="C116" t="s">
        <v>152</v>
      </c>
      <c r="D116" t="s">
        <v>180</v>
      </c>
      <c r="E116">
        <v>0</v>
      </c>
      <c r="F116" t="s">
        <v>158</v>
      </c>
      <c r="G116" t="s">
        <v>22</v>
      </c>
    </row>
    <row r="117" spans="1:7" x14ac:dyDescent="0.25">
      <c r="A117" t="s">
        <v>21</v>
      </c>
      <c r="B117" t="s">
        <v>95</v>
      </c>
      <c r="C117" t="s">
        <v>153</v>
      </c>
      <c r="D117" t="s">
        <v>180</v>
      </c>
      <c r="E117">
        <v>0</v>
      </c>
      <c r="F117" t="s">
        <v>158</v>
      </c>
      <c r="G117" t="s">
        <v>22</v>
      </c>
    </row>
    <row r="118" spans="1:7" x14ac:dyDescent="0.25">
      <c r="A118" t="s">
        <v>21</v>
      </c>
      <c r="B118" t="s">
        <v>95</v>
      </c>
      <c r="C118" t="s">
        <v>154</v>
      </c>
      <c r="D118" t="s">
        <v>180</v>
      </c>
      <c r="E118">
        <v>0</v>
      </c>
      <c r="F118" t="s">
        <v>158</v>
      </c>
      <c r="G118" t="s">
        <v>22</v>
      </c>
    </row>
    <row r="119" spans="1:7" x14ac:dyDescent="0.25">
      <c r="A119" t="s">
        <v>21</v>
      </c>
      <c r="B119" t="s">
        <v>95</v>
      </c>
      <c r="C119" t="s">
        <v>155</v>
      </c>
      <c r="D119" t="s">
        <v>180</v>
      </c>
      <c r="E119">
        <v>0</v>
      </c>
      <c r="F119" t="s">
        <v>158</v>
      </c>
      <c r="G119" t="s">
        <v>22</v>
      </c>
    </row>
    <row r="120" spans="1:7" x14ac:dyDescent="0.25">
      <c r="A120" t="s">
        <v>21</v>
      </c>
      <c r="B120" t="s">
        <v>95</v>
      </c>
      <c r="C120" t="s">
        <v>156</v>
      </c>
      <c r="D120" t="s">
        <v>180</v>
      </c>
      <c r="E120">
        <v>0</v>
      </c>
      <c r="F120" t="s">
        <v>158</v>
      </c>
      <c r="G120" t="s">
        <v>22</v>
      </c>
    </row>
    <row r="121" spans="1:7" x14ac:dyDescent="0.25">
      <c r="A121" t="s">
        <v>21</v>
      </c>
      <c r="B121" t="s">
        <v>95</v>
      </c>
      <c r="C121" t="s">
        <v>157</v>
      </c>
      <c r="D121" t="s">
        <v>180</v>
      </c>
      <c r="E121">
        <v>0</v>
      </c>
      <c r="F121" t="s">
        <v>158</v>
      </c>
      <c r="G121" t="s">
        <v>22</v>
      </c>
    </row>
    <row r="122" spans="1:7" x14ac:dyDescent="0.25">
      <c r="A122" t="s">
        <v>21</v>
      </c>
      <c r="B122" t="s">
        <v>160</v>
      </c>
      <c r="C122" t="s">
        <v>179</v>
      </c>
      <c r="D122" t="s">
        <v>180</v>
      </c>
      <c r="E122">
        <v>0</v>
      </c>
      <c r="F122" t="s">
        <v>159</v>
      </c>
      <c r="G122" t="s">
        <v>22</v>
      </c>
    </row>
    <row r="123" spans="1:7" x14ac:dyDescent="0.25">
      <c r="A123" t="s">
        <v>21</v>
      </c>
      <c r="B123" t="s">
        <v>160</v>
      </c>
      <c r="C123" t="s">
        <v>100</v>
      </c>
      <c r="D123" t="s">
        <v>180</v>
      </c>
      <c r="E123">
        <v>0</v>
      </c>
      <c r="F123" t="s">
        <v>158</v>
      </c>
      <c r="G123" t="s">
        <v>22</v>
      </c>
    </row>
    <row r="124" spans="1:7" x14ac:dyDescent="0.25">
      <c r="A124" t="s">
        <v>21</v>
      </c>
      <c r="B124" t="s">
        <v>160</v>
      </c>
      <c r="C124" t="s">
        <v>101</v>
      </c>
      <c r="D124" t="s">
        <v>180</v>
      </c>
      <c r="E124">
        <v>0</v>
      </c>
      <c r="F124" t="s">
        <v>158</v>
      </c>
      <c r="G124" t="s">
        <v>22</v>
      </c>
    </row>
    <row r="125" spans="1:7" x14ac:dyDescent="0.25">
      <c r="A125" t="s">
        <v>21</v>
      </c>
      <c r="B125" t="s">
        <v>160</v>
      </c>
      <c r="C125" t="s">
        <v>102</v>
      </c>
      <c r="D125" t="s">
        <v>180</v>
      </c>
      <c r="E125">
        <v>0</v>
      </c>
      <c r="F125" t="s">
        <v>158</v>
      </c>
      <c r="G125" t="s">
        <v>22</v>
      </c>
    </row>
    <row r="126" spans="1:7" x14ac:dyDescent="0.25">
      <c r="A126" t="s">
        <v>21</v>
      </c>
      <c r="B126" t="s">
        <v>160</v>
      </c>
      <c r="C126" t="s">
        <v>103</v>
      </c>
      <c r="D126" t="s">
        <v>180</v>
      </c>
      <c r="E126">
        <v>0</v>
      </c>
      <c r="F126" t="s">
        <v>158</v>
      </c>
      <c r="G126" t="s">
        <v>22</v>
      </c>
    </row>
    <row r="127" spans="1:7" x14ac:dyDescent="0.25">
      <c r="A127" t="s">
        <v>21</v>
      </c>
      <c r="B127" t="s">
        <v>160</v>
      </c>
      <c r="C127" t="s">
        <v>104</v>
      </c>
      <c r="D127" t="s">
        <v>180</v>
      </c>
      <c r="E127">
        <v>0</v>
      </c>
      <c r="F127" t="s">
        <v>158</v>
      </c>
      <c r="G127" t="s">
        <v>22</v>
      </c>
    </row>
    <row r="128" spans="1:7" x14ac:dyDescent="0.25">
      <c r="A128" t="s">
        <v>21</v>
      </c>
      <c r="B128" t="s">
        <v>160</v>
      </c>
      <c r="C128" t="s">
        <v>105</v>
      </c>
      <c r="D128" t="s">
        <v>180</v>
      </c>
      <c r="E128">
        <v>0</v>
      </c>
      <c r="F128" t="s">
        <v>158</v>
      </c>
      <c r="G128" t="s">
        <v>22</v>
      </c>
    </row>
    <row r="129" spans="1:7" x14ac:dyDescent="0.25">
      <c r="A129" t="s">
        <v>21</v>
      </c>
      <c r="B129" t="s">
        <v>160</v>
      </c>
      <c r="C129" t="s">
        <v>106</v>
      </c>
      <c r="D129" t="s">
        <v>180</v>
      </c>
      <c r="E129">
        <v>0</v>
      </c>
      <c r="F129" t="s">
        <v>158</v>
      </c>
      <c r="G129" t="s">
        <v>22</v>
      </c>
    </row>
    <row r="130" spans="1:7" x14ac:dyDescent="0.25">
      <c r="A130" t="s">
        <v>21</v>
      </c>
      <c r="B130" t="s">
        <v>160</v>
      </c>
      <c r="C130" t="s">
        <v>107</v>
      </c>
      <c r="D130" t="s">
        <v>180</v>
      </c>
      <c r="E130">
        <v>0</v>
      </c>
      <c r="F130" t="s">
        <v>158</v>
      </c>
      <c r="G130" t="s">
        <v>22</v>
      </c>
    </row>
    <row r="131" spans="1:7" x14ac:dyDescent="0.25">
      <c r="A131" t="s">
        <v>21</v>
      </c>
      <c r="B131" t="s">
        <v>160</v>
      </c>
      <c r="C131" t="s">
        <v>108</v>
      </c>
      <c r="D131" t="s">
        <v>180</v>
      </c>
      <c r="E131">
        <v>0</v>
      </c>
      <c r="F131" t="s">
        <v>158</v>
      </c>
      <c r="G131" t="s">
        <v>22</v>
      </c>
    </row>
    <row r="132" spans="1:7" x14ac:dyDescent="0.25">
      <c r="A132" t="s">
        <v>21</v>
      </c>
      <c r="B132" t="s">
        <v>160</v>
      </c>
      <c r="C132" t="s">
        <v>109</v>
      </c>
      <c r="D132" t="s">
        <v>180</v>
      </c>
      <c r="E132">
        <v>0</v>
      </c>
      <c r="F132" t="s">
        <v>158</v>
      </c>
      <c r="G132" t="s">
        <v>22</v>
      </c>
    </row>
    <row r="133" spans="1:7" x14ac:dyDescent="0.25">
      <c r="A133" t="s">
        <v>21</v>
      </c>
      <c r="B133" t="s">
        <v>160</v>
      </c>
      <c r="C133" t="s">
        <v>110</v>
      </c>
      <c r="D133" t="s">
        <v>180</v>
      </c>
      <c r="E133">
        <v>0</v>
      </c>
      <c r="F133" t="s">
        <v>158</v>
      </c>
      <c r="G133" t="s">
        <v>22</v>
      </c>
    </row>
    <row r="134" spans="1:7" x14ac:dyDescent="0.25">
      <c r="A134" t="s">
        <v>21</v>
      </c>
      <c r="B134" t="s">
        <v>160</v>
      </c>
      <c r="C134" t="s">
        <v>111</v>
      </c>
      <c r="D134" t="s">
        <v>180</v>
      </c>
      <c r="E134">
        <v>0</v>
      </c>
      <c r="F134" t="s">
        <v>158</v>
      </c>
      <c r="G134" t="s">
        <v>22</v>
      </c>
    </row>
    <row r="135" spans="1:7" x14ac:dyDescent="0.25">
      <c r="A135" t="s">
        <v>21</v>
      </c>
      <c r="B135" t="s">
        <v>160</v>
      </c>
      <c r="C135" t="s">
        <v>112</v>
      </c>
      <c r="D135" t="s">
        <v>180</v>
      </c>
      <c r="E135">
        <v>0</v>
      </c>
      <c r="F135" t="s">
        <v>158</v>
      </c>
      <c r="G135" t="s">
        <v>22</v>
      </c>
    </row>
    <row r="136" spans="1:7" x14ac:dyDescent="0.25">
      <c r="A136" t="s">
        <v>21</v>
      </c>
      <c r="B136" t="s">
        <v>160</v>
      </c>
      <c r="C136" t="s">
        <v>113</v>
      </c>
      <c r="D136" t="s">
        <v>180</v>
      </c>
      <c r="E136">
        <v>0</v>
      </c>
      <c r="F136" t="s">
        <v>158</v>
      </c>
      <c r="G136" t="s">
        <v>22</v>
      </c>
    </row>
    <row r="137" spans="1:7" x14ac:dyDescent="0.25">
      <c r="A137" t="s">
        <v>21</v>
      </c>
      <c r="B137" t="s">
        <v>160</v>
      </c>
      <c r="C137" t="s">
        <v>114</v>
      </c>
      <c r="D137" t="s">
        <v>180</v>
      </c>
      <c r="E137">
        <v>0</v>
      </c>
      <c r="F137" t="s">
        <v>158</v>
      </c>
      <c r="G137" t="s">
        <v>22</v>
      </c>
    </row>
    <row r="138" spans="1:7" x14ac:dyDescent="0.25">
      <c r="A138" t="s">
        <v>21</v>
      </c>
      <c r="B138" t="s">
        <v>160</v>
      </c>
      <c r="C138" t="s">
        <v>115</v>
      </c>
      <c r="D138" t="s">
        <v>180</v>
      </c>
      <c r="E138">
        <v>0</v>
      </c>
      <c r="F138" t="s">
        <v>158</v>
      </c>
      <c r="G138" t="s">
        <v>22</v>
      </c>
    </row>
    <row r="139" spans="1:7" x14ac:dyDescent="0.25">
      <c r="A139" t="s">
        <v>21</v>
      </c>
      <c r="B139" t="s">
        <v>160</v>
      </c>
      <c r="C139" t="s">
        <v>116</v>
      </c>
      <c r="D139" t="s">
        <v>180</v>
      </c>
      <c r="E139">
        <v>0</v>
      </c>
      <c r="F139" t="s">
        <v>158</v>
      </c>
      <c r="G139" t="s">
        <v>22</v>
      </c>
    </row>
    <row r="140" spans="1:7" x14ac:dyDescent="0.25">
      <c r="A140" t="s">
        <v>21</v>
      </c>
      <c r="B140" t="s">
        <v>160</v>
      </c>
      <c r="C140" t="s">
        <v>117</v>
      </c>
      <c r="D140" t="s">
        <v>180</v>
      </c>
      <c r="E140">
        <v>0</v>
      </c>
      <c r="F140" t="s">
        <v>158</v>
      </c>
      <c r="G140" t="s">
        <v>22</v>
      </c>
    </row>
    <row r="141" spans="1:7" x14ac:dyDescent="0.25">
      <c r="A141" t="s">
        <v>21</v>
      </c>
      <c r="B141" t="s">
        <v>160</v>
      </c>
      <c r="C141" t="s">
        <v>118</v>
      </c>
      <c r="D141" t="s">
        <v>180</v>
      </c>
      <c r="E141">
        <v>0</v>
      </c>
      <c r="F141" t="s">
        <v>158</v>
      </c>
      <c r="G141" t="s">
        <v>22</v>
      </c>
    </row>
    <row r="142" spans="1:7" x14ac:dyDescent="0.25">
      <c r="A142" t="s">
        <v>21</v>
      </c>
      <c r="B142" t="s">
        <v>160</v>
      </c>
      <c r="C142" t="s">
        <v>119</v>
      </c>
      <c r="D142" t="s">
        <v>180</v>
      </c>
      <c r="E142">
        <v>0</v>
      </c>
      <c r="F142" t="s">
        <v>158</v>
      </c>
      <c r="G142" t="s">
        <v>22</v>
      </c>
    </row>
    <row r="143" spans="1:7" x14ac:dyDescent="0.25">
      <c r="A143" t="s">
        <v>21</v>
      </c>
      <c r="B143" t="s">
        <v>160</v>
      </c>
      <c r="C143" t="s">
        <v>120</v>
      </c>
      <c r="D143" t="s">
        <v>180</v>
      </c>
      <c r="E143">
        <v>0</v>
      </c>
      <c r="F143" t="s">
        <v>158</v>
      </c>
      <c r="G143" t="s">
        <v>22</v>
      </c>
    </row>
    <row r="144" spans="1:7" x14ac:dyDescent="0.25">
      <c r="A144" t="s">
        <v>21</v>
      </c>
      <c r="B144" t="s">
        <v>160</v>
      </c>
      <c r="C144" t="s">
        <v>121</v>
      </c>
      <c r="D144" t="s">
        <v>180</v>
      </c>
      <c r="E144">
        <v>0</v>
      </c>
      <c r="F144" t="s">
        <v>158</v>
      </c>
      <c r="G144" t="s">
        <v>22</v>
      </c>
    </row>
    <row r="145" spans="1:7" x14ac:dyDescent="0.25">
      <c r="A145" t="s">
        <v>21</v>
      </c>
      <c r="B145" t="s">
        <v>160</v>
      </c>
      <c r="C145" t="s">
        <v>122</v>
      </c>
      <c r="D145" t="s">
        <v>180</v>
      </c>
      <c r="E145">
        <v>0</v>
      </c>
      <c r="F145" t="s">
        <v>158</v>
      </c>
      <c r="G145" t="s">
        <v>22</v>
      </c>
    </row>
    <row r="146" spans="1:7" x14ac:dyDescent="0.25">
      <c r="A146" t="s">
        <v>21</v>
      </c>
      <c r="B146" t="s">
        <v>160</v>
      </c>
      <c r="C146" t="s">
        <v>123</v>
      </c>
      <c r="D146" t="s">
        <v>180</v>
      </c>
      <c r="E146">
        <v>0</v>
      </c>
      <c r="F146" t="s">
        <v>158</v>
      </c>
      <c r="G146" t="s">
        <v>22</v>
      </c>
    </row>
    <row r="147" spans="1:7" x14ac:dyDescent="0.25">
      <c r="A147" t="s">
        <v>21</v>
      </c>
      <c r="B147" t="s">
        <v>160</v>
      </c>
      <c r="C147" t="s">
        <v>124</v>
      </c>
      <c r="D147" t="s">
        <v>180</v>
      </c>
      <c r="E147">
        <v>0</v>
      </c>
      <c r="F147" t="s">
        <v>158</v>
      </c>
      <c r="G147" t="s">
        <v>22</v>
      </c>
    </row>
    <row r="148" spans="1:7" x14ac:dyDescent="0.25">
      <c r="A148" t="s">
        <v>21</v>
      </c>
      <c r="B148" t="s">
        <v>160</v>
      </c>
      <c r="C148" t="s">
        <v>125</v>
      </c>
      <c r="D148" t="s">
        <v>180</v>
      </c>
      <c r="E148">
        <v>0</v>
      </c>
      <c r="F148" t="s">
        <v>158</v>
      </c>
      <c r="G148" t="s">
        <v>22</v>
      </c>
    </row>
    <row r="149" spans="1:7" x14ac:dyDescent="0.25">
      <c r="A149" t="s">
        <v>21</v>
      </c>
      <c r="B149" t="s">
        <v>160</v>
      </c>
      <c r="C149" t="s">
        <v>126</v>
      </c>
      <c r="D149" t="s">
        <v>180</v>
      </c>
      <c r="E149">
        <v>0</v>
      </c>
      <c r="F149" t="s">
        <v>158</v>
      </c>
      <c r="G149" t="s">
        <v>22</v>
      </c>
    </row>
    <row r="150" spans="1:7" x14ac:dyDescent="0.25">
      <c r="A150" t="s">
        <v>21</v>
      </c>
      <c r="B150" t="s">
        <v>160</v>
      </c>
      <c r="C150" t="s">
        <v>127</v>
      </c>
      <c r="D150" t="s">
        <v>180</v>
      </c>
      <c r="E150">
        <v>0</v>
      </c>
      <c r="F150" t="s">
        <v>158</v>
      </c>
      <c r="G150" t="s">
        <v>22</v>
      </c>
    </row>
    <row r="151" spans="1:7" x14ac:dyDescent="0.25">
      <c r="A151" t="s">
        <v>21</v>
      </c>
      <c r="B151" t="s">
        <v>160</v>
      </c>
      <c r="C151" t="s">
        <v>128</v>
      </c>
      <c r="D151" t="s">
        <v>180</v>
      </c>
      <c r="E151">
        <v>0</v>
      </c>
      <c r="F151" t="s">
        <v>158</v>
      </c>
      <c r="G151" t="s">
        <v>22</v>
      </c>
    </row>
    <row r="152" spans="1:7" x14ac:dyDescent="0.25">
      <c r="A152" t="s">
        <v>21</v>
      </c>
      <c r="B152" t="s">
        <v>160</v>
      </c>
      <c r="C152" t="s">
        <v>129</v>
      </c>
      <c r="D152" t="s">
        <v>180</v>
      </c>
      <c r="E152">
        <v>0</v>
      </c>
      <c r="F152" t="s">
        <v>158</v>
      </c>
      <c r="G152" t="s">
        <v>22</v>
      </c>
    </row>
    <row r="153" spans="1:7" x14ac:dyDescent="0.25">
      <c r="A153" t="s">
        <v>21</v>
      </c>
      <c r="B153" t="s">
        <v>160</v>
      </c>
      <c r="C153" t="s">
        <v>130</v>
      </c>
      <c r="D153" t="s">
        <v>180</v>
      </c>
      <c r="E153">
        <v>0</v>
      </c>
      <c r="F153" t="s">
        <v>158</v>
      </c>
      <c r="G153" t="s">
        <v>22</v>
      </c>
    </row>
    <row r="154" spans="1:7" x14ac:dyDescent="0.25">
      <c r="A154" t="s">
        <v>21</v>
      </c>
      <c r="B154" t="s">
        <v>160</v>
      </c>
      <c r="C154" t="s">
        <v>131</v>
      </c>
      <c r="D154" t="s">
        <v>180</v>
      </c>
      <c r="E154">
        <v>0</v>
      </c>
      <c r="F154" t="s">
        <v>158</v>
      </c>
      <c r="G154" t="s">
        <v>22</v>
      </c>
    </row>
    <row r="155" spans="1:7" x14ac:dyDescent="0.25">
      <c r="A155" t="s">
        <v>21</v>
      </c>
      <c r="B155" t="s">
        <v>160</v>
      </c>
      <c r="C155" t="s">
        <v>132</v>
      </c>
      <c r="D155" t="s">
        <v>180</v>
      </c>
      <c r="E155">
        <v>0</v>
      </c>
      <c r="F155" t="s">
        <v>158</v>
      </c>
      <c r="G155" t="s">
        <v>22</v>
      </c>
    </row>
    <row r="156" spans="1:7" x14ac:dyDescent="0.25">
      <c r="A156" t="s">
        <v>21</v>
      </c>
      <c r="B156" t="s">
        <v>160</v>
      </c>
      <c r="C156" t="s">
        <v>133</v>
      </c>
      <c r="D156" t="s">
        <v>180</v>
      </c>
      <c r="E156">
        <v>0</v>
      </c>
      <c r="F156" t="s">
        <v>158</v>
      </c>
      <c r="G156" t="s">
        <v>22</v>
      </c>
    </row>
    <row r="157" spans="1:7" x14ac:dyDescent="0.25">
      <c r="A157" t="s">
        <v>21</v>
      </c>
      <c r="B157" t="s">
        <v>160</v>
      </c>
      <c r="C157" t="s">
        <v>134</v>
      </c>
      <c r="D157" t="s">
        <v>180</v>
      </c>
      <c r="E157">
        <v>0</v>
      </c>
      <c r="F157" t="s">
        <v>158</v>
      </c>
      <c r="G157" t="s">
        <v>22</v>
      </c>
    </row>
    <row r="158" spans="1:7" x14ac:dyDescent="0.25">
      <c r="A158" t="s">
        <v>21</v>
      </c>
      <c r="B158" t="s">
        <v>160</v>
      </c>
      <c r="C158" t="s">
        <v>135</v>
      </c>
      <c r="D158" t="s">
        <v>180</v>
      </c>
      <c r="E158">
        <v>0</v>
      </c>
      <c r="F158" t="s">
        <v>158</v>
      </c>
      <c r="G158" t="s">
        <v>22</v>
      </c>
    </row>
    <row r="159" spans="1:7" x14ac:dyDescent="0.25">
      <c r="A159" t="s">
        <v>21</v>
      </c>
      <c r="B159" t="s">
        <v>160</v>
      </c>
      <c r="C159" t="s">
        <v>136</v>
      </c>
      <c r="D159" t="s">
        <v>180</v>
      </c>
      <c r="E159">
        <v>0</v>
      </c>
      <c r="F159" t="s">
        <v>158</v>
      </c>
      <c r="G159" t="s">
        <v>22</v>
      </c>
    </row>
    <row r="160" spans="1:7" x14ac:dyDescent="0.25">
      <c r="A160" t="s">
        <v>21</v>
      </c>
      <c r="B160" t="s">
        <v>160</v>
      </c>
      <c r="C160" t="s">
        <v>137</v>
      </c>
      <c r="D160" t="s">
        <v>180</v>
      </c>
      <c r="E160">
        <v>0</v>
      </c>
      <c r="F160" t="s">
        <v>158</v>
      </c>
      <c r="G160" t="s">
        <v>22</v>
      </c>
    </row>
    <row r="161" spans="1:7" x14ac:dyDescent="0.25">
      <c r="A161" t="s">
        <v>21</v>
      </c>
      <c r="B161" t="s">
        <v>160</v>
      </c>
      <c r="C161" t="s">
        <v>138</v>
      </c>
      <c r="D161" t="s">
        <v>180</v>
      </c>
      <c r="E161">
        <v>0</v>
      </c>
      <c r="F161" t="s">
        <v>158</v>
      </c>
      <c r="G161" t="s">
        <v>22</v>
      </c>
    </row>
    <row r="162" spans="1:7" x14ac:dyDescent="0.25">
      <c r="A162" t="s">
        <v>21</v>
      </c>
      <c r="B162" t="s">
        <v>160</v>
      </c>
      <c r="C162" t="s">
        <v>139</v>
      </c>
      <c r="D162" t="s">
        <v>180</v>
      </c>
      <c r="E162">
        <v>0</v>
      </c>
      <c r="F162" t="s">
        <v>158</v>
      </c>
      <c r="G162" t="s">
        <v>22</v>
      </c>
    </row>
    <row r="163" spans="1:7" x14ac:dyDescent="0.25">
      <c r="A163" t="s">
        <v>21</v>
      </c>
      <c r="B163" t="s">
        <v>160</v>
      </c>
      <c r="C163" t="s">
        <v>140</v>
      </c>
      <c r="D163" t="s">
        <v>180</v>
      </c>
      <c r="E163">
        <v>0</v>
      </c>
      <c r="F163" t="s">
        <v>158</v>
      </c>
      <c r="G163" t="s">
        <v>22</v>
      </c>
    </row>
    <row r="164" spans="1:7" x14ac:dyDescent="0.25">
      <c r="A164" t="s">
        <v>21</v>
      </c>
      <c r="B164" t="s">
        <v>160</v>
      </c>
      <c r="C164" t="s">
        <v>141</v>
      </c>
      <c r="D164" t="s">
        <v>180</v>
      </c>
      <c r="E164">
        <v>0</v>
      </c>
      <c r="F164" t="s">
        <v>158</v>
      </c>
      <c r="G164" t="s">
        <v>22</v>
      </c>
    </row>
    <row r="165" spans="1:7" x14ac:dyDescent="0.25">
      <c r="A165" t="s">
        <v>21</v>
      </c>
      <c r="B165" t="s">
        <v>160</v>
      </c>
      <c r="C165" t="s">
        <v>142</v>
      </c>
      <c r="D165" t="s">
        <v>180</v>
      </c>
      <c r="E165">
        <v>0</v>
      </c>
      <c r="F165" t="s">
        <v>158</v>
      </c>
      <c r="G165" t="s">
        <v>22</v>
      </c>
    </row>
    <row r="166" spans="1:7" x14ac:dyDescent="0.25">
      <c r="A166" t="s">
        <v>21</v>
      </c>
      <c r="B166" t="s">
        <v>160</v>
      </c>
      <c r="C166" t="s">
        <v>143</v>
      </c>
      <c r="D166" t="s">
        <v>180</v>
      </c>
      <c r="E166">
        <v>0</v>
      </c>
      <c r="F166" t="s">
        <v>158</v>
      </c>
      <c r="G166" t="s">
        <v>22</v>
      </c>
    </row>
    <row r="167" spans="1:7" x14ac:dyDescent="0.25">
      <c r="A167" t="s">
        <v>21</v>
      </c>
      <c r="B167" t="s">
        <v>160</v>
      </c>
      <c r="C167" t="s">
        <v>144</v>
      </c>
      <c r="D167" t="s">
        <v>180</v>
      </c>
      <c r="E167">
        <v>0</v>
      </c>
      <c r="F167" t="s">
        <v>158</v>
      </c>
      <c r="G167" t="s">
        <v>22</v>
      </c>
    </row>
    <row r="168" spans="1:7" x14ac:dyDescent="0.25">
      <c r="A168" t="s">
        <v>21</v>
      </c>
      <c r="B168" t="s">
        <v>160</v>
      </c>
      <c r="C168" t="s">
        <v>145</v>
      </c>
      <c r="D168" t="s">
        <v>180</v>
      </c>
      <c r="E168">
        <v>0</v>
      </c>
      <c r="F168" t="s">
        <v>158</v>
      </c>
      <c r="G168" t="s">
        <v>22</v>
      </c>
    </row>
    <row r="169" spans="1:7" x14ac:dyDescent="0.25">
      <c r="A169" t="s">
        <v>21</v>
      </c>
      <c r="B169" t="s">
        <v>160</v>
      </c>
      <c r="C169" t="s">
        <v>146</v>
      </c>
      <c r="D169" t="s">
        <v>180</v>
      </c>
      <c r="E169">
        <v>0</v>
      </c>
      <c r="F169" t="s">
        <v>158</v>
      </c>
      <c r="G169" t="s">
        <v>22</v>
      </c>
    </row>
    <row r="170" spans="1:7" x14ac:dyDescent="0.25">
      <c r="A170" t="s">
        <v>21</v>
      </c>
      <c r="B170" t="s">
        <v>160</v>
      </c>
      <c r="C170" t="s">
        <v>147</v>
      </c>
      <c r="D170" t="s">
        <v>180</v>
      </c>
      <c r="E170">
        <v>0</v>
      </c>
      <c r="F170" t="s">
        <v>158</v>
      </c>
      <c r="G170" t="s">
        <v>22</v>
      </c>
    </row>
    <row r="171" spans="1:7" x14ac:dyDescent="0.25">
      <c r="A171" t="s">
        <v>21</v>
      </c>
      <c r="B171" t="s">
        <v>160</v>
      </c>
      <c r="C171" t="s">
        <v>148</v>
      </c>
      <c r="D171" t="s">
        <v>180</v>
      </c>
      <c r="E171">
        <v>0</v>
      </c>
      <c r="F171" t="s">
        <v>158</v>
      </c>
      <c r="G171" t="s">
        <v>22</v>
      </c>
    </row>
    <row r="172" spans="1:7" x14ac:dyDescent="0.25">
      <c r="A172" t="s">
        <v>21</v>
      </c>
      <c r="B172" t="s">
        <v>160</v>
      </c>
      <c r="C172" t="s">
        <v>149</v>
      </c>
      <c r="D172" t="s">
        <v>180</v>
      </c>
      <c r="E172">
        <v>0</v>
      </c>
      <c r="F172" t="s">
        <v>158</v>
      </c>
      <c r="G172" t="s">
        <v>22</v>
      </c>
    </row>
    <row r="173" spans="1:7" x14ac:dyDescent="0.25">
      <c r="A173" t="s">
        <v>21</v>
      </c>
      <c r="B173" t="s">
        <v>160</v>
      </c>
      <c r="C173" t="s">
        <v>150</v>
      </c>
      <c r="D173" t="s">
        <v>180</v>
      </c>
      <c r="E173">
        <v>0</v>
      </c>
      <c r="F173" t="s">
        <v>158</v>
      </c>
      <c r="G173" t="s">
        <v>22</v>
      </c>
    </row>
    <row r="174" spans="1:7" x14ac:dyDescent="0.25">
      <c r="A174" t="s">
        <v>21</v>
      </c>
      <c r="B174" t="s">
        <v>160</v>
      </c>
      <c r="C174" t="s">
        <v>151</v>
      </c>
      <c r="D174" t="s">
        <v>180</v>
      </c>
      <c r="E174">
        <v>0</v>
      </c>
      <c r="F174" t="s">
        <v>158</v>
      </c>
      <c r="G174" t="s">
        <v>22</v>
      </c>
    </row>
    <row r="175" spans="1:7" x14ac:dyDescent="0.25">
      <c r="A175" t="s">
        <v>21</v>
      </c>
      <c r="B175" t="s">
        <v>160</v>
      </c>
      <c r="C175" t="s">
        <v>152</v>
      </c>
      <c r="D175" t="s">
        <v>180</v>
      </c>
      <c r="E175">
        <v>0</v>
      </c>
      <c r="F175" t="s">
        <v>158</v>
      </c>
      <c r="G175" t="s">
        <v>22</v>
      </c>
    </row>
    <row r="176" spans="1:7" x14ac:dyDescent="0.25">
      <c r="A176" t="s">
        <v>21</v>
      </c>
      <c r="B176" t="s">
        <v>160</v>
      </c>
      <c r="C176" t="s">
        <v>153</v>
      </c>
      <c r="D176" t="s">
        <v>180</v>
      </c>
      <c r="E176">
        <v>0</v>
      </c>
      <c r="F176" t="s">
        <v>158</v>
      </c>
      <c r="G176" t="s">
        <v>22</v>
      </c>
    </row>
    <row r="177" spans="1:7" x14ac:dyDescent="0.25">
      <c r="A177" t="s">
        <v>21</v>
      </c>
      <c r="B177" t="s">
        <v>160</v>
      </c>
      <c r="C177" t="s">
        <v>154</v>
      </c>
      <c r="D177" t="s">
        <v>180</v>
      </c>
      <c r="E177">
        <v>0</v>
      </c>
      <c r="F177" t="s">
        <v>158</v>
      </c>
      <c r="G177" t="s">
        <v>22</v>
      </c>
    </row>
    <row r="178" spans="1:7" x14ac:dyDescent="0.25">
      <c r="A178" t="s">
        <v>21</v>
      </c>
      <c r="B178" t="s">
        <v>160</v>
      </c>
      <c r="C178" t="s">
        <v>155</v>
      </c>
      <c r="D178" t="s">
        <v>180</v>
      </c>
      <c r="E178">
        <v>0</v>
      </c>
      <c r="F178" t="s">
        <v>158</v>
      </c>
      <c r="G178" t="s">
        <v>22</v>
      </c>
    </row>
    <row r="179" spans="1:7" x14ac:dyDescent="0.25">
      <c r="A179" t="s">
        <v>21</v>
      </c>
      <c r="B179" t="s">
        <v>160</v>
      </c>
      <c r="C179" t="s">
        <v>156</v>
      </c>
      <c r="D179" t="s">
        <v>180</v>
      </c>
      <c r="E179">
        <v>0</v>
      </c>
      <c r="F179" t="s">
        <v>158</v>
      </c>
      <c r="G179" t="s">
        <v>22</v>
      </c>
    </row>
    <row r="180" spans="1:7" x14ac:dyDescent="0.25">
      <c r="A180" t="s">
        <v>21</v>
      </c>
      <c r="B180" t="s">
        <v>160</v>
      </c>
      <c r="C180" t="s">
        <v>157</v>
      </c>
      <c r="D180" t="s">
        <v>180</v>
      </c>
      <c r="E180">
        <v>0</v>
      </c>
      <c r="F180" t="s">
        <v>158</v>
      </c>
      <c r="G180" t="s">
        <v>22</v>
      </c>
    </row>
    <row r="181" spans="1:7" x14ac:dyDescent="0.25">
      <c r="A181" t="s">
        <v>21</v>
      </c>
      <c r="B181" t="s">
        <v>172</v>
      </c>
      <c r="C181" t="s">
        <v>167</v>
      </c>
      <c r="D181" t="s">
        <v>180</v>
      </c>
      <c r="E181">
        <v>0</v>
      </c>
      <c r="F181" t="s">
        <v>171</v>
      </c>
      <c r="G181" t="s">
        <v>22</v>
      </c>
    </row>
    <row r="182" spans="1:7" x14ac:dyDescent="0.25">
      <c r="A182" t="s">
        <v>21</v>
      </c>
      <c r="B182" t="s">
        <v>172</v>
      </c>
      <c r="C182" t="s">
        <v>168</v>
      </c>
      <c r="D182" t="s">
        <v>180</v>
      </c>
      <c r="E182">
        <v>0</v>
      </c>
      <c r="F182" t="s">
        <v>82</v>
      </c>
      <c r="G182" t="s">
        <v>22</v>
      </c>
    </row>
    <row r="183" spans="1:7" x14ac:dyDescent="0.25">
      <c r="A183" t="s">
        <v>21</v>
      </c>
      <c r="B183" t="s">
        <v>172</v>
      </c>
      <c r="C183" t="s">
        <v>169</v>
      </c>
      <c r="D183" t="s">
        <v>180</v>
      </c>
      <c r="E183">
        <v>0</v>
      </c>
      <c r="F183" t="s">
        <v>171</v>
      </c>
      <c r="G183" t="s">
        <v>22</v>
      </c>
    </row>
    <row r="184" spans="1:7" x14ac:dyDescent="0.25">
      <c r="A184" t="s">
        <v>21</v>
      </c>
      <c r="B184" t="s">
        <v>172</v>
      </c>
      <c r="C184" t="s">
        <v>170</v>
      </c>
      <c r="D184" t="s">
        <v>180</v>
      </c>
      <c r="E184">
        <v>0</v>
      </c>
      <c r="F184" t="s">
        <v>82</v>
      </c>
      <c r="G184" t="s">
        <v>22</v>
      </c>
    </row>
    <row r="185" spans="1:7" x14ac:dyDescent="0.25">
      <c r="A185" t="s">
        <v>21</v>
      </c>
      <c r="B185" t="s">
        <v>172</v>
      </c>
      <c r="C185" t="s">
        <v>173</v>
      </c>
      <c r="D185" t="s">
        <v>180</v>
      </c>
      <c r="E185">
        <v>0</v>
      </c>
      <c r="F185" t="s">
        <v>174</v>
      </c>
      <c r="G185" t="s">
        <v>175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Instructions</vt:lpstr>
      <vt:lpstr>Value of Bonds at Purchase Date</vt:lpstr>
      <vt:lpstr>Value of Bonds 6 mos later</vt:lpstr>
      <vt:lpstr>Value of Bonds 1 yr later</vt:lpstr>
      <vt:lpstr>Ans1</vt:lpstr>
      <vt:lpstr>Interest Earned vs Coupon Pymnt</vt:lpstr>
      <vt:lpstr>Ans2</vt:lpstr>
      <vt:lpstr>Grading</vt:lpstr>
      <vt:lpstr>_1_29_2020</vt:lpstr>
      <vt:lpstr>Amount_to_Spend</vt:lpstr>
      <vt:lpstr>Coupon_rate</vt:lpstr>
      <vt:lpstr>Face_Value</vt:lpstr>
      <vt:lpstr>Interest_rate</vt:lpstr>
      <vt:lpstr>One_Period_Equals</vt:lpstr>
      <vt:lpstr>Start_date</vt:lpstr>
      <vt:lpstr>Term</vt:lpstr>
    </vt:vector>
  </TitlesOfParts>
  <Company>Yale SOM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Antle</dc:creator>
  <cp:lastModifiedBy>Antle, Rick</cp:lastModifiedBy>
  <dcterms:created xsi:type="dcterms:W3CDTF">2014-02-03T04:14:12Z</dcterms:created>
  <dcterms:modified xsi:type="dcterms:W3CDTF">2026-02-03T17:35:05Z</dcterms:modified>
</cp:coreProperties>
</file>