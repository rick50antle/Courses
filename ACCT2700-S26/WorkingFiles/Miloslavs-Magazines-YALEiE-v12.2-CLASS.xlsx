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05-Practice-Miloslav/"/>
    </mc:Choice>
  </mc:AlternateContent>
  <xr:revisionPtr revIDLastSave="280" documentId="8_{291A281E-A57E-4773-844E-FB1A3B66A29C}" xr6:coauthVersionLast="47" xr6:coauthVersionMax="47" xr10:uidLastSave="{C14D3150-5F60-4C4E-948D-54EAD126C018}"/>
  <workbookProtection workbookAlgorithmName="SHA-512" workbookHashValue="yN7pqAG9mXbupOmYQLQ3T/m/7XYTFql5IJ3ZR6K5f4K4sKqJPa1HOB2b1qvw2umTlwPnYcuvFOLQPrN2DQfVIQ==" workbookSaltValue="cM26X8vBsGX1hMgmqU4WHA==" workbookSpinCount="100000" lockStructure="1"/>
  <bookViews>
    <workbookView xWindow="21516" yWindow="15660" windowWidth="21600" windowHeight="11232" tabRatio="673" firstSheet="1"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5"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61" i="2"/>
  <c r="G161" i="2" s="1"/>
  <c r="E162" i="2"/>
  <c r="G162" i="2" s="1"/>
  <c r="G13" i="20"/>
  <c r="H13" i="20"/>
  <c r="H12" i="20" s="1" a="1"/>
  <c r="H12" i="20" s="1"/>
  <c r="G23" i="20"/>
  <c r="H23" i="20"/>
  <c r="AA4" i="20"/>
  <c r="AB4" i="20"/>
  <c r="I108" i="1"/>
  <c r="D71" i="40" s="1"/>
  <c r="E71" i="40" s="1"/>
  <c r="I109" i="1"/>
  <c r="I110" i="1"/>
  <c r="I111" i="1"/>
  <c r="I124" i="1"/>
  <c r="I125" i="1"/>
  <c r="I126" i="1"/>
  <c r="I127" i="1"/>
  <c r="I128" i="1"/>
  <c r="E186" i="2"/>
  <c r="G186" i="2" s="1"/>
  <c r="AG70" i="20" a="1"/>
  <c r="AG70" i="20" s="1"/>
  <c r="E187" i="2"/>
  <c r="G187" i="2" s="1"/>
  <c r="AG71" i="20" a="1"/>
  <c r="AG71" i="20" s="1"/>
  <c r="AG72" i="20" a="1"/>
  <c r="AG72" i="20"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s="1"/>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c r="BH90" i="40"/>
  <c r="BH91" i="40"/>
  <c r="BC92" i="40"/>
  <c r="BA92" i="40"/>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K122"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AI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s="1"/>
  <c r="AE467" i="1" a="1"/>
  <c r="AE467" i="1"/>
  <c r="AD467" i="1" a="1"/>
  <c r="AD467" i="1" s="1"/>
  <c r="AC467" i="1" a="1"/>
  <c r="AC467" i="1" s="1"/>
  <c r="AI467" i="1" s="1"/>
  <c r="AH467" i="1" s="1" a="1"/>
  <c r="AH467" i="1" s="1"/>
  <c r="AG466" i="1" a="1"/>
  <c r="AG466" i="1" s="1"/>
  <c r="AF466" i="1" a="1"/>
  <c r="AF466" i="1" s="1"/>
  <c r="AE466" i="1" a="1"/>
  <c r="AE466" i="1" s="1"/>
  <c r="AD466" i="1" a="1"/>
  <c r="AD466" i="1" s="1"/>
  <c r="AC466" i="1" a="1"/>
  <c r="AC466" i="1"/>
  <c r="AI466" i="1" s="1"/>
  <c r="AH466" i="1" s="1" a="1"/>
  <c r="AH466" i="1" s="1"/>
  <c r="AG465" i="1" a="1"/>
  <c r="AG465" i="1"/>
  <c r="AF465" i="1" a="1"/>
  <c r="AF465" i="1" s="1"/>
  <c r="AE465" i="1" a="1"/>
  <c r="AE465" i="1"/>
  <c r="AD465" i="1" a="1"/>
  <c r="AD465" i="1" s="1"/>
  <c r="AC465" i="1" a="1"/>
  <c r="AC465" i="1" s="1"/>
  <c r="AI465" i="1" s="1"/>
  <c r="AH465" i="1" s="1" a="1"/>
  <c r="AH465" i="1" s="1"/>
  <c r="AG464" i="1" a="1"/>
  <c r="AG464" i="1" s="1"/>
  <c r="AF464" i="1" a="1"/>
  <c r="AF464" i="1"/>
  <c r="AE464" i="1" a="1"/>
  <c r="AE464" i="1" s="1"/>
  <c r="AD464" i="1" a="1"/>
  <c r="AD464" i="1"/>
  <c r="AC464" i="1" a="1"/>
  <c r="AC464" i="1" s="1"/>
  <c r="AG463" i="1" a="1"/>
  <c r="AG463" i="1" s="1"/>
  <c r="AF463" i="1" a="1"/>
  <c r="AF463" i="1" s="1"/>
  <c r="AE463" i="1" a="1"/>
  <c r="AE463" i="1" s="1"/>
  <c r="AD463" i="1" a="1"/>
  <c r="AD463" i="1" s="1"/>
  <c r="AC463" i="1" a="1"/>
  <c r="AC463" i="1" s="1"/>
  <c r="AI463" i="1" s="1"/>
  <c r="AH463" i="1" s="1" a="1"/>
  <c r="AH463" i="1" s="1"/>
  <c r="AG462" i="1" a="1"/>
  <c r="AG462" i="1"/>
  <c r="AF462" i="1" a="1"/>
  <c r="AF462" i="1"/>
  <c r="AE462" i="1" a="1"/>
  <c r="AE462" i="1" s="1"/>
  <c r="AD462" i="1" a="1"/>
  <c r="AD462" i="1"/>
  <c r="AC462" i="1" a="1"/>
  <c r="AC462" i="1" s="1"/>
  <c r="AI462" i="1" s="1"/>
  <c r="AH462" i="1" s="1" a="1"/>
  <c r="AH462" i="1" s="1"/>
  <c r="AG461" i="1" a="1"/>
  <c r="AG461" i="1" s="1"/>
  <c r="AF461" i="1" a="1"/>
  <c r="AF461" i="1" s="1"/>
  <c r="AE461" i="1" a="1"/>
  <c r="AE461" i="1"/>
  <c r="AD461" i="1" a="1"/>
  <c r="AD461" i="1" s="1"/>
  <c r="AC461" i="1" a="1"/>
  <c r="AC461" i="1"/>
  <c r="AI461" i="1" s="1"/>
  <c r="AH461" i="1" s="1" a="1"/>
  <c r="AH461" i="1" s="1"/>
  <c r="AG460" i="1" a="1"/>
  <c r="AG460" i="1" s="1"/>
  <c r="AF460" i="1" a="1"/>
  <c r="AF460" i="1" s="1"/>
  <c r="AE460" i="1" a="1"/>
  <c r="AE460" i="1" s="1"/>
  <c r="AD460" i="1" a="1"/>
  <c r="AD460" i="1" s="1"/>
  <c r="AC460" i="1" a="1"/>
  <c r="AC460" i="1" s="1"/>
  <c r="AI460" i="1" s="1"/>
  <c r="AH460" i="1" s="1" a="1"/>
  <c r="AH460" i="1" s="1"/>
  <c r="AG459" i="1" a="1"/>
  <c r="AG459" i="1" s="1"/>
  <c r="AF459" i="1" a="1"/>
  <c r="AF459" i="1"/>
  <c r="AE459" i="1" a="1"/>
  <c r="AE459" i="1"/>
  <c r="AD459" i="1" a="1"/>
  <c r="AD459" i="1" s="1"/>
  <c r="AC459" i="1" a="1"/>
  <c r="AC459" i="1" s="1"/>
  <c r="AG458" i="1" a="1"/>
  <c r="AG458" i="1" s="1"/>
  <c r="AF458" i="1" a="1"/>
  <c r="AF458" i="1" s="1"/>
  <c r="AE458" i="1" a="1"/>
  <c r="AE458" i="1" s="1"/>
  <c r="AD458" i="1" a="1"/>
  <c r="AD458" i="1"/>
  <c r="AC458" i="1" a="1"/>
  <c r="AC458" i="1" s="1"/>
  <c r="AI458" i="1" s="1"/>
  <c r="AH458" i="1" s="1" a="1"/>
  <c r="AH458" i="1" s="1"/>
  <c r="AG457" i="1" a="1"/>
  <c r="AG457" i="1"/>
  <c r="AF457" i="1" a="1"/>
  <c r="AF457" i="1" s="1"/>
  <c r="AE457" i="1" a="1"/>
  <c r="AE457" i="1" s="1"/>
  <c r="AD457" i="1" a="1"/>
  <c r="AD457" i="1" s="1"/>
  <c r="AC457" i="1" a="1"/>
  <c r="AC457" i="1" s="1"/>
  <c r="AI457" i="1" s="1"/>
  <c r="AH457" i="1" s="1" a="1"/>
  <c r="AH457" i="1" s="1"/>
  <c r="AG456" i="1" a="1"/>
  <c r="AG456" i="1" s="1"/>
  <c r="AF456" i="1" a="1"/>
  <c r="AF456" i="1" s="1"/>
  <c r="AE456" i="1" a="1"/>
  <c r="AE456" i="1"/>
  <c r="AD456" i="1" a="1"/>
  <c r="AD456" i="1"/>
  <c r="AC456" i="1" a="1"/>
  <c r="AC456" i="1" s="1"/>
  <c r="AI456" i="1" s="1"/>
  <c r="AH456" i="1" s="1" a="1"/>
  <c r="AH456" i="1" s="1"/>
  <c r="AG455" i="1" a="1"/>
  <c r="AG455" i="1" s="1"/>
  <c r="AF455" i="1" a="1"/>
  <c r="AF455" i="1" s="1"/>
  <c r="AE455" i="1" a="1"/>
  <c r="AE455" i="1" s="1"/>
  <c r="AD455" i="1" a="1"/>
  <c r="AD455" i="1" s="1"/>
  <c r="AC455" i="1" a="1"/>
  <c r="AC455" i="1"/>
  <c r="AI455" i="1" s="1"/>
  <c r="AH455" i="1" s="1" a="1"/>
  <c r="AH455" i="1" s="1"/>
  <c r="AG454" i="1" a="1"/>
  <c r="AG454" i="1" s="1"/>
  <c r="AF454" i="1" a="1"/>
  <c r="AF454" i="1"/>
  <c r="AE454" i="1" a="1"/>
  <c r="AE454" i="1" s="1"/>
  <c r="AD454" i="1" a="1"/>
  <c r="AD454" i="1" s="1"/>
  <c r="AC454" i="1" a="1"/>
  <c r="AC454" i="1" s="1"/>
  <c r="AG453" i="1" a="1"/>
  <c r="AG453" i="1" s="1"/>
  <c r="AF453" i="1" a="1"/>
  <c r="AF453" i="1" s="1"/>
  <c r="AE453" i="1" a="1"/>
  <c r="AE453" i="1" s="1"/>
  <c r="AD453" i="1" a="1"/>
  <c r="AD453" i="1"/>
  <c r="AC453" i="1" a="1"/>
  <c r="AC453" i="1"/>
  <c r="AI453" i="1" s="1"/>
  <c r="AH453" i="1" s="1" a="1"/>
  <c r="AH453" i="1" s="1"/>
  <c r="AG452" i="1" a="1"/>
  <c r="AG452" i="1" s="1"/>
  <c r="AF452" i="1" a="1"/>
  <c r="AF452" i="1" s="1"/>
  <c r="AE452" i="1" a="1"/>
  <c r="AE452" i="1" s="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s="1"/>
  <c r="E111" i="13" a="1"/>
  <c r="E111" i="13" s="1"/>
  <c r="E110" i="13" a="1"/>
  <c r="E110" i="13"/>
  <c r="E109" i="13" a="1"/>
  <c r="E109" i="13" s="1"/>
  <c r="E108" i="13" a="1"/>
  <c r="E108" i="13" s="1"/>
  <c r="E107" i="13" a="1"/>
  <c r="E107" i="13" s="1"/>
  <c r="E106" i="13" a="1"/>
  <c r="E106" i="13" s="1"/>
  <c r="D101" i="13"/>
  <c r="E101" i="13" s="1" a="1"/>
  <c r="E101" i="13" s="1"/>
  <c r="D100" i="13"/>
  <c r="E100" i="13" a="1"/>
  <c r="E100" i="13" s="1"/>
  <c r="D99" i="13"/>
  <c r="E99" i="13" a="1"/>
  <c r="E99" i="13" s="1"/>
  <c r="D98" i="13"/>
  <c r="E98" i="13" s="1" a="1"/>
  <c r="E98" i="13" s="1"/>
  <c r="D97" i="13"/>
  <c r="E97" i="13" a="1"/>
  <c r="E97" i="13" s="1"/>
  <c r="D96" i="13"/>
  <c r="E96" i="13" s="1" a="1"/>
  <c r="E96" i="13" s="1"/>
  <c r="D95" i="13"/>
  <c r="E95" i="13" a="1"/>
  <c r="E95" i="13" s="1"/>
  <c r="D94" i="13"/>
  <c r="E94" i="13" a="1"/>
  <c r="E94" i="13" s="1"/>
  <c r="D90" i="13"/>
  <c r="D89" i="13"/>
  <c r="D88" i="13"/>
  <c r="D87" i="13"/>
  <c r="D86" i="13"/>
  <c r="D85" i="13"/>
  <c r="D84" i="13"/>
  <c r="E84" i="13" s="1" a="1"/>
  <c r="E84" i="13" s="1"/>
  <c r="D83" i="13"/>
  <c r="E83" i="13" a="1"/>
  <c r="E83" i="13" s="1"/>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c r="K15" i="3" a="1"/>
  <c r="K15" i="3" s="1"/>
  <c r="J17" i="3"/>
  <c r="J18" i="3"/>
  <c r="K16" i="3" a="1"/>
  <c r="K16" i="3"/>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c r="K28" i="3" a="1"/>
  <c r="K28" i="3" s="1"/>
  <c r="K22" i="3" a="1"/>
  <c r="K22" i="3" s="1"/>
  <c r="K29" i="3" a="1"/>
  <c r="K29" i="3"/>
  <c r="J31" i="3"/>
  <c r="J32" i="3"/>
  <c r="J33" i="3"/>
  <c r="J34" i="3"/>
  <c r="K24" i="3" a="1"/>
  <c r="K24" i="3" s="1"/>
  <c r="K23" i="3" a="1"/>
  <c r="K23" i="3" s="1"/>
  <c r="K30" i="3" a="1"/>
  <c r="K30" i="3"/>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c r="K37" i="3" a="1"/>
  <c r="K37" i="3" s="1"/>
  <c r="K47" i="3" a="1"/>
  <c r="K47" i="3" s="1"/>
  <c r="K38" i="3" a="1"/>
  <c r="K38" i="3"/>
  <c r="K48" i="3" a="1"/>
  <c r="K48" i="3" s="1"/>
  <c r="K39" i="3" a="1"/>
  <c r="K39" i="3"/>
  <c r="K49" i="3" a="1"/>
  <c r="K49" i="3" s="1"/>
  <c r="K40" i="3" a="1"/>
  <c r="K40" i="3" s="1"/>
  <c r="K50" i="3" a="1"/>
  <c r="K50" i="3"/>
  <c r="K42" i="3" a="1"/>
  <c r="K42" i="3" s="1"/>
  <c r="K51" i="3" a="1"/>
  <c r="K51" i="3" s="1"/>
  <c r="K41" i="3" a="1"/>
  <c r="K41" i="3" s="1"/>
  <c r="K43" i="3" a="1"/>
  <c r="K43" i="3" s="1"/>
  <c r="K53" i="3" a="1"/>
  <c r="K53" i="3" s="1"/>
  <c r="K52" i="3" a="1"/>
  <c r="K52" i="3" s="1"/>
  <c r="K54" i="3" a="1"/>
  <c r="K54" i="3" s="1"/>
  <c r="K55" i="3" a="1"/>
  <c r="K55" i="3"/>
  <c r="K56" i="3" a="1"/>
  <c r="K56" i="3" s="1"/>
  <c r="K61" i="3" a="1"/>
  <c r="K61" i="3" s="1"/>
  <c r="K57" i="3" a="1"/>
  <c r="K57" i="3"/>
  <c r="K60" i="3" a="1"/>
  <c r="K60" i="3" s="1"/>
  <c r="K59" i="3" a="1"/>
  <c r="K59" i="3"/>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c r="K67" i="3" a="1"/>
  <c r="K67" i="3" s="1"/>
  <c r="K74" i="3" a="1"/>
  <c r="K74" i="3" s="1"/>
  <c r="K68" i="3" a="1"/>
  <c r="K68" i="3"/>
  <c r="K75" i="3" a="1"/>
  <c r="K75" i="3" s="1"/>
  <c r="K76" i="3" a="1"/>
  <c r="K76" i="3"/>
  <c r="K77" i="3" a="1"/>
  <c r="K77" i="3" s="1"/>
  <c r="K78" i="3" a="1"/>
  <c r="K78" i="3" s="1"/>
  <c r="K79" i="3" a="1"/>
  <c r="K79" i="3"/>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c r="K87" i="3" a="1"/>
  <c r="K87" i="3"/>
  <c r="K88" i="3" a="1"/>
  <c r="K88" i="3"/>
  <c r="K89" i="3" a="1"/>
  <c r="K89" i="3" s="1"/>
  <c r="K90" i="3" a="1"/>
  <c r="K90" i="3"/>
  <c r="K91" i="3" a="1"/>
  <c r="K91" i="3" s="1"/>
  <c r="K92" i="3" a="1"/>
  <c r="K92" i="3" s="1"/>
  <c r="K93" i="3" a="1"/>
  <c r="K93" i="3"/>
  <c r="K94" i="3" a="1"/>
  <c r="K94" i="3" s="1"/>
  <c r="J109" i="3"/>
  <c r="K96" i="3" a="1"/>
  <c r="K96" i="3" s="1"/>
  <c r="Q112" i="14"/>
  <c r="Q127" i="14"/>
  <c r="Q32" i="14" s="1"/>
  <c r="Q17" i="14"/>
  <c r="Q130" i="14"/>
  <c r="Q35" i="14"/>
  <c r="Q129" i="14"/>
  <c r="Q34" i="14" s="1"/>
  <c r="B9" i="14" a="1"/>
  <c r="B9" i="14" s="1"/>
  <c r="B29" i="14" a="1"/>
  <c r="B29" i="14" s="1"/>
  <c r="Q128" i="14"/>
  <c r="Q33" i="14" s="1"/>
  <c r="C9" i="14" a="1"/>
  <c r="C9" i="14" s="1"/>
  <c r="Q115" i="14"/>
  <c r="Q20" i="14"/>
  <c r="Q114" i="14"/>
  <c r="Q19" i="14" s="1"/>
  <c r="Q116" i="14"/>
  <c r="Q21" i="14"/>
  <c r="Q113" i="14"/>
  <c r="Q18" i="14" s="1"/>
  <c r="E29" i="14" a="1"/>
  <c r="E29" i="14" s="1"/>
  <c r="Q122" i="14"/>
  <c r="Q27" i="14" s="1"/>
  <c r="Q103" i="14"/>
  <c r="D9" i="14" a="1"/>
  <c r="D9" i="14"/>
  <c r="Q104" i="14"/>
  <c r="Q123" i="14"/>
  <c r="Q28" i="14"/>
  <c r="E9" i="14" a="1"/>
  <c r="E9" i="14" s="1"/>
  <c r="D29" i="14" a="1"/>
  <c r="D29" i="14"/>
  <c r="K97" i="3" a="1"/>
  <c r="K97" i="3" s="1"/>
  <c r="K98" i="3" a="1"/>
  <c r="K98" i="3" s="1"/>
  <c r="K99" i="3" a="1"/>
  <c r="K99" i="3" s="1"/>
  <c r="K100" i="3" a="1"/>
  <c r="K100" i="3" s="1"/>
  <c r="K101" i="3" a="1"/>
  <c r="K101" i="3" s="1"/>
  <c r="K102" i="3" a="1"/>
  <c r="K102" i="3"/>
  <c r="K103" i="3" a="1"/>
  <c r="K103" i="3" s="1"/>
  <c r="K104" i="3" a="1"/>
  <c r="K104" i="3"/>
  <c r="K105" i="3" a="1"/>
  <c r="K105" i="3" s="1"/>
  <c r="K106" i="3" a="1"/>
  <c r="K106" i="3" s="1"/>
  <c r="K107" i="3" a="1"/>
  <c r="K107" i="3"/>
  <c r="K109" i="3" a="1"/>
  <c r="K109" i="3" s="1"/>
  <c r="K110" i="3" a="1"/>
  <c r="K110" i="3" s="1"/>
  <c r="K111" i="3" a="1"/>
  <c r="K111" i="3"/>
  <c r="K112" i="3" a="1"/>
  <c r="K112" i="3" s="1"/>
  <c r="K113" i="3" a="1"/>
  <c r="K113" i="3"/>
  <c r="K114" i="3" a="1"/>
  <c r="K114" i="3" s="1"/>
  <c r="K115" i="3" a="1"/>
  <c r="K115" i="3" s="1"/>
  <c r="K116" i="3" a="1"/>
  <c r="K116" i="3" s="1"/>
  <c r="K117" i="3" a="1"/>
  <c r="K117" i="3" s="1"/>
  <c r="K118" i="3" a="1"/>
  <c r="K118" i="3" s="1"/>
  <c r="K119" i="3" a="1"/>
  <c r="K119" i="3"/>
  <c r="K120" i="3" a="1"/>
  <c r="K120" i="3" s="1"/>
  <c r="K121" i="3" a="1"/>
  <c r="K121" i="3"/>
  <c r="K122" i="3" a="1"/>
  <c r="K122" i="3" s="1"/>
  <c r="K123" i="3" a="1"/>
  <c r="K123" i="3" s="1"/>
  <c r="K124" i="3" a="1"/>
  <c r="K124" i="3"/>
  <c r="K125" i="3" a="1"/>
  <c r="K125" i="3" s="1"/>
  <c r="K126" i="3" a="1"/>
  <c r="K126" i="3" s="1"/>
  <c r="K127" i="3" a="1"/>
  <c r="K127" i="3"/>
  <c r="K128" i="3" a="1"/>
  <c r="K128" i="3" s="1"/>
  <c r="K129" i="3" a="1"/>
  <c r="K129" i="3"/>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c r="K141" i="3" a="1"/>
  <c r="K141" i="3" s="1"/>
  <c r="K142" i="3" a="1"/>
  <c r="K142" i="3" s="1"/>
  <c r="K143" i="3" a="1"/>
  <c r="K143" i="3"/>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c r="K157" i="3" a="1"/>
  <c r="K157" i="3" s="1"/>
  <c r="K158" i="3" a="1"/>
  <c r="K158" i="3" s="1"/>
  <c r="K159" i="3" a="1"/>
  <c r="K159" i="3"/>
  <c r="K160" i="3" a="1"/>
  <c r="K160" i="3" s="1"/>
  <c r="K161" i="3" a="1"/>
  <c r="K161" i="3"/>
  <c r="K162" i="3" a="1"/>
  <c r="K162" i="3" s="1"/>
  <c r="K163" i="3" a="1"/>
  <c r="K163" i="3" s="1"/>
  <c r="K164" i="3" a="1"/>
  <c r="K164" i="3" s="1"/>
  <c r="K165" i="3" a="1"/>
  <c r="K165" i="3" s="1"/>
  <c r="K166" i="3" a="1"/>
  <c r="K166" i="3" s="1"/>
  <c r="K167" i="3" a="1"/>
  <c r="K167" i="3"/>
  <c r="K168" i="3" a="1"/>
  <c r="K168" i="3" s="1"/>
  <c r="K169" i="3" a="1"/>
  <c r="K169" i="3"/>
  <c r="K170" i="3" a="1"/>
  <c r="K170" i="3" s="1"/>
  <c r="K171" i="3" a="1"/>
  <c r="K171" i="3" s="1"/>
  <c r="K172" i="3" a="1"/>
  <c r="K172" i="3"/>
  <c r="K173" i="3" a="1"/>
  <c r="K173" i="3" s="1"/>
  <c r="K174" i="3" a="1"/>
  <c r="K174" i="3" s="1"/>
  <c r="K175" i="3" a="1"/>
  <c r="K175" i="3"/>
  <c r="K176" i="3" a="1"/>
  <c r="K176" i="3" s="1"/>
  <c r="K177" i="3" a="1"/>
  <c r="K177" i="3"/>
  <c r="K178" i="3" a="1"/>
  <c r="K178" i="3" s="1"/>
  <c r="K179" i="3" a="1"/>
  <c r="K179" i="3" s="1"/>
  <c r="K180" i="3" a="1"/>
  <c r="K180" i="3" s="1"/>
  <c r="K181" i="3" a="1"/>
  <c r="K181" i="3" s="1"/>
  <c r="K182" i="3" a="1"/>
  <c r="K182" i="3" s="1"/>
  <c r="K183" i="3" a="1"/>
  <c r="K183" i="3"/>
  <c r="K184" i="3" a="1"/>
  <c r="K184" i="3" s="1"/>
  <c r="K185" i="3" a="1"/>
  <c r="K185" i="3"/>
  <c r="K186" i="3" a="1"/>
  <c r="K186" i="3" s="1"/>
  <c r="K187" i="3" a="1"/>
  <c r="K187" i="3" s="1"/>
  <c r="K188" i="3" a="1"/>
  <c r="K188" i="3"/>
  <c r="K189" i="3" a="1"/>
  <c r="K189" i="3" s="1"/>
  <c r="K190" i="3" a="1"/>
  <c r="K190" i="3" s="1"/>
  <c r="K191" i="3" a="1"/>
  <c r="K191" i="3"/>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C38"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E46" i="13"/>
  <c r="C51" i="13" a="1"/>
  <c r="C51" i="13"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c r="M101" i="14" a="1"/>
  <c r="M101" i="14"/>
  <c r="J101" i="14" a="1"/>
  <c r="J101" i="14"/>
  <c r="K101" i="14" a="1"/>
  <c r="K101" i="14"/>
  <c r="J102" i="14" a="1"/>
  <c r="J102" i="14"/>
  <c r="K102" i="14" a="1"/>
  <c r="K102" i="14"/>
  <c r="L101" i="14" a="1"/>
  <c r="L101" i="14"/>
  <c r="L102" i="14" a="1"/>
  <c r="L102" i="14"/>
  <c r="M102" i="14" a="1"/>
  <c r="M102"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61" i="3" a="1"/>
  <c r="L61" i="3" s="1"/>
  <c r="L59" i="3" a="1"/>
  <c r="L59" i="3" s="1"/>
  <c r="L60" i="3" a="1"/>
  <c r="L60" i="3" s="1"/>
  <c r="L62" i="3" a="1"/>
  <c r="L62" i="3" s="1"/>
  <c r="L48" i="3" a="1"/>
  <c r="L48" i="3" s="1"/>
  <c r="L20" i="3" a="1"/>
  <c r="L20" i="3" s="1"/>
  <c r="L56" i="3" a="1"/>
  <c r="L56" i="3" s="1"/>
  <c r="N56" i="3" s="1"/>
  <c r="L55" i="3" a="1"/>
  <c r="L55" i="3" s="1"/>
  <c r="L29" i="3" a="1"/>
  <c r="L29" i="3" s="1"/>
  <c r="N29" i="3" s="1"/>
  <c r="L87" i="3" a="1"/>
  <c r="L87" i="3" s="1"/>
  <c r="L88" i="3" a="1"/>
  <c r="L88" i="3" s="1"/>
  <c r="L89" i="3" a="1"/>
  <c r="L89" i="3" s="1"/>
  <c r="M89" i="3" s="1"/>
  <c r="L90" i="3" a="1"/>
  <c r="L90" i="3" s="1"/>
  <c r="L91" i="3" a="1"/>
  <c r="L91" i="3" s="1"/>
  <c r="L92" i="3" a="1"/>
  <c r="L92" i="3" s="1"/>
  <c r="L57" i="3" a="1"/>
  <c r="L57" i="3" s="1"/>
  <c r="L58" i="3" a="1"/>
  <c r="L58" i="3" s="1"/>
  <c r="L45" i="3" a="1"/>
  <c r="L45" i="3" s="1"/>
  <c r="L23" i="3" a="1"/>
  <c r="L23" i="3" s="1"/>
  <c r="L26" i="3" a="1"/>
  <c r="L26" i="3" s="1"/>
  <c r="N26" i="3" s="1"/>
  <c r="L36" i="3" a="1"/>
  <c r="L36" i="3" s="1"/>
  <c r="L35" i="3" a="1"/>
  <c r="L35" i="3" s="1"/>
  <c r="L14" i="3" a="1"/>
  <c r="L14" i="3" s="1"/>
  <c r="L75" i="3" a="1"/>
  <c r="L75" i="3" s="1"/>
  <c r="L76" i="3" a="1"/>
  <c r="L76" i="3" s="1"/>
  <c r="L74" i="3" a="1"/>
  <c r="L74" i="3" s="1"/>
  <c r="L42" i="3" a="1"/>
  <c r="L4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2" i="3" a="1"/>
  <c r="L32" i="3" s="1"/>
  <c r="L39" i="3" a="1"/>
  <c r="L39" i="3" s="1"/>
  <c r="M39" i="3" s="1"/>
  <c r="L11" i="3" a="1"/>
  <c r="L11" i="3" s="1"/>
  <c r="L17" i="3" a="1"/>
  <c r="L17" i="3" s="1"/>
  <c r="BA24" i="40"/>
  <c r="BA25" i="40"/>
  <c r="BC11" i="40"/>
  <c r="BH94" i="40"/>
  <c r="BC12" i="40"/>
  <c r="BA12" i="40"/>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E159" i="15"/>
  <c r="G159"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E172" i="15"/>
  <c r="F120" i="15"/>
  <c r="H120" i="15" s="1"/>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E116" i="15"/>
  <c r="BC72" i="40"/>
  <c r="F172" i="15"/>
  <c r="H172" i="15" s="1"/>
  <c r="D181" i="15"/>
  <c r="D180" i="15"/>
  <c r="BC112" i="40"/>
  <c r="D175" i="15"/>
  <c r="J175" i="2"/>
  <c r="D173" i="15"/>
  <c r="F168" i="15"/>
  <c r="H168" i="15" s="1"/>
  <c r="G196" i="2"/>
  <c r="G194" i="2"/>
  <c r="G192" i="2"/>
  <c r="E184" i="15"/>
  <c r="BN19" i="40"/>
  <c r="BO19" i="40" s="1"/>
  <c r="BL19" i="40" s="1" a="1"/>
  <c r="BL19" i="40" s="1"/>
  <c r="F136" i="15"/>
  <c r="H136" i="15" s="1"/>
  <c r="F154" i="15"/>
  <c r="H154" i="15" s="1"/>
  <c r="F153" i="15"/>
  <c r="H153" i="15" s="1"/>
  <c r="BN18" i="40"/>
  <c r="BO18" i="40" s="1"/>
  <c r="E168" i="15"/>
  <c r="G168"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4" i="38"/>
  <c r="U212" i="38" s="1" a="1"/>
  <c r="V237" i="38" s="1"/>
  <c r="F105" i="38"/>
  <c r="F108" i="38"/>
  <c r="O105" i="14"/>
  <c r="BA23" i="40"/>
  <c r="O103" i="14"/>
  <c r="O102" i="14"/>
  <c r="O104" i="14"/>
  <c r="BC58" i="40"/>
  <c r="BA58" i="40" s="1"/>
  <c r="BC83" i="40"/>
  <c r="BA83" i="40" s="1"/>
  <c r="BC31" i="40"/>
  <c r="BA31" i="40" s="1"/>
  <c r="E212" i="2"/>
  <c r="I212" i="2" s="1"/>
  <c r="D62" i="40"/>
  <c r="E62" i="40" s="1"/>
  <c r="B62" i="40" s="1" a="1"/>
  <c r="B62" i="40" s="1"/>
  <c r="AG79" i="20" a="1"/>
  <c r="AG79" i="20" s="1"/>
  <c r="F45" i="9"/>
  <c r="F44" i="9"/>
  <c r="F43" i="9"/>
  <c r="D45" i="9"/>
  <c r="D46" i="9"/>
  <c r="BH60" i="40"/>
  <c r="BC57" i="40"/>
  <c r="BH63" i="40"/>
  <c r="E189" i="2"/>
  <c r="G189" i="2" s="1"/>
  <c r="E190" i="2"/>
  <c r="I190" i="2" s="1"/>
  <c r="AG77" i="20" a="1"/>
  <c r="AG77" i="20" s="1"/>
  <c r="AP77" i="20" s="1"/>
  <c r="AQ77" i="20" s="1" a="1"/>
  <c r="AQ77" i="20" s="1"/>
  <c r="AG78" i="20" a="1"/>
  <c r="AG78" i="20" s="1"/>
  <c r="E188" i="2"/>
  <c r="J188" i="2" s="1"/>
  <c r="Q121" i="14"/>
  <c r="Q26" i="14" s="1"/>
  <c r="Q120" i="14"/>
  <c r="R13" i="14" a="1"/>
  <c r="R13" i="14" s="1"/>
  <c r="R6" i="14" a="1"/>
  <c r="R6" i="14" s="1"/>
  <c r="Q102" i="14"/>
  <c r="R10" i="14" a="1"/>
  <c r="R10" i="14" s="1"/>
  <c r="Q111" i="14"/>
  <c r="AG76" i="20" a="1"/>
  <c r="AG76" i="20" s="1"/>
  <c r="AG75" i="20" a="1"/>
  <c r="AG75" i="20" s="1"/>
  <c r="AG74" i="20" a="1"/>
  <c r="AG74" i="20" s="1"/>
  <c r="Q25" i="14"/>
  <c r="R7" i="14" a="1"/>
  <c r="R7" i="14" s="1"/>
  <c r="Q7" i="14"/>
  <c r="Q16" i="14"/>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Q9" i="14"/>
  <c r="E163" i="2"/>
  <c r="G163" i="2" s="1"/>
  <c r="E164" i="2"/>
  <c r="J164" i="2" s="1"/>
  <c r="R9" i="14" a="1"/>
  <c r="R9" i="14" s="1"/>
  <c r="R8" i="14" a="1"/>
  <c r="R8" i="14" s="1"/>
  <c r="J187" i="2"/>
  <c r="I187" i="2"/>
  <c r="I186" i="2"/>
  <c r="J186" i="2"/>
  <c r="Q8" i="14"/>
  <c r="AE210" i="38"/>
  <c r="I162" i="2"/>
  <c r="J162" i="2"/>
  <c r="J161" i="2"/>
  <c r="I161" i="2"/>
  <c r="E191" i="35"/>
  <c r="E202" i="35"/>
  <c r="E210" i="38"/>
  <c r="E186" i="35"/>
  <c r="E189" i="38"/>
  <c r="E190" i="38"/>
  <c r="AE189" i="38"/>
  <c r="AE190" i="38"/>
  <c r="E184" i="35"/>
  <c r="E183" i="35"/>
  <c r="E182" i="35"/>
  <c r="E185" i="35"/>
  <c r="E188" i="38"/>
  <c r="E187" i="38"/>
  <c r="E186" i="38"/>
  <c r="AE188" i="38"/>
  <c r="AE187" i="38"/>
  <c r="AE186" i="38"/>
  <c r="E164" i="38"/>
  <c r="AE175" i="38"/>
  <c r="AE174" i="38"/>
  <c r="E175" i="38"/>
  <c r="E174" i="38"/>
  <c r="AE163" i="38"/>
  <c r="AE164" i="38"/>
  <c r="E172" i="35"/>
  <c r="E173" i="35"/>
  <c r="E164" i="35"/>
  <c r="E163" i="35"/>
  <c r="J451" i="38"/>
  <c r="K451" i="38"/>
  <c r="C143" i="35"/>
  <c r="C141" i="35"/>
  <c r="C142" i="35"/>
  <c r="J449" i="38"/>
  <c r="J450" i="38"/>
  <c r="J445" i="38"/>
  <c r="J446" i="38"/>
  <c r="J447" i="38"/>
  <c r="J442" i="38"/>
  <c r="J443" i="38"/>
  <c r="J444" i="38"/>
  <c r="J448" i="38"/>
  <c r="C134" i="35"/>
  <c r="C135" i="35"/>
  <c r="C136" i="35"/>
  <c r="C137" i="35"/>
  <c r="C138" i="35"/>
  <c r="C139" i="35"/>
  <c r="C140" i="35"/>
  <c r="K450" i="38"/>
  <c r="K449" i="38"/>
  <c r="K448" i="38"/>
  <c r="K446" i="38"/>
  <c r="K444" i="38"/>
  <c r="K442" i="38"/>
  <c r="K445" i="38"/>
  <c r="K447" i="38"/>
  <c r="K443"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59" i="15"/>
  <c r="L59" i="15" a="1"/>
  <c r="L59" i="15" s="1"/>
  <c r="C68" i="15"/>
  <c r="L68" i="15" a="1"/>
  <c r="L68" i="15" s="1"/>
  <c r="C88" i="15"/>
  <c r="L88" i="15" a="1"/>
  <c r="L88" i="15" s="1"/>
  <c r="M88" i="15" s="1"/>
  <c r="C85" i="15"/>
  <c r="L85" i="15" a="1"/>
  <c r="L85" i="15" s="1"/>
  <c r="C62" i="15"/>
  <c r="L62" i="15" a="1"/>
  <c r="L62" i="15" s="1"/>
  <c r="N62" i="15" s="1"/>
  <c r="C83" i="15"/>
  <c r="L83" i="15" a="1"/>
  <c r="L83" i="15" s="1"/>
  <c r="C72" i="15"/>
  <c r="L72" i="15" a="1"/>
  <c r="L72" i="15" s="1"/>
  <c r="C76" i="15"/>
  <c r="C67" i="15"/>
  <c r="L67" i="15" a="1"/>
  <c r="L67" i="15" s="1"/>
  <c r="C56" i="15"/>
  <c r="C66" i="15"/>
  <c r="C60" i="15"/>
  <c r="C91" i="15"/>
  <c r="L91" i="15" a="1"/>
  <c r="L91" i="15" s="1"/>
  <c r="M91" i="15" s="1"/>
  <c r="C70" i="15"/>
  <c r="L70" i="15" a="1"/>
  <c r="L70" i="15" s="1"/>
  <c r="C82" i="15"/>
  <c r="L82" i="15" a="1"/>
  <c r="L82" i="15" s="1"/>
  <c r="N82" i="15" s="1"/>
  <c r="C54" i="15"/>
  <c r="C45" i="15"/>
  <c r="L45" i="15" a="1"/>
  <c r="L45" i="15" s="1"/>
  <c r="N45" i="15" s="1"/>
  <c r="C65" i="15"/>
  <c r="L65" i="15" a="1"/>
  <c r="L65" i="15" s="1"/>
  <c r="C84" i="15"/>
  <c r="C61" i="15"/>
  <c r="C48" i="15"/>
  <c r="L48" i="15" a="1"/>
  <c r="L48" i="15" s="1"/>
  <c r="C53" i="15"/>
  <c r="L53" i="15" a="1"/>
  <c r="L53" i="15" s="1"/>
  <c r="C75" i="15"/>
  <c r="L75" i="15" a="1"/>
  <c r="L75" i="15" s="1"/>
  <c r="M75" i="15" s="1"/>
  <c r="C69" i="15"/>
  <c r="L69" i="15" a="1"/>
  <c r="L69" i="15" s="1"/>
  <c r="N69" i="15" s="1"/>
  <c r="C78" i="15"/>
  <c r="L78" i="15" a="1"/>
  <c r="L78" i="15" s="1"/>
  <c r="N78" i="15" s="1"/>
  <c r="C87" i="15"/>
  <c r="L87" i="15" a="1"/>
  <c r="L87" i="15" s="1"/>
  <c r="C81" i="15"/>
  <c r="L81" i="15" a="1"/>
  <c r="L81" i="15" s="1"/>
  <c r="C49" i="15"/>
  <c r="C63" i="15"/>
  <c r="L63" i="15" a="1"/>
  <c r="L63" i="15" s="1"/>
  <c r="C52" i="15"/>
  <c r="C71" i="15"/>
  <c r="C74" i="15"/>
  <c r="L74" i="15" a="1"/>
  <c r="L74" i="15" s="1"/>
  <c r="N74" i="15" s="1"/>
  <c r="C58" i="15"/>
  <c r="C94" i="15"/>
  <c r="L94" i="15" a="1"/>
  <c r="L94" i="15" s="1"/>
  <c r="N94" i="15" s="1"/>
  <c r="C50" i="15"/>
  <c r="C79" i="15"/>
  <c r="L79" i="15" a="1"/>
  <c r="L79" i="15" s="1"/>
  <c r="M79" i="15" s="1"/>
  <c r="C46" i="15"/>
  <c r="C93" i="15"/>
  <c r="L93" i="15" a="1"/>
  <c r="L93" i="15" s="1"/>
  <c r="N93" i="15" s="1"/>
  <c r="C44" i="15"/>
  <c r="C57" i="15"/>
  <c r="L57" i="15" a="1"/>
  <c r="L57" i="15" s="1"/>
  <c r="C51" i="15"/>
  <c r="L51" i="15" a="1"/>
  <c r="L51" i="15" s="1"/>
  <c r="N51" i="15" s="1"/>
  <c r="C95" i="15"/>
  <c r="L95" i="15" a="1"/>
  <c r="L95" i="15" s="1"/>
  <c r="N95" i="15" s="1"/>
  <c r="C47" i="15"/>
  <c r="L47" i="15" a="1"/>
  <c r="L47" i="15" s="1"/>
  <c r="C90" i="15"/>
  <c r="L90" i="15" a="1"/>
  <c r="L90" i="15" s="1"/>
  <c r="N90" i="15" s="1"/>
  <c r="C55" i="15"/>
  <c r="L55" i="15" a="1"/>
  <c r="L55"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L54" i="15" a="1"/>
  <c r="L54" i="15" s="1"/>
  <c r="L84" i="15" a="1"/>
  <c r="L84" i="15" s="1"/>
  <c r="M84" i="15" s="1"/>
  <c r="L71" i="15" a="1"/>
  <c r="L71" i="15" s="1"/>
  <c r="N71" i="15" s="1"/>
  <c r="L58" i="15" a="1"/>
  <c r="L58" i="15" s="1"/>
  <c r="M58" i="15" s="1"/>
  <c r="L50" i="15" a="1"/>
  <c r="L50" i="15" s="1"/>
  <c r="L49" i="15" a="1"/>
  <c r="L49" i="15" s="1"/>
  <c r="M49" i="15" s="1"/>
  <c r="L61" i="15" a="1"/>
  <c r="L61" i="15" s="1"/>
  <c r="M61" i="15" s="1"/>
  <c r="L46" i="15" a="1"/>
  <c r="L46" i="15" s="1"/>
  <c r="N46" i="15" s="1"/>
  <c r="L52" i="15" a="1"/>
  <c r="L52" i="15" s="1"/>
  <c r="L44" i="15" a="1"/>
  <c r="L44" i="15" s="1"/>
  <c r="AI495" i="1"/>
  <c r="AD513" i="1" a="1"/>
  <c r="AD513" i="1" s="1"/>
  <c r="AB518" i="1" s="1"/>
  <c r="AB521" i="1"/>
  <c r="AE511" i="1"/>
  <c r="E157" i="13" s="1"/>
  <c r="AF511" i="1"/>
  <c r="F157" i="13" s="1"/>
  <c r="F158" i="13" s="1"/>
  <c r="AG511" i="1"/>
  <c r="G157" i="13" s="1"/>
  <c r="G158" i="13" s="1"/>
  <c r="AB522" i="1"/>
  <c r="AC513" i="1" a="1"/>
  <c r="AC513" i="1" s="1"/>
  <c r="AB517" i="1" s="1"/>
  <c r="AD511" i="1"/>
  <c r="D157"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J44" i="15"/>
  <c r="F44"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48" i="15"/>
  <c r="F48" i="15" s="1"/>
  <c r="H48" i="15" s="1"/>
  <c r="J86" i="15"/>
  <c r="D86" i="15" s="1"/>
  <c r="J49" i="15"/>
  <c r="J87" i="15"/>
  <c r="D87" i="15" s="1"/>
  <c r="J50" i="15"/>
  <c r="E50" i="15" s="1"/>
  <c r="J51" i="15"/>
  <c r="E51" i="15" s="1"/>
  <c r="G51"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O125" i="14"/>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2" i="35"/>
  <c r="V183" i="35"/>
  <c r="V184" i="35"/>
  <c r="V185" i="35"/>
  <c r="V173" i="35"/>
  <c r="V172" i="35"/>
  <c r="V164" i="35"/>
  <c r="V163" i="35"/>
  <c r="H122" i="35"/>
  <c r="H121" i="35"/>
  <c r="H120" i="35"/>
  <c r="H116" i="35"/>
  <c r="H119" i="35"/>
  <c r="H118" i="35"/>
  <c r="H117" i="35"/>
  <c r="H123" i="35"/>
  <c r="T143" i="35"/>
  <c r="T136" i="35"/>
  <c r="T140" i="35"/>
  <c r="T141" i="35"/>
  <c r="T139" i="35"/>
  <c r="T137" i="35"/>
  <c r="T142" i="35"/>
  <c r="T138" i="35"/>
  <c r="H115" i="35"/>
  <c r="H114" i="35"/>
  <c r="T135" i="35"/>
  <c r="T134" i="35"/>
  <c r="T132" i="35"/>
  <c r="T133" i="35"/>
  <c r="T131"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N44" i="38"/>
  <c r="AO48" i="38"/>
  <c r="AO45" i="38"/>
  <c r="Y445" i="38"/>
  <c r="Z445" i="38"/>
  <c r="Y449" i="38"/>
  <c r="Z449" i="38"/>
  <c r="AN49" i="38"/>
  <c r="AO53" i="38"/>
  <c r="AN52" i="38"/>
  <c r="AO47" i="38"/>
  <c r="AO46" i="38"/>
  <c r="Y447" i="38"/>
  <c r="Z447" i="38"/>
  <c r="Y442" i="38"/>
  <c r="Z442" i="38"/>
  <c r="AO49" i="38"/>
  <c r="Y444" i="38"/>
  <c r="Z444" i="38"/>
  <c r="Y443" i="38"/>
  <c r="Z443" i="38"/>
  <c r="AO52" i="38"/>
  <c r="AN45" i="38"/>
  <c r="AN46" i="38"/>
  <c r="Y448" i="38"/>
  <c r="Z448" i="38"/>
  <c r="AO44" i="38"/>
  <c r="AN51" i="38"/>
  <c r="Y446" i="38"/>
  <c r="Z446" i="38"/>
  <c r="AO51" i="38"/>
  <c r="AN50" i="38"/>
  <c r="Y450" i="38"/>
  <c r="Z450" i="38"/>
  <c r="AO50" i="38"/>
  <c r="AN53" i="38"/>
  <c r="AC38" i="38"/>
  <c r="N440" i="38"/>
  <c r="AC32" i="38"/>
  <c r="N438" i="38"/>
  <c r="AD32" i="38"/>
  <c r="AC36" i="38"/>
  <c r="N439" i="38"/>
  <c r="N441" i="38"/>
  <c r="N433" i="38"/>
  <c r="AD36" i="38"/>
  <c r="AC41" i="38"/>
  <c r="AD39" i="38"/>
  <c r="N434" i="38"/>
  <c r="AC44" i="38"/>
  <c r="AC40" i="38"/>
  <c r="N431" i="38"/>
  <c r="AC35" i="38"/>
  <c r="AC34" i="38"/>
  <c r="AD35" i="38"/>
  <c r="AD37" i="38"/>
  <c r="AC42" i="38"/>
  <c r="AD40" i="38"/>
  <c r="AC31" i="38"/>
  <c r="AD38" i="38"/>
  <c r="N432" i="38"/>
  <c r="AC39" i="38"/>
  <c r="AC37" i="38"/>
  <c r="AC43" i="38"/>
  <c r="AD43" i="38"/>
  <c r="AD31" i="38"/>
  <c r="AD33"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L63" i="38"/>
  <c r="AL67" i="38"/>
  <c r="AL51" i="38"/>
  <c r="AL57" i="38"/>
  <c r="AL45" i="38"/>
  <c r="AL58" i="38"/>
  <c r="AL42" i="38"/>
  <c r="AL70" i="38"/>
  <c r="AL68" i="38"/>
  <c r="AL69" i="38"/>
  <c r="AE42" i="38"/>
  <c r="AP46" i="38"/>
  <c r="AE34" i="38"/>
  <c r="AE33" i="38"/>
  <c r="AP45" i="38"/>
  <c r="AP44" i="38"/>
  <c r="AE36" i="38"/>
  <c r="AE44" i="38"/>
  <c r="AP47" i="38"/>
  <c r="AP51" i="38"/>
  <c r="AP48" i="38"/>
  <c r="AE35" i="38"/>
  <c r="AE32" i="38"/>
  <c r="AE37" i="38"/>
  <c r="AE43" i="38"/>
  <c r="AE31" i="38"/>
  <c r="AP50" i="38"/>
  <c r="AP49" i="38"/>
  <c r="AE41" i="38"/>
  <c r="W240" i="2"/>
  <c r="AV99" i="20" a="1"/>
  <c r="AU76" i="20" a="1"/>
  <c r="AU96" i="20" a="1"/>
  <c r="F240" i="2"/>
  <c r="AU62" i="20" a="1"/>
  <c r="AV94" i="20" a="1"/>
  <c r="AI240" i="2"/>
  <c r="AJ240" i="2"/>
  <c r="AV72" i="20" a="1"/>
  <c r="AV98" i="20" a="1"/>
  <c r="AU80" i="20" a="1"/>
  <c r="AA240" i="2"/>
  <c r="G240" i="2"/>
  <c r="X109" i="14" a="1"/>
  <c r="AV59" i="20" a="1"/>
  <c r="AF240" i="2"/>
  <c r="AU82" i="20" a="1"/>
  <c r="AV67" i="20" a="1"/>
  <c r="AU61" i="20" a="1"/>
  <c r="U240" i="2"/>
  <c r="AU78" i="20" a="1"/>
  <c r="T240" i="2"/>
  <c r="AU75" i="20" a="1"/>
  <c r="AV76" i="20" a="1"/>
  <c r="AU97" i="20" a="1"/>
  <c r="AV73" i="20" a="1"/>
  <c r="AU95" i="20" a="1"/>
  <c r="O240" i="2"/>
  <c r="V240" i="2"/>
  <c r="AU66" i="20" a="1"/>
  <c r="AV64" i="20" a="1"/>
  <c r="S240" i="2"/>
  <c r="AU84" i="20" a="1"/>
  <c r="AV105" i="20" a="1"/>
  <c r="AV70" i="20" a="1"/>
  <c r="AU100" i="20" a="1"/>
  <c r="AU93" i="20" a="1"/>
  <c r="D109" i="14" a="1"/>
  <c r="AV90" i="20" a="1"/>
  <c r="AV65" i="20" a="1"/>
  <c r="AG240" i="2"/>
  <c r="AV104" i="20" a="1"/>
  <c r="AV74" i="20" a="1"/>
  <c r="AH240" i="2"/>
  <c r="AV95" i="20" a="1"/>
  <c r="AU91" i="20" a="1"/>
  <c r="AU63" i="20" a="1"/>
  <c r="K240" i="2"/>
  <c r="AU89" i="20" a="1"/>
  <c r="Y240" i="2"/>
  <c r="AL240" i="2"/>
  <c r="AU105" i="20" a="1"/>
  <c r="AV79" i="20" a="1"/>
  <c r="AU65" i="20" a="1"/>
  <c r="AU71" i="20" a="1"/>
  <c r="M240" i="2"/>
  <c r="AV80" i="20" a="1"/>
  <c r="AV93" i="20" a="1"/>
  <c r="AV102" i="20" a="1"/>
  <c r="E240" i="2"/>
  <c r="AV62" i="20" a="1"/>
  <c r="AU87" i="20" a="1"/>
  <c r="AB240" i="2"/>
  <c r="AD240" i="2"/>
  <c r="I240" i="2"/>
  <c r="Z240" i="2"/>
  <c r="AU25" i="38" a="1"/>
  <c r="AV69" i="20" a="1"/>
  <c r="AU70" i="20" a="1"/>
  <c r="AV87" i="20" a="1"/>
  <c r="AV96" i="20" a="1"/>
  <c r="AV82" i="20" a="1"/>
  <c r="AV92" i="20" a="1"/>
  <c r="H240" i="2"/>
  <c r="AE240" i="2"/>
  <c r="AV71" i="20" a="1"/>
  <c r="Q240" i="2"/>
  <c r="AU86" i="20" a="1"/>
  <c r="AU85" i="20" a="1"/>
  <c r="AV89" i="20" a="1"/>
  <c r="AU60" i="20" a="1"/>
  <c r="AV86" i="20" a="1"/>
  <c r="AU103" i="20" a="1"/>
  <c r="AU101" i="20" a="1"/>
  <c r="R240" i="2"/>
  <c r="C73" i="13" a="1"/>
  <c r="AU74" i="20" a="1"/>
  <c r="AU59" i="20" a="1"/>
  <c r="AV103" i="20" a="1"/>
  <c r="AV81" i="20" a="1"/>
  <c r="AU81" i="20" a="1"/>
  <c r="AM240" i="2"/>
  <c r="AU69" i="20" a="1"/>
  <c r="AU79" i="20" a="1"/>
  <c r="AV100" i="20" a="1"/>
  <c r="AU73" i="20" a="1"/>
  <c r="AV83" i="20" a="1"/>
  <c r="Q62" i="13"/>
  <c r="AU88" i="20" a="1"/>
  <c r="AV61" i="20" a="1"/>
  <c r="AU98" i="20" a="1"/>
  <c r="AK240" i="2"/>
  <c r="AV66" i="20" a="1"/>
  <c r="AV85" i="20" a="1"/>
  <c r="N240" i="2"/>
  <c r="AV97" i="20" a="1"/>
  <c r="AU99" i="20" a="1"/>
  <c r="AU104" i="20" a="1"/>
  <c r="AU92" i="20" a="1"/>
  <c r="AV63" i="20" a="1"/>
  <c r="AU64" i="20" a="1"/>
  <c r="AU83" i="20" a="1"/>
  <c r="AV91" i="20" a="1"/>
  <c r="AV101" i="20" a="1"/>
  <c r="AU102" i="20" a="1"/>
  <c r="AV84" i="20" a="1"/>
  <c r="AV77" i="20" a="1"/>
  <c r="P240" i="2"/>
  <c r="L240" i="2"/>
  <c r="AU77" i="20" a="1"/>
  <c r="AV60" i="20" a="1"/>
  <c r="AV68" i="20" a="1"/>
  <c r="AU67" i="20" a="1"/>
  <c r="AV78" i="20" a="1"/>
  <c r="AV88" i="20" a="1"/>
  <c r="AU90" i="20" a="1"/>
  <c r="AU72" i="20" a="1"/>
  <c r="AU94" i="20" a="1"/>
  <c r="I76" i="13" a="1"/>
  <c r="AC240" i="2"/>
  <c r="AV75" i="20" a="1"/>
  <c r="AU68" i="20" a="1"/>
  <c r="J240" i="2"/>
  <c r="X240" i="2"/>
  <c r="L53" i="3" l="1" a="1"/>
  <c r="L53" i="3" s="1"/>
  <c r="M53" i="3" s="1"/>
  <c r="L54" i="3" a="1"/>
  <c r="L54" i="3" s="1"/>
  <c r="L51" i="3" a="1"/>
  <c r="L51" i="3" s="1"/>
  <c r="L52" i="3" a="1"/>
  <c r="L52" i="3" s="1"/>
  <c r="L49" i="3" a="1"/>
  <c r="L49" i="3" s="1"/>
  <c r="L50" i="3" a="1"/>
  <c r="L50" i="3" s="1"/>
  <c r="L46" i="3" a="1"/>
  <c r="L46" i="3" s="1"/>
  <c r="L24" i="40" s="1"/>
  <c r="L47" i="3" a="1"/>
  <c r="L47" i="3" s="1"/>
  <c r="L43" i="3" a="1"/>
  <c r="L43" i="3" s="1"/>
  <c r="L44" i="3" a="1"/>
  <c r="L44" i="3" s="1"/>
  <c r="L40" i="3" a="1"/>
  <c r="L40" i="3" s="1"/>
  <c r="L41" i="3" a="1"/>
  <c r="L41" i="3" s="1"/>
  <c r="L37" i="3" a="1"/>
  <c r="L37" i="3" s="1"/>
  <c r="L22" i="40" s="1"/>
  <c r="L38" i="3" a="1"/>
  <c r="L38" i="3" s="1"/>
  <c r="L33" i="3" a="1"/>
  <c r="L33" i="3" s="1"/>
  <c r="L34" i="3" a="1"/>
  <c r="L34" i="3" s="1"/>
  <c r="L30" i="3" a="1"/>
  <c r="L30" i="3" s="1"/>
  <c r="L31" i="3" a="1"/>
  <c r="L31" i="3" s="1"/>
  <c r="N31" i="3" s="1"/>
  <c r="L27" i="3" a="1"/>
  <c r="L27" i="3" s="1"/>
  <c r="L27" i="40" s="1"/>
  <c r="L28" i="3" a="1"/>
  <c r="L28" i="3" s="1"/>
  <c r="L24" i="3" a="1"/>
  <c r="L24" i="3" s="1"/>
  <c r="L25" i="3" a="1"/>
  <c r="L25" i="3" s="1"/>
  <c r="M25" i="3" s="1"/>
  <c r="L21" i="3" a="1"/>
  <c r="L21" i="3" s="1"/>
  <c r="L22" i="3" a="1"/>
  <c r="L22" i="3" s="1"/>
  <c r="L10" i="40" s="1"/>
  <c r="L15" i="40" s="1"/>
  <c r="L18" i="3" a="1"/>
  <c r="L18" i="3" s="1"/>
  <c r="M18" i="3" s="1"/>
  <c r="L19" i="3" a="1"/>
  <c r="L19" i="3" s="1"/>
  <c r="L15" i="3" a="1"/>
  <c r="L15" i="3" s="1"/>
  <c r="L16" i="3" a="1"/>
  <c r="L16" i="3" s="1"/>
  <c r="L12" i="3" a="1"/>
  <c r="L12" i="3" s="1"/>
  <c r="L13" i="3" a="1"/>
  <c r="L13" i="3" s="1"/>
  <c r="L9" i="3" a="1"/>
  <c r="L9" i="3" s="1"/>
  <c r="L10" i="3" a="1"/>
  <c r="L10" i="3" s="1"/>
  <c r="O101" i="14"/>
  <c r="D38" i="14"/>
  <c r="G22" i="20" a="1"/>
  <c r="G22" i="20" s="1"/>
  <c r="G12" i="20" a="1"/>
  <c r="G12" i="20" s="1"/>
  <c r="K117" i="38"/>
  <c r="V112" i="38" s="1"/>
  <c r="I302" i="38" a="1"/>
  <c r="I302" i="38" s="1"/>
  <c r="K118" i="38"/>
  <c r="V131" i="38" s="1"/>
  <c r="K119" i="38"/>
  <c r="V132" i="38" s="1"/>
  <c r="K125" i="38"/>
  <c r="AD130" i="38" s="1"/>
  <c r="K120" i="38"/>
  <c r="Z132" i="38" s="1"/>
  <c r="E98" i="38"/>
  <c r="O101" i="38" s="1"/>
  <c r="I314" i="38" a="1"/>
  <c r="I314" i="38" s="1"/>
  <c r="K123" i="38"/>
  <c r="Z110" i="38" s="1"/>
  <c r="K127" i="38"/>
  <c r="AD148" i="38" s="1"/>
  <c r="K128" i="38"/>
  <c r="K121" i="38"/>
  <c r="I278" i="38" a="1"/>
  <c r="I278" i="38" s="1"/>
  <c r="K116" i="38"/>
  <c r="V118" i="38" s="1"/>
  <c r="K126" i="38"/>
  <c r="AD114" i="38" s="1"/>
  <c r="K124" i="38"/>
  <c r="Z120" i="38" s="1"/>
  <c r="O108" i="38"/>
  <c r="D167" i="13" a="1"/>
  <c r="D167" i="13" s="1"/>
  <c r="AI459" i="1"/>
  <c r="AH459" i="1" s="1" a="1"/>
  <c r="AH459" i="1" s="1"/>
  <c r="AI464" i="1"/>
  <c r="AH464" i="1" s="1" a="1"/>
  <c r="AH464" i="1" s="1"/>
  <c r="AI454" i="1"/>
  <c r="AH454" i="1" s="1" a="1"/>
  <c r="AH454" i="1" s="1"/>
  <c r="D158" i="13"/>
  <c r="E158" i="13"/>
  <c r="E115" i="15"/>
  <c r="G115" i="15" s="1"/>
  <c r="D157" i="15"/>
  <c r="F189" i="15"/>
  <c r="H189" i="15" s="1"/>
  <c r="F179" i="15"/>
  <c r="H179" i="15" s="1"/>
  <c r="D147" i="15"/>
  <c r="F138" i="15"/>
  <c r="H138" i="15" s="1"/>
  <c r="J14" i="40"/>
  <c r="D179" i="15"/>
  <c r="F147" i="15"/>
  <c r="H147" i="15" s="1"/>
  <c r="F115" i="15"/>
  <c r="H115" i="15" s="1"/>
  <c r="C118" i="40"/>
  <c r="R196" i="38"/>
  <c r="V18" i="14"/>
  <c r="Y18" i="14"/>
  <c r="D7" i="38"/>
  <c r="Y4" i="38" s="1"/>
  <c r="L213" i="35"/>
  <c r="R193" i="38"/>
  <c r="C112" i="38"/>
  <c r="B38" i="14"/>
  <c r="AE3" i="40"/>
  <c r="L188" i="35"/>
  <c r="L174" i="35"/>
  <c r="L199" i="35"/>
  <c r="C10" i="9"/>
  <c r="T4" i="35"/>
  <c r="R187" i="38"/>
  <c r="C39" i="14"/>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E152" i="15"/>
  <c r="G152" i="15" s="1"/>
  <c r="E243" i="2"/>
  <c r="D20" i="1" s="1"/>
  <c r="G218" i="2"/>
  <c r="D160" i="15"/>
  <c r="F131" i="15"/>
  <c r="H131" i="15" s="1"/>
  <c r="F152" i="15"/>
  <c r="H152" i="15" s="1"/>
  <c r="D184" i="15"/>
  <c r="M106" i="3"/>
  <c r="N106" i="3"/>
  <c r="M128" i="3"/>
  <c r="N128" i="3"/>
  <c r="N4" i="38"/>
  <c r="N119" i="3"/>
  <c r="M119" i="3"/>
  <c r="N148" i="3"/>
  <c r="M148" i="3"/>
  <c r="F144" i="15"/>
  <c r="H144" i="15" s="1"/>
  <c r="J203" i="2"/>
  <c r="G167" i="2"/>
  <c r="G168" i="2"/>
  <c r="J199" i="2"/>
  <c r="J167" i="2"/>
  <c r="E144" i="15"/>
  <c r="G144" i="15" s="1"/>
  <c r="N18" i="3"/>
  <c r="I189" i="2"/>
  <c r="AD113" i="38"/>
  <c r="AD115"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07" i="38"/>
  <c r="AY24" i="40"/>
  <c r="AD123" i="38"/>
  <c r="AD107"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8" i="38"/>
  <c r="V125" i="38"/>
  <c r="Z138"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Q71" i="20" s="1" a="1"/>
  <c r="AQ71" i="20" s="1"/>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Q70" i="20" s="1" a="1"/>
  <c r="AQ70" i="20" s="1"/>
  <c r="AH70" i="20"/>
  <c r="AI70" i="20"/>
  <c r="AJ70" i="20"/>
  <c r="AL70" i="20"/>
  <c r="AM70" i="20" a="1"/>
  <c r="AM70" i="20" s="1"/>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M71" i="20" a="1"/>
  <c r="AM71" i="20" s="1"/>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M10" i="3"/>
  <c r="N10"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N39" i="3"/>
  <c r="F133" i="15"/>
  <c r="H133" i="15" s="1"/>
  <c r="BC114" i="40"/>
  <c r="BH113" i="40"/>
  <c r="D165" i="15"/>
  <c r="BH49" i="40"/>
  <c r="M51" i="3"/>
  <c r="N51" i="3"/>
  <c r="M88" i="3"/>
  <c r="N88" i="3"/>
  <c r="M109" i="3"/>
  <c r="N109" i="3"/>
  <c r="M189" i="3"/>
  <c r="N189" i="3"/>
  <c r="M104" i="3"/>
  <c r="N104" i="3"/>
  <c r="M187" i="3"/>
  <c r="N187" i="3"/>
  <c r="N9" i="3"/>
  <c r="M9"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N164" i="3"/>
  <c r="M164" i="3"/>
  <c r="N43" i="3"/>
  <c r="N97" i="3"/>
  <c r="BC69" i="40"/>
  <c r="BA69" i="40" s="1"/>
  <c r="M29" i="3"/>
  <c r="M26" i="3"/>
  <c r="BH83" i="40"/>
  <c r="E118" i="15"/>
  <c r="G118" i="15" s="1"/>
  <c r="M64" i="3"/>
  <c r="M112" i="15"/>
  <c r="BH31" i="40"/>
  <c r="BC63" i="40"/>
  <c r="BA63" i="40" s="1"/>
  <c r="N25" i="3"/>
  <c r="D187" i="15"/>
  <c r="BH69" i="40"/>
  <c r="F84" i="15"/>
  <c r="H84" i="15" s="1"/>
  <c r="D148" i="15"/>
  <c r="F187" i="15"/>
  <c r="H187" i="15" s="1"/>
  <c r="D126" i="15"/>
  <c r="M31" i="3"/>
  <c r="E180" i="15"/>
  <c r="G180" i="15" s="1"/>
  <c r="D189" i="15"/>
  <c r="D156" i="15"/>
  <c r="D182" i="15"/>
  <c r="BH58" i="40"/>
  <c r="E124" i="15"/>
  <c r="G124" i="15" s="1"/>
  <c r="BH106" i="40"/>
  <c r="N49" i="15"/>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21" i="3"/>
  <c r="N21" i="3"/>
  <c r="BE39" i="40" s="1"/>
  <c r="BE98" i="40" s="1"/>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BH39" i="40"/>
  <c r="N89" i="3"/>
  <c r="BH62" i="40"/>
  <c r="S135" i="38"/>
  <c r="AD137" i="38"/>
  <c r="BC39" i="40"/>
  <c r="G212" i="2"/>
  <c r="AD103" i="38"/>
  <c r="I123" i="15" a="1"/>
  <c r="I123" i="15" s="1"/>
  <c r="I172" i="15" a="1"/>
  <c r="I172" i="15" s="1"/>
  <c r="D55" i="15"/>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I141" i="15" a="1"/>
  <c r="I141" i="15" s="1"/>
  <c r="D50" i="15"/>
  <c r="K153" i="15" a="1"/>
  <c r="K153" i="15" s="1"/>
  <c r="D51" i="15"/>
  <c r="F52" i="15"/>
  <c r="H52" i="15" s="1"/>
  <c r="M160" i="15"/>
  <c r="N160" i="15"/>
  <c r="N155" i="15"/>
  <c r="M155" i="15"/>
  <c r="N111" i="15"/>
  <c r="M111" i="15"/>
  <c r="G194" i="15"/>
  <c r="M109" i="15"/>
  <c r="M100" i="15"/>
  <c r="E106" i="15"/>
  <c r="G106" i="15" s="1"/>
  <c r="F65" i="15"/>
  <c r="H65" i="15" s="1"/>
  <c r="M51" i="15"/>
  <c r="I153" i="15" a="1"/>
  <c r="I153" i="15" s="1"/>
  <c r="I168" i="15" a="1"/>
  <c r="I168" i="15" s="1"/>
  <c r="I115" i="15" a="1"/>
  <c r="I115" i="15" s="1"/>
  <c r="F85" i="15"/>
  <c r="H85" i="15" s="1"/>
  <c r="D165" i="13" a="1"/>
  <c r="D165" i="13" s="1"/>
  <c r="F61" i="15"/>
  <c r="H61" i="15" s="1"/>
  <c r="E61" i="15"/>
  <c r="G61" i="15" s="1"/>
  <c r="N75" i="15"/>
  <c r="E101" i="15"/>
  <c r="F83" i="15"/>
  <c r="H83" i="15" s="1"/>
  <c r="F101" i="15"/>
  <c r="H101" i="15" s="1"/>
  <c r="E60" i="15"/>
  <c r="G60" i="15" s="1"/>
  <c r="D83" i="15"/>
  <c r="F60" i="15"/>
  <c r="H60" i="15" s="1"/>
  <c r="M71" i="15"/>
  <c r="M110" i="15"/>
  <c r="I190" i="15" a="1"/>
  <c r="I190" i="15" s="1"/>
  <c r="N118" i="15"/>
  <c r="M118" i="15"/>
  <c r="N72" i="15"/>
  <c r="M72" i="15"/>
  <c r="M142" i="15"/>
  <c r="N142" i="15"/>
  <c r="H169" i="15"/>
  <c r="M81" i="15"/>
  <c r="N81" i="15"/>
  <c r="M135" i="15"/>
  <c r="N135" i="15"/>
  <c r="M163" i="15"/>
  <c r="N163" i="15"/>
  <c r="M191" i="15"/>
  <c r="N191" i="15"/>
  <c r="M131" i="15"/>
  <c r="N131" i="15"/>
  <c r="H129" i="15"/>
  <c r="N101" i="15"/>
  <c r="M101" i="15"/>
  <c r="M157" i="15"/>
  <c r="N157" i="15"/>
  <c r="F50" i="15"/>
  <c r="H50" i="15" s="1"/>
  <c r="K50" i="15" s="1" a="1"/>
  <c r="K50" i="15" s="1"/>
  <c r="F51" i="15"/>
  <c r="H51" i="15" s="1"/>
  <c r="N61" i="15"/>
  <c r="D109" i="15"/>
  <c r="BU19" i="40"/>
  <c r="F150" i="15"/>
  <c r="H150" i="15" s="1"/>
  <c r="K140" i="15" a="1"/>
  <c r="K140" i="15" s="1"/>
  <c r="M78" i="15"/>
  <c r="K132" i="15" a="1"/>
  <c r="K132" i="15" s="1"/>
  <c r="M66" i="15"/>
  <c r="E120" i="15"/>
  <c r="G120" i="15" s="1"/>
  <c r="K164" i="15" a="1"/>
  <c r="K164" i="15" s="1"/>
  <c r="D91" i="15"/>
  <c r="D59" i="15"/>
  <c r="E55" i="15"/>
  <c r="I55" i="15" s="1" a="1"/>
  <c r="I55" i="15" s="1"/>
  <c r="F192" i="15"/>
  <c r="H192" i="15" s="1"/>
  <c r="K141" i="15" a="1"/>
  <c r="K141" i="15" s="1"/>
  <c r="F64" i="15"/>
  <c r="H64" i="15" s="1"/>
  <c r="M99" i="15"/>
  <c r="F59" i="15"/>
  <c r="H59" i="15" s="1"/>
  <c r="I189" i="15" a="1"/>
  <c r="I189" i="15" s="1"/>
  <c r="D192" i="15"/>
  <c r="D117" i="15"/>
  <c r="F166" i="15"/>
  <c r="H166" i="15" s="1"/>
  <c r="I164" i="15" a="1"/>
  <c r="I164" i="15" s="1"/>
  <c r="E99" i="15"/>
  <c r="G99" i="15" s="1"/>
  <c r="M46" i="15"/>
  <c r="N91" i="15"/>
  <c r="I119" i="15" a="1"/>
  <c r="I119" i="15" s="1"/>
  <c r="F122" i="15"/>
  <c r="H122" i="15" s="1"/>
  <c r="F68" i="15"/>
  <c r="H68" i="15" s="1"/>
  <c r="K189" i="15" a="1"/>
  <c r="K189" i="15" s="1"/>
  <c r="G116" i="15"/>
  <c r="I170" i="15" a="1"/>
  <c r="I170" i="15" s="1"/>
  <c r="E90" i="15"/>
  <c r="G137" i="15"/>
  <c r="F171" i="15"/>
  <c r="I171" i="15" s="1" a="1"/>
  <c r="I171" i="15" s="1"/>
  <c r="D54" i="15"/>
  <c r="I151" i="1"/>
  <c r="J20" i="40" s="1"/>
  <c r="Q20" i="40" s="1"/>
  <c r="D64" i="15"/>
  <c r="D103" i="15"/>
  <c r="I149" i="15" a="1"/>
  <c r="I149" i="15" s="1"/>
  <c r="I150" i="1"/>
  <c r="J19" i="40" s="1"/>
  <c r="F45" i="15"/>
  <c r="H45" i="15" s="1"/>
  <c r="N86" i="15"/>
  <c r="D176" i="15"/>
  <c r="D138" i="15"/>
  <c r="D80"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I113" i="15" a="1"/>
  <c r="I113" i="15" s="1"/>
  <c r="N87" i="15"/>
  <c r="M87" i="15"/>
  <c r="M136" i="15"/>
  <c r="N136" i="15"/>
  <c r="M68" i="15"/>
  <c r="N68" i="15"/>
  <c r="G193" i="15"/>
  <c r="N190" i="15"/>
  <c r="M190" i="15"/>
  <c r="G138" i="15"/>
  <c r="K138" i="15" a="1"/>
  <c r="K138" i="15" s="1"/>
  <c r="I138" i="15" a="1"/>
  <c r="I138" i="15" s="1"/>
  <c r="G94" i="15"/>
  <c r="M59" i="15"/>
  <c r="N59" i="15"/>
  <c r="N73" i="15"/>
  <c r="M73" i="15"/>
  <c r="N47" i="15"/>
  <c r="M47"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K131" i="15" a="1"/>
  <c r="K131" i="15" s="1"/>
  <c r="I131" i="15" a="1"/>
  <c r="I131" i="15" s="1"/>
  <c r="M57" i="15"/>
  <c r="N57" i="15"/>
  <c r="N194" i="15"/>
  <c r="M194" i="15"/>
  <c r="M153" i="15"/>
  <c r="N153" i="15"/>
  <c r="M63" i="15"/>
  <c r="N63" i="15"/>
  <c r="M178" i="15"/>
  <c r="N178" i="15"/>
  <c r="N151" i="15"/>
  <c r="M151" i="15"/>
  <c r="I127" i="15" a="1"/>
  <c r="I127" i="15" s="1"/>
  <c r="G127" i="15"/>
  <c r="M195" i="15"/>
  <c r="N195" i="15"/>
  <c r="M177" i="15"/>
  <c r="N177" i="15"/>
  <c r="M150" i="15"/>
  <c r="N150" i="15"/>
  <c r="I126" i="15" a="1"/>
  <c r="I126" i="15" s="1"/>
  <c r="G126" i="15"/>
  <c r="N96" i="15"/>
  <c r="M96" i="15"/>
  <c r="M83" i="15"/>
  <c r="N83" i="15"/>
  <c r="G178" i="15"/>
  <c r="I178" i="15" a="1"/>
  <c r="I178" i="15" s="1"/>
  <c r="H125" i="15"/>
  <c r="M113" i="15"/>
  <c r="N113" i="15"/>
  <c r="N65" i="15"/>
  <c r="M65" i="15"/>
  <c r="M148" i="15"/>
  <c r="N148" i="15"/>
  <c r="N174" i="15"/>
  <c r="M174" i="15"/>
  <c r="M44" i="15"/>
  <c r="N44" i="15"/>
  <c r="G176" i="15"/>
  <c r="N52" i="15"/>
  <c r="M52" i="15"/>
  <c r="G121" i="15"/>
  <c r="M104" i="15"/>
  <c r="E20" i="40"/>
  <c r="B20" i="40" s="1" a="1"/>
  <c r="B20" i="40" s="1"/>
  <c r="D92" i="15"/>
  <c r="E72" i="15"/>
  <c r="K72" i="15" s="1" a="1"/>
  <c r="K72" i="15" s="1"/>
  <c r="N79" i="15"/>
  <c r="I151" i="15" a="1"/>
  <c r="I151" i="15" s="1"/>
  <c r="I140" i="15" a="1"/>
  <c r="I140" i="15" s="1"/>
  <c r="D163" i="15"/>
  <c r="E88" i="15"/>
  <c r="K88" i="15" s="1" a="1"/>
  <c r="K88" i="15" s="1"/>
  <c r="D56" i="15"/>
  <c r="D72" i="15"/>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K126" i="15" a="1"/>
  <c r="K126"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M45" i="15"/>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D48" i="15"/>
  <c r="F73" i="15"/>
  <c r="H73" i="15" s="1"/>
  <c r="K73" i="15" s="1" a="1"/>
  <c r="K73" i="15" s="1"/>
  <c r="BL18" i="40" a="1"/>
  <c r="BL18" i="40" s="1"/>
  <c r="K127" i="15" a="1"/>
  <c r="K127" i="15" s="1"/>
  <c r="M94" i="15"/>
  <c r="E112" i="15"/>
  <c r="K112" i="15" s="1" a="1"/>
  <c r="K112" i="15" s="1"/>
  <c r="D73" i="15"/>
  <c r="F62" i="15"/>
  <c r="H62" i="15" s="1"/>
  <c r="M95" i="15"/>
  <c r="D57" i="15"/>
  <c r="D89" i="15"/>
  <c r="E48" i="15"/>
  <c r="I48" i="15" s="1" a="1"/>
  <c r="I48" i="15" s="1"/>
  <c r="F183" i="15"/>
  <c r="I183" i="15" s="1" a="1"/>
  <c r="I183" i="15" s="1"/>
  <c r="D183" i="15"/>
  <c r="E128" i="15"/>
  <c r="K128" i="15" s="1" a="1"/>
  <c r="K128" i="15" s="1"/>
  <c r="F181" i="15"/>
  <c r="H181" i="15" s="1"/>
  <c r="E100" i="15"/>
  <c r="G100" i="15" s="1"/>
  <c r="D62" i="15"/>
  <c r="F57" i="15"/>
  <c r="H57" i="15" s="1"/>
  <c r="K57" i="15" s="1" a="1"/>
  <c r="K57" i="15" s="1"/>
  <c r="G50" i="15"/>
  <c r="E44" i="15"/>
  <c r="G44" i="15" s="1"/>
  <c r="M193" i="15"/>
  <c r="E161" i="15"/>
  <c r="G161" i="15" s="1"/>
  <c r="F186" i="15"/>
  <c r="H186" i="15" s="1"/>
  <c r="I159" i="1"/>
  <c r="J28" i="40" s="1"/>
  <c r="D44" i="15"/>
  <c r="K172" i="15" a="1"/>
  <c r="K172" i="15" s="1"/>
  <c r="I158" i="1"/>
  <c r="J27" i="40" s="1"/>
  <c r="F100" i="15"/>
  <c r="H100" i="15" s="1"/>
  <c r="M62" i="15"/>
  <c r="E85" i="15"/>
  <c r="G85" i="15" s="1"/>
  <c r="E76" i="15"/>
  <c r="K115" i="15" a="1"/>
  <c r="K115" i="15" s="1"/>
  <c r="I157" i="1"/>
  <c r="J26" i="40" s="1"/>
  <c r="D76" i="15"/>
  <c r="N56" i="15"/>
  <c r="K168" i="15" a="1"/>
  <c r="K168" i="15" s="1"/>
  <c r="I155" i="1"/>
  <c r="J24" i="40" s="1"/>
  <c r="I153" i="1"/>
  <c r="J22" i="40" s="1"/>
  <c r="F92" i="15"/>
  <c r="I92" i="15" s="1" a="1"/>
  <c r="I92" i="15" s="1"/>
  <c r="I152" i="1"/>
  <c r="J21" i="40" s="1"/>
  <c r="G104" i="15"/>
  <c r="G105" i="15"/>
  <c r="H44" i="15"/>
  <c r="G47" i="15"/>
  <c r="N54" i="15"/>
  <c r="M54" i="15"/>
  <c r="N70" i="15"/>
  <c r="M70" i="15"/>
  <c r="G78" i="15"/>
  <c r="G46" i="15"/>
  <c r="G58" i="15"/>
  <c r="E81" i="15"/>
  <c r="F81" i="15"/>
  <c r="H81" i="15" s="1"/>
  <c r="F103" i="15"/>
  <c r="H103" i="15" s="1"/>
  <c r="D99" i="15"/>
  <c r="N108" i="15"/>
  <c r="F110" i="15"/>
  <c r="H110" i="15" s="1"/>
  <c r="G66" i="15"/>
  <c r="D110" i="15"/>
  <c r="E96" i="15"/>
  <c r="F96" i="15"/>
  <c r="H96" i="15" s="1"/>
  <c r="G91" i="15"/>
  <c r="N58" i="15"/>
  <c r="D49" i="15"/>
  <c r="F49" i="15"/>
  <c r="H49" i="15" s="1"/>
  <c r="D46" i="15"/>
  <c r="D95" i="15"/>
  <c r="E95" i="15"/>
  <c r="E87" i="15"/>
  <c r="F46" i="15"/>
  <c r="H46" i="15" s="1"/>
  <c r="E53" i="15"/>
  <c r="D53" i="15"/>
  <c r="F87" i="15"/>
  <c r="H87" i="15" s="1"/>
  <c r="E93" i="15"/>
  <c r="D93" i="15"/>
  <c r="F93" i="15"/>
  <c r="H93" i="15" s="1"/>
  <c r="F70" i="15"/>
  <c r="H70" i="15" s="1"/>
  <c r="D70" i="15"/>
  <c r="E67" i="15"/>
  <c r="F67" i="15"/>
  <c r="H67" i="15" s="1"/>
  <c r="D67" i="15"/>
  <c r="N85" i="15"/>
  <c r="M85" i="15"/>
  <c r="D75" i="15"/>
  <c r="F75" i="15"/>
  <c r="H75" i="15" s="1"/>
  <c r="D58" i="15"/>
  <c r="M76" i="15"/>
  <c r="N76" i="15"/>
  <c r="F105" i="15"/>
  <c r="H105" i="15" s="1"/>
  <c r="D81" i="15"/>
  <c r="F63" i="15"/>
  <c r="H63" i="15" s="1"/>
  <c r="F58" i="15"/>
  <c r="H58" i="15" s="1"/>
  <c r="E49" i="15"/>
  <c r="F82" i="15"/>
  <c r="H82" i="15" s="1"/>
  <c r="F108" i="15"/>
  <c r="H108" i="15" s="1"/>
  <c r="D104" i="15"/>
  <c r="F102" i="15"/>
  <c r="H102" i="15" s="1"/>
  <c r="D63" i="15"/>
  <c r="F97" i="15"/>
  <c r="H97" i="15" s="1"/>
  <c r="E82" i="15"/>
  <c r="N89" i="15"/>
  <c r="M89" i="15"/>
  <c r="E108" i="15"/>
  <c r="E102" i="15"/>
  <c r="D97" i="15"/>
  <c r="G83" i="15"/>
  <c r="N88" i="15"/>
  <c r="F104" i="15"/>
  <c r="H104" i="15" s="1"/>
  <c r="M102" i="15"/>
  <c r="F47" i="15"/>
  <c r="H47" i="15" s="1"/>
  <c r="N67" i="15"/>
  <c r="M67" i="15"/>
  <c r="G63" i="15"/>
  <c r="G62" i="15"/>
  <c r="E54" i="15"/>
  <c r="D47" i="15"/>
  <c r="M69" i="15"/>
  <c r="F78" i="15"/>
  <c r="H78" i="15" s="1"/>
  <c r="E69" i="15"/>
  <c r="F111" i="15"/>
  <c r="H111" i="15" s="1"/>
  <c r="G57" i="15"/>
  <c r="D69" i="15"/>
  <c r="E111" i="15"/>
  <c r="G97" i="15"/>
  <c r="N48" i="15"/>
  <c r="M48" i="15"/>
  <c r="G59" i="15"/>
  <c r="M50" i="15"/>
  <c r="N50" i="15"/>
  <c r="M103" i="15"/>
  <c r="N103" i="15"/>
  <c r="G110" i="15"/>
  <c r="M107" i="15"/>
  <c r="D79" i="15"/>
  <c r="D74" i="15"/>
  <c r="E107" i="15"/>
  <c r="F86" i="15"/>
  <c r="H86" i="15" s="1"/>
  <c r="E79" i="15"/>
  <c r="G75" i="15"/>
  <c r="F107" i="15"/>
  <c r="H107" i="15" s="1"/>
  <c r="M98" i="15"/>
  <c r="E86" i="15"/>
  <c r="E45"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I124" i="15" a="1"/>
  <c r="I124" i="15" s="1"/>
  <c r="H124" i="15"/>
  <c r="K124" i="15" s="1" a="1"/>
  <c r="K124" i="15" s="1"/>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K130" i="15" a="1"/>
  <c r="K130" i="15" s="1"/>
  <c r="I130" i="15" a="1"/>
  <c r="I130" i="15" s="1"/>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G142" i="15"/>
  <c r="H170" i="15"/>
  <c r="K170" i="15" s="1" a="1"/>
  <c r="K170" i="15" s="1"/>
  <c r="I101" i="1"/>
  <c r="I66" i="1"/>
  <c r="I189" i="1"/>
  <c r="I100" i="1"/>
  <c r="I65" i="1"/>
  <c r="F196" i="15"/>
  <c r="H196" i="15" s="1"/>
  <c r="G172" i="15"/>
  <c r="G164" i="15"/>
  <c r="I138" i="1"/>
  <c r="J12" i="40" s="1"/>
  <c r="I93" i="1"/>
  <c r="I58" i="1"/>
  <c r="I137" i="1"/>
  <c r="I92" i="1"/>
  <c r="I57" i="1"/>
  <c r="G190" i="15"/>
  <c r="G184" i="15"/>
  <c r="I174" i="1"/>
  <c r="J38" i="40" s="1"/>
  <c r="I89" i="1"/>
  <c r="I173" i="1"/>
  <c r="J37" i="40" s="1"/>
  <c r="I88" i="1"/>
  <c r="I172" i="1"/>
  <c r="I87" i="1"/>
  <c r="I123" i="1"/>
  <c r="I86" i="1"/>
  <c r="I122" i="1"/>
  <c r="I85" i="1"/>
  <c r="I121" i="1"/>
  <c r="I84" i="1"/>
  <c r="F276" i="2"/>
  <c r="M187" i="15"/>
  <c r="I120" i="1"/>
  <c r="I83" i="1"/>
  <c r="I119" i="1"/>
  <c r="K114" i="15" a="1"/>
  <c r="K114" i="15" s="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14" i="20" a="1"/>
  <c r="AK110" i="20" a="1"/>
  <c r="AK136" i="20" a="1"/>
  <c r="AK90" i="20" a="1"/>
  <c r="AK77" i="20" a="1"/>
  <c r="AK107" i="20" a="1"/>
  <c r="AK98" i="20" a="1"/>
  <c r="AK84" i="20" a="1"/>
  <c r="AK112" i="20" a="1"/>
  <c r="AK88" i="20" a="1"/>
  <c r="AK101" i="20" a="1"/>
  <c r="AK120" i="20" a="1"/>
  <c r="AK81" i="20" a="1"/>
  <c r="AK138" i="20" a="1"/>
  <c r="AK105" i="20" a="1"/>
  <c r="AK80" i="20" a="1"/>
  <c r="AK75" i="20" a="1"/>
  <c r="AK135" i="20" a="1"/>
  <c r="AK113" i="20" a="1"/>
  <c r="AK102" i="20" a="1"/>
  <c r="AK72" i="20" a="1"/>
  <c r="AK122" i="20" a="1"/>
  <c r="AK89" i="20" a="1"/>
  <c r="AK127" i="20" a="1"/>
  <c r="AK137" i="20" a="1"/>
  <c r="AK108" i="20" a="1"/>
  <c r="AK123" i="20" a="1"/>
  <c r="AK130" i="20" a="1"/>
  <c r="AK73" i="20" a="1"/>
  <c r="AK117" i="20" a="1"/>
  <c r="AK132" i="20" a="1"/>
  <c r="AK70" i="20" a="1"/>
  <c r="AK126" i="20" a="1"/>
  <c r="AK139" i="20" a="1"/>
  <c r="AK134" i="20" a="1"/>
  <c r="AK121" i="20" a="1"/>
  <c r="AK79" i="20" a="1"/>
  <c r="AK125" i="20" a="1"/>
  <c r="AK95" i="20" a="1"/>
  <c r="AK99" i="20" a="1"/>
  <c r="AK109" i="20" a="1"/>
  <c r="AK104" i="20" a="1"/>
  <c r="AK124" i="20" a="1"/>
  <c r="AK94" i="20" a="1"/>
  <c r="AK97" i="20" a="1"/>
  <c r="AK119" i="20" a="1"/>
  <c r="AK116" i="20" a="1"/>
  <c r="AK133" i="20" a="1"/>
  <c r="AK91" i="20" a="1"/>
  <c r="C134" i="14" a="1"/>
  <c r="AK78" i="20" a="1"/>
  <c r="AK86" i="20" a="1"/>
  <c r="AK103" i="20" a="1"/>
  <c r="W109" i="14" a="1"/>
  <c r="AK129" i="20" a="1"/>
  <c r="AK100" i="20" a="1"/>
  <c r="AK74" i="20" a="1"/>
  <c r="AK115" i="20" a="1"/>
  <c r="AK82" i="20" a="1"/>
  <c r="AK106" i="20" a="1"/>
  <c r="AK71" i="20" a="1"/>
  <c r="AK118" i="20" a="1"/>
  <c r="AK93" i="20" a="1"/>
  <c r="AK96" i="20" a="1"/>
  <c r="AK111" i="20" a="1"/>
  <c r="AK83" i="20" a="1"/>
  <c r="AK76" i="20" a="1"/>
  <c r="C109" i="14" a="1"/>
  <c r="AK128" i="20" a="1"/>
  <c r="AK85" i="20" a="1"/>
  <c r="AK92" i="20" a="1"/>
  <c r="AK87" i="20" a="1"/>
  <c r="AK131" i="20" a="1"/>
  <c r="BE82" i="40" l="1"/>
  <c r="BE30" i="40"/>
  <c r="M43" i="3"/>
  <c r="L19" i="40"/>
  <c r="L32" i="40" s="1"/>
  <c r="BE41" i="40"/>
  <c r="BC41" i="40" s="1"/>
  <c r="BE59" i="40"/>
  <c r="BC59" i="40" s="1"/>
  <c r="BE107" i="40"/>
  <c r="BH59" i="40"/>
  <c r="BC98" i="40"/>
  <c r="BH98" i="40"/>
  <c r="BE100" i="40"/>
  <c r="BH41" i="40"/>
  <c r="BE84" i="40"/>
  <c r="BE32" i="40"/>
  <c r="O120" i="38"/>
  <c r="O114" i="38"/>
  <c r="AG123" i="38" s="1"/>
  <c r="O110" i="38"/>
  <c r="V111" i="38"/>
  <c r="AD122" i="38"/>
  <c r="AD121" i="38"/>
  <c r="V126" i="38"/>
  <c r="AD106" i="38"/>
  <c r="Z112" i="38"/>
  <c r="Q51" i="40"/>
  <c r="AD139" i="38"/>
  <c r="O119" i="38"/>
  <c r="O109" i="38"/>
  <c r="O124" i="38"/>
  <c r="O112" i="38"/>
  <c r="S124" i="38" s="1"/>
  <c r="O118" i="38"/>
  <c r="O123" i="38"/>
  <c r="O104" i="38"/>
  <c r="BR72" i="40"/>
  <c r="BR85" i="40" s="1"/>
  <c r="N54" i="40"/>
  <c r="D9" i="38"/>
  <c r="D10" i="38"/>
  <c r="D11" i="38"/>
  <c r="F263" i="2"/>
  <c r="E814" i="2"/>
  <c r="E840" i="2"/>
  <c r="E826" i="2"/>
  <c r="F258" i="2"/>
  <c r="F247" i="2"/>
  <c r="E841" i="2"/>
  <c r="S137" i="38"/>
  <c r="K143" i="15" a="1"/>
  <c r="K143" i="15" s="1"/>
  <c r="I174" i="15" a="1"/>
  <c r="I174" i="15" s="1"/>
  <c r="I143" i="15" a="1"/>
  <c r="I143" i="15" s="1"/>
  <c r="K174" i="15" a="1"/>
  <c r="K174" i="15" s="1"/>
  <c r="K178" i="15" a="1"/>
  <c r="K178" i="15" s="1"/>
  <c r="K194" i="15" a="1"/>
  <c r="K194" i="15" s="1"/>
  <c r="I159" i="15" a="1"/>
  <c r="I159" i="15" s="1"/>
  <c r="K159" i="15" a="1"/>
  <c r="K159" i="15" s="1"/>
  <c r="K113" i="15" a="1"/>
  <c r="K113" i="15" s="1"/>
  <c r="I118" i="15" a="1"/>
  <c r="I118" i="15" s="1"/>
  <c r="I194" i="15" a="1"/>
  <c r="I194" i="15" s="1"/>
  <c r="E838" i="2"/>
  <c r="E830" i="2"/>
  <c r="I162" i="15" a="1"/>
  <c r="I162" i="15" s="1"/>
  <c r="I114" i="15" a="1"/>
  <c r="I114" i="15" s="1"/>
  <c r="I145" i="15" a="1"/>
  <c r="I145" i="15" s="1"/>
  <c r="E834" i="2"/>
  <c r="K145" i="15" a="1"/>
  <c r="K145" i="15" s="1"/>
  <c r="K162" i="15" a="1"/>
  <c r="K162" i="15" s="1"/>
  <c r="P5" i="14" a="1"/>
  <c r="P5" i="14" s="1"/>
  <c r="K193" i="15" a="1"/>
  <c r="K193" i="15" s="1"/>
  <c r="I193" i="15" a="1"/>
  <c r="I193" i="15" s="1"/>
  <c r="AV51" i="40"/>
  <c r="AF14" i="40"/>
  <c r="BH79" i="20"/>
  <c r="BK79" i="20" s="1"/>
  <c r="BL78" i="20"/>
  <c r="BO78" i="20" s="1"/>
  <c r="AK97" i="20"/>
  <c r="AN97" i="20" s="1" a="1"/>
  <c r="AN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56" i="15" a="1"/>
  <c r="I56" i="15" s="1"/>
  <c r="K56" i="15" a="1"/>
  <c r="K56" i="15" s="1"/>
  <c r="I84" i="15" a="1"/>
  <c r="I84" i="15" s="1"/>
  <c r="M559" i="38" a="1"/>
  <c r="M559" i="38" s="1"/>
  <c r="M562" i="38" a="1"/>
  <c r="M562" i="38" s="1"/>
  <c r="M560" i="38" a="1"/>
  <c r="M560" i="38" s="1"/>
  <c r="M558" i="38" a="1"/>
  <c r="S116" i="38"/>
  <c r="AG116" i="38"/>
  <c r="AB575" i="38" s="1" a="1"/>
  <c r="AG98" i="38"/>
  <c r="T635" i="38" s="1" a="1"/>
  <c r="T635" i="38" s="1"/>
  <c r="M557" i="38" a="1"/>
  <c r="M557" i="38" s="1"/>
  <c r="AG135" i="38"/>
  <c r="BR35" i="40"/>
  <c r="BE77" i="40"/>
  <c r="BE78" i="40"/>
  <c r="BC106" i="40"/>
  <c r="BD42"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N70" i="20" s="1" a="1"/>
  <c r="AN70"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N71" i="20" s="1" a="1"/>
  <c r="AN71"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K65" i="15" a="1"/>
  <c r="K65" i="15" s="1"/>
  <c r="K197" i="15" a="1"/>
  <c r="K197" i="15" s="1"/>
  <c r="K71" i="15" a="1"/>
  <c r="K71" i="15" s="1"/>
  <c r="K187" i="15" a="1"/>
  <c r="K187" i="15" s="1"/>
  <c r="I187" i="15" a="1"/>
  <c r="I187" i="15" s="1"/>
  <c r="BC115" i="40"/>
  <c r="BH115" i="40"/>
  <c r="K180" i="15" a="1"/>
  <c r="K180" i="15" s="1"/>
  <c r="K64" i="15" a="1"/>
  <c r="K64"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BD71" i="40"/>
  <c r="F257" i="2"/>
  <c r="F450" i="2" s="1" a="1"/>
  <c r="F450" i="2" s="1"/>
  <c r="G450" i="2" s="1"/>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25" i="15" a="1"/>
  <c r="K125" i="15" s="1"/>
  <c r="I125" i="15" a="1"/>
  <c r="I125" i="15" s="1"/>
  <c r="K157" i="15" a="1"/>
  <c r="K157" i="15" s="1"/>
  <c r="I157" i="15" a="1"/>
  <c r="I157" i="15" s="1"/>
  <c r="K59" i="15" a="1"/>
  <c r="K59"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K52" i="15" a="1"/>
  <c r="K52" i="15" s="1"/>
  <c r="K55" i="15" a="1"/>
  <c r="K55" i="15" s="1"/>
  <c r="I117" i="15" a="1"/>
  <c r="I117" i="15" s="1"/>
  <c r="I83" i="15" a="1"/>
  <c r="I83" i="15" s="1"/>
  <c r="K83" i="15" a="1"/>
  <c r="K83" i="15" s="1"/>
  <c r="K148" i="15" a="1"/>
  <c r="K148" i="15" s="1"/>
  <c r="I61" i="15" a="1"/>
  <c r="I61" i="15" s="1"/>
  <c r="G55" i="15"/>
  <c r="G156" i="15"/>
  <c r="I156" i="15" a="1"/>
  <c r="I156" i="15" s="1"/>
  <c r="I116" i="15" a="1"/>
  <c r="I116" i="15" s="1"/>
  <c r="E246" i="2"/>
  <c r="F246" i="2" s="1"/>
  <c r="I59" i="15" a="1"/>
  <c r="I59"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K60" i="15" a="1"/>
  <c r="K60" i="15" s="1"/>
  <c r="I60" i="15" a="1"/>
  <c r="I60" i="15" s="1"/>
  <c r="I51" i="15" a="1"/>
  <c r="I51" i="15" s="1"/>
  <c r="I150" i="15" a="1"/>
  <c r="I150" i="15" s="1"/>
  <c r="I65" i="15" a="1"/>
  <c r="I65" i="15" s="1"/>
  <c r="K51" i="15" a="1"/>
  <c r="K51"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I57" i="15" a="1"/>
  <c r="I57" i="15" s="1"/>
  <c r="E844" i="2"/>
  <c r="E819" i="2"/>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48" i="15" a="1"/>
  <c r="K48" i="15" s="1"/>
  <c r="K62" i="15" a="1"/>
  <c r="K62" i="15" s="1"/>
  <c r="K76" i="15" a="1"/>
  <c r="K76" i="15" s="1"/>
  <c r="K63" i="15" a="1"/>
  <c r="K63" i="15" s="1"/>
  <c r="BN16" i="40"/>
  <c r="D17" i="40"/>
  <c r="E17" i="40" s="1"/>
  <c r="B17" i="40" s="1" a="1"/>
  <c r="B17" i="40" s="1"/>
  <c r="K48" i="40"/>
  <c r="H48" i="40" s="1" a="1"/>
  <c r="H48" i="40" s="1"/>
  <c r="Q48" i="40"/>
  <c r="O48" i="40"/>
  <c r="K91" i="15" a="1"/>
  <c r="K91" i="15" s="1"/>
  <c r="O24" i="40"/>
  <c r="Q24" i="40"/>
  <c r="K85" i="15" a="1"/>
  <c r="K85" i="15" s="1"/>
  <c r="I73" i="15" a="1"/>
  <c r="I73" i="15" s="1"/>
  <c r="H92" i="15"/>
  <c r="K92" i="15" s="1" a="1"/>
  <c r="K92" i="15" s="1"/>
  <c r="K58" i="15" a="1"/>
  <c r="K58" i="15" s="1"/>
  <c r="D52" i="40"/>
  <c r="BN51" i="40"/>
  <c r="I103" i="15" a="1"/>
  <c r="I103" i="15" s="1"/>
  <c r="K68" i="15" a="1"/>
  <c r="K68" i="15" s="1"/>
  <c r="G88" i="15"/>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G49" i="15"/>
  <c r="I49" i="15" a="1"/>
  <c r="I49" i="15" s="1"/>
  <c r="K49" i="15" a="1"/>
  <c r="K49" i="15" s="1"/>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O97" i="20" a="1"/>
  <c r="AO97"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H30" i="40" l="1"/>
  <c r="BC30" i="40"/>
  <c r="BH82" i="40"/>
  <c r="BC82" i="40"/>
  <c r="BC32" i="40"/>
  <c r="BH32" i="40"/>
  <c r="BH84" i="40"/>
  <c r="BC84" i="40"/>
  <c r="K27" i="40"/>
  <c r="H27" i="40" s="1" a="1"/>
  <c r="H27" i="40" s="1"/>
  <c r="K24" i="40"/>
  <c r="H24" i="40" s="1" a="1"/>
  <c r="H24" i="40" s="1"/>
  <c r="E40" i="9"/>
  <c r="F40" i="9" s="1"/>
  <c r="F41" i="9"/>
  <c r="F42" i="9"/>
  <c r="K15" i="1" a="1"/>
  <c r="K15" i="1" s="1"/>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E55" i="20"/>
  <c r="AE57" i="20" s="1"/>
  <c r="C40" i="9"/>
  <c r="D40" i="9" s="1"/>
  <c r="D43" i="9"/>
  <c r="D41" i="9"/>
  <c r="D44" i="9"/>
  <c r="D42" i="9"/>
  <c r="P107" i="14"/>
  <c r="Q14" i="14"/>
  <c r="Q108" i="14"/>
  <c r="Q109" i="14"/>
  <c r="Q110" i="14"/>
  <c r="Q13" i="14"/>
  <c r="Q15" i="14"/>
  <c r="S146" i="38"/>
  <c r="AG114" i="38" s="1"/>
  <c r="AG117" i="38" s="1"/>
  <c r="F390" i="2" a="1"/>
  <c r="F390" i="2" s="1"/>
  <c r="G390" i="2" s="1"/>
  <c r="E15" i="40"/>
  <c r="B15" i="40" s="1" a="1"/>
  <c r="B15" i="40" s="1"/>
  <c r="G257" i="2"/>
  <c r="F451" i="2" s="1" a="1"/>
  <c r="F451" i="2" s="1"/>
  <c r="G451" i="2" s="1"/>
  <c r="L15" i="1" a="1"/>
  <c r="L15" i="1"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AN127" i="20" a="1"/>
  <c r="AN127" i="20" s="1"/>
  <c r="AN103" i="20" a="1"/>
  <c r="AN103" i="20" s="1"/>
  <c r="AO88" i="20" a="1"/>
  <c r="AO88" i="20" s="1"/>
  <c r="W22" i="40"/>
  <c r="AF13" i="40"/>
  <c r="AN106" i="20" a="1"/>
  <c r="AN106" i="20" s="1"/>
  <c r="AN119" i="20" a="1"/>
  <c r="AN119" i="20" s="1"/>
  <c r="AO111" i="20" a="1"/>
  <c r="AO111" i="20" s="1"/>
  <c r="W21" i="40"/>
  <c r="AN118" i="20" a="1"/>
  <c r="AN118" i="20" s="1"/>
  <c r="AN93" i="20" a="1"/>
  <c r="AN93" i="20" s="1"/>
  <c r="AN112" i="20" a="1"/>
  <c r="AN112" i="20" s="1"/>
  <c r="AO70" i="20" a="1"/>
  <c r="AO70"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B109" i="14"/>
  <c r="X186" i="38"/>
  <c r="W185" i="38"/>
  <c r="AD140" i="38" s="1"/>
  <c r="AD141" i="38" s="1"/>
  <c r="X160" i="38"/>
  <c r="W159" i="38"/>
  <c r="AD131" i="38" s="1"/>
  <c r="AD132" i="38" s="1"/>
  <c r="BD106" i="40"/>
  <c r="BA106" i="40" s="1"/>
  <c r="BD108" i="40"/>
  <c r="BA108" i="40" s="1"/>
  <c r="BE7" i="40"/>
  <c r="BD107" i="40"/>
  <c r="BA107" i="40" s="1"/>
  <c r="F510" i="2" a="1"/>
  <c r="F510" i="2" s="1"/>
  <c r="G510" i="2" s="1"/>
  <c r="BD110" i="40"/>
  <c r="BA110" i="40" s="1"/>
  <c r="E813" i="2"/>
  <c r="F813" i="2" s="1" a="1"/>
  <c r="F813" i="2" s="1"/>
  <c r="BD109" i="40"/>
  <c r="BA109" i="40" s="1"/>
  <c r="F345" i="2" a="1"/>
  <c r="F345" i="2" s="1"/>
  <c r="G345" i="2" s="1"/>
  <c r="S181" i="38"/>
  <c r="P181" i="38" s="1"/>
  <c r="S173" i="38"/>
  <c r="P173" i="38" s="1"/>
  <c r="S167" i="38"/>
  <c r="P167" i="38" s="1"/>
  <c r="S192" i="38"/>
  <c r="P192" i="38" s="1"/>
  <c r="S180" i="38"/>
  <c r="P180" i="38" s="1"/>
  <c r="S175" i="38"/>
  <c r="P175" i="38" s="1"/>
  <c r="S166" i="38"/>
  <c r="P166" i="38" s="1"/>
  <c r="S161" i="38"/>
  <c r="P161" i="38" s="1"/>
  <c r="S191" i="38"/>
  <c r="P191" i="38" s="1"/>
  <c r="S174" i="38"/>
  <c r="P174" i="38" s="1"/>
  <c r="S168" i="38"/>
  <c r="P168" i="38" s="1"/>
  <c r="BD105" i="40"/>
  <c r="BA105" i="40" s="1"/>
  <c r="BD100" i="40"/>
  <c r="BA100" i="40" s="1"/>
  <c r="BD111" i="40"/>
  <c r="BA111" i="40" s="1"/>
  <c r="BD116" i="40"/>
  <c r="BA116" i="40" s="1"/>
  <c r="BD115" i="40"/>
  <c r="BA115" i="40"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J172" i="38" s="1" a="1"/>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D82" i="40" l="1"/>
  <c r="BD83" i="40"/>
  <c r="BA82" i="40"/>
  <c r="BA30" i="40"/>
  <c r="BD31" i="40"/>
  <c r="BD30" i="40"/>
  <c r="BA84" i="40"/>
  <c r="BD90" i="40"/>
  <c r="BD87" i="40"/>
  <c r="BD92" i="40"/>
  <c r="BD89" i="40"/>
  <c r="BD84" i="40"/>
  <c r="BD93" i="40"/>
  <c r="BD94" i="40"/>
  <c r="BD85" i="40"/>
  <c r="BD86" i="40"/>
  <c r="BD91" i="40"/>
  <c r="BA32" i="40"/>
  <c r="BD32" i="40"/>
  <c r="BE118" i="40"/>
  <c r="BE73" i="40"/>
  <c r="BG118" i="40"/>
  <c r="BG73" i="40"/>
  <c r="AG140" i="38"/>
  <c r="AG142" i="38" s="1"/>
  <c r="AG121" i="38"/>
  <c r="AG124" i="38" s="1"/>
  <c r="AG134" i="38"/>
  <c r="AG137" i="38" s="1"/>
  <c r="AB665" i="38" s="1" a="1"/>
  <c r="AB665" i="38" s="1"/>
  <c r="S117" i="38"/>
  <c r="S118" i="38" s="1"/>
  <c r="Z131" i="38" s="1"/>
  <c r="Z133" i="38" s="1"/>
  <c r="AG111" i="38"/>
  <c r="AB729" i="38" s="1" a="1"/>
  <c r="AB729" i="38" s="1"/>
  <c r="AG109" i="38"/>
  <c r="AB574" i="38" s="1" a="1"/>
  <c r="AB574" i="38" s="1"/>
  <c r="AG128" i="38"/>
  <c r="AG131" i="38" s="1"/>
  <c r="AB650" i="38" s="1" a="1"/>
  <c r="Y6" i="38"/>
  <c r="AG110" i="38"/>
  <c r="AB649" i="38" s="1" a="1"/>
  <c r="AB649" i="38" s="1"/>
  <c r="S125" i="38"/>
  <c r="S126" i="38" s="1"/>
  <c r="AD138" i="38" s="1"/>
  <c r="AD142" i="38" s="1"/>
  <c r="AD143" i="38" s="1"/>
  <c r="T596" i="38" s="1" a="1"/>
  <c r="T596" i="38" s="1"/>
  <c r="S110" i="38"/>
  <c r="S111" i="38" s="1"/>
  <c r="Z116" i="38" s="1"/>
  <c r="AE59" i="20"/>
  <c r="C156" i="2"/>
  <c r="E156" i="2" s="1"/>
  <c r="E157" i="2"/>
  <c r="E158" i="2"/>
  <c r="E159" i="2"/>
  <c r="E160" i="2"/>
  <c r="C183" i="2"/>
  <c r="E183" i="2" s="1"/>
  <c r="E184" i="2"/>
  <c r="E185" i="2"/>
  <c r="AH69" i="20"/>
  <c r="AP69" i="20" s="1"/>
  <c r="AJ69" i="20"/>
  <c r="AH68" i="20"/>
  <c r="AL68" i="20" s="1"/>
  <c r="AI68" i="20"/>
  <c r="AJ68" i="20"/>
  <c r="AP68" i="20"/>
  <c r="AH67" i="20"/>
  <c r="AI67" i="20"/>
  <c r="AJ67" i="20"/>
  <c r="AL67" i="20"/>
  <c r="AM67" i="20" a="1"/>
  <c r="AM67" i="20" s="1"/>
  <c r="AP67" i="20"/>
  <c r="AQ67" i="20" s="1" a="1"/>
  <c r="AQ67" i="20" s="1"/>
  <c r="C210" i="2"/>
  <c r="E210" i="2" s="1"/>
  <c r="BP81" i="40" s="1"/>
  <c r="S193" i="38" s="1" a="1"/>
  <c r="S193" i="38" s="1"/>
  <c r="E211" i="2"/>
  <c r="AH66" i="20"/>
  <c r="AP66" i="20" s="1"/>
  <c r="AL66" i="20"/>
  <c r="AH65" i="20"/>
  <c r="AL65" i="20" s="1"/>
  <c r="AH64" i="20"/>
  <c r="AP64" i="20" s="1"/>
  <c r="AL64" i="20"/>
  <c r="AP63" i="20"/>
  <c r="AQ63" i="20" s="1" a="1"/>
  <c r="AQ63" i="20" s="1"/>
  <c r="AH63" i="20"/>
  <c r="AI63" i="20"/>
  <c r="AJ63" i="20"/>
  <c r="AL63" i="20"/>
  <c r="AM63" i="20" a="1"/>
  <c r="AM63" i="20" s="1"/>
  <c r="AH62" i="20"/>
  <c r="AI62" i="20" s="1"/>
  <c r="AL62" i="20"/>
  <c r="AH61" i="20"/>
  <c r="AI61" i="20" s="1"/>
  <c r="AJ61" i="20"/>
  <c r="AH60" i="20"/>
  <c r="AL60" i="20" s="1"/>
  <c r="AP60" i="20"/>
  <c r="AJ60" i="20"/>
  <c r="AH59" i="20"/>
  <c r="AP59" i="20" s="1"/>
  <c r="AI59" i="20"/>
  <c r="J172" i="38"/>
  <c r="I585" i="38" a="1"/>
  <c r="K558" i="38" s="1"/>
  <c r="L558" i="38" s="1"/>
  <c r="I575" i="38" a="1"/>
  <c r="K557" i="38" s="1"/>
  <c r="L557" i="38" s="1"/>
  <c r="B729" i="38" a="1"/>
  <c r="B729" i="38" s="1"/>
  <c r="I270" i="2"/>
  <c r="I276" i="2"/>
  <c r="J276" i="2" s="1"/>
  <c r="F739" i="2" s="1" a="1"/>
  <c r="F739" i="2" s="1"/>
  <c r="G739" i="2" s="1"/>
  <c r="I280" i="2"/>
  <c r="J280" i="2" s="1"/>
  <c r="F799" i="2" s="1" a="1"/>
  <c r="F799" i="2" s="1"/>
  <c r="G799" i="2" s="1"/>
  <c r="BP79" i="40"/>
  <c r="S187" i="38" s="1" a="1"/>
  <c r="S187" i="38" s="1"/>
  <c r="BP78" i="40"/>
  <c r="F82" i="40"/>
  <c r="S190" i="38" s="1" a="1"/>
  <c r="S190" i="38" s="1"/>
  <c r="F81" i="40"/>
  <c r="S179" i="38" s="1" a="1"/>
  <c r="S179" i="38" s="1"/>
  <c r="F80" i="40"/>
  <c r="S185" i="38" s="1" a="1"/>
  <c r="S185" i="38" s="1"/>
  <c r="F79" i="40"/>
  <c r="S172" i="38" s="1" a="1"/>
  <c r="S172" i="38" s="1"/>
  <c r="F78" i="40"/>
  <c r="S165" i="38" s="1" a="1"/>
  <c r="S165" i="38" s="1"/>
  <c r="F77" i="40"/>
  <c r="F25" i="40"/>
  <c r="F20" i="40"/>
  <c r="F19" i="40"/>
  <c r="F18" i="40"/>
  <c r="F17" i="40"/>
  <c r="F16" i="40"/>
  <c r="F15" i="40"/>
  <c r="F14" i="40"/>
  <c r="F13" i="40"/>
  <c r="F12" i="40"/>
  <c r="F11" i="40"/>
  <c r="C160" i="38" s="1" a="1"/>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C184" i="38" s="1" a="1"/>
  <c r="E185" i="38" s="1"/>
  <c r="F71" i="40"/>
  <c r="F70" i="40"/>
  <c r="F69" i="40"/>
  <c r="F68" i="40"/>
  <c r="F67" i="40"/>
  <c r="F66" i="40"/>
  <c r="F65" i="40"/>
  <c r="AT51" i="40"/>
  <c r="W23" i="40"/>
  <c r="AF16" i="40" s="1"/>
  <c r="H254" i="2"/>
  <c r="I254" i="2" s="1"/>
  <c r="F331" i="2" a="1"/>
  <c r="F331" i="2" s="1"/>
  <c r="G331" i="2" s="1"/>
  <c r="B665" i="38"/>
  <c r="Z105" i="38"/>
  <c r="Z104" i="38"/>
  <c r="N6" i="38"/>
  <c r="Z127" i="38"/>
  <c r="B589" i="38"/>
  <c r="I262" i="2"/>
  <c r="F528" i="2" s="1" a="1"/>
  <c r="F528" i="2" s="1"/>
  <c r="G528" i="2" s="1"/>
  <c r="B575" i="38" a="1"/>
  <c r="I273" i="2"/>
  <c r="J273" i="2" s="1"/>
  <c r="F694" i="2" s="1" a="1"/>
  <c r="F694" i="2" s="1"/>
  <c r="G694" i="2" s="1"/>
  <c r="I257" i="2"/>
  <c r="F453" i="2" s="1" a="1"/>
  <c r="F453" i="2" s="1"/>
  <c r="G453" i="2"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AC172" i="38" s="1" a="1"/>
  <c r="AD567" i="38" s="1"/>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J262" i="2"/>
  <c r="F648" i="2" a="1"/>
  <c r="F648" i="2" s="1"/>
  <c r="G648" i="2" s="1"/>
  <c r="F572" i="2" a="1"/>
  <c r="F572" i="2" s="1"/>
  <c r="G572" i="2" s="1"/>
  <c r="I265" i="2"/>
  <c r="F573" i="2" s="1" a="1"/>
  <c r="F573" i="2" s="1"/>
  <c r="G573" i="2" s="1"/>
  <c r="F393" i="2" a="1"/>
  <c r="F393" i="2" s="1"/>
  <c r="G393"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BS79" i="40"/>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3" i="20" a="1"/>
  <c r="AQ68" i="20" a="1"/>
  <c r="AK67" i="20" a="1"/>
  <c r="AM62" i="20" a="1"/>
  <c r="AK68" i="20" a="1"/>
  <c r="AM68" i="20" a="1"/>
  <c r="AC184" i="38" l="1" a="1"/>
  <c r="AE184" i="38" s="1"/>
  <c r="AF7" i="40"/>
  <c r="Z139" i="38" s="1"/>
  <c r="S186" i="38"/>
  <c r="P186" i="38" s="1"/>
  <c r="D566" i="38"/>
  <c r="E163" i="38"/>
  <c r="U6" i="38"/>
  <c r="AD129" i="38"/>
  <c r="AD133" i="38" s="1"/>
  <c r="AD134" i="38" s="1"/>
  <c r="AD112" i="38"/>
  <c r="AD116" i="38" s="1"/>
  <c r="T594" i="38" s="1" a="1"/>
  <c r="T594" i="38" s="1"/>
  <c r="AD100" i="38"/>
  <c r="AD147" i="38"/>
  <c r="AD151" i="38" s="1"/>
  <c r="AD152" i="38" s="1"/>
  <c r="T616" i="38" s="1" a="1"/>
  <c r="T616" i="38" s="1"/>
  <c r="Z126" i="38"/>
  <c r="AD120" i="38"/>
  <c r="AD124" i="38" s="1"/>
  <c r="T614" i="38" s="1" a="1"/>
  <c r="T614" i="38" s="1"/>
  <c r="AD99" i="38"/>
  <c r="AD104" i="38"/>
  <c r="AD108" i="38" s="1"/>
  <c r="T569" i="38" s="1" a="1"/>
  <c r="T569" i="38" s="1"/>
  <c r="R6" i="38"/>
  <c r="Z108" i="38"/>
  <c r="S184" i="38" a="1"/>
  <c r="S184" i="38" s="1"/>
  <c r="D568" i="38"/>
  <c r="AK67" i="20"/>
  <c r="AQ68" i="20"/>
  <c r="AK68" i="20"/>
  <c r="AM68" i="20"/>
  <c r="AM62" i="20"/>
  <c r="AK63" i="20"/>
  <c r="S189" i="38" a="1"/>
  <c r="S189" i="38" s="1"/>
  <c r="S556" i="38" s="1"/>
  <c r="S564" i="38" s="1"/>
  <c r="Q292" i="38" a="1"/>
  <c r="Q292" i="38" s="1"/>
  <c r="Q620" i="38" a="1"/>
  <c r="Q620" i="38" s="1"/>
  <c r="AB599" i="38" a="1"/>
  <c r="AB599" i="38" s="1"/>
  <c r="AE567" i="38"/>
  <c r="AC184" i="38"/>
  <c r="AB651" i="38" s="1" a="1"/>
  <c r="AB651" i="38" s="1"/>
  <c r="AJ59" i="20"/>
  <c r="AJ66" i="20"/>
  <c r="Q293" i="38" a="1"/>
  <c r="Q293" i="38" s="1"/>
  <c r="AL59" i="20"/>
  <c r="AI66" i="20"/>
  <c r="G211" i="2"/>
  <c r="I211" i="2"/>
  <c r="AI60" i="20"/>
  <c r="Q282" i="38" a="1"/>
  <c r="Q282" i="38" s="1"/>
  <c r="Q283" i="38" a="1"/>
  <c r="Q283" i="38" s="1"/>
  <c r="C172" i="38" a="1"/>
  <c r="AL61" i="20"/>
  <c r="C208" i="38" a="1"/>
  <c r="S160" i="38" a="1"/>
  <c r="S160" i="38" s="1"/>
  <c r="AP61" i="20"/>
  <c r="AD222" i="38"/>
  <c r="E162" i="38"/>
  <c r="AJ62" i="20"/>
  <c r="E161" i="38"/>
  <c r="AE172" i="38"/>
  <c r="AP62" i="20"/>
  <c r="AC172" i="38"/>
  <c r="AB590" i="38" s="1" a="1"/>
  <c r="AB590" i="38" s="1"/>
  <c r="F407" i="2" a="1"/>
  <c r="F407" i="2" s="1"/>
  <c r="G407" i="2" s="1"/>
  <c r="F83" i="40"/>
  <c r="AL69" i="20"/>
  <c r="AC160" i="38" a="1"/>
  <c r="BP76" i="40"/>
  <c r="Q610" i="38" a="1"/>
  <c r="Q610" i="38" s="1"/>
  <c r="AC196" i="38" a="1"/>
  <c r="C196" i="38" a="1"/>
  <c r="BP77" i="40"/>
  <c r="AI69" i="20"/>
  <c r="BS78" i="40"/>
  <c r="S176" i="38" a="1"/>
  <c r="S176" i="38" s="1"/>
  <c r="S171" i="38" s="1" a="1"/>
  <c r="S171" i="38" s="1"/>
  <c r="S553" i="38" s="1"/>
  <c r="S561" i="38" s="1"/>
  <c r="AE185" i="38"/>
  <c r="AE194" i="38" s="1"/>
  <c r="BP80" i="40"/>
  <c r="AD568" i="38"/>
  <c r="AE568" i="38" s="1"/>
  <c r="G185" i="2"/>
  <c r="I185" i="2"/>
  <c r="J185" i="2"/>
  <c r="E184" i="38"/>
  <c r="E194" i="38" s="1"/>
  <c r="E568" i="38" s="1"/>
  <c r="BP82" i="40"/>
  <c r="BS82" i="40" s="1"/>
  <c r="G184" i="2"/>
  <c r="J184" i="2"/>
  <c r="I184" i="2"/>
  <c r="C184" i="38"/>
  <c r="B651" i="38" s="1" a="1"/>
  <c r="B651" i="38" s="1"/>
  <c r="AJ64" i="20"/>
  <c r="AI64" i="20"/>
  <c r="G160" i="2"/>
  <c r="J160" i="2"/>
  <c r="I160" i="2"/>
  <c r="E160" i="38"/>
  <c r="G159" i="2"/>
  <c r="J159" i="2"/>
  <c r="I159" i="2"/>
  <c r="C160" i="38"/>
  <c r="B576" i="38" s="1" a="1"/>
  <c r="B576" i="38" s="1"/>
  <c r="G158" i="2"/>
  <c r="I158" i="2"/>
  <c r="J158" i="2"/>
  <c r="AE173" i="38"/>
  <c r="AP65" i="20"/>
  <c r="G157" i="2"/>
  <c r="I157" i="2"/>
  <c r="J157" i="2"/>
  <c r="L253" i="2"/>
  <c r="F396" i="2" s="1" a="1"/>
  <c r="F396" i="2" s="1"/>
  <c r="G396" i="2" s="1"/>
  <c r="L252" i="2"/>
  <c r="AD224" i="38"/>
  <c r="AJ65" i="20"/>
  <c r="AI65" i="20"/>
  <c r="B112" i="20"/>
  <c r="B231" i="20"/>
  <c r="B91" i="20"/>
  <c r="B131" i="20"/>
  <c r="B104" i="20"/>
  <c r="B158" i="20"/>
  <c r="B100" i="20"/>
  <c r="B223" i="20"/>
  <c r="B63" i="20"/>
  <c r="B212" i="20"/>
  <c r="B225" i="20"/>
  <c r="B187" i="20"/>
  <c r="B159" i="20"/>
  <c r="B81" i="20"/>
  <c r="B186" i="20"/>
  <c r="B161" i="20"/>
  <c r="B86" i="20"/>
  <c r="B153" i="20"/>
  <c r="B114" i="20"/>
  <c r="B97" i="20"/>
  <c r="B142" i="20"/>
  <c r="B146" i="20"/>
  <c r="B157" i="20"/>
  <c r="B70" i="20"/>
  <c r="B85" i="20"/>
  <c r="B221" i="20"/>
  <c r="B92" i="20"/>
  <c r="B229" i="20"/>
  <c r="B113" i="20"/>
  <c r="B68" i="20"/>
  <c r="B203" i="20"/>
  <c r="B240" i="20"/>
  <c r="B165" i="20"/>
  <c r="B178" i="20"/>
  <c r="B214" i="20"/>
  <c r="B167" i="20"/>
  <c r="B78" i="20"/>
  <c r="B232" i="20"/>
  <c r="B195" i="20"/>
  <c r="B134" i="20"/>
  <c r="B176" i="20"/>
  <c r="B123" i="20"/>
  <c r="B204" i="20"/>
  <c r="B150" i="20"/>
  <c r="B132" i="20"/>
  <c r="B209" i="20"/>
  <c r="B120" i="20"/>
  <c r="B106" i="20"/>
  <c r="B143" i="20"/>
  <c r="B237" i="20"/>
  <c r="B87" i="20"/>
  <c r="B71" i="20"/>
  <c r="B115" i="20"/>
  <c r="B208" i="20"/>
  <c r="B238" i="20"/>
  <c r="B210" i="20"/>
  <c r="B169" i="20"/>
  <c r="B94" i="20"/>
  <c r="B58" i="20"/>
  <c r="B233" i="20"/>
  <c r="B206" i="20"/>
  <c r="B173" i="20"/>
  <c r="B117" i="20"/>
  <c r="B77" i="20"/>
  <c r="B88" i="20"/>
  <c r="B54" i="20"/>
  <c r="B185" i="20"/>
  <c r="B207" i="20"/>
  <c r="B190" i="20"/>
  <c r="B227" i="20"/>
  <c r="B59" i="20"/>
  <c r="B108" i="20"/>
  <c r="B216" i="20"/>
  <c r="B93" i="20"/>
  <c r="B74" i="20"/>
  <c r="B234" i="20"/>
  <c r="B226" i="20"/>
  <c r="B224" i="20"/>
  <c r="B64" i="20"/>
  <c r="B168" i="20"/>
  <c r="B79" i="20"/>
  <c r="B126" i="20"/>
  <c r="B116" i="20"/>
  <c r="B181" i="20"/>
  <c r="B121" i="20"/>
  <c r="B138" i="20"/>
  <c r="B83" i="20"/>
  <c r="B196" i="20"/>
  <c r="B188" i="20"/>
  <c r="B179" i="20"/>
  <c r="B215" i="20"/>
  <c r="B124" i="20"/>
  <c r="B198" i="20"/>
  <c r="B151" i="20"/>
  <c r="B144" i="20"/>
  <c r="B135" i="20"/>
  <c r="B170" i="20"/>
  <c r="B101" i="20"/>
  <c r="B160" i="20"/>
  <c r="B82" i="20"/>
  <c r="B137" i="20"/>
  <c r="B219" i="20"/>
  <c r="B164" i="20"/>
  <c r="B95" i="20"/>
  <c r="B61" i="20"/>
  <c r="B107" i="20"/>
  <c r="B177" i="20"/>
  <c r="B189" i="20"/>
  <c r="B89" i="20"/>
  <c r="B73" i="20"/>
  <c r="B236" i="20"/>
  <c r="B183" i="20"/>
  <c r="B72" i="20"/>
  <c r="B235" i="20"/>
  <c r="B162" i="20"/>
  <c r="B193" i="20"/>
  <c r="B127" i="20"/>
  <c r="B152" i="20"/>
  <c r="B182" i="20"/>
  <c r="B218" i="20"/>
  <c r="B66" i="20"/>
  <c r="B118" i="20"/>
  <c r="B102" i="20"/>
  <c r="B180" i="20"/>
  <c r="B154" i="20"/>
  <c r="B65" i="20"/>
  <c r="B98" i="20"/>
  <c r="B148" i="20"/>
  <c r="B80" i="20"/>
  <c r="B69" i="20"/>
  <c r="B96" i="20"/>
  <c r="B136" i="20"/>
  <c r="B171" i="20"/>
  <c r="B125" i="20"/>
  <c r="B199" i="20"/>
  <c r="B110" i="20"/>
  <c r="B191" i="20"/>
  <c r="B55" i="20"/>
  <c r="B133" i="20"/>
  <c r="B129" i="20"/>
  <c r="B163" i="20"/>
  <c r="B60" i="20"/>
  <c r="B119" i="20"/>
  <c r="B197" i="20"/>
  <c r="B147" i="20"/>
  <c r="B228" i="20"/>
  <c r="B67" i="20"/>
  <c r="B200" i="20"/>
  <c r="B57" i="20"/>
  <c r="B139" i="20"/>
  <c r="B174" i="20"/>
  <c r="B172" i="20"/>
  <c r="B201" i="20"/>
  <c r="B155" i="20"/>
  <c r="B141" i="20"/>
  <c r="B90" i="20"/>
  <c r="B130" i="20"/>
  <c r="B128" i="20"/>
  <c r="B75" i="20"/>
  <c r="B145" i="20"/>
  <c r="B213" i="20"/>
  <c r="B205" i="20"/>
  <c r="B111" i="20"/>
  <c r="B230" i="20"/>
  <c r="B105" i="20"/>
  <c r="B84" i="20"/>
  <c r="B103" i="20"/>
  <c r="B202" i="20"/>
  <c r="B192" i="20"/>
  <c r="B53" i="20"/>
  <c r="B56" i="20"/>
  <c r="B239" i="20"/>
  <c r="B99" i="20"/>
  <c r="B222" i="20"/>
  <c r="B62" i="20"/>
  <c r="B211" i="20"/>
  <c r="B149" i="20"/>
  <c r="B194" i="20"/>
  <c r="B109" i="20"/>
  <c r="B184" i="20"/>
  <c r="B220" i="20"/>
  <c r="B166" i="20"/>
  <c r="B76" i="20"/>
  <c r="B217" i="20"/>
  <c r="B156" i="20"/>
  <c r="B140" i="20"/>
  <c r="B175" i="20"/>
  <c r="B122" i="20"/>
  <c r="E170" i="38"/>
  <c r="E566" i="38" s="1"/>
  <c r="I585" i="38"/>
  <c r="I664" i="38" s="1" a="1"/>
  <c r="I664" i="38" s="1"/>
  <c r="I575" i="38"/>
  <c r="I649" i="38" s="1" a="1"/>
  <c r="I649" i="38" s="1"/>
  <c r="C170" i="35" a="1"/>
  <c r="F84" i="40"/>
  <c r="K273" i="2"/>
  <c r="M212" i="35"/>
  <c r="F693" i="2" a="1"/>
  <c r="F693" i="2" s="1"/>
  <c r="G693" i="2" s="1"/>
  <c r="AT52" i="40"/>
  <c r="AU52" i="40"/>
  <c r="AV52" i="40"/>
  <c r="AV53" i="40" s="1"/>
  <c r="F58" i="40"/>
  <c r="F21" i="40"/>
  <c r="F35" i="40"/>
  <c r="AT53" i="40"/>
  <c r="F72" i="40"/>
  <c r="J266" i="2"/>
  <c r="F589" i="2" s="1" a="1"/>
  <c r="F589" i="2" s="1"/>
  <c r="G589" i="2" s="1"/>
  <c r="J257" i="2"/>
  <c r="B660" i="38" a="1"/>
  <c r="B660" i="38" s="1"/>
  <c r="B650" i="38"/>
  <c r="T571" i="38" a="1"/>
  <c r="T571" i="38" s="1"/>
  <c r="T627" i="38" a="1"/>
  <c r="T627" i="38" s="1"/>
  <c r="S555" i="38"/>
  <c r="S563" i="38" s="1"/>
  <c r="B585" i="38" a="1"/>
  <c r="B585" i="38" s="1"/>
  <c r="B575" i="38"/>
  <c r="AB660" i="38" a="1"/>
  <c r="AB660"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T567" i="38" s="1" a="1"/>
  <c r="T567" i="38" s="1"/>
  <c r="AX52" i="40"/>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BS76" i="40"/>
  <c r="K258" i="2"/>
  <c r="F470" i="2" s="1" a="1"/>
  <c r="F470" i="2" s="1"/>
  <c r="G470" i="2" s="1"/>
  <c r="F544" i="2" a="1"/>
  <c r="F544" i="2" s="1"/>
  <c r="G544" i="2" s="1"/>
  <c r="K268" i="2"/>
  <c r="F620" i="2" s="1" a="1"/>
  <c r="F620" i="2" s="1"/>
  <c r="G620" i="2" s="1"/>
  <c r="J221" i="38" a="1"/>
  <c r="J221" i="38" s="1"/>
  <c r="AR51" i="40"/>
  <c r="AW51" i="40"/>
  <c r="AK61" i="20" a="1"/>
  <c r="AM59" i="20" a="1"/>
  <c r="AQ64" i="20" a="1"/>
  <c r="E109" i="14" a="1"/>
  <c r="C108" i="14" s="1"/>
  <c r="AK66" i="20" a="1"/>
  <c r="AM60" i="20" a="1"/>
  <c r="AK60" i="20" a="1"/>
  <c r="AM61" i="20" a="1"/>
  <c r="AQ62" i="20" a="1"/>
  <c r="AQ66" i="20" a="1"/>
  <c r="AM65" i="20" a="1"/>
  <c r="AQ61" i="20" a="1"/>
  <c r="AQ59" i="20" a="1"/>
  <c r="AM66" i="20" a="1"/>
  <c r="AQ60" i="20" a="1"/>
  <c r="Y109" i="14" a="1"/>
  <c r="AK65" i="20" a="1"/>
  <c r="AQ69" i="20" a="1"/>
  <c r="AM64" i="20" a="1"/>
  <c r="AK64" i="20" a="1"/>
  <c r="AM69" i="20" a="1"/>
  <c r="AK62" i="20" a="1"/>
  <c r="AQ65" i="20" a="1"/>
  <c r="AK59" i="20" a="1"/>
  <c r="AK69" i="20" a="1"/>
  <c r="D8" i="14" l="1"/>
  <c r="C8" i="14"/>
  <c r="C21" i="14" s="1"/>
  <c r="AQ61" i="20"/>
  <c r="AM61" i="20"/>
  <c r="AK65" i="20"/>
  <c r="AM65" i="20"/>
  <c r="AK60" i="20"/>
  <c r="AM60" i="20"/>
  <c r="AQ60" i="20"/>
  <c r="AK66" i="20"/>
  <c r="AM66" i="20"/>
  <c r="AQ66" i="20"/>
  <c r="AM59" i="20"/>
  <c r="AQ59" i="20"/>
  <c r="E109" i="14"/>
  <c r="Y109" i="14"/>
  <c r="W108" i="14" s="1"/>
  <c r="AK69" i="20"/>
  <c r="AM69" i="20"/>
  <c r="AQ69" i="20"/>
  <c r="AK59" i="20"/>
  <c r="AN59" i="20" s="1" a="1"/>
  <c r="AN59" i="20" s="1"/>
  <c r="C53" i="20" s="1"/>
  <c r="AQ65" i="20"/>
  <c r="AK61" i="20"/>
  <c r="AQ62" i="20"/>
  <c r="AK64" i="20"/>
  <c r="AM64" i="20"/>
  <c r="AQ64" i="20"/>
  <c r="AK62" i="20"/>
  <c r="P128" i="20"/>
  <c r="AA131" i="20"/>
  <c r="AB131" i="20"/>
  <c r="P125" i="20"/>
  <c r="C125" i="20"/>
  <c r="D125" i="20"/>
  <c r="P126" i="20"/>
  <c r="P127" i="20"/>
  <c r="W131" i="20"/>
  <c r="W132" i="20"/>
  <c r="W133" i="20"/>
  <c r="W134" i="20"/>
  <c r="S195" i="38"/>
  <c r="C105" i="20"/>
  <c r="D105" i="20"/>
  <c r="AA111" i="20"/>
  <c r="W113" i="20"/>
  <c r="W112" i="20"/>
  <c r="P108" i="20"/>
  <c r="AB111" i="20"/>
  <c r="W111" i="20"/>
  <c r="P106" i="20"/>
  <c r="P107" i="20"/>
  <c r="P105" i="20"/>
  <c r="W114" i="20"/>
  <c r="W144" i="20"/>
  <c r="W145" i="20"/>
  <c r="AA143" i="20"/>
  <c r="P140" i="20"/>
  <c r="P139" i="20"/>
  <c r="C137" i="20"/>
  <c r="P138" i="20"/>
  <c r="P137" i="20"/>
  <c r="D137" i="20"/>
  <c r="AB143" i="20"/>
  <c r="W143" i="20"/>
  <c r="W146" i="20"/>
  <c r="E209" i="38"/>
  <c r="C208" i="38"/>
  <c r="D557" i="38"/>
  <c r="E208" i="38"/>
  <c r="P187" i="20"/>
  <c r="C185" i="20"/>
  <c r="AB191" i="20"/>
  <c r="P186" i="20"/>
  <c r="W194" i="20"/>
  <c r="P185" i="20"/>
  <c r="W192" i="20"/>
  <c r="W191" i="20"/>
  <c r="P188" i="20"/>
  <c r="D185" i="20"/>
  <c r="AA191" i="20"/>
  <c r="W193" i="20"/>
  <c r="E173" i="38"/>
  <c r="D567" i="38"/>
  <c r="C172" i="38"/>
  <c r="B590" i="38" s="1" a="1"/>
  <c r="E172" i="38"/>
  <c r="E182" i="38" s="1"/>
  <c r="E567" i="38" s="1"/>
  <c r="D205" i="20"/>
  <c r="AB211" i="20"/>
  <c r="P207" i="20"/>
  <c r="AA211" i="20"/>
  <c r="C205" i="20"/>
  <c r="P208" i="20"/>
  <c r="P206" i="20"/>
  <c r="P205" i="20"/>
  <c r="W211" i="20"/>
  <c r="W212" i="20"/>
  <c r="W213" i="20"/>
  <c r="W214" i="20"/>
  <c r="P70" i="20"/>
  <c r="W76" i="20"/>
  <c r="W77" i="20"/>
  <c r="P69" i="20"/>
  <c r="W75" i="20"/>
  <c r="P72" i="20"/>
  <c r="P71" i="20"/>
  <c r="AA75" i="20"/>
  <c r="AB75" i="20"/>
  <c r="W78" i="20"/>
  <c r="P101" i="20"/>
  <c r="W108" i="20"/>
  <c r="W110" i="20"/>
  <c r="W107" i="20"/>
  <c r="D101" i="20"/>
  <c r="P102" i="20"/>
  <c r="AB107" i="20"/>
  <c r="P103" i="20"/>
  <c r="C101" i="20"/>
  <c r="AA107" i="20"/>
  <c r="P104" i="20"/>
  <c r="W109" i="20"/>
  <c r="P216" i="20"/>
  <c r="P215" i="20"/>
  <c r="W219" i="20"/>
  <c r="W221" i="20"/>
  <c r="P214" i="20"/>
  <c r="P213" i="20"/>
  <c r="C213" i="20"/>
  <c r="D213" i="20"/>
  <c r="AA219" i="20"/>
  <c r="AB219" i="20"/>
  <c r="W222" i="20"/>
  <c r="W220" i="20"/>
  <c r="W171" i="20"/>
  <c r="W174" i="20"/>
  <c r="W173" i="20"/>
  <c r="P168" i="20"/>
  <c r="P166" i="20"/>
  <c r="W172" i="20"/>
  <c r="P167" i="20"/>
  <c r="P165" i="20"/>
  <c r="C165" i="20"/>
  <c r="D165" i="20"/>
  <c r="AA171" i="20"/>
  <c r="AB171" i="20"/>
  <c r="W153" i="20"/>
  <c r="D145" i="20"/>
  <c r="W152" i="20"/>
  <c r="C145" i="20"/>
  <c r="W151" i="20"/>
  <c r="P145" i="20"/>
  <c r="P148" i="20"/>
  <c r="P147" i="20"/>
  <c r="AA151" i="20"/>
  <c r="W154" i="20"/>
  <c r="P146" i="20"/>
  <c r="AB151" i="20"/>
  <c r="P79" i="20"/>
  <c r="P78" i="20"/>
  <c r="W83" i="20"/>
  <c r="P77" i="20"/>
  <c r="W86" i="20"/>
  <c r="AA83" i="20"/>
  <c r="W85" i="20"/>
  <c r="W84" i="20"/>
  <c r="P80" i="20"/>
  <c r="AB83" i="20"/>
  <c r="AA123" i="20"/>
  <c r="P119" i="20"/>
  <c r="P120" i="20"/>
  <c r="C117" i="20"/>
  <c r="D117" i="20"/>
  <c r="P117" i="20"/>
  <c r="W123" i="20"/>
  <c r="AB123" i="20"/>
  <c r="W126" i="20"/>
  <c r="P118" i="20"/>
  <c r="W125" i="20"/>
  <c r="W124" i="20"/>
  <c r="AA71" i="20"/>
  <c r="AB71" i="20"/>
  <c r="P65" i="20"/>
  <c r="W72" i="20"/>
  <c r="P68" i="20"/>
  <c r="W74" i="20"/>
  <c r="W71" i="20"/>
  <c r="P67" i="20"/>
  <c r="P66" i="20"/>
  <c r="W73" i="20"/>
  <c r="P174" i="20"/>
  <c r="D173" i="20"/>
  <c r="P176" i="20"/>
  <c r="P175" i="20"/>
  <c r="C173" i="20"/>
  <c r="P173" i="20"/>
  <c r="AA179" i="20"/>
  <c r="AB179" i="20"/>
  <c r="W181" i="20"/>
  <c r="W182" i="20"/>
  <c r="W179" i="20"/>
  <c r="W180" i="20"/>
  <c r="BS80" i="40"/>
  <c r="S182" i="38" a="1"/>
  <c r="S182" i="38" s="1"/>
  <c r="P116" i="20"/>
  <c r="P115" i="20"/>
  <c r="P113" i="20"/>
  <c r="W122" i="20"/>
  <c r="P114" i="20"/>
  <c r="W120" i="20"/>
  <c r="AB119" i="20"/>
  <c r="W119" i="20"/>
  <c r="C113" i="20"/>
  <c r="D113" i="20"/>
  <c r="AA119" i="20"/>
  <c r="W121" i="20"/>
  <c r="C200" i="35"/>
  <c r="F200" i="35" s="1"/>
  <c r="D218" i="35"/>
  <c r="B284" i="35" a="1"/>
  <c r="B284" i="35" s="1"/>
  <c r="E200" i="35"/>
  <c r="E201" i="35"/>
  <c r="AA239" i="20"/>
  <c r="AB239" i="20"/>
  <c r="P236" i="20"/>
  <c r="P235" i="20"/>
  <c r="P234" i="20"/>
  <c r="P233" i="20"/>
  <c r="W241" i="20"/>
  <c r="W239" i="20"/>
  <c r="W242" i="20"/>
  <c r="W240" i="20"/>
  <c r="D233" i="20"/>
  <c r="C233" i="20"/>
  <c r="W238" i="20"/>
  <c r="C229" i="20"/>
  <c r="P232" i="20"/>
  <c r="P231" i="20"/>
  <c r="W236" i="20"/>
  <c r="W235" i="20"/>
  <c r="D229" i="20"/>
  <c r="AA235" i="20"/>
  <c r="P230" i="20"/>
  <c r="AB235" i="20"/>
  <c r="P229" i="20"/>
  <c r="W237" i="20"/>
  <c r="AA147" i="20"/>
  <c r="P141" i="20"/>
  <c r="AB147" i="20"/>
  <c r="W148" i="20"/>
  <c r="P142" i="20"/>
  <c r="C141" i="20"/>
  <c r="P144" i="20"/>
  <c r="P143" i="20"/>
  <c r="D141" i="20"/>
  <c r="W147" i="20"/>
  <c r="W149" i="20"/>
  <c r="W150" i="20"/>
  <c r="AB227" i="20"/>
  <c r="P222" i="20"/>
  <c r="D221" i="20"/>
  <c r="P221" i="20"/>
  <c r="P224" i="20"/>
  <c r="P223" i="20"/>
  <c r="C221" i="20"/>
  <c r="AA227" i="20"/>
  <c r="W227" i="20"/>
  <c r="W228" i="20"/>
  <c r="W229" i="20"/>
  <c r="W230" i="20"/>
  <c r="P201" i="20"/>
  <c r="W208" i="20"/>
  <c r="C201" i="20"/>
  <c r="D201" i="20"/>
  <c r="W207" i="20"/>
  <c r="AA207" i="20"/>
  <c r="AB207" i="20"/>
  <c r="P204" i="20"/>
  <c r="P203" i="20"/>
  <c r="P202" i="20"/>
  <c r="W210" i="20"/>
  <c r="W209" i="20"/>
  <c r="P172" i="20"/>
  <c r="W176" i="20"/>
  <c r="AB175" i="20"/>
  <c r="P171" i="20"/>
  <c r="AA175" i="20"/>
  <c r="W178" i="20"/>
  <c r="P170" i="20"/>
  <c r="W177" i="20"/>
  <c r="P169" i="20"/>
  <c r="W175" i="20"/>
  <c r="C169" i="20"/>
  <c r="D169" i="20"/>
  <c r="W93" i="20"/>
  <c r="W94" i="20"/>
  <c r="P88" i="20"/>
  <c r="P87" i="20"/>
  <c r="P86" i="20"/>
  <c r="P85" i="20"/>
  <c r="W92" i="20"/>
  <c r="AA91" i="20"/>
  <c r="AB91" i="20"/>
  <c r="W91" i="20"/>
  <c r="P220" i="20"/>
  <c r="P219" i="20"/>
  <c r="P218" i="20"/>
  <c r="AA223" i="20"/>
  <c r="W225" i="20"/>
  <c r="W223" i="20"/>
  <c r="AB223" i="20"/>
  <c r="W226" i="20"/>
  <c r="W224" i="20"/>
  <c r="P217" i="20"/>
  <c r="C217" i="20"/>
  <c r="D217" i="20"/>
  <c r="P157" i="20"/>
  <c r="C157" i="20"/>
  <c r="W164" i="20"/>
  <c r="AB163" i="20"/>
  <c r="P158" i="20"/>
  <c r="W166" i="20"/>
  <c r="W165" i="20"/>
  <c r="P159" i="20"/>
  <c r="W163" i="20"/>
  <c r="P160" i="20"/>
  <c r="AA163" i="20"/>
  <c r="D157" i="20"/>
  <c r="S169" i="38" a="1"/>
  <c r="S169" i="38" s="1"/>
  <c r="BS77" i="40"/>
  <c r="C196" i="38"/>
  <c r="B666" i="38" s="1" a="1"/>
  <c r="E196" i="38"/>
  <c r="E206" i="38" s="1"/>
  <c r="D569" i="38"/>
  <c r="W63" i="20"/>
  <c r="W64" i="20"/>
  <c r="P59" i="20"/>
  <c r="AA63" i="20"/>
  <c r="W66" i="20"/>
  <c r="P58" i="20"/>
  <c r="P57" i="20"/>
  <c r="W65" i="20"/>
  <c r="AB63" i="20"/>
  <c r="P60" i="20"/>
  <c r="P123" i="20"/>
  <c r="P122" i="20"/>
  <c r="P124" i="20"/>
  <c r="P121" i="20"/>
  <c r="W128" i="20"/>
  <c r="W130" i="20"/>
  <c r="AB127" i="20"/>
  <c r="W127" i="20"/>
  <c r="W129" i="20"/>
  <c r="C121" i="20"/>
  <c r="D121" i="20"/>
  <c r="AA127" i="20"/>
  <c r="AD569" i="38"/>
  <c r="AD556" i="38" s="1"/>
  <c r="AE556" i="38" s="1"/>
  <c r="AE196" i="38"/>
  <c r="AE206" i="38" s="1"/>
  <c r="AC196" i="38"/>
  <c r="AB666" i="38" s="1" a="1"/>
  <c r="AD225" i="38"/>
  <c r="AD226" i="38" s="1"/>
  <c r="P98" i="20"/>
  <c r="P97" i="20"/>
  <c r="W104" i="20"/>
  <c r="W103" i="20"/>
  <c r="W105" i="20"/>
  <c r="W106" i="20"/>
  <c r="C97" i="20"/>
  <c r="D97" i="20"/>
  <c r="AA103" i="20"/>
  <c r="P99" i="20"/>
  <c r="P100" i="20"/>
  <c r="AB103" i="20"/>
  <c r="W117" i="20"/>
  <c r="W115" i="20"/>
  <c r="D109" i="20"/>
  <c r="P112" i="20"/>
  <c r="P111" i="20"/>
  <c r="P110" i="20"/>
  <c r="P109" i="20"/>
  <c r="C109" i="20"/>
  <c r="W116" i="20"/>
  <c r="AA115" i="20"/>
  <c r="AB115" i="20"/>
  <c r="W118" i="20"/>
  <c r="S162" i="38" a="1"/>
  <c r="S162" i="38" s="1"/>
  <c r="S196" i="38" s="1"/>
  <c r="AC208" i="38" a="1"/>
  <c r="N238" i="20"/>
  <c r="P237" i="20"/>
  <c r="W244" i="20"/>
  <c r="W246" i="20"/>
  <c r="W245" i="20"/>
  <c r="W243" i="20"/>
  <c r="C237" i="20"/>
  <c r="N239" i="20"/>
  <c r="D237" i="20"/>
  <c r="AA243" i="20"/>
  <c r="AB243" i="20"/>
  <c r="N240" i="20"/>
  <c r="W162" i="20"/>
  <c r="D153" i="20"/>
  <c r="C153" i="20"/>
  <c r="AA159" i="20"/>
  <c r="AB159" i="20"/>
  <c r="P155" i="20"/>
  <c r="P156" i="20"/>
  <c r="P154" i="20"/>
  <c r="W160" i="20"/>
  <c r="P153" i="20"/>
  <c r="W161" i="20"/>
  <c r="W159" i="20"/>
  <c r="AD566" i="38"/>
  <c r="AE162" i="38"/>
  <c r="AE161" i="38"/>
  <c r="AD221" i="38"/>
  <c r="AD223" i="38" s="1"/>
  <c r="AE160" i="38"/>
  <c r="AC160" i="38"/>
  <c r="AB576" i="38" s="1" a="1"/>
  <c r="W199" i="20"/>
  <c r="W200" i="20"/>
  <c r="P195" i="20"/>
  <c r="AA199" i="20"/>
  <c r="P196" i="20"/>
  <c r="P193" i="20"/>
  <c r="P194" i="20"/>
  <c r="W202" i="20"/>
  <c r="C193" i="20"/>
  <c r="D193" i="20"/>
  <c r="AB199" i="20"/>
  <c r="W201" i="20"/>
  <c r="AA155" i="20"/>
  <c r="W157" i="20"/>
  <c r="P151" i="20"/>
  <c r="W155" i="20"/>
  <c r="AB155" i="20"/>
  <c r="P150" i="20"/>
  <c r="P149" i="20"/>
  <c r="W158" i="20"/>
  <c r="C149" i="20"/>
  <c r="D149" i="20"/>
  <c r="P152" i="20"/>
  <c r="W156" i="20"/>
  <c r="W204" i="20"/>
  <c r="W203" i="20"/>
  <c r="W206" i="20"/>
  <c r="P200" i="20"/>
  <c r="P198" i="20"/>
  <c r="P199" i="20"/>
  <c r="D197" i="20"/>
  <c r="P197" i="20"/>
  <c r="C197" i="20"/>
  <c r="W205" i="20"/>
  <c r="AA203" i="20"/>
  <c r="AB203" i="20"/>
  <c r="D161" i="20"/>
  <c r="AB167" i="20"/>
  <c r="AA167" i="20"/>
  <c r="P163" i="20"/>
  <c r="C161" i="20"/>
  <c r="P164" i="20"/>
  <c r="P162" i="20"/>
  <c r="P161" i="20"/>
  <c r="W168" i="20"/>
  <c r="W167" i="20"/>
  <c r="W169" i="20"/>
  <c r="W170" i="20"/>
  <c r="C180" i="35"/>
  <c r="F180" i="35" s="1"/>
  <c r="E180" i="35"/>
  <c r="E181" i="35"/>
  <c r="D215" i="35"/>
  <c r="P183" i="20"/>
  <c r="P182" i="20"/>
  <c r="P181" i="20"/>
  <c r="W190" i="20"/>
  <c r="W188" i="20"/>
  <c r="AB187" i="20"/>
  <c r="D181" i="20"/>
  <c r="W189" i="20"/>
  <c r="W187" i="20"/>
  <c r="C181" i="20"/>
  <c r="AA187" i="20"/>
  <c r="P184" i="20"/>
  <c r="Q590" i="38" a="1"/>
  <c r="Q590" i="38" s="1"/>
  <c r="AB79" i="20"/>
  <c r="P76" i="20"/>
  <c r="P75" i="20"/>
  <c r="W81" i="20"/>
  <c r="W80" i="20"/>
  <c r="AA79" i="20"/>
  <c r="P74" i="20"/>
  <c r="P73" i="20"/>
  <c r="W82" i="20"/>
  <c r="W79" i="20"/>
  <c r="D209" i="20"/>
  <c r="P211" i="20"/>
  <c r="W217" i="20"/>
  <c r="P210" i="20"/>
  <c r="P209" i="20"/>
  <c r="AA215" i="20"/>
  <c r="AB215" i="20"/>
  <c r="P212" i="20"/>
  <c r="W218" i="20"/>
  <c r="W216" i="20"/>
  <c r="W215" i="20"/>
  <c r="C209" i="20"/>
  <c r="W89" i="20"/>
  <c r="P84" i="20"/>
  <c r="W90" i="20"/>
  <c r="P83" i="20"/>
  <c r="W88" i="20"/>
  <c r="AB87" i="20"/>
  <c r="W87" i="20"/>
  <c r="P82" i="20"/>
  <c r="P81" i="20"/>
  <c r="AA87" i="20"/>
  <c r="AO63" i="20" a="1"/>
  <c r="AO63" i="20" s="1"/>
  <c r="D69" i="20" s="1"/>
  <c r="AN63" i="20" a="1"/>
  <c r="AN63" i="20" s="1"/>
  <c r="C69" i="20" s="1"/>
  <c r="E555" i="38"/>
  <c r="E562" i="38" s="1"/>
  <c r="C170" i="35"/>
  <c r="F170" i="35" s="1"/>
  <c r="B246" i="35" s="1" a="1"/>
  <c r="B246" i="35" s="1"/>
  <c r="D213" i="35"/>
  <c r="E170" i="35"/>
  <c r="E171" i="35"/>
  <c r="P89" i="20"/>
  <c r="P90" i="20"/>
  <c r="W98" i="20"/>
  <c r="AA95" i="20"/>
  <c r="AB95" i="20"/>
  <c r="W95" i="20"/>
  <c r="W97" i="20"/>
  <c r="P92" i="20"/>
  <c r="P91" i="20"/>
  <c r="W96" i="20"/>
  <c r="P130" i="20"/>
  <c r="P129" i="20"/>
  <c r="P131" i="20"/>
  <c r="C129" i="20"/>
  <c r="W135" i="20"/>
  <c r="D129" i="20"/>
  <c r="W137" i="20"/>
  <c r="AB135" i="20"/>
  <c r="AA135" i="20"/>
  <c r="W138" i="20"/>
  <c r="W136" i="20"/>
  <c r="P132" i="20"/>
  <c r="W198" i="20"/>
  <c r="C189" i="20"/>
  <c r="W197" i="20"/>
  <c r="W195" i="20"/>
  <c r="D189" i="20"/>
  <c r="AA195" i="20"/>
  <c r="P190" i="20"/>
  <c r="AB195" i="20"/>
  <c r="P192" i="20"/>
  <c r="P191" i="20"/>
  <c r="P189" i="20"/>
  <c r="W196" i="20"/>
  <c r="AE182" i="38"/>
  <c r="C133" i="20"/>
  <c r="W140" i="20"/>
  <c r="D133" i="20"/>
  <c r="AB139" i="20"/>
  <c r="AA139" i="20"/>
  <c r="P136" i="20"/>
  <c r="P135" i="20"/>
  <c r="W139" i="20"/>
  <c r="P134" i="20"/>
  <c r="P133" i="20"/>
  <c r="W141" i="20"/>
  <c r="W142" i="20"/>
  <c r="C177" i="20"/>
  <c r="D177" i="20"/>
  <c r="AA183" i="20"/>
  <c r="W184" i="20"/>
  <c r="P180" i="20"/>
  <c r="P177" i="20"/>
  <c r="AB183" i="20"/>
  <c r="P179" i="20"/>
  <c r="W186" i="20"/>
  <c r="P178" i="20"/>
  <c r="W185" i="20"/>
  <c r="W183" i="20"/>
  <c r="P225" i="20"/>
  <c r="P227" i="20"/>
  <c r="P226" i="20"/>
  <c r="W233" i="20"/>
  <c r="W231" i="20"/>
  <c r="W232" i="20"/>
  <c r="C225" i="20"/>
  <c r="W234" i="20"/>
  <c r="D225" i="20"/>
  <c r="AA231" i="20"/>
  <c r="AB231" i="20"/>
  <c r="P228" i="20"/>
  <c r="AN68" i="20" a="1"/>
  <c r="AN68" i="20" s="1"/>
  <c r="C89" i="20" s="1"/>
  <c r="AO68" i="20" a="1"/>
  <c r="AO68" i="20" s="1"/>
  <c r="D89" i="20" s="1"/>
  <c r="C190" i="35"/>
  <c r="F190" i="35" s="1"/>
  <c r="D216" i="35"/>
  <c r="E216" i="35" s="1"/>
  <c r="E190" i="35"/>
  <c r="AB59" i="20"/>
  <c r="P56" i="20"/>
  <c r="W59" i="20"/>
  <c r="W62" i="20"/>
  <c r="P55" i="20"/>
  <c r="P54" i="20"/>
  <c r="P53" i="20"/>
  <c r="W61" i="20"/>
  <c r="W60" i="20"/>
  <c r="AA59" i="20"/>
  <c r="W101" i="20"/>
  <c r="AB99" i="20"/>
  <c r="W99" i="20"/>
  <c r="P96" i="20"/>
  <c r="P95" i="20"/>
  <c r="P94" i="20"/>
  <c r="AA99" i="20"/>
  <c r="P93" i="20"/>
  <c r="W100" i="20"/>
  <c r="W102" i="20"/>
  <c r="C160" i="35"/>
  <c r="F160" i="35" s="1"/>
  <c r="E162" i="35"/>
  <c r="D212" i="35"/>
  <c r="E160" i="35"/>
  <c r="E161" i="35"/>
  <c r="P64" i="20"/>
  <c r="P63" i="20"/>
  <c r="W68" i="20"/>
  <c r="W67" i="20"/>
  <c r="P62" i="20"/>
  <c r="P61" i="20"/>
  <c r="W70" i="20"/>
  <c r="W69" i="20"/>
  <c r="AA67" i="20"/>
  <c r="AB67" i="20"/>
  <c r="AO67" i="20" a="1"/>
  <c r="AO67" i="20" s="1"/>
  <c r="D85" i="20" s="1"/>
  <c r="AN67" i="20" a="1"/>
  <c r="AN67" i="20" s="1"/>
  <c r="C85" i="20" s="1"/>
  <c r="W5" i="14"/>
  <c r="X5" i="14"/>
  <c r="K562" i="38"/>
  <c r="K266" i="2"/>
  <c r="F590" i="2" s="1" a="1"/>
  <c r="F590" i="2" s="1"/>
  <c r="G590" i="2" s="1"/>
  <c r="F36" i="40"/>
  <c r="F73" i="40"/>
  <c r="F85" i="40" s="1"/>
  <c r="T7" i="38" a="1"/>
  <c r="AK13" i="38"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M270" i="2"/>
  <c r="F652" i="2" s="1" a="1"/>
  <c r="F652" i="2" s="1"/>
  <c r="G652" i="2" s="1"/>
  <c r="F697" i="2" a="1"/>
  <c r="F697" i="2" s="1"/>
  <c r="G697" i="2" s="1"/>
  <c r="I635" i="38"/>
  <c r="L560" i="38"/>
  <c r="AR52" i="40"/>
  <c r="AW52" i="40"/>
  <c r="B260" i="35" a="1"/>
  <c r="B260" i="35" s="1"/>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D21" i="14" l="1"/>
  <c r="E561" i="38"/>
  <c r="AE170" i="38"/>
  <c r="AD95" i="20"/>
  <c r="L89" i="20" s="1"/>
  <c r="AO65" i="20" a="1"/>
  <c r="AO65" i="20" s="1"/>
  <c r="D77" i="20" s="1"/>
  <c r="AC159" i="20"/>
  <c r="K153" i="20" s="1"/>
  <c r="AD131" i="20"/>
  <c r="L125" i="20" s="1"/>
  <c r="AC179" i="20"/>
  <c r="K173" i="20" s="1"/>
  <c r="AC203" i="20"/>
  <c r="K197" i="20" s="1"/>
  <c r="AC211" i="20"/>
  <c r="K205" i="20" s="1"/>
  <c r="AC147" i="20"/>
  <c r="K141" i="20" s="1"/>
  <c r="AC223" i="20"/>
  <c r="K217" i="20" s="1"/>
  <c r="AD119" i="20"/>
  <c r="L113" i="20" s="1"/>
  <c r="AD91" i="20"/>
  <c r="L85" i="20" s="1"/>
  <c r="AD195" i="20"/>
  <c r="L189" i="20" s="1"/>
  <c r="AD191" i="20"/>
  <c r="L185" i="20" s="1"/>
  <c r="AD75" i="20"/>
  <c r="L69" i="20" s="1"/>
  <c r="AC207" i="20"/>
  <c r="K201" i="20" s="1"/>
  <c r="AD235" i="20"/>
  <c r="L229" i="20" s="1"/>
  <c r="AD231" i="20"/>
  <c r="L225" i="20" s="1"/>
  <c r="AD199" i="20"/>
  <c r="L193" i="20" s="1"/>
  <c r="AC91" i="20"/>
  <c r="K85" i="20" s="1"/>
  <c r="AC95" i="20"/>
  <c r="K89" i="20" s="1"/>
  <c r="AD571" i="38"/>
  <c r="AB576" i="38"/>
  <c r="AD219" i="20"/>
  <c r="L213" i="20" s="1"/>
  <c r="AD183" i="20"/>
  <c r="L177" i="20" s="1"/>
  <c r="AC187" i="20"/>
  <c r="K181" i="20" s="1"/>
  <c r="AD179" i="20"/>
  <c r="L173" i="20" s="1"/>
  <c r="H173" i="20" s="1"/>
  <c r="AC219" i="20"/>
  <c r="K213" i="20" s="1"/>
  <c r="AC131" i="20"/>
  <c r="K125" i="20" s="1"/>
  <c r="AC183" i="20"/>
  <c r="K177" i="20" s="1"/>
  <c r="AD135" i="20"/>
  <c r="L129" i="20" s="1"/>
  <c r="AC163" i="20"/>
  <c r="K157" i="20" s="1"/>
  <c r="AD143" i="20"/>
  <c r="L137" i="20" s="1"/>
  <c r="AD203" i="20"/>
  <c r="L197" i="20" s="1"/>
  <c r="AC115" i="20"/>
  <c r="K109" i="20" s="1"/>
  <c r="AD147" i="20"/>
  <c r="L141" i="20" s="1"/>
  <c r="AC135" i="20"/>
  <c r="K129" i="20" s="1"/>
  <c r="AD187" i="20"/>
  <c r="L181" i="20" s="1"/>
  <c r="AB585" i="38" a="1"/>
  <c r="AB585" i="38" s="1"/>
  <c r="AD555" i="38"/>
  <c r="AE566" i="38"/>
  <c r="AD223" i="20"/>
  <c r="L217" i="20" s="1"/>
  <c r="AC143" i="20"/>
  <c r="K137" i="20" s="1"/>
  <c r="H209" i="20"/>
  <c r="G209" i="20"/>
  <c r="AC215" i="20"/>
  <c r="G141" i="20"/>
  <c r="AO62" i="20" a="1"/>
  <c r="AO62" i="20" s="1"/>
  <c r="D65" i="20" s="1"/>
  <c r="AN62" i="20" a="1"/>
  <c r="AN62" i="20" s="1"/>
  <c r="C65" i="20" s="1"/>
  <c r="E218" i="35"/>
  <c r="B290" i="35" a="1"/>
  <c r="B290" i="35" s="1"/>
  <c r="AD115" i="20"/>
  <c r="L109" i="20" s="1"/>
  <c r="AD155" i="20"/>
  <c r="L149" i="20" s="1"/>
  <c r="AN64" i="20" a="1"/>
  <c r="AN64" i="20" s="1"/>
  <c r="C73" i="20" s="1"/>
  <c r="AO64" i="20" a="1"/>
  <c r="AO64" i="20" s="1"/>
  <c r="D73" i="20" s="1"/>
  <c r="AC155" i="20"/>
  <c r="K149" i="20" s="1"/>
  <c r="AD211" i="20"/>
  <c r="L205" i="20" s="1"/>
  <c r="H205" i="20" s="1"/>
  <c r="E215" i="35"/>
  <c r="D217" i="35"/>
  <c r="AC107" i="20"/>
  <c r="K101" i="20" s="1"/>
  <c r="AN61" i="20" a="1"/>
  <c r="AN61" i="20" s="1"/>
  <c r="C61" i="20" s="1"/>
  <c r="AO61" i="20" a="1"/>
  <c r="AO61" i="20" s="1"/>
  <c r="D61" i="20" s="1"/>
  <c r="AD139" i="20"/>
  <c r="L133" i="20" s="1"/>
  <c r="AC119" i="20"/>
  <c r="K113" i="20" s="1"/>
  <c r="AC151" i="20"/>
  <c r="K145" i="20" s="1"/>
  <c r="B590" i="38"/>
  <c r="D571" i="38"/>
  <c r="AB680" i="38" a="1"/>
  <c r="AB680" i="38" s="1"/>
  <c r="B599" i="38" a="1"/>
  <c r="B599" i="38" s="1"/>
  <c r="D555" i="38"/>
  <c r="AC139" i="20"/>
  <c r="K133" i="20" s="1"/>
  <c r="AD151" i="20"/>
  <c r="L145" i="20" s="1"/>
  <c r="AD159" i="20"/>
  <c r="L153" i="20" s="1"/>
  <c r="AD103" i="20"/>
  <c r="L97" i="20" s="1"/>
  <c r="AD107" i="20"/>
  <c r="L101" i="20" s="1"/>
  <c r="D214" i="35"/>
  <c r="E212" i="35"/>
  <c r="B236" i="35" a="1"/>
  <c r="B236" i="35" s="1"/>
  <c r="AC231" i="20"/>
  <c r="K225" i="20" s="1"/>
  <c r="AC103" i="20"/>
  <c r="K97" i="20" s="1"/>
  <c r="AD207" i="20"/>
  <c r="L201" i="20" s="1"/>
  <c r="AO69" i="20" a="1"/>
  <c r="AO69" i="20" s="1"/>
  <c r="D93" i="20" s="1"/>
  <c r="AN69" i="20" a="1"/>
  <c r="AN69" i="20" s="1"/>
  <c r="C93" i="20" s="1"/>
  <c r="AD215" i="20"/>
  <c r="AD171" i="20"/>
  <c r="L165" i="20" s="1"/>
  <c r="B675" i="38" a="1"/>
  <c r="B675" i="38" s="1"/>
  <c r="D556" i="38"/>
  <c r="AC171" i="20"/>
  <c r="K165" i="20" s="1"/>
  <c r="AD243" i="20"/>
  <c r="L237" i="20" s="1"/>
  <c r="E569" i="38"/>
  <c r="E556" i="38"/>
  <c r="AO59" i="20" a="1"/>
  <c r="AO59" i="20" s="1"/>
  <c r="D53" i="20" s="1"/>
  <c r="AD59" i="20" s="1"/>
  <c r="L53" i="20" s="1"/>
  <c r="B666" i="38"/>
  <c r="D572" i="38"/>
  <c r="Q272" i="38" a="1"/>
  <c r="Q272" i="38" s="1"/>
  <c r="S178" i="38" a="1"/>
  <c r="S178" i="38" s="1"/>
  <c r="S554" i="38" s="1"/>
  <c r="S562" i="38" s="1"/>
  <c r="Q600" i="38" a="1"/>
  <c r="Q600" i="38" s="1"/>
  <c r="AD123" i="20"/>
  <c r="L117" i="20" s="1"/>
  <c r="AD111" i="20"/>
  <c r="L105" i="20" s="1"/>
  <c r="B255" i="35" a="1"/>
  <c r="B255" i="35" s="1"/>
  <c r="E213" i="35"/>
  <c r="AC167" i="20"/>
  <c r="K161" i="20" s="1"/>
  <c r="AC199" i="20"/>
  <c r="K193" i="20" s="1"/>
  <c r="AC243" i="20"/>
  <c r="K237" i="20" s="1"/>
  <c r="AC235" i="20"/>
  <c r="K229" i="20" s="1"/>
  <c r="AC123" i="20"/>
  <c r="K117" i="20" s="1"/>
  <c r="AC111" i="20"/>
  <c r="K105" i="20" s="1"/>
  <c r="L266" i="2"/>
  <c r="Q580" i="38" a="1"/>
  <c r="Q580" i="38" s="1"/>
  <c r="S164" i="38" a="1"/>
  <c r="S164" i="38" s="1"/>
  <c r="S552" i="38" s="1"/>
  <c r="S560" i="38" s="1"/>
  <c r="AO66" i="20" a="1"/>
  <c r="AO66" i="20" s="1"/>
  <c r="D81" i="20" s="1"/>
  <c r="AN66" i="20" a="1"/>
  <c r="AN66" i="20" s="1"/>
  <c r="C81" i="20" s="1"/>
  <c r="AB666" i="38"/>
  <c r="AD572" i="38"/>
  <c r="AD163" i="20"/>
  <c r="L157" i="20" s="1"/>
  <c r="AC239" i="20"/>
  <c r="K233" i="20" s="1"/>
  <c r="Q570" i="38" a="1"/>
  <c r="Q570" i="38" s="1"/>
  <c r="AC75" i="20"/>
  <c r="K69" i="20" s="1"/>
  <c r="AC227" i="20"/>
  <c r="K221" i="20" s="1"/>
  <c r="AD239" i="20"/>
  <c r="L233" i="20" s="1"/>
  <c r="AC191" i="20"/>
  <c r="K185" i="20" s="1"/>
  <c r="S159" i="38" a="1"/>
  <c r="S159" i="38" s="1"/>
  <c r="S551" i="38" s="1"/>
  <c r="S559" i="38" s="1"/>
  <c r="AC195" i="20"/>
  <c r="K189" i="20" s="1"/>
  <c r="AD167" i="20"/>
  <c r="L161" i="20" s="1"/>
  <c r="AB675" i="38" a="1"/>
  <c r="AB675" i="38" s="1"/>
  <c r="AE569" i="38"/>
  <c r="X741" i="38" s="1" a="1"/>
  <c r="X741" i="38" s="1"/>
  <c r="AO60" i="20" a="1"/>
  <c r="AO60" i="20" s="1"/>
  <c r="D57" i="20" s="1"/>
  <c r="AN60" i="20" a="1"/>
  <c r="AN60" i="20" s="1"/>
  <c r="C57" i="20" s="1"/>
  <c r="E218" i="38"/>
  <c r="E557" i="38" s="1"/>
  <c r="AD127" i="20"/>
  <c r="L121" i="20" s="1"/>
  <c r="AD175" i="20"/>
  <c r="L169" i="20" s="1"/>
  <c r="AN65" i="20" a="1"/>
  <c r="AN65" i="20" s="1"/>
  <c r="C77" i="20" s="1"/>
  <c r="AD557" i="38"/>
  <c r="AE557" i="38" s="1"/>
  <c r="AE209" i="38"/>
  <c r="AE208" i="38"/>
  <c r="AD227" i="38"/>
  <c r="AD228" i="38" s="1"/>
  <c r="AC208" i="38"/>
  <c r="AB730" i="38" s="1" a="1"/>
  <c r="AC127" i="20"/>
  <c r="K121" i="20" s="1"/>
  <c r="AC175" i="20"/>
  <c r="K169" i="20" s="1"/>
  <c r="AD227" i="20"/>
  <c r="L221" i="20" s="1"/>
  <c r="B740" i="38" a="1"/>
  <c r="B740" i="38" s="1"/>
  <c r="B730" i="38" a="1"/>
  <c r="O552" i="38"/>
  <c r="O553" i="38" s="1"/>
  <c r="I714" i="38" a="1"/>
  <c r="I714" i="38" s="1"/>
  <c r="I719" i="38" s="1" a="1"/>
  <c r="I719" i="38" s="1"/>
  <c r="W18" i="14"/>
  <c r="X18" i="14"/>
  <c r="V109" i="14"/>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AE558" i="38"/>
  <c r="AE563" i="38"/>
  <c r="AE564" i="38"/>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I799" i="38" s="1" a="1"/>
  <c r="I799"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G153" i="20" l="1"/>
  <c r="G197" i="20"/>
  <c r="G217" i="20"/>
  <c r="H201" i="20"/>
  <c r="AC67" i="20"/>
  <c r="K61" i="20" s="1"/>
  <c r="AC79" i="20"/>
  <c r="K73" i="20" s="1"/>
  <c r="H217" i="20"/>
  <c r="AD558" i="38"/>
  <c r="AB741" i="38" s="1" a="1"/>
  <c r="AB741" i="38" s="1"/>
  <c r="H197" i="20"/>
  <c r="AD87" i="20"/>
  <c r="L81" i="20" s="1"/>
  <c r="AD99" i="20"/>
  <c r="L93" i="20" s="1"/>
  <c r="AC59" i="20"/>
  <c r="K53" i="20" s="1"/>
  <c r="AC63" i="20"/>
  <c r="K57" i="20" s="1"/>
  <c r="H141" i="20"/>
  <c r="AL21" i="38"/>
  <c r="G133" i="20"/>
  <c r="H133" i="20"/>
  <c r="H53" i="20"/>
  <c r="G53" i="20"/>
  <c r="AD63" i="20"/>
  <c r="L57" i="20" s="1"/>
  <c r="G57" i="20" s="1"/>
  <c r="B604" i="38" a="1"/>
  <c r="B604" i="38" s="1"/>
  <c r="G101" i="38"/>
  <c r="E559" i="38"/>
  <c r="B609" i="38" a="1"/>
  <c r="B609" i="38" s="1"/>
  <c r="H137" i="20"/>
  <c r="G137" i="20"/>
  <c r="G189" i="20"/>
  <c r="H189" i="20"/>
  <c r="G185" i="20"/>
  <c r="H185" i="20"/>
  <c r="H145" i="20"/>
  <c r="G145" i="20"/>
  <c r="AB604" i="38" a="1"/>
  <c r="AB604" i="38" s="1"/>
  <c r="AB609" i="38" s="1" a="1"/>
  <c r="AB609" i="38" s="1"/>
  <c r="AE559" i="38"/>
  <c r="AE555" i="38"/>
  <c r="G106" i="38"/>
  <c r="G113" i="20"/>
  <c r="H113" i="20"/>
  <c r="E563" i="38"/>
  <c r="E564" i="38"/>
  <c r="G221" i="20"/>
  <c r="H221" i="20"/>
  <c r="G165" i="20"/>
  <c r="H165" i="20"/>
  <c r="B680" i="38" a="1"/>
  <c r="B680" i="38" s="1"/>
  <c r="B689" i="38" s="1" a="1"/>
  <c r="B689" i="38" s="1"/>
  <c r="D558" i="38"/>
  <c r="AD67" i="20"/>
  <c r="L61" i="20" s="1"/>
  <c r="G61" i="20" s="1"/>
  <c r="G129" i="20"/>
  <c r="H129" i="20"/>
  <c r="Q728" i="38" a="1"/>
  <c r="Q728" i="38" s="1"/>
  <c r="Q778" i="38" a="1"/>
  <c r="Q778" i="38" s="1"/>
  <c r="H233" i="20"/>
  <c r="G233" i="20"/>
  <c r="G101" i="20"/>
  <c r="H101" i="20"/>
  <c r="H109" i="20"/>
  <c r="G109" i="20"/>
  <c r="G201" i="20"/>
  <c r="D219" i="35"/>
  <c r="E217" i="35"/>
  <c r="B280" i="35" a="1"/>
  <c r="B280" i="35" s="1"/>
  <c r="AB689" i="38" a="1"/>
  <c r="AB689" i="38" s="1"/>
  <c r="G157" i="20"/>
  <c r="H157" i="20"/>
  <c r="AC87" i="20"/>
  <c r="K81" i="20" s="1"/>
  <c r="AC99" i="20"/>
  <c r="K93" i="20" s="1"/>
  <c r="G149" i="20"/>
  <c r="H149" i="20"/>
  <c r="AD79" i="20"/>
  <c r="L73" i="20" s="1"/>
  <c r="G177" i="20"/>
  <c r="H177" i="20"/>
  <c r="Q688" i="38" a="1"/>
  <c r="Q688" i="38" s="1"/>
  <c r="Q653" i="38" a="1"/>
  <c r="Q653" i="38" s="1"/>
  <c r="G97" i="20"/>
  <c r="H97" i="20"/>
  <c r="G225" i="20"/>
  <c r="H225" i="20"/>
  <c r="H125" i="20"/>
  <c r="G125" i="20"/>
  <c r="G213" i="20"/>
  <c r="H213" i="20"/>
  <c r="H69" i="20"/>
  <c r="G69" i="20"/>
  <c r="G121" i="20"/>
  <c r="H121" i="20"/>
  <c r="G105" i="20"/>
  <c r="H105" i="20"/>
  <c r="H169" i="20"/>
  <c r="G169" i="20"/>
  <c r="AD573" i="38"/>
  <c r="AB730" i="38"/>
  <c r="AB740" i="38" a="1"/>
  <c r="AB740" i="38" s="1"/>
  <c r="G117" i="20"/>
  <c r="H117" i="20"/>
  <c r="E214" i="35"/>
  <c r="B256" i="35" a="1"/>
  <c r="B256" i="35" s="1"/>
  <c r="G173" i="20"/>
  <c r="H181" i="20"/>
  <c r="G181" i="20"/>
  <c r="H229" i="20"/>
  <c r="G229" i="20"/>
  <c r="D573" i="38"/>
  <c r="B730" i="38"/>
  <c r="AE218" i="38"/>
  <c r="H237" i="20"/>
  <c r="G237" i="20"/>
  <c r="AD71" i="20"/>
  <c r="L65" i="20" s="1"/>
  <c r="AC71" i="20"/>
  <c r="K65" i="20" s="1"/>
  <c r="H193" i="20"/>
  <c r="G193" i="20"/>
  <c r="H161" i="20"/>
  <c r="G161" i="20"/>
  <c r="G205" i="20"/>
  <c r="AD83" i="20"/>
  <c r="L77" i="20" s="1"/>
  <c r="AC83" i="20"/>
  <c r="K77" i="20" s="1"/>
  <c r="H153" i="20"/>
  <c r="H89" i="20"/>
  <c r="G89" i="20"/>
  <c r="H85" i="20"/>
  <c r="G85" i="20"/>
  <c r="AL12" i="38"/>
  <c r="AL32" i="38"/>
  <c r="AL31" i="38"/>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R425" i="38"/>
  <c r="AF27" i="38"/>
  <c r="AF23" i="38"/>
  <c r="AF20" i="38"/>
  <c r="AF21" i="38"/>
  <c r="R422" i="38"/>
  <c r="R419" i="38"/>
  <c r="R421" i="38"/>
  <c r="R426" i="38"/>
  <c r="AF26" i="38"/>
  <c r="AF28" i="38"/>
  <c r="AF24" i="38"/>
  <c r="AF25" i="38"/>
  <c r="R424" i="38"/>
  <c r="AF22" i="38"/>
  <c r="R423" i="38"/>
  <c r="R420" i="38"/>
  <c r="AG28" i="38"/>
  <c r="AG27" i="38"/>
  <c r="AG26" i="38"/>
  <c r="AG25" i="38"/>
  <c r="AG24" i="38"/>
  <c r="AG23" i="38"/>
  <c r="AG22" i="38"/>
  <c r="AG21" i="38"/>
  <c r="AG20"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73" i="20" l="1"/>
  <c r="H61" i="20"/>
  <c r="AB744" i="38" a="1"/>
  <c r="AB744" i="38" s="1"/>
  <c r="X7" i="38" s="1" a="1"/>
  <c r="AN31" i="38" s="1"/>
  <c r="H57" i="20"/>
  <c r="E558" i="38"/>
  <c r="B741" i="38" a="1"/>
  <c r="B741" i="38" s="1"/>
  <c r="B744" i="38" s="1" a="1"/>
  <c r="B744" i="38" s="1"/>
  <c r="I7" i="38" s="1" a="1"/>
  <c r="G93" i="20"/>
  <c r="H93" i="20"/>
  <c r="H81" i="20"/>
  <c r="G81" i="20"/>
  <c r="AE561" i="38"/>
  <c r="AE562" i="38"/>
  <c r="E219" i="35"/>
  <c r="B292" i="35" a="1"/>
  <c r="B292" i="35" s="1"/>
  <c r="B7" i="35" s="1" a="1"/>
  <c r="H73" i="20"/>
  <c r="G77" i="20"/>
  <c r="H77" i="20"/>
  <c r="H65" i="20"/>
  <c r="G65" i="20"/>
  <c r="Q7" i="38" a="1"/>
  <c r="P270" i="2"/>
  <c r="F655" i="2" s="1" a="1"/>
  <c r="F655" i="2" s="1"/>
  <c r="G655" i="2" s="1"/>
  <c r="AH28" i="38"/>
  <c r="AH26" i="38"/>
  <c r="AH21" i="38"/>
  <c r="AH20" i="38"/>
  <c r="AH22" i="38"/>
  <c r="AH23" i="38"/>
  <c r="AH27" i="38"/>
  <c r="AH25"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R417" i="38" l="1"/>
  <c r="AF19" i="38"/>
  <c r="AG19" i="38"/>
  <c r="AG18" i="38"/>
  <c r="AF18" i="38"/>
  <c r="AH18" i="38" s="1"/>
  <c r="R416" i="38"/>
  <c r="AF17" i="38"/>
  <c r="R415" i="38"/>
  <c r="AG17" i="38"/>
  <c r="Y407" i="38"/>
  <c r="Y441" i="38"/>
  <c r="Z441" i="38" s="1"/>
  <c r="AO20" i="38"/>
  <c r="AN22" i="38"/>
  <c r="Y419" i="38"/>
  <c r="Z419" i="38" s="1"/>
  <c r="Y423" i="38"/>
  <c r="Y411" i="38"/>
  <c r="AO42" i="38"/>
  <c r="AO23" i="38"/>
  <c r="AO15" i="38"/>
  <c r="AN27" i="38"/>
  <c r="Y413" i="38"/>
  <c r="AN32" i="38"/>
  <c r="AN18" i="38"/>
  <c r="Y412" i="38"/>
  <c r="Z412" i="38" s="1"/>
  <c r="Y415" i="38"/>
  <c r="AO29" i="38"/>
  <c r="Y408" i="38"/>
  <c r="AN9" i="38"/>
  <c r="AO27" i="38"/>
  <c r="Y424" i="38"/>
  <c r="AN10" i="38"/>
  <c r="Y414" i="38"/>
  <c r="AO21" i="38"/>
  <c r="AN11" i="38"/>
  <c r="AO16" i="38"/>
  <c r="AN30" i="38"/>
  <c r="AO37" i="38"/>
  <c r="AN26" i="38"/>
  <c r="AN13" i="38"/>
  <c r="Y438" i="38"/>
  <c r="AN40" i="38"/>
  <c r="AO32" i="38"/>
  <c r="AN17" i="38"/>
  <c r="AO41" i="38"/>
  <c r="AO9" i="38"/>
  <c r="AN14" i="38"/>
  <c r="AO31" i="38"/>
  <c r="Y420" i="38"/>
  <c r="AN12" i="38"/>
  <c r="AO40" i="38"/>
  <c r="AO25" i="38"/>
  <c r="AO24" i="38"/>
  <c r="AO13" i="38"/>
  <c r="Y435" i="38"/>
  <c r="AO22" i="38"/>
  <c r="AP22" i="38" s="1"/>
  <c r="Y429" i="38"/>
  <c r="AN28" i="38"/>
  <c r="Y433" i="38"/>
  <c r="Y409" i="38"/>
  <c r="AO18" i="38"/>
  <c r="Y427" i="38"/>
  <c r="Y439" i="38"/>
  <c r="Z439" i="38" s="1"/>
  <c r="AO19" i="38"/>
  <c r="Y437" i="38"/>
  <c r="Z437" i="38" s="1"/>
  <c r="Y434" i="38"/>
  <c r="Z434" i="38" s="1"/>
  <c r="Y417" i="38"/>
  <c r="Z417" i="38" s="1"/>
  <c r="AN19" i="38"/>
  <c r="Y426" i="38"/>
  <c r="Z426" i="38" s="1"/>
  <c r="Y416" i="38"/>
  <c r="Y422" i="38"/>
  <c r="AO36" i="38"/>
  <c r="AN21" i="38"/>
  <c r="AO10" i="38"/>
  <c r="AN35" i="38"/>
  <c r="Y430" i="38"/>
  <c r="Z430" i="38" s="1"/>
  <c r="Y431" i="38"/>
  <c r="Y440" i="38"/>
  <c r="Y410" i="38"/>
  <c r="AN16" i="38"/>
  <c r="AN25" i="38"/>
  <c r="AN38" i="38"/>
  <c r="AO17" i="38"/>
  <c r="AN39" i="38"/>
  <c r="AN15" i="38"/>
  <c r="AP15" i="38" s="1"/>
  <c r="AN24" i="38"/>
  <c r="Y405" i="38"/>
  <c r="AO34" i="38"/>
  <c r="AN43" i="38"/>
  <c r="AN29" i="38"/>
  <c r="AO33" i="38"/>
  <c r="AN34" i="38"/>
  <c r="AP34" i="38" s="1"/>
  <c r="AN37" i="38"/>
  <c r="AO26" i="38"/>
  <c r="AO35" i="38"/>
  <c r="AN23" i="38"/>
  <c r="AP23" i="38" s="1"/>
  <c r="Y425" i="38"/>
  <c r="AO28" i="38"/>
  <c r="AO11" i="38"/>
  <c r="Y432" i="38"/>
  <c r="Z432" i="38" s="1"/>
  <c r="AO30" i="38"/>
  <c r="AO39" i="38"/>
  <c r="AO12" i="38"/>
  <c r="AN20" i="38"/>
  <c r="AP20" i="38" s="1"/>
  <c r="AO38" i="38"/>
  <c r="Y406" i="38"/>
  <c r="Z406" i="38" s="1"/>
  <c r="AN41" i="38"/>
  <c r="AP41" i="38" s="1"/>
  <c r="AO43" i="38"/>
  <c r="AN36" i="38"/>
  <c r="Y421" i="38"/>
  <c r="Z421" i="38" s="1"/>
  <c r="AO14" i="38"/>
  <c r="Y428" i="38"/>
  <c r="Y418" i="38"/>
  <c r="Y436" i="38"/>
  <c r="AN33" i="38"/>
  <c r="X7" i="38"/>
  <c r="AN42" i="38"/>
  <c r="C117" i="35"/>
  <c r="C123" i="35"/>
  <c r="C124" i="35"/>
  <c r="C125" i="35"/>
  <c r="C131" i="35"/>
  <c r="C126" i="35"/>
  <c r="C129" i="35"/>
  <c r="C128" i="35"/>
  <c r="C130" i="35"/>
  <c r="C132" i="35"/>
  <c r="C133" i="35"/>
  <c r="C127" i="35"/>
  <c r="C122" i="35"/>
  <c r="C121" i="35"/>
  <c r="C118" i="35"/>
  <c r="C112" i="35"/>
  <c r="C106" i="35"/>
  <c r="C111" i="35"/>
  <c r="C120" i="35"/>
  <c r="B7" i="35"/>
  <c r="C115" i="35"/>
  <c r="C104" i="35"/>
  <c r="C105" i="35"/>
  <c r="C101" i="35"/>
  <c r="C100" i="35"/>
  <c r="C109" i="35"/>
  <c r="C119" i="35"/>
  <c r="C107" i="35"/>
  <c r="C110" i="35"/>
  <c r="C103" i="35"/>
  <c r="C108" i="35"/>
  <c r="C114" i="35"/>
  <c r="C102" i="35"/>
  <c r="C113" i="35"/>
  <c r="C116" i="35"/>
  <c r="AF14" i="38"/>
  <c r="AG9" i="38"/>
  <c r="R409" i="38"/>
  <c r="R412" i="38"/>
  <c r="R406" i="38"/>
  <c r="R410" i="38"/>
  <c r="AF16" i="38"/>
  <c r="AG12" i="38"/>
  <c r="AG10" i="38"/>
  <c r="AG11" i="38"/>
  <c r="AF11" i="38"/>
  <c r="AH11" i="38" s="1"/>
  <c r="R413" i="38"/>
  <c r="AG13" i="38"/>
  <c r="AF12" i="38"/>
  <c r="AG15" i="38"/>
  <c r="R407" i="38"/>
  <c r="AG16" i="38"/>
  <c r="AG14" i="38"/>
  <c r="AF9" i="38"/>
  <c r="R405" i="38"/>
  <c r="Q7" i="38"/>
  <c r="AF13" i="38"/>
  <c r="R408" i="38"/>
  <c r="R414" i="38"/>
  <c r="AF10" i="38"/>
  <c r="R411" i="38"/>
  <c r="AF15" i="38"/>
  <c r="J429" i="38"/>
  <c r="J405" i="38"/>
  <c r="J435" i="38"/>
  <c r="J410" i="38"/>
  <c r="K410" i="38" s="1"/>
  <c r="J418" i="38"/>
  <c r="J412" i="38"/>
  <c r="K412" i="38" s="1"/>
  <c r="J421" i="38"/>
  <c r="K421" i="38" s="1"/>
  <c r="I7" i="38"/>
  <c r="J440" i="38"/>
  <c r="J408" i="38"/>
  <c r="J436" i="38"/>
  <c r="J407" i="38"/>
  <c r="J441" i="38"/>
  <c r="K441" i="38" s="1"/>
  <c r="J424" i="38"/>
  <c r="J409" i="38"/>
  <c r="J438" i="38"/>
  <c r="J423" i="38"/>
  <c r="K423" i="38" s="1"/>
  <c r="J422" i="38"/>
  <c r="J426" i="38"/>
  <c r="K426" i="38" s="1"/>
  <c r="J439" i="38"/>
  <c r="K439" i="38" s="1"/>
  <c r="J434" i="38"/>
  <c r="K434" i="38" s="1"/>
  <c r="J419" i="38"/>
  <c r="K419" i="38" s="1"/>
  <c r="J430" i="38"/>
  <c r="K430" i="38" s="1"/>
  <c r="J420" i="38"/>
  <c r="J417" i="38"/>
  <c r="K417" i="38" s="1"/>
  <c r="J431" i="38"/>
  <c r="J425" i="38"/>
  <c r="J428" i="38"/>
  <c r="J432" i="38"/>
  <c r="K432" i="38" s="1"/>
  <c r="J433" i="38"/>
  <c r="J415" i="38"/>
  <c r="J427" i="38"/>
  <c r="J414" i="38"/>
  <c r="J416" i="38"/>
  <c r="J411" i="38"/>
  <c r="J406" i="38"/>
  <c r="K406" i="38" s="1"/>
  <c r="J437" i="38"/>
  <c r="K437" i="38" s="1"/>
  <c r="J413" i="38"/>
  <c r="AP42" i="38"/>
  <c r="AP31" i="38"/>
  <c r="P250" i="2"/>
  <c r="Q250" i="2" s="1"/>
  <c r="N256" i="2"/>
  <c r="F594" i="2" a="1"/>
  <c r="F594" i="2" s="1"/>
  <c r="G594" i="2" s="1"/>
  <c r="P266" i="2"/>
  <c r="R280" i="2"/>
  <c r="S280" i="2" s="1"/>
  <c r="F459" i="2" a="1"/>
  <c r="F459" i="2" s="1"/>
  <c r="G459" i="2" s="1"/>
  <c r="Q257" i="2"/>
  <c r="F461" i="2" s="1" a="1"/>
  <c r="F461" i="2" s="1"/>
  <c r="G461" i="2" s="1"/>
  <c r="R265" i="2"/>
  <c r="R273" i="2"/>
  <c r="S273" i="2" s="1"/>
  <c r="P248" i="2"/>
  <c r="Q248" i="2" s="1"/>
  <c r="F326" i="2" s="1" a="1"/>
  <c r="F326" i="2" s="1"/>
  <c r="G326" i="2" s="1"/>
  <c r="F324" i="2" a="1"/>
  <c r="F324" i="2" s="1"/>
  <c r="G324" i="2" s="1"/>
  <c r="F534" i="2" a="1"/>
  <c r="F534" i="2" s="1"/>
  <c r="G534" i="2" s="1"/>
  <c r="P277" i="2"/>
  <c r="F760" i="2" s="1" a="1"/>
  <c r="F760" i="2" s="1"/>
  <c r="G760" i="2" s="1"/>
  <c r="R252" i="2"/>
  <c r="F387" i="2" s="1" a="1"/>
  <c r="F387" i="2" s="1"/>
  <c r="G387"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311" i="2" a="1"/>
  <c r="F311" i="2" s="1"/>
  <c r="G311" i="2" s="1"/>
  <c r="R247" i="2"/>
  <c r="F356" i="2" a="1"/>
  <c r="F356" i="2" s="1"/>
  <c r="G356" i="2" s="1"/>
  <c r="F535" i="2" a="1"/>
  <c r="F535" i="2" s="1"/>
  <c r="G535" i="2" s="1"/>
  <c r="Q262" i="2"/>
  <c r="AC30" i="38" l="1"/>
  <c r="AD30" i="38"/>
  <c r="N428" i="38"/>
  <c r="AC29" i="38"/>
  <c r="AD29" i="38"/>
  <c r="N427" i="38"/>
  <c r="AD28" i="38"/>
  <c r="N426" i="38"/>
  <c r="AC28" i="38"/>
  <c r="AE28" i="38" s="1"/>
  <c r="AH19" i="38"/>
  <c r="AH17" i="38"/>
  <c r="AP33" i="38"/>
  <c r="AP43" i="38"/>
  <c r="AP30" i="38"/>
  <c r="AP11" i="38"/>
  <c r="AP18" i="38"/>
  <c r="AP21" i="38"/>
  <c r="AP10" i="38"/>
  <c r="AP25" i="38"/>
  <c r="AP28" i="38"/>
  <c r="AP29" i="38"/>
  <c r="AP24" i="38"/>
  <c r="AP27" i="38"/>
  <c r="AP39" i="38"/>
  <c r="AP19" i="38"/>
  <c r="AP38" i="38"/>
  <c r="AP12" i="38"/>
  <c r="AH10" i="38"/>
  <c r="AP16" i="38"/>
  <c r="AP37" i="38"/>
  <c r="AH13" i="38"/>
  <c r="AP36" i="38"/>
  <c r="AP9" i="38"/>
  <c r="AP32" i="38"/>
  <c r="D107" i="35"/>
  <c r="AP14" i="38"/>
  <c r="D103" i="35"/>
  <c r="AP35" i="38"/>
  <c r="AP17" i="38"/>
  <c r="AP40" i="38"/>
  <c r="D114" i="35"/>
  <c r="D100" i="35"/>
  <c r="AP13" i="38"/>
  <c r="D112" i="35"/>
  <c r="AP26" i="38"/>
  <c r="AH9" i="38"/>
  <c r="D101" i="35"/>
  <c r="D109" i="35"/>
  <c r="U143" i="35"/>
  <c r="U133" i="35"/>
  <c r="U152" i="35"/>
  <c r="U153" i="35"/>
  <c r="U139" i="35"/>
  <c r="U142" i="35"/>
  <c r="U132" i="35"/>
  <c r="U147" i="35"/>
  <c r="U150" i="35"/>
  <c r="U141" i="35"/>
  <c r="U138" i="35"/>
  <c r="U145" i="35"/>
  <c r="U149" i="35"/>
  <c r="U144" i="35"/>
  <c r="U146" i="35"/>
  <c r="U140" i="35"/>
  <c r="U136" i="35"/>
  <c r="U137" i="35"/>
  <c r="U154" i="35"/>
  <c r="U131" i="35"/>
  <c r="U151" i="35"/>
  <c r="U135" i="35"/>
  <c r="U148" i="35"/>
  <c r="U134" i="35"/>
  <c r="D108" i="35"/>
  <c r="D110" i="35"/>
  <c r="M142" i="35"/>
  <c r="M152" i="35"/>
  <c r="M150" i="35"/>
  <c r="M128" i="35"/>
  <c r="M140" i="35"/>
  <c r="M129" i="35"/>
  <c r="M151" i="35"/>
  <c r="M154" i="35"/>
  <c r="M114" i="35"/>
  <c r="M117" i="35"/>
  <c r="M127" i="35"/>
  <c r="M147" i="35"/>
  <c r="M143" i="35"/>
  <c r="M149" i="35"/>
  <c r="M115" i="35"/>
  <c r="M146" i="35"/>
  <c r="M111" i="35"/>
  <c r="M139" i="35"/>
  <c r="M144" i="35"/>
  <c r="M112" i="35"/>
  <c r="M113" i="35"/>
  <c r="M135" i="35"/>
  <c r="M109" i="35"/>
  <c r="M125" i="35"/>
  <c r="M118" i="35"/>
  <c r="M123" i="35"/>
  <c r="M121" i="35"/>
  <c r="M132" i="35"/>
  <c r="M110" i="35"/>
  <c r="M137" i="35"/>
  <c r="M153" i="35"/>
  <c r="M122" i="35"/>
  <c r="M141" i="35"/>
  <c r="M136" i="35"/>
  <c r="M116" i="35"/>
  <c r="M119" i="35"/>
  <c r="M126" i="35"/>
  <c r="M124" i="35"/>
  <c r="M133" i="35"/>
  <c r="M131" i="35"/>
  <c r="M120" i="35"/>
  <c r="M148" i="35"/>
  <c r="M138" i="35"/>
  <c r="M130" i="35"/>
  <c r="M145" i="35"/>
  <c r="M134" i="35"/>
  <c r="D119" i="35"/>
  <c r="K438" i="38"/>
  <c r="K422" i="38"/>
  <c r="K409" i="38"/>
  <c r="D105" i="35"/>
  <c r="D104" i="35"/>
  <c r="D115" i="35"/>
  <c r="D120" i="35"/>
  <c r="D111" i="35"/>
  <c r="K407" i="38"/>
  <c r="D106" i="35"/>
  <c r="D118" i="35"/>
  <c r="AH16" i="38"/>
  <c r="D121" i="35"/>
  <c r="K424" i="38"/>
  <c r="K416" i="38"/>
  <c r="D149" i="35"/>
  <c r="D148" i="35"/>
  <c r="D140" i="35"/>
  <c r="D137" i="35"/>
  <c r="D142" i="35"/>
  <c r="D134" i="35"/>
  <c r="D152" i="35"/>
  <c r="D145" i="35"/>
  <c r="D150" i="35"/>
  <c r="D151" i="35"/>
  <c r="D153" i="35"/>
  <c r="D146" i="35"/>
  <c r="D139" i="35"/>
  <c r="D136" i="35"/>
  <c r="D135" i="35"/>
  <c r="D138" i="35"/>
  <c r="D144" i="35"/>
  <c r="D141" i="35"/>
  <c r="K405" i="38"/>
  <c r="D143" i="35"/>
  <c r="D154" i="35"/>
  <c r="D147" i="35"/>
  <c r="D122" i="35"/>
  <c r="K414" i="38"/>
  <c r="K429" i="38"/>
  <c r="D127" i="35"/>
  <c r="K427" i="38"/>
  <c r="D133" i="35"/>
  <c r="K415" i="38"/>
  <c r="D132" i="35"/>
  <c r="K435" i="38"/>
  <c r="K433" i="38"/>
  <c r="D130" i="35"/>
  <c r="AH12" i="38"/>
  <c r="AH14" i="38"/>
  <c r="D128" i="35"/>
  <c r="K428" i="38"/>
  <c r="D129" i="35"/>
  <c r="K436" i="38"/>
  <c r="K411" i="38"/>
  <c r="K425" i="38"/>
  <c r="D126" i="35"/>
  <c r="K431" i="38"/>
  <c r="D131" i="35"/>
  <c r="K408" i="38"/>
  <c r="K413" i="38"/>
  <c r="D125" i="35"/>
  <c r="K418" i="38"/>
  <c r="K420" i="38"/>
  <c r="D116" i="35"/>
  <c r="D124" i="35"/>
  <c r="K440" i="38"/>
  <c r="AH15" i="38"/>
  <c r="D113" i="35"/>
  <c r="D123" i="35"/>
  <c r="R250" i="2"/>
  <c r="F357" i="2" s="1" a="1"/>
  <c r="F357" i="2" s="1"/>
  <c r="G357" i="2" s="1"/>
  <c r="D102" i="35"/>
  <c r="D117" i="35"/>
  <c r="AD19" i="38"/>
  <c r="N422" i="38"/>
  <c r="N424" i="38"/>
  <c r="AC23" i="38"/>
  <c r="AC22" i="38"/>
  <c r="AD24" i="38"/>
  <c r="AD27" i="38"/>
  <c r="AD22" i="38"/>
  <c r="AD23" i="38"/>
  <c r="AD25" i="38"/>
  <c r="AD26" i="38"/>
  <c r="AC25" i="38"/>
  <c r="N425" i="38"/>
  <c r="AC27" i="38"/>
  <c r="AE27" i="38" s="1"/>
  <c r="AC26" i="38"/>
  <c r="N420" i="38"/>
  <c r="N421" i="38"/>
  <c r="N423" i="38"/>
  <c r="AC24" i="38"/>
  <c r="R257" i="2"/>
  <c r="Q277" i="2"/>
  <c r="R277" i="2" s="1"/>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S250" i="2"/>
  <c r="F688" i="2" a="1"/>
  <c r="F688" i="2" s="1"/>
  <c r="G688" i="2" s="1"/>
  <c r="T272" i="2"/>
  <c r="F689" i="2" s="1" a="1"/>
  <c r="F689" i="2" s="1"/>
  <c r="G689" i="2" s="1"/>
  <c r="F476" i="2" a="1"/>
  <c r="F476" i="2" s="1"/>
  <c r="G476" i="2" s="1"/>
  <c r="R258" i="2"/>
  <c r="AE30" i="38" l="1"/>
  <c r="AE29" i="38"/>
  <c r="AE25" i="38"/>
  <c r="AE24" i="38"/>
  <c r="D99" i="35"/>
  <c r="H101" i="38" s="1"/>
  <c r="AE26" i="38"/>
  <c r="K403" i="38"/>
  <c r="F761" i="2" a="1"/>
  <c r="F761" i="2" s="1"/>
  <c r="G761" i="2" s="1"/>
  <c r="I132" i="35"/>
  <c r="AE19" i="38"/>
  <c r="AE22" i="38"/>
  <c r="AE23" i="38"/>
  <c r="S257" i="2"/>
  <c r="F462" i="2" a="1"/>
  <c r="F462" i="2" s="1"/>
  <c r="G462" i="2"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F463" i="2" a="1"/>
  <c r="F463" i="2" s="1"/>
  <c r="G463" i="2" s="1"/>
  <c r="T257" i="2"/>
  <c r="F464" i="2" s="1" a="1"/>
  <c r="F464" i="2" s="1"/>
  <c r="G4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33" i="15"/>
  <c r="L33" i="15" s="1" a="1"/>
  <c r="L33" i="15" s="1"/>
  <c r="C13" i="15"/>
  <c r="C30" i="15"/>
  <c r="C43" i="15"/>
  <c r="C39" i="15"/>
  <c r="C40" i="15"/>
  <c r="C16" i="15"/>
  <c r="C38" i="15"/>
  <c r="C35" i="15"/>
  <c r="C24" i="15"/>
  <c r="C25" i="15"/>
  <c r="C41" i="15"/>
  <c r="C34" i="15"/>
  <c r="C27" i="15"/>
  <c r="C31" i="15"/>
  <c r="C21" i="15"/>
  <c r="C37" i="15"/>
  <c r="L37" i="15" s="1" a="1"/>
  <c r="L37" i="15" s="1"/>
  <c r="C15" i="15"/>
  <c r="C42" i="15"/>
  <c r="C18" i="15"/>
  <c r="C26" i="15"/>
  <c r="C14" i="15"/>
  <c r="C20" i="15"/>
  <c r="C23" i="15"/>
  <c r="C29" i="15"/>
  <c r="L29" i="15" s="1" a="1"/>
  <c r="L29" i="15" s="1"/>
  <c r="C19" i="15"/>
  <c r="C36" i="15"/>
  <c r="C22" i="15"/>
  <c r="C28" i="15"/>
  <c r="C17" i="15"/>
  <c r="C479" i="1" s="1" a="1"/>
  <c r="C479" i="1" s="1"/>
  <c r="C32" i="15"/>
  <c r="J12" i="15"/>
  <c r="E12" i="15" s="1"/>
  <c r="L28" i="15" l="1" a="1"/>
  <c r="L28" i="15" s="1"/>
  <c r="J28" i="15"/>
  <c r="L21" i="15" a="1"/>
  <c r="L21" i="15" s="1"/>
  <c r="L31" i="15" a="1"/>
  <c r="L31" i="15" s="1"/>
  <c r="J26" i="15"/>
  <c r="J27" i="15" s="1"/>
  <c r="L26" i="15" a="1"/>
  <c r="L26" i="15" s="1"/>
  <c r="L27" i="15" a="1"/>
  <c r="L27" i="15" s="1"/>
  <c r="N29" i="15"/>
  <c r="J34" i="15"/>
  <c r="L34" i="15" a="1"/>
  <c r="L34" i="15" s="1"/>
  <c r="L23" i="15" a="1"/>
  <c r="L23" i="15" s="1"/>
  <c r="L41" i="15" a="1"/>
  <c r="L41" i="15" s="1"/>
  <c r="L25" i="15" a="1"/>
  <c r="L25" i="15" s="1"/>
  <c r="J24" i="15"/>
  <c r="J25" i="15" s="1"/>
  <c r="L24" i="15" a="1"/>
  <c r="L24" i="15" s="1"/>
  <c r="J32" i="15"/>
  <c r="L32" i="15" a="1"/>
  <c r="L32" i="15" s="1"/>
  <c r="L19" i="15" a="1"/>
  <c r="L19" i="15" s="1"/>
  <c r="N37" i="15"/>
  <c r="J35" i="15"/>
  <c r="L35" i="15" a="1"/>
  <c r="L35" i="15" s="1"/>
  <c r="J38" i="15"/>
  <c r="L38" i="15" a="1"/>
  <c r="L38" i="15" s="1"/>
  <c r="J20" i="15"/>
  <c r="J21" i="15" s="1"/>
  <c r="L20" i="15" a="1"/>
  <c r="L20" i="15" s="1"/>
  <c r="L42" i="15" a="1"/>
  <c r="L42" i="15" s="1"/>
  <c r="J16" i="15"/>
  <c r="L16" i="15" a="1"/>
  <c r="L16" i="15" s="1"/>
  <c r="L40" i="15" a="1"/>
  <c r="L40" i="15" s="1"/>
  <c r="J17" i="15"/>
  <c r="L17" i="15" a="1"/>
  <c r="L17" i="15" s="1"/>
  <c r="J36" i="15"/>
  <c r="L36" i="15" a="1"/>
  <c r="L36" i="15" s="1"/>
  <c r="L39" i="15" a="1"/>
  <c r="L39" i="15" s="1"/>
  <c r="J39" i="15"/>
  <c r="L43" i="15" a="1"/>
  <c r="L43" i="15" s="1"/>
  <c r="C283" i="13" a="1"/>
  <c r="J30" i="15"/>
  <c r="L30" i="15" a="1"/>
  <c r="L30" i="15" s="1"/>
  <c r="L22" i="15" a="1"/>
  <c r="L22" i="15" s="1"/>
  <c r="J22" i="15"/>
  <c r="J14" i="15"/>
  <c r="L14" i="15" a="1"/>
  <c r="L14" i="15" s="1"/>
  <c r="L15" i="15" a="1"/>
  <c r="L15" i="15" s="1"/>
  <c r="J15" i="15"/>
  <c r="J13" i="15"/>
  <c r="L13" i="15" a="1"/>
  <c r="L13" i="15" s="1"/>
  <c r="J18" i="15"/>
  <c r="J19" i="15" s="1"/>
  <c r="L18" i="15" a="1"/>
  <c r="L18" i="15" s="1"/>
  <c r="N33" i="15"/>
  <c r="AC494" i="1" a="1"/>
  <c r="AC494" i="1" s="1"/>
  <c r="AI494" i="1" s="1"/>
  <c r="J142" i="13" s="1" a="1"/>
  <c r="J142" i="13" s="1"/>
  <c r="B142" i="13" s="1" a="1"/>
  <c r="B142" i="13" s="1"/>
  <c r="M12" i="15"/>
  <c r="F12" i="15"/>
  <c r="D12" i="15"/>
  <c r="G12" i="15"/>
  <c r="J147" i="13" l="1" a="1"/>
  <c r="J147" i="13" s="1"/>
  <c r="B147" i="13" s="1" a="1"/>
  <c r="B147" i="13" s="1"/>
  <c r="J148" i="13" a="1"/>
  <c r="J148" i="13" s="1"/>
  <c r="B148" i="13" s="1" a="1"/>
  <c r="B148" i="13" s="1"/>
  <c r="J138" i="13" a="1"/>
  <c r="J138" i="13" s="1"/>
  <c r="B138" i="13" s="1" a="1"/>
  <c r="B138" i="13" s="1"/>
  <c r="J141" i="13" a="1"/>
  <c r="J141" i="13" s="1"/>
  <c r="B141" i="13" s="1" a="1"/>
  <c r="B141" i="13" s="1"/>
  <c r="J140" i="13" a="1"/>
  <c r="J140" i="13" s="1"/>
  <c r="B140" i="13" s="1" a="1"/>
  <c r="B140" i="13" s="1"/>
  <c r="J152" i="13" a="1"/>
  <c r="J152" i="13" s="1"/>
  <c r="B152" i="13" s="1" a="1"/>
  <c r="B152" i="13" s="1"/>
  <c r="J145" i="13" a="1"/>
  <c r="J145" i="13" s="1"/>
  <c r="B145" i="13" s="1" a="1"/>
  <c r="B145" i="13" s="1"/>
  <c r="J149" i="13" a="1"/>
  <c r="J149" i="13" s="1"/>
  <c r="B149" i="13" s="1" a="1"/>
  <c r="B149" i="13" s="1"/>
  <c r="AH452" i="1" a="1"/>
  <c r="AH452" i="1" s="1"/>
  <c r="J143" i="13" a="1"/>
  <c r="J143" i="13" s="1"/>
  <c r="B143" i="13" s="1" a="1"/>
  <c r="B143" i="13" s="1"/>
  <c r="J144" i="13" a="1"/>
  <c r="J144" i="13" s="1"/>
  <c r="B144" i="13" s="1" a="1"/>
  <c r="B144" i="13" s="1"/>
  <c r="J153" i="13" a="1"/>
  <c r="J153" i="13" s="1"/>
  <c r="B153" i="13" s="1" a="1"/>
  <c r="B153" i="13" s="1"/>
  <c r="J139" i="13" a="1"/>
  <c r="J139" i="13" s="1"/>
  <c r="B139" i="13" s="1" a="1"/>
  <c r="B139" i="13" s="1"/>
  <c r="J150" i="13" a="1"/>
  <c r="J150" i="13" s="1"/>
  <c r="B150" i="13" s="1" a="1"/>
  <c r="B150" i="13" s="1"/>
  <c r="J146" i="13" a="1"/>
  <c r="J146" i="13" s="1"/>
  <c r="B146" i="13" s="1" a="1"/>
  <c r="B146" i="13" s="1"/>
  <c r="J151" i="13" a="1"/>
  <c r="J151" i="13" s="1"/>
  <c r="B151" i="13" s="1" a="1"/>
  <c r="B151" i="13" s="1"/>
  <c r="F21" i="15"/>
  <c r="H21" i="15" s="1"/>
  <c r="D21" i="15"/>
  <c r="E21" i="15"/>
  <c r="F27" i="15"/>
  <c r="H27" i="15" s="1"/>
  <c r="E27" i="15"/>
  <c r="D27" i="15"/>
  <c r="M35" i="15"/>
  <c r="N35" i="15"/>
  <c r="M18" i="15"/>
  <c r="N18" i="15"/>
  <c r="D35" i="15"/>
  <c r="F35" i="15"/>
  <c r="H35" i="15" s="1"/>
  <c r="E35" i="15"/>
  <c r="F18" i="15"/>
  <c r="H18" i="15" s="1"/>
  <c r="E18" i="15"/>
  <c r="D18" i="15"/>
  <c r="F13" i="15"/>
  <c r="H13" i="15" s="1"/>
  <c r="D13" i="15"/>
  <c r="E13" i="15"/>
  <c r="N19" i="15"/>
  <c r="M19" i="15"/>
  <c r="E19" i="15"/>
  <c r="F19" i="15"/>
  <c r="H19" i="15" s="1"/>
  <c r="D19" i="15"/>
  <c r="N15" i="15"/>
  <c r="M15" i="15"/>
  <c r="N32" i="15"/>
  <c r="M32" i="15"/>
  <c r="N13" i="15"/>
  <c r="M13" i="15"/>
  <c r="AG14" i="40"/>
  <c r="M204" i="35" s="1"/>
  <c r="N204" i="35" s="1"/>
  <c r="AU41" i="40"/>
  <c r="AX41" i="40" s="1"/>
  <c r="AU25" i="40"/>
  <c r="AX25" i="40" s="1"/>
  <c r="AU14" i="40"/>
  <c r="AX14" i="40" s="1"/>
  <c r="AU39" i="40"/>
  <c r="AX39" i="40" s="1"/>
  <c r="AU27" i="40"/>
  <c r="AX27" i="40" s="1"/>
  <c r="AU40" i="40"/>
  <c r="AX40" i="40" s="1"/>
  <c r="AG15" i="40"/>
  <c r="M203" i="35" s="1"/>
  <c r="N203" i="35" s="1"/>
  <c r="AU45" i="40"/>
  <c r="AX45" i="40" s="1"/>
  <c r="AG17" i="40"/>
  <c r="M179" i="35" s="1"/>
  <c r="N179" i="35" s="1"/>
  <c r="AU36" i="40"/>
  <c r="AX36" i="40" s="1"/>
  <c r="AU44" i="40"/>
  <c r="AX44" i="40" s="1"/>
  <c r="AU15" i="40"/>
  <c r="AX15" i="40" s="1"/>
  <c r="AG18" i="40"/>
  <c r="M186" i="35" s="1"/>
  <c r="N186" i="35" s="1"/>
  <c r="AG19" i="40"/>
  <c r="M180" i="35" s="1"/>
  <c r="N180" i="35" s="1"/>
  <c r="AU35" i="40"/>
  <c r="AX35" i="40" s="1"/>
  <c r="AU38" i="40"/>
  <c r="AX38" i="40" s="1"/>
  <c r="AG20" i="40"/>
  <c r="M187" i="35" s="1"/>
  <c r="N187" i="35" s="1"/>
  <c r="X10" i="40"/>
  <c r="AA10" i="40" s="1"/>
  <c r="E145" i="38" s="1" a="1"/>
  <c r="E145" i="38" s="1"/>
  <c r="AG9" i="40"/>
  <c r="M173" i="35" s="1"/>
  <c r="AU43" i="40"/>
  <c r="AX43" i="40" s="1"/>
  <c r="AU29" i="40"/>
  <c r="AX29" i="40" s="1"/>
  <c r="AU28" i="40"/>
  <c r="AX28" i="40" s="1"/>
  <c r="AE6" i="14" a="1"/>
  <c r="AE6" i="14" s="1"/>
  <c r="BF77" i="40"/>
  <c r="BI77" i="40" s="1"/>
  <c r="AU21" i="40"/>
  <c r="AX21" i="40" s="1"/>
  <c r="AU22" i="40"/>
  <c r="AX22" i="40" s="1"/>
  <c r="AU58" i="40"/>
  <c r="AX58" i="40" s="1"/>
  <c r="AP58" i="40" s="1" a="1"/>
  <c r="AP58" i="40" s="1"/>
  <c r="AU23" i="40"/>
  <c r="AX23" i="40" s="1"/>
  <c r="J211" i="35"/>
  <c r="G211" i="35" s="1" a="1"/>
  <c r="G211" i="35" s="1"/>
  <c r="AU57" i="40"/>
  <c r="AU24" i="40"/>
  <c r="AX24" i="40" s="1"/>
  <c r="AU46" i="40"/>
  <c r="AX46" i="40" s="1"/>
  <c r="AU20" i="40"/>
  <c r="AU12" i="40"/>
  <c r="AX12" i="40" s="1"/>
  <c r="F32" i="15"/>
  <c r="H32" i="15" s="1"/>
  <c r="E32" i="15"/>
  <c r="D32" i="15"/>
  <c r="F15" i="15"/>
  <c r="H15" i="15" s="1"/>
  <c r="D15" i="15"/>
  <c r="E15" i="15"/>
  <c r="F14" i="15"/>
  <c r="H14" i="15" s="1"/>
  <c r="D14" i="15"/>
  <c r="E14" i="15"/>
  <c r="J33" i="15"/>
  <c r="D22" i="15"/>
  <c r="F22" i="15"/>
  <c r="H22" i="15" s="1"/>
  <c r="E22" i="15"/>
  <c r="N24" i="15"/>
  <c r="M24" i="15"/>
  <c r="N22" i="15"/>
  <c r="M22" i="15"/>
  <c r="F24" i="15"/>
  <c r="H24" i="15" s="1"/>
  <c r="D24" i="15"/>
  <c r="E24" i="15"/>
  <c r="M30" i="15"/>
  <c r="N30" i="15"/>
  <c r="N25" i="15"/>
  <c r="M25" i="15"/>
  <c r="E25" i="15"/>
  <c r="D25" i="15"/>
  <c r="F25" i="15"/>
  <c r="H25" i="15" s="1"/>
  <c r="C283" i="13"/>
  <c r="AA653" i="1"/>
  <c r="N41" i="15"/>
  <c r="D30" i="15"/>
  <c r="E30" i="15"/>
  <c r="F30" i="15"/>
  <c r="H30" i="15" s="1"/>
  <c r="N43" i="15"/>
  <c r="N23" i="15"/>
  <c r="N14" i="15"/>
  <c r="M14" i="15"/>
  <c r="D39" i="15"/>
  <c r="F39" i="15"/>
  <c r="H39" i="15" s="1"/>
  <c r="E39" i="15"/>
  <c r="J23" i="15"/>
  <c r="M23" i="15" s="1"/>
  <c r="N39" i="15"/>
  <c r="M39" i="15"/>
  <c r="N34" i="15"/>
  <c r="M34" i="15"/>
  <c r="M36" i="15"/>
  <c r="N36" i="15"/>
  <c r="D34" i="15"/>
  <c r="F34" i="15"/>
  <c r="H34" i="15" s="1"/>
  <c r="E34" i="15"/>
  <c r="J37" i="15"/>
  <c r="E36" i="15"/>
  <c r="F36" i="15"/>
  <c r="H36" i="15" s="1"/>
  <c r="D36" i="15"/>
  <c r="N17" i="15"/>
  <c r="M17" i="15"/>
  <c r="E17" i="15"/>
  <c r="F17" i="15"/>
  <c r="H17" i="15" s="1"/>
  <c r="K17" i="15" s="1" a="1"/>
  <c r="K17" i="15" s="1"/>
  <c r="D17" i="15"/>
  <c r="N27" i="15"/>
  <c r="M27" i="15"/>
  <c r="J40" i="15"/>
  <c r="M40" i="15" s="1"/>
  <c r="N40" i="15"/>
  <c r="M26" i="15"/>
  <c r="N26" i="15"/>
  <c r="M16" i="15"/>
  <c r="N16" i="15"/>
  <c r="F26" i="15"/>
  <c r="H26" i="15" s="1"/>
  <c r="E26" i="15"/>
  <c r="D26" i="15"/>
  <c r="D16" i="15"/>
  <c r="E16" i="15"/>
  <c r="F16" i="15"/>
  <c r="H16" i="15" s="1"/>
  <c r="J31" i="15"/>
  <c r="N31" i="15"/>
  <c r="M31" i="15"/>
  <c r="N42" i="15"/>
  <c r="M21" i="15"/>
  <c r="N21" i="15"/>
  <c r="M20" i="15"/>
  <c r="N20" i="15"/>
  <c r="F20" i="15"/>
  <c r="H20" i="15" s="1"/>
  <c r="D20" i="15"/>
  <c r="E20" i="15"/>
  <c r="J29" i="15"/>
  <c r="F28" i="15"/>
  <c r="H28" i="15" s="1"/>
  <c r="E28" i="15"/>
  <c r="D28" i="15"/>
  <c r="N38" i="15"/>
  <c r="M38" i="15"/>
  <c r="N28" i="15"/>
  <c r="M28" i="15"/>
  <c r="E38" i="15"/>
  <c r="F38" i="15"/>
  <c r="H38" i="15" s="1"/>
  <c r="D38" i="15"/>
  <c r="AG11" i="40"/>
  <c r="M185" i="35" s="1"/>
  <c r="N185" i="35" s="1"/>
  <c r="AG10" i="40"/>
  <c r="M178" i="35" s="1"/>
  <c r="N178" i="35" s="1"/>
  <c r="AU34" i="40"/>
  <c r="BP83" i="40"/>
  <c r="BP85" i="40" s="1"/>
  <c r="I12" i="15" a="1"/>
  <c r="I12" i="15" s="1"/>
  <c r="H12" i="15"/>
  <c r="BS81" i="40"/>
  <c r="I34" i="15" l="1" a="1"/>
  <c r="I34" i="15" s="1"/>
  <c r="G34" i="15"/>
  <c r="K34" i="15" a="1"/>
  <c r="K34" i="15" s="1"/>
  <c r="K24" i="15" a="1"/>
  <c r="K24" i="15" s="1"/>
  <c r="I24" i="15" a="1"/>
  <c r="I24" i="15" s="1"/>
  <c r="G24" i="15"/>
  <c r="F31" i="15"/>
  <c r="H31" i="15" s="1"/>
  <c r="D31" i="15"/>
  <c r="E31" i="15"/>
  <c r="I22" i="15" a="1"/>
  <c r="I22" i="15" s="1"/>
  <c r="G22" i="15"/>
  <c r="K22" i="15" s="1" a="1"/>
  <c r="K22" i="15" s="1"/>
  <c r="G39" i="15"/>
  <c r="K39" i="15" a="1"/>
  <c r="K39" i="15" s="1"/>
  <c r="I39" i="15" a="1"/>
  <c r="I39" i="15" s="1"/>
  <c r="K19" i="15" a="1"/>
  <c r="K19" i="15" s="1"/>
  <c r="G19" i="15"/>
  <c r="I19" i="15" a="1"/>
  <c r="I19" i="15" s="1"/>
  <c r="G26" i="15"/>
  <c r="AG12" i="40" s="1"/>
  <c r="M192" i="35" s="1"/>
  <c r="N192" i="35" s="1"/>
  <c r="K26" i="15" a="1"/>
  <c r="K26" i="15" s="1"/>
  <c r="I26" i="15" a="1"/>
  <c r="I26" i="15" s="1"/>
  <c r="D33" i="15"/>
  <c r="E33" i="15"/>
  <c r="F33" i="15"/>
  <c r="M33" i="15"/>
  <c r="I14" i="15" a="1"/>
  <c r="I14" i="15" s="1"/>
  <c r="G14" i="15"/>
  <c r="G13" i="15"/>
  <c r="I13" i="15" a="1"/>
  <c r="I13" i="15" s="1"/>
  <c r="K13" i="15" a="1"/>
  <c r="K13" i="15" s="1"/>
  <c r="G16" i="15"/>
  <c r="I16" i="15" a="1"/>
  <c r="I16" i="15" s="1"/>
  <c r="K16" i="15" a="1"/>
  <c r="K16" i="15" s="1"/>
  <c r="G15" i="15"/>
  <c r="K15" i="15" a="1"/>
  <c r="K15" i="15" s="1"/>
  <c r="I15" i="15" a="1"/>
  <c r="I15" i="15" s="1"/>
  <c r="G18" i="15"/>
  <c r="I18" i="15" a="1"/>
  <c r="I18" i="15" s="1"/>
  <c r="K18" i="15" a="1"/>
  <c r="K18" i="15" s="1"/>
  <c r="K12" i="15" a="1"/>
  <c r="K12" i="15" s="1"/>
  <c r="G38" i="15"/>
  <c r="K38" i="15" a="1"/>
  <c r="K38" i="15" s="1"/>
  <c r="I38" i="15" a="1"/>
  <c r="I38" i="15" s="1"/>
  <c r="AU26" i="40"/>
  <c r="AX26" i="40" s="1"/>
  <c r="G35" i="15"/>
  <c r="I35" i="15" a="1"/>
  <c r="I35" i="15" s="1"/>
  <c r="K35" i="15" a="1"/>
  <c r="K35" i="15" s="1"/>
  <c r="G30" i="15"/>
  <c r="I30" i="15" a="1"/>
  <c r="I30" i="15" s="1"/>
  <c r="K30" i="15" a="1"/>
  <c r="K30" i="15" s="1"/>
  <c r="K32" i="15" a="1"/>
  <c r="K32" i="15" s="1"/>
  <c r="I32" i="15" a="1"/>
  <c r="I32" i="15" s="1"/>
  <c r="G32" i="15"/>
  <c r="E40" i="15"/>
  <c r="F40" i="15"/>
  <c r="H40" i="15" s="1"/>
  <c r="D40" i="15"/>
  <c r="J41" i="15"/>
  <c r="AU11" i="40"/>
  <c r="AX11" i="40" s="1"/>
  <c r="AX20" i="40"/>
  <c r="I28" i="15" a="1"/>
  <c r="I28" i="15" s="1"/>
  <c r="K28" i="15" a="1"/>
  <c r="K28" i="15" s="1"/>
  <c r="G28" i="15"/>
  <c r="G17" i="15"/>
  <c r="I17" i="15" a="1"/>
  <c r="I17" i="15" s="1"/>
  <c r="AU10" i="40"/>
  <c r="AX10" i="40" s="1"/>
  <c r="AU37" i="40"/>
  <c r="AX37" i="40" s="1"/>
  <c r="D29" i="15"/>
  <c r="F29" i="15"/>
  <c r="E29" i="15"/>
  <c r="M29" i="15"/>
  <c r="K20" i="15" a="1"/>
  <c r="K20" i="15" s="1"/>
  <c r="G20" i="15"/>
  <c r="I20" i="15" a="1"/>
  <c r="I20" i="15" s="1"/>
  <c r="K27" i="15" a="1"/>
  <c r="K27" i="15" s="1"/>
  <c r="G27" i="15"/>
  <c r="I27" i="15" a="1"/>
  <c r="I27" i="15" s="1"/>
  <c r="D23" i="15"/>
  <c r="F23" i="15"/>
  <c r="E23" i="15"/>
  <c r="G25" i="15"/>
  <c r="I25" i="15" a="1"/>
  <c r="I25" i="15" s="1"/>
  <c r="K25" i="15" a="1"/>
  <c r="K25" i="15" s="1"/>
  <c r="AR62" i="40"/>
  <c r="P240" i="35" s="1" a="1"/>
  <c r="P240" i="35" s="1"/>
  <c r="AX57" i="40"/>
  <c r="G21" i="15"/>
  <c r="K21" i="15" a="1"/>
  <c r="K21" i="15" s="1"/>
  <c r="I21" i="15" a="1"/>
  <c r="I21" i="15" s="1"/>
  <c r="G36" i="15"/>
  <c r="I36" i="15" a="1"/>
  <c r="I36" i="15" s="1"/>
  <c r="K36" i="15" a="1"/>
  <c r="K36" i="15" s="1"/>
  <c r="F37" i="15"/>
  <c r="H37" i="15" s="1"/>
  <c r="E37" i="15"/>
  <c r="D37" i="15"/>
  <c r="M37" i="15"/>
  <c r="AX34" i="40"/>
  <c r="K37" i="15" l="1" a="1"/>
  <c r="K37" i="15" s="1"/>
  <c r="G37" i="15"/>
  <c r="I37" i="15" a="1"/>
  <c r="I37" i="15" s="1"/>
  <c r="D129" i="38" a="1"/>
  <c r="D129" i="38" s="1"/>
  <c r="P180" i="35" a="1"/>
  <c r="G23" i="15"/>
  <c r="I23" i="15" a="1"/>
  <c r="I23" i="15" s="1"/>
  <c r="H23" i="15"/>
  <c r="K23" i="15" s="1" a="1"/>
  <c r="K23" i="15" s="1"/>
  <c r="K31" i="15" a="1"/>
  <c r="K31" i="15" s="1"/>
  <c r="I31" i="15" a="1"/>
  <c r="I31" i="15" s="1"/>
  <c r="G31" i="15"/>
  <c r="AU9" i="40"/>
  <c r="E41" i="15"/>
  <c r="D41" i="15"/>
  <c r="F41" i="15"/>
  <c r="J42" i="15"/>
  <c r="M41" i="15"/>
  <c r="I29" i="15" a="1"/>
  <c r="I29" i="15" s="1"/>
  <c r="G29" i="15"/>
  <c r="I40" i="15" a="1"/>
  <c r="I40" i="15" s="1"/>
  <c r="G40" i="15"/>
  <c r="K40" i="15" a="1"/>
  <c r="K40" i="15" s="1"/>
  <c r="H29" i="15"/>
  <c r="K29" i="15" s="1" a="1"/>
  <c r="K29" i="15" s="1"/>
  <c r="AU42" i="40"/>
  <c r="I123" i="14" a="1"/>
  <c r="K14" i="15" a="1"/>
  <c r="K14" i="15" s="1"/>
  <c r="H33" i="15"/>
  <c r="K33" i="15" s="1" a="1"/>
  <c r="K33" i="15" s="1"/>
  <c r="BF78" i="40"/>
  <c r="BI78" i="40" s="1"/>
  <c r="AU13" i="40"/>
  <c r="AX13" i="40" s="1"/>
  <c r="AU30" i="40"/>
  <c r="G33" i="15"/>
  <c r="I33" i="15" a="1"/>
  <c r="I33" i="15" s="1"/>
  <c r="C139" i="38" a="1"/>
  <c r="C139" i="38" s="1"/>
  <c r="AP57" i="40" a="1"/>
  <c r="AP57" i="40" s="1"/>
  <c r="I226" i="35"/>
  <c r="J226" i="35" s="1"/>
  <c r="H41" i="15" l="1"/>
  <c r="Q313" i="35"/>
  <c r="O349" i="35" s="1" a="1"/>
  <c r="O349" i="35" s="1"/>
  <c r="P180" i="35"/>
  <c r="O337" i="35" s="1" a="1"/>
  <c r="O337" i="35" s="1"/>
  <c r="AX42" i="40"/>
  <c r="AU47" i="40"/>
  <c r="AR9" i="40"/>
  <c r="AU16" i="40"/>
  <c r="AX9" i="40"/>
  <c r="I123" i="14"/>
  <c r="O123" i="14" s="1"/>
  <c r="O124" i="14"/>
  <c r="E42" i="15"/>
  <c r="F42" i="15"/>
  <c r="D42" i="15"/>
  <c r="J43" i="15"/>
  <c r="M42" i="15"/>
  <c r="I41" i="15" a="1"/>
  <c r="I41" i="15" s="1"/>
  <c r="K41" i="15" a="1"/>
  <c r="K41" i="15" s="1"/>
  <c r="G41" i="15"/>
  <c r="G279" i="35" a="1"/>
  <c r="G279" i="35" s="1"/>
  <c r="G271" i="35" a="1"/>
  <c r="G271" i="35" s="1"/>
  <c r="G270" i="35" a="1"/>
  <c r="G270" i="35" s="1"/>
  <c r="G289" i="35" a="1"/>
  <c r="G289" i="35" s="1"/>
  <c r="G280" i="35" a="1"/>
  <c r="G280" i="35" s="1"/>
  <c r="G281" i="35" a="1"/>
  <c r="G281" i="35" s="1"/>
  <c r="AS11" i="40" l="1"/>
  <c r="AP11" i="40" s="1" a="1"/>
  <c r="AP11" i="40" s="1"/>
  <c r="AS13" i="40"/>
  <c r="AP13" i="40" s="1" a="1"/>
  <c r="AP13" i="40" s="1"/>
  <c r="AS9" i="40"/>
  <c r="AP9" i="40" s="1" a="1"/>
  <c r="AP9" i="40" s="1"/>
  <c r="AS10" i="40"/>
  <c r="I42" i="15" a="1"/>
  <c r="I42" i="15" s="1"/>
  <c r="G42" i="15"/>
  <c r="N106" i="14" a="1"/>
  <c r="N106" i="14" s="1"/>
  <c r="H11" i="14" s="1" a="1"/>
  <c r="H11" i="14" s="1"/>
  <c r="N112" i="14" a="1"/>
  <c r="N112" i="14" s="1"/>
  <c r="H17" i="14" s="1" a="1"/>
  <c r="H17" i="14" s="1"/>
  <c r="N119" i="14" a="1"/>
  <c r="N119" i="14" s="1"/>
  <c r="H24" i="14" s="1" a="1"/>
  <c r="H24"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8" i="14" a="1"/>
  <c r="N118" i="14" s="1"/>
  <c r="H23" i="14" s="1" a="1"/>
  <c r="H23" i="14" s="1"/>
  <c r="N102" i="14" a="1"/>
  <c r="N102" i="14" s="1"/>
  <c r="H7" i="14" s="1" a="1"/>
  <c r="H7" i="14" s="1"/>
  <c r="N105" i="14" a="1"/>
  <c r="N105" i="14" s="1"/>
  <c r="H10" i="14" s="1" a="1"/>
  <c r="H10" i="14" s="1"/>
  <c r="N115" i="14" a="1"/>
  <c r="N115" i="14" s="1"/>
  <c r="H20" i="14" s="1" a="1"/>
  <c r="H20" i="14" s="1"/>
  <c r="N104" i="14" a="1"/>
  <c r="N104" i="14" s="1"/>
  <c r="H9" i="14" s="1" a="1"/>
  <c r="H9" i="14" s="1"/>
  <c r="N108" i="14" a="1"/>
  <c r="N108" i="14" s="1"/>
  <c r="H13" i="14" s="1" a="1"/>
  <c r="H13" i="14" s="1"/>
  <c r="N120" i="14" a="1"/>
  <c r="N120" i="14" s="1"/>
  <c r="H25" i="14" s="1" a="1"/>
  <c r="H25" i="14" s="1"/>
  <c r="N101" i="14" a="1"/>
  <c r="N101" i="14" s="1"/>
  <c r="H6" i="14" s="1" a="1"/>
  <c r="H6" i="14" s="1"/>
  <c r="N114" i="14" a="1"/>
  <c r="N114" i="14" s="1"/>
  <c r="H19" i="14" s="1" a="1"/>
  <c r="H19" i="14" s="1"/>
  <c r="N103" i="14" a="1"/>
  <c r="N103" i="14" s="1"/>
  <c r="H8" i="14" s="1" a="1"/>
  <c r="H8" i="14" s="1"/>
  <c r="N110" i="14" a="1"/>
  <c r="N110" i="14" s="1"/>
  <c r="H15" i="14" s="1" a="1"/>
  <c r="H15" i="14" s="1"/>
  <c r="C129" i="38" a="1"/>
  <c r="C129" i="38" s="1"/>
  <c r="P160" i="35" a="1"/>
  <c r="H42" i="15"/>
  <c r="K42" i="15" s="1" a="1"/>
  <c r="K42" i="15" s="1"/>
  <c r="E43" i="15"/>
  <c r="D43" i="15"/>
  <c r="F43" i="15"/>
  <c r="M43" i="15"/>
  <c r="M23" i="40"/>
  <c r="P23" i="40" s="1"/>
  <c r="AU51" i="40"/>
  <c r="BQ27" i="40"/>
  <c r="BT27" i="40" s="1"/>
  <c r="BF62" i="40"/>
  <c r="BQ82" i="40"/>
  <c r="BT82" i="40" s="1"/>
  <c r="M51" i="40"/>
  <c r="P51" i="40" s="1"/>
  <c r="E129" i="38" a="1"/>
  <c r="E129" i="38" s="1"/>
  <c r="P200" i="35" a="1"/>
  <c r="BF14" i="40" l="1"/>
  <c r="BI14" i="40" s="1"/>
  <c r="BF82" i="40"/>
  <c r="BF31" i="40"/>
  <c r="BI31" i="40" s="1"/>
  <c r="BF32" i="40"/>
  <c r="BI32" i="40" s="1"/>
  <c r="J170" i="35"/>
  <c r="L171" i="38"/>
  <c r="BF91" i="40"/>
  <c r="BI91" i="40" s="1"/>
  <c r="BQ67" i="40"/>
  <c r="BT67" i="40" s="1"/>
  <c r="BF72" i="40"/>
  <c r="BI72" i="40" s="1"/>
  <c r="BF58" i="40"/>
  <c r="M29" i="40"/>
  <c r="P29" i="40" s="1"/>
  <c r="BQ55" i="40"/>
  <c r="BT55" i="40" s="1"/>
  <c r="BQ30" i="40"/>
  <c r="BT30" i="40" s="1"/>
  <c r="BF63" i="40"/>
  <c r="BF26" i="40"/>
  <c r="BI26" i="40" s="1"/>
  <c r="BQ10" i="40"/>
  <c r="BQ25" i="40"/>
  <c r="BT25" i="40" s="1"/>
  <c r="E115" i="38" a="1"/>
  <c r="E115" i="38" s="1"/>
  <c r="BF106" i="40"/>
  <c r="BI106" i="40" s="1"/>
  <c r="BI58" i="40"/>
  <c r="M37" i="40"/>
  <c r="P37" i="40" s="1"/>
  <c r="BF12" i="40"/>
  <c r="BI12" i="40" s="1"/>
  <c r="M24" i="40"/>
  <c r="P24" i="40" s="1"/>
  <c r="BQ32" i="40"/>
  <c r="BT32" i="40" s="1"/>
  <c r="BQ19" i="40"/>
  <c r="BT19" i="40" s="1"/>
  <c r="M19" i="40"/>
  <c r="BF13" i="40"/>
  <c r="BI13" i="40" s="1"/>
  <c r="BQ44" i="40"/>
  <c r="BT44" i="40" s="1"/>
  <c r="BQ17" i="40"/>
  <c r="BT17" i="40" s="1"/>
  <c r="M11" i="40"/>
  <c r="P11" i="40" s="1"/>
  <c r="M47" i="40"/>
  <c r="P47" i="40" s="1"/>
  <c r="BF92" i="40"/>
  <c r="BI92" i="40" s="1"/>
  <c r="BF11" i="40"/>
  <c r="BF21" i="40"/>
  <c r="BI21" i="40" s="1"/>
  <c r="BF43" i="40"/>
  <c r="M38" i="40"/>
  <c r="P38" i="40" s="1"/>
  <c r="BQ14" i="40"/>
  <c r="BT14" i="40" s="1"/>
  <c r="BQ79" i="40"/>
  <c r="BT79" i="40" s="1"/>
  <c r="M27" i="40"/>
  <c r="P27" i="40" s="1"/>
  <c r="BQ70" i="40"/>
  <c r="BT70" i="40" s="1"/>
  <c r="BQ53" i="40"/>
  <c r="BT53" i="40" s="1"/>
  <c r="BQ47" i="40"/>
  <c r="BT47" i="40" s="1"/>
  <c r="L207" i="38"/>
  <c r="BQ29" i="40"/>
  <c r="BT29" i="40" s="1"/>
  <c r="BQ69" i="40"/>
  <c r="BT69" i="40" s="1"/>
  <c r="BF25" i="40"/>
  <c r="BI25" i="40" s="1"/>
  <c r="J189" i="35"/>
  <c r="BF69" i="40"/>
  <c r="BF59" i="40"/>
  <c r="BQ26" i="40"/>
  <c r="BT26" i="40" s="1"/>
  <c r="M50" i="40"/>
  <c r="P50" i="40" s="1"/>
  <c r="BF22" i="40"/>
  <c r="BI22" i="40" s="1"/>
  <c r="BF110" i="40"/>
  <c r="BI110" i="40" s="1"/>
  <c r="BI62" i="40"/>
  <c r="M25" i="40"/>
  <c r="P25" i="40" s="1"/>
  <c r="M49" i="40"/>
  <c r="P49" i="40" s="1"/>
  <c r="M13" i="40"/>
  <c r="P13" i="40" s="1"/>
  <c r="BQ42" i="40"/>
  <c r="BT42" i="40" s="1"/>
  <c r="P160" i="35"/>
  <c r="Q312" i="35"/>
  <c r="O335" i="35" s="1" a="1"/>
  <c r="O335" i="35" s="1"/>
  <c r="O317" i="35" a="1"/>
  <c r="O317" i="35" s="1"/>
  <c r="BQ46" i="40"/>
  <c r="BT46" i="40" s="1"/>
  <c r="BF67" i="40"/>
  <c r="M26" i="40"/>
  <c r="P26" i="40" s="1"/>
  <c r="BF57" i="40"/>
  <c r="BQ61" i="40"/>
  <c r="BQ51" i="40"/>
  <c r="BT51" i="40" s="1"/>
  <c r="BQ54" i="40"/>
  <c r="BT54" i="40" s="1"/>
  <c r="M14" i="40"/>
  <c r="P14" i="40" s="1"/>
  <c r="BQ50" i="40"/>
  <c r="BT50" i="40" s="1"/>
  <c r="BF61" i="40"/>
  <c r="M10" i="40"/>
  <c r="BF65" i="40"/>
  <c r="BQ65" i="40"/>
  <c r="BT65" i="40" s="1"/>
  <c r="M22" i="40"/>
  <c r="P22" i="40" s="1"/>
  <c r="L159" i="38"/>
  <c r="M48" i="40"/>
  <c r="P48" i="40" s="1"/>
  <c r="BT10" i="40"/>
  <c r="BQ28" i="40"/>
  <c r="BT28" i="40" s="1"/>
  <c r="BQ15" i="40"/>
  <c r="BT15" i="40" s="1"/>
  <c r="BF30" i="40"/>
  <c r="BI30" i="40" s="1"/>
  <c r="P260" i="35" s="1" a="1"/>
  <c r="P260" i="35" s="1"/>
  <c r="BF41" i="40"/>
  <c r="BF60" i="40"/>
  <c r="M30" i="40"/>
  <c r="P30" i="40" s="1"/>
  <c r="BI82" i="40"/>
  <c r="BQ56" i="40"/>
  <c r="BT56" i="40" s="1"/>
  <c r="BF47" i="40"/>
  <c r="BI47" i="40" s="1"/>
  <c r="BF39" i="40"/>
  <c r="BF66" i="40"/>
  <c r="BQ76" i="40"/>
  <c r="BF111" i="40"/>
  <c r="BI111" i="40" s="1"/>
  <c r="BI63" i="40"/>
  <c r="BF88" i="40"/>
  <c r="BI88" i="40" s="1"/>
  <c r="BF68" i="40"/>
  <c r="BF84" i="40"/>
  <c r="BI84" i="40" s="1"/>
  <c r="M46" i="40"/>
  <c r="BF49" i="40"/>
  <c r="BI49" i="40" s="1"/>
  <c r="BF50" i="40"/>
  <c r="BI50" i="40" s="1"/>
  <c r="AX51" i="40"/>
  <c r="AU53" i="40"/>
  <c r="AX53" i="40" s="1"/>
  <c r="BQ62" i="40"/>
  <c r="BT62" i="40" s="1"/>
  <c r="BF42" i="40"/>
  <c r="BQ24" i="40"/>
  <c r="BQ11" i="40"/>
  <c r="BT11" i="40" s="1"/>
  <c r="BF23" i="40"/>
  <c r="BI23" i="40" s="1"/>
  <c r="BF87" i="40"/>
  <c r="BI87" i="40" s="1"/>
  <c r="M20" i="40"/>
  <c r="P20" i="40" s="1"/>
  <c r="BQ43" i="40"/>
  <c r="BT43" i="40" s="1"/>
  <c r="BQ31" i="40"/>
  <c r="BT31" i="40" s="1"/>
  <c r="BQ33" i="40"/>
  <c r="BT33" i="40" s="1"/>
  <c r="M39" i="40"/>
  <c r="P39" i="40" s="1"/>
  <c r="BQ41" i="40"/>
  <c r="BT41" i="40" s="1"/>
  <c r="BQ18" i="40"/>
  <c r="BT18" i="40" s="1"/>
  <c r="G43" i="15"/>
  <c r="G10" i="15" s="1"/>
  <c r="I43" i="15" a="1"/>
  <c r="I43" i="15" s="1"/>
  <c r="BQ49" i="40"/>
  <c r="BT49" i="40" s="1"/>
  <c r="BF45" i="40"/>
  <c r="BQ77" i="40"/>
  <c r="BT77" i="40" s="1"/>
  <c r="M12" i="40"/>
  <c r="P12" i="40" s="1"/>
  <c r="M36" i="40"/>
  <c r="M41" i="40"/>
  <c r="P41" i="40" s="1"/>
  <c r="BF71" i="40"/>
  <c r="BI71" i="40" s="1"/>
  <c r="M21" i="40"/>
  <c r="P21" i="40" s="1"/>
  <c r="BQ45" i="40"/>
  <c r="BT45" i="40" s="1"/>
  <c r="M31" i="40"/>
  <c r="P31" i="40" s="1"/>
  <c r="BQ68" i="40"/>
  <c r="BT68" i="40" s="1"/>
  <c r="BF94" i="40"/>
  <c r="BI94" i="40" s="1"/>
  <c r="BF90" i="40"/>
  <c r="BI90" i="40" s="1"/>
  <c r="BQ52" i="40"/>
  <c r="BT52" i="40" s="1"/>
  <c r="BQ13" i="40"/>
  <c r="BT13" i="40" s="1"/>
  <c r="H43" i="15"/>
  <c r="BQ80" i="40" s="1"/>
  <c r="BT80" i="40" s="1"/>
  <c r="BF46" i="40"/>
  <c r="BI46" i="40" s="1"/>
  <c r="BF16" i="40"/>
  <c r="BI16" i="40" s="1"/>
  <c r="BF48" i="40"/>
  <c r="BI48" i="40" s="1"/>
  <c r="BF15" i="40"/>
  <c r="BI15" i="40" s="1"/>
  <c r="BF17" i="40"/>
  <c r="BI17" i="40" s="1"/>
  <c r="BF40" i="40"/>
  <c r="BF86" i="40"/>
  <c r="BI86" i="40" s="1"/>
  <c r="M40" i="40"/>
  <c r="P40" i="40" s="1"/>
  <c r="BQ78" i="40"/>
  <c r="BT78" i="40" s="1"/>
  <c r="BF44" i="40"/>
  <c r="BQ64" i="40"/>
  <c r="BT64" i="40" s="1"/>
  <c r="BF24" i="40"/>
  <c r="BI24" i="40" s="1"/>
  <c r="BF64" i="40"/>
  <c r="BF83" i="40"/>
  <c r="BI83" i="40" s="1"/>
  <c r="BQ66" i="40"/>
  <c r="BT66" i="40" s="1"/>
  <c r="J190" i="35"/>
  <c r="L195" i="38"/>
  <c r="BF85" i="40"/>
  <c r="BI85" i="40" s="1"/>
  <c r="H10" i="15"/>
  <c r="I10" i="15" s="1"/>
  <c r="BQ81" i="40"/>
  <c r="BT81" i="40" s="1"/>
  <c r="BF70" i="40"/>
  <c r="BI70" i="40" s="1"/>
  <c r="BQ16" i="40"/>
  <c r="BT16" i="40" s="1"/>
  <c r="BQ40" i="40"/>
  <c r="BF89" i="40"/>
  <c r="BI89" i="40" s="1"/>
  <c r="BQ48" i="40"/>
  <c r="BT48" i="40" s="1"/>
  <c r="BQ63" i="40"/>
  <c r="BT63" i="40" s="1"/>
  <c r="BF20" i="40"/>
  <c r="BI20" i="40" s="1"/>
  <c r="P270" i="35" s="1" a="1"/>
  <c r="P270" i="35" s="1"/>
  <c r="BF93" i="40"/>
  <c r="BI93" i="40" s="1"/>
  <c r="J200" i="35"/>
  <c r="M28" i="40"/>
  <c r="P28" i="40" s="1"/>
  <c r="Q314" i="35"/>
  <c r="O365" i="35" s="1" a="1"/>
  <c r="O365" i="35" s="1"/>
  <c r="P200" i="35"/>
  <c r="O351" i="35" s="1" a="1"/>
  <c r="O351" i="35" s="1"/>
  <c r="BQ12" i="40"/>
  <c r="BT12" i="40" s="1"/>
  <c r="J160" i="35"/>
  <c r="P220" i="35" l="1" a="1"/>
  <c r="P220" i="35" s="1"/>
  <c r="O367" i="35" s="1" a="1"/>
  <c r="O367" i="35" s="1"/>
  <c r="O7" i="35" s="1" a="1"/>
  <c r="BF117" i="40"/>
  <c r="BI117" i="40" s="1"/>
  <c r="BI69" i="40"/>
  <c r="BT24" i="40"/>
  <c r="BQ34" i="40"/>
  <c r="T170" i="35" a="1"/>
  <c r="BF113" i="40"/>
  <c r="BI113" i="40" s="1"/>
  <c r="BI65" i="40"/>
  <c r="P10" i="40"/>
  <c r="M15" i="40"/>
  <c r="BF109" i="40"/>
  <c r="BI109" i="40" s="1"/>
  <c r="BI61" i="40"/>
  <c r="P46" i="40"/>
  <c r="H200" i="35" s="1" a="1"/>
  <c r="H200" i="35" s="1"/>
  <c r="M52" i="40"/>
  <c r="BF99" i="40"/>
  <c r="BI99" i="40" s="1"/>
  <c r="BI40" i="40"/>
  <c r="BF116" i="40"/>
  <c r="BI116" i="40" s="1"/>
  <c r="BI68" i="40"/>
  <c r="BT61" i="40"/>
  <c r="T190" i="35" a="1"/>
  <c r="BQ71" i="40"/>
  <c r="BF102" i="40"/>
  <c r="BI102" i="40" s="1"/>
  <c r="BI43" i="40"/>
  <c r="BF105" i="40"/>
  <c r="BI105" i="40" s="1"/>
  <c r="BI57" i="40"/>
  <c r="BT76" i="40"/>
  <c r="T200" i="35" a="1"/>
  <c r="BQ83" i="40"/>
  <c r="BI11" i="40"/>
  <c r="P280" i="35" a="1"/>
  <c r="P280" i="35" s="1"/>
  <c r="BF107" i="40"/>
  <c r="BI107" i="40" s="1"/>
  <c r="BI59" i="40"/>
  <c r="M42" i="40"/>
  <c r="P36" i="40"/>
  <c r="BF114" i="40"/>
  <c r="BI114" i="40" s="1"/>
  <c r="BI66" i="40"/>
  <c r="BF115" i="40"/>
  <c r="BI115" i="40" s="1"/>
  <c r="BI67" i="40"/>
  <c r="BF98" i="40"/>
  <c r="BI98" i="40" s="1"/>
  <c r="BI39" i="40"/>
  <c r="BF104" i="40"/>
  <c r="BI104" i="40" s="1"/>
  <c r="BI45" i="40"/>
  <c r="K43" i="15" a="1"/>
  <c r="K43" i="15" s="1"/>
  <c r="F115" i="38" a="1"/>
  <c r="F115" i="38" s="1"/>
  <c r="AC6" i="14" a="1"/>
  <c r="AC6" i="14" s="1"/>
  <c r="AD6" i="14" a="1"/>
  <c r="AD6" i="14" s="1"/>
  <c r="P19" i="40"/>
  <c r="H170" i="35" s="1" a="1"/>
  <c r="M32" i="40"/>
  <c r="BF108" i="40"/>
  <c r="BI108" i="40" s="1"/>
  <c r="BI60" i="40"/>
  <c r="BF101" i="40"/>
  <c r="BI101" i="40" s="1"/>
  <c r="BI42" i="40"/>
  <c r="BF100" i="40"/>
  <c r="BI100" i="40" s="1"/>
  <c r="BI41" i="40"/>
  <c r="H160" i="35" a="1"/>
  <c r="BT40" i="40"/>
  <c r="BQ57" i="40"/>
  <c r="BQ72" i="40" s="1"/>
  <c r="T180" i="35" a="1"/>
  <c r="BF112" i="40"/>
  <c r="BI112" i="40" s="1"/>
  <c r="BI64" i="40"/>
  <c r="BQ20" i="40"/>
  <c r="BF103" i="40"/>
  <c r="BI103" i="40" s="1"/>
  <c r="BI44" i="40"/>
  <c r="T160" i="35" a="1"/>
  <c r="P300" i="35" l="1" a="1"/>
  <c r="P300" i="35" s="1"/>
  <c r="O401" i="35" a="1"/>
  <c r="O401" i="35" s="1"/>
  <c r="P117" i="35"/>
  <c r="Q117" i="35" s="1"/>
  <c r="P104" i="35"/>
  <c r="Q104" i="35" s="1"/>
  <c r="P101" i="35"/>
  <c r="Q101" i="35" s="1"/>
  <c r="P119" i="35"/>
  <c r="Q119" i="35" s="1"/>
  <c r="P103" i="35"/>
  <c r="Q103" i="35" s="1"/>
  <c r="P113" i="35"/>
  <c r="Q113" i="35" s="1"/>
  <c r="O7" i="35"/>
  <c r="P114" i="35"/>
  <c r="Q114" i="35" s="1"/>
  <c r="P102" i="35"/>
  <c r="Q102" i="35" s="1"/>
  <c r="P120" i="35"/>
  <c r="Q120" i="35" s="1"/>
  <c r="P108" i="35"/>
  <c r="Q108" i="35" s="1"/>
  <c r="P112" i="35"/>
  <c r="Q112" i="35" s="1"/>
  <c r="P105" i="35"/>
  <c r="Q105" i="35" s="1"/>
  <c r="P116" i="35"/>
  <c r="Q116" i="35" s="1"/>
  <c r="P121" i="35"/>
  <c r="Q121" i="35" s="1"/>
  <c r="P118" i="35"/>
  <c r="Q118" i="35" s="1"/>
  <c r="P122" i="35"/>
  <c r="Q122" i="35" s="1"/>
  <c r="P109" i="35"/>
  <c r="Q109" i="35" s="1"/>
  <c r="P106" i="35"/>
  <c r="Q106" i="35" s="1"/>
  <c r="P110" i="35"/>
  <c r="Q110" i="35" s="1"/>
  <c r="P115" i="35"/>
  <c r="Q115" i="35" s="1"/>
  <c r="P107" i="35"/>
  <c r="Q107" i="35" s="1"/>
  <c r="P100" i="35"/>
  <c r="Q100" i="35" s="1"/>
  <c r="Q99" i="35" s="1"/>
  <c r="P111" i="35"/>
  <c r="Q111" i="35" s="1"/>
  <c r="T180" i="35"/>
  <c r="U215" i="35"/>
  <c r="V180" i="35"/>
  <c r="V181" i="35"/>
  <c r="M199" i="35" a="1"/>
  <c r="M199" i="35" s="1"/>
  <c r="M205" i="35" a="1"/>
  <c r="M205" i="35" s="1"/>
  <c r="M201" i="35" s="1"/>
  <c r="M222" i="35" s="1"/>
  <c r="M188" i="35" a="1"/>
  <c r="M188" i="35" s="1"/>
  <c r="M183" i="35" s="1"/>
  <c r="M219" i="35" s="1"/>
  <c r="M181" i="35" a="1"/>
  <c r="M181" i="35" s="1"/>
  <c r="M194" i="35" a="1"/>
  <c r="M194" i="35" s="1"/>
  <c r="M174" i="35" a="1"/>
  <c r="M174" i="35" s="1"/>
  <c r="F125" i="38" a="1"/>
  <c r="F125" i="38" s="1"/>
  <c r="D137" i="38" s="1" a="1"/>
  <c r="D137" i="38" s="1"/>
  <c r="H160" i="35"/>
  <c r="G236" i="35" s="1" a="1"/>
  <c r="G236" i="35" s="1"/>
  <c r="I223" i="35"/>
  <c r="G245" i="35" s="1" a="1"/>
  <c r="G245" i="35" s="1"/>
  <c r="P290" i="35" a="1"/>
  <c r="P290" i="35" s="1"/>
  <c r="I224" i="35"/>
  <c r="G269" i="35" s="1" a="1"/>
  <c r="G269" i="35" s="1"/>
  <c r="H170" i="35"/>
  <c r="G247" i="35" s="1" a="1"/>
  <c r="G247" i="35" s="1"/>
  <c r="T170" i="35"/>
  <c r="V170" i="35"/>
  <c r="V171" i="35"/>
  <c r="W170" i="35" s="1"/>
  <c r="S246" i="35" s="1" a="1"/>
  <c r="S246" i="35" s="1"/>
  <c r="U213" i="35"/>
  <c r="T200" i="35"/>
  <c r="U218" i="35"/>
  <c r="S290" i="35" s="1" a="1"/>
  <c r="S290" i="35" s="1"/>
  <c r="V200" i="35"/>
  <c r="V201" i="35"/>
  <c r="S284" i="35" a="1"/>
  <c r="S284" i="35" s="1"/>
  <c r="BQ35" i="40"/>
  <c r="BQ85" i="40"/>
  <c r="AY28" i="38"/>
  <c r="AY27" i="38"/>
  <c r="H190" i="35" a="1"/>
  <c r="AG6" i="14" a="1"/>
  <c r="AG6" i="14" s="1"/>
  <c r="T160" i="35"/>
  <c r="V161" i="35"/>
  <c r="U212" i="35"/>
  <c r="V160" i="35"/>
  <c r="V162" i="35"/>
  <c r="T190" i="35"/>
  <c r="V190" i="35"/>
  <c r="W190" i="35" s="1"/>
  <c r="U216" i="35"/>
  <c r="M54" i="40"/>
  <c r="W200" i="35" l="1"/>
  <c r="W180" i="35"/>
  <c r="U217" i="35"/>
  <c r="U219" i="35" s="1"/>
  <c r="U214" i="35"/>
  <c r="S256" i="35" s="1" a="1"/>
  <c r="S256" i="35" s="1"/>
  <c r="S255" i="35" a="1"/>
  <c r="S255" i="35" s="1"/>
  <c r="I225" i="35"/>
  <c r="J225" i="35" s="1"/>
  <c r="H190" i="35"/>
  <c r="W160" i="35"/>
  <c r="S236" i="35" s="1" a="1"/>
  <c r="S236" i="35" s="1"/>
  <c r="S260" i="35" a="1"/>
  <c r="S260" i="35" s="1"/>
  <c r="S280" i="35" a="1"/>
  <c r="S280" i="35" s="1"/>
  <c r="M213" i="35"/>
  <c r="M171" i="35"/>
  <c r="M217" i="35" s="1"/>
  <c r="AG13" i="40"/>
  <c r="BF7" i="40"/>
  <c r="I220" i="35"/>
  <c r="G290" i="35" s="1" a="1"/>
  <c r="G290" i="35" s="1"/>
  <c r="G7" i="35" s="1" a="1"/>
  <c r="X21" i="40"/>
  <c r="X22" i="40"/>
  <c r="S270" i="35" a="1"/>
  <c r="S270" i="35" s="1"/>
  <c r="S292" i="35" a="1"/>
  <c r="S292" i="35" s="1"/>
  <c r="M176" i="35"/>
  <c r="M218" i="35" s="1"/>
  <c r="M193" i="35" l="1"/>
  <c r="I221" i="35"/>
  <c r="X23" i="40"/>
  <c r="AG16" i="40" s="1"/>
  <c r="M198" i="35" s="1"/>
  <c r="S7" i="35" a="1"/>
  <c r="H101" i="35"/>
  <c r="I101" i="35" s="1"/>
  <c r="H110" i="35"/>
  <c r="I110" i="35" s="1"/>
  <c r="H111" i="35"/>
  <c r="I111" i="35" s="1"/>
  <c r="H113" i="35"/>
  <c r="I113" i="35" s="1"/>
  <c r="H112" i="35"/>
  <c r="I112" i="35" s="1"/>
  <c r="H107" i="35"/>
  <c r="I107" i="35" s="1"/>
  <c r="H104" i="35"/>
  <c r="I104" i="35" s="1"/>
  <c r="H100" i="35"/>
  <c r="I100" i="35" s="1"/>
  <c r="G7" i="35"/>
  <c r="H103" i="35"/>
  <c r="I103" i="35" s="1"/>
  <c r="H108" i="35"/>
  <c r="I108" i="35" s="1"/>
  <c r="H102" i="35"/>
  <c r="I102" i="35" s="1"/>
  <c r="H105" i="35"/>
  <c r="I105" i="35" s="1"/>
  <c r="H109" i="35"/>
  <c r="I109" i="35" s="1"/>
  <c r="H106" i="35"/>
  <c r="I106" i="35" s="1"/>
  <c r="BF73" i="40"/>
  <c r="BF118" i="40"/>
  <c r="I99" i="35" l="1"/>
  <c r="H102" i="38" s="1"/>
  <c r="T130" i="35"/>
  <c r="U130" i="35" s="1"/>
  <c r="T129" i="35"/>
  <c r="U129" i="35" s="1"/>
  <c r="T126" i="35"/>
  <c r="U126" i="35" s="1"/>
  <c r="T127" i="35"/>
  <c r="U127" i="35" s="1"/>
  <c r="T124" i="35"/>
  <c r="U124" i="35" s="1"/>
  <c r="T125" i="35"/>
  <c r="U125" i="35" s="1"/>
  <c r="T128" i="35"/>
  <c r="U128" i="35" s="1"/>
  <c r="T123" i="35"/>
  <c r="U123" i="35" s="1"/>
  <c r="T122" i="35"/>
  <c r="U122" i="35" s="1"/>
  <c r="T109" i="35"/>
  <c r="U109" i="35" s="1"/>
  <c r="T115" i="35"/>
  <c r="U115" i="35" s="1"/>
  <c r="T113" i="35"/>
  <c r="U113" i="35" s="1"/>
  <c r="T103" i="35"/>
  <c r="U103" i="35" s="1"/>
  <c r="T108" i="35"/>
  <c r="U108" i="35" s="1"/>
  <c r="T102" i="35"/>
  <c r="U102" i="35" s="1"/>
  <c r="T117" i="35"/>
  <c r="U117" i="35" s="1"/>
  <c r="T106" i="35"/>
  <c r="U106" i="35" s="1"/>
  <c r="T100" i="35"/>
  <c r="S7" i="35"/>
  <c r="T105" i="35"/>
  <c r="U105" i="35" s="1"/>
  <c r="T111" i="35"/>
  <c r="U111" i="35" s="1"/>
  <c r="T101" i="35"/>
  <c r="U101" i="35" s="1"/>
  <c r="T121" i="35"/>
  <c r="U121" i="35" s="1"/>
  <c r="T104" i="35"/>
  <c r="U104" i="35" s="1"/>
  <c r="T116" i="35"/>
  <c r="U116" i="35" s="1"/>
  <c r="T119" i="35"/>
  <c r="U119" i="35" s="1"/>
  <c r="T107" i="35"/>
  <c r="U107" i="35" s="1"/>
  <c r="T118" i="35"/>
  <c r="U118" i="35" s="1"/>
  <c r="T120" i="35"/>
  <c r="U120" i="35" s="1"/>
  <c r="T112" i="35"/>
  <c r="U112" i="35" s="1"/>
  <c r="T114" i="35"/>
  <c r="U114" i="35" s="1"/>
  <c r="T110" i="35"/>
  <c r="U110" i="35" s="1"/>
  <c r="N198" i="35"/>
  <c r="M196" i="35"/>
  <c r="M221" i="35" s="1"/>
  <c r="AG7" i="40"/>
  <c r="N193" i="35"/>
  <c r="M190" i="35" a="1"/>
  <c r="M190" i="35" s="1"/>
  <c r="M220" i="35" s="1"/>
  <c r="L230" i="35" a="1"/>
  <c r="L230" i="35" s="1"/>
  <c r="L245" i="35" s="1" a="1"/>
  <c r="L245" i="35" s="1"/>
  <c r="D115" i="38" a="1"/>
  <c r="D115" i="38" s="1"/>
  <c r="Z440" i="38" l="1"/>
  <c r="L270" i="35" a="1"/>
  <c r="L270" i="35" s="1"/>
  <c r="L300" i="35" a="1"/>
  <c r="L300" i="35" s="1"/>
  <c r="U100" i="35"/>
  <c r="U99" i="35" s="1"/>
  <c r="H106" i="38" s="1"/>
  <c r="Z405" i="38"/>
  <c r="Z427" i="38"/>
  <c r="Z416" i="38"/>
  <c r="Z408" i="38"/>
  <c r="Z407" i="38"/>
  <c r="Z423" i="38"/>
  <c r="Z410" i="38"/>
  <c r="Z411" i="38"/>
  <c r="Z414" i="38"/>
  <c r="Z413" i="38"/>
  <c r="Z429" i="38"/>
  <c r="Z424" i="38"/>
  <c r="Z415" i="38"/>
  <c r="Z431" i="38"/>
  <c r="Z425" i="38"/>
  <c r="Z435" i="38"/>
  <c r="Z418" i="38"/>
  <c r="Z438" i="38"/>
  <c r="Z420" i="38"/>
  <c r="Z422" i="38"/>
  <c r="Z409" i="38"/>
  <c r="Z428" i="38"/>
  <c r="Z436" i="38"/>
  <c r="Z433" i="38"/>
  <c r="M224" i="35" a="1"/>
  <c r="M224" i="35" s="1"/>
  <c r="L7" i="35" l="1" a="1"/>
  <c r="L105" i="35" s="1"/>
  <c r="M105" i="35" s="1"/>
  <c r="Z403" i="38"/>
  <c r="L101" i="35" l="1"/>
  <c r="M101" i="35" s="1"/>
  <c r="L108" i="35"/>
  <c r="M108" i="35" s="1"/>
  <c r="L107" i="35"/>
  <c r="M107" i="35" s="1"/>
  <c r="L103" i="35"/>
  <c r="M103" i="35" s="1"/>
  <c r="L102" i="35"/>
  <c r="M102" i="35" s="1"/>
  <c r="L7" i="35"/>
  <c r="L100" i="35" s="1"/>
  <c r="M100" i="35" s="1"/>
  <c r="L106" i="35"/>
  <c r="M106" i="35" s="1"/>
  <c r="L104" i="35"/>
  <c r="M104"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<sst xmlns="http://schemas.openxmlformats.org/spreadsheetml/2006/main" count="3924" uniqueCount="1278">
  <si>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</si>
  <si>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</si>
  <si>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</si>
  <si>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</si>
  <si>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</si>
  <si>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</si>
  <si>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</si>
  <si>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</si>
  <si>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</si>
  <si>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</si>
  <si>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</si>
  <si>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</si>
  <si>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</si>
  <si>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</si>
  <si>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</si>
  <si>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</si>
  <si>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</si>
  <si>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</si>
  <si>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</si>
  <si>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</si>
  <si>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</si>
  <si>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</si>
  <si>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</si>
  <si>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</si>
  <si>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</si>
  <si>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</si>
  <si>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</si>
  <si>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</si>
  <si>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</si>
  <si>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</si>
  <si>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</si>
  <si>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</si>
  <si>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</si>
  <si>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</si>
  <si>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</si>
  <si>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</si>
  <si>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</si>
  <si>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</si>
  <si>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</si>
  <si>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</si>
  <si>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</si>
  <si>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</si>
  <si>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</si>
  <si>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</si>
  <si>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</si>
  <si>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</si>
  <si>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</si>
  <si>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</si>
  <si>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</si>
  <si>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</si>
  <si>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X</t>
  </si>
  <si>
    <t>Accnt Type</t>
  </si>
  <si>
    <t>Debit Account</t>
  </si>
  <si>
    <t>Credit Account</t>
  </si>
  <si>
    <t>Dr Amt</t>
  </si>
  <si>
    <t>Cr Amt</t>
  </si>
  <si>
    <t>Cash Flow</t>
  </si>
  <si>
    <t>Movement #</t>
  </si>
  <si>
    <t>Cash</t>
  </si>
  <si>
    <t>ref1</t>
  </si>
  <si>
    <t>ref2</t>
  </si>
  <si>
    <t>ref3</t>
  </si>
  <si>
    <t>Asset</t>
  </si>
  <si>
    <t>Equity</t>
  </si>
  <si>
    <t>Common Stock</t>
  </si>
  <si>
    <t>Liability</t>
  </si>
  <si>
    <t>Notes Payable</t>
  </si>
  <si>
    <t>Property, Plant &amp; Equipment</t>
  </si>
  <si>
    <t>Inventories</t>
  </si>
  <si>
    <t>Accounts Receivable</t>
  </si>
  <si>
    <t>Revenue</t>
  </si>
  <si>
    <t>Sales</t>
  </si>
  <si>
    <t>Expense</t>
  </si>
  <si>
    <t>Salaries &amp; Wages Expense</t>
  </si>
  <si>
    <t>Retained Earnings</t>
  </si>
  <si>
    <t>Dividends Payable</t>
  </si>
  <si>
    <t>Interest Expense</t>
  </si>
  <si>
    <t>Interest Payable</t>
  </si>
  <si>
    <t>Cost of Goods Sold</t>
  </si>
  <si>
    <t>Depreciation Expense</t>
  </si>
  <si>
    <t>Accumulated Depreciation</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</si>
  <si>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</si>
  <si>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</si>
  <si>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</si>
  <si>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</si>
  <si>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</si>
  <si>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</si>
  <si>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</si>
  <si>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</si>
  <si>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</si>
  <si>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</si>
  <si>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</si>
  <si>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</si>
  <si>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</si>
  <si>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</si>
  <si>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</si>
  <si>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</si>
  <si>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</si>
  <si>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</si>
  <si>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</si>
  <si>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</si>
  <si>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</si>
  <si>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</si>
  <si>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</si>
  <si>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</si>
  <si>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</si>
  <si>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</si>
  <si>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</si>
  <si>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Beginning Balance Sheet</t>
  </si>
  <si>
    <t xml:space="preserve">  Noncurrent Liabilities</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</si>
  <si>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</si>
  <si>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</si>
  <si>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</si>
  <si>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</si>
  <si>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</si>
  <si>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</si>
  <si>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</si>
  <si>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</si>
  <si>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</si>
  <si>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</si>
  <si>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</si>
  <si>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Equities</t>
  </si>
  <si>
    <t>Issued common stock</t>
  </si>
  <si>
    <t>Declared Dividends</t>
  </si>
  <si>
    <t>Net Income (Loss)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</si>
  <si>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</si>
  <si>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</si>
  <si>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</si>
  <si>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</si>
  <si>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</si>
  <si>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</si>
  <si>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</si>
  <si>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</si>
  <si>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</si>
  <si>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</si>
  <si>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</si>
  <si>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</si>
  <si>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</si>
  <si>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</si>
  <si>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</si>
  <si>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</si>
  <si>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</si>
  <si>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</si>
  <si>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</si>
  <si>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</si>
  <si>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</si>
  <si>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</si>
  <si>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</si>
  <si>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</si>
  <si>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</si>
  <si>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</si>
  <si>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</si>
  <si>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</si>
  <si>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</si>
  <si>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</si>
  <si>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</si>
  <si>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</si>
  <si>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</si>
  <si>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</si>
  <si>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</si>
  <si>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</si>
  <si>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</si>
  <si>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</si>
  <si>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</si>
  <si>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</si>
  <si>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</si>
  <si>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</si>
  <si>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</si>
  <si>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</si>
  <si>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</si>
  <si>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</si>
  <si>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</si>
  <si>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</si>
  <si>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</si>
  <si>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</si>
  <si>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</si>
  <si>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</si>
  <si>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</si>
  <si>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</si>
  <si>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</si>
  <si>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</si>
  <si>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</si>
  <si>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</si>
  <si>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</si>
  <si>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</si>
  <si>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</si>
  <si>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</si>
  <si>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</si>
  <si>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</si>
  <si>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</si>
  <si>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</si>
  <si>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</si>
  <si>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</si>
  <si>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</si>
  <si>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</si>
  <si>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</si>
  <si>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</si>
  <si>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</si>
  <si>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</si>
  <si>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</si>
  <si>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</si>
  <si>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</si>
  <si>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</si>
  <si>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</si>
  <si>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</si>
  <si>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</si>
  <si>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</si>
  <si>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</si>
  <si>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</si>
  <si>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</si>
  <si>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</si>
  <si>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</si>
  <si>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</si>
  <si>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</si>
  <si>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</si>
  <si>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</si>
  <si>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</si>
  <si>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</si>
  <si>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</si>
  <si>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</si>
  <si>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</si>
  <si>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</si>
  <si>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</si>
  <si>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</si>
  <si>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</si>
  <si>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</si>
  <si>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</si>
  <si>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</si>
  <si>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</si>
  <si>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</si>
  <si>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</si>
  <si>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</si>
  <si>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</si>
  <si>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</si>
  <si>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</si>
  <si>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</si>
  <si>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</si>
  <si>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</si>
  <si>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</si>
  <si>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</si>
  <si>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 for PP&amp;E</t>
  </si>
  <si>
    <t>Stock-based compensation</t>
  </si>
  <si>
    <t>NoncurrentAssets</t>
  </si>
  <si>
    <t>Additional Paid-in Capital</t>
  </si>
  <si>
    <t>Issued common stock APIC</t>
  </si>
  <si>
    <t>Issued common stock for PP&amp;E APIC</t>
  </si>
  <si>
    <t>Stock-based compensation APIC</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</si>
  <si>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</si>
  <si>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</si>
  <si>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</si>
  <si>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</si>
  <si>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</si>
  <si>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</si>
  <si>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</si>
  <si>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</si>
  <si>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</si>
  <si>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</si>
  <si>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</si>
  <si>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</si>
  <si>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</si>
  <si>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</si>
  <si>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</si>
  <si>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</si>
  <si>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</si>
  <si>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</si>
  <si>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</si>
  <si>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</si>
  <si>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</si>
  <si>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</si>
  <si>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</si>
  <si>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</si>
  <si>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</si>
  <si>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</si>
  <si>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</si>
  <si>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</si>
  <si>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</si>
  <si>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</si>
  <si>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</si>
  <si>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</si>
  <si>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</si>
  <si>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</si>
  <si>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</si>
  <si>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</si>
  <si>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</si>
  <si>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</si>
  <si>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</si>
  <si>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</si>
  <si>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</si>
  <si>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</si>
  <si>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</si>
  <si>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</si>
  <si>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</si>
  <si>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</si>
  <si>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</si>
  <si>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</si>
  <si>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</si>
  <si>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</si>
  <si>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</si>
  <si>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</si>
  <si>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</si>
  <si>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</si>
  <si>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</si>
  <si>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</si>
  <si>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</si>
  <si>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</si>
  <si>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</si>
  <si>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</si>
  <si>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</si>
  <si>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</si>
  <si>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</si>
  <si>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</si>
  <si>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</si>
  <si>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</si>
  <si>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</si>
  <si>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</si>
  <si>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</si>
  <si>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</si>
  <si>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</si>
  <si>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</si>
  <si>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</si>
  <si>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</si>
  <si>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</si>
  <si>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</si>
  <si>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</si>
  <si>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</si>
  <si>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</si>
  <si>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</si>
  <si>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</si>
  <si>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</si>
  <si>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</si>
  <si>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</si>
  <si>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</si>
  <si>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</si>
  <si>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</si>
  <si>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</si>
  <si>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</si>
  <si>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</si>
  <si>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</si>
  <si>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</si>
  <si>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</si>
  <si>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</si>
  <si>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</si>
  <si>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</si>
  <si>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</si>
  <si>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</si>
  <si>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</si>
  <si>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</si>
  <si>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</si>
  <si>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</si>
  <si>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</si>
  <si>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</si>
  <si>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</si>
  <si>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</si>
  <si>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</si>
  <si>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</si>
  <si>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</si>
  <si>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</si>
  <si>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</si>
  <si>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</si>
  <si>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</si>
  <si>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</si>
  <si>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</si>
  <si>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</si>
  <si>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</si>
  <si>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</si>
  <si>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</si>
  <si>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</si>
  <si>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</si>
  <si>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</si>
  <si>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</si>
  <si>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</si>
  <si>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</si>
  <si>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</si>
  <si>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</si>
  <si>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</si>
  <si>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</si>
  <si>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</si>
  <si>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</si>
  <si>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</si>
  <si>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</si>
  <si>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</si>
  <si>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</si>
  <si>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</si>
  <si>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</si>
  <si>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</si>
  <si>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</si>
  <si>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</si>
  <si>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</si>
  <si>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</si>
  <si>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</si>
  <si>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</si>
  <si>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</si>
  <si>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</si>
  <si>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</si>
  <si>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</si>
  <si>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</si>
  <si>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</si>
  <si>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</si>
  <si>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</si>
  <si>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</si>
  <si>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</si>
  <si>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</si>
  <si>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</si>
  <si>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</si>
  <si>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</si>
  <si>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</si>
  <si>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</si>
  <si>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</si>
  <si>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</si>
  <si>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</si>
  <si>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</si>
  <si>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</si>
  <si>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</si>
  <si>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</si>
  <si>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</si>
  <si>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</si>
  <si>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</si>
  <si>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</si>
  <si>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</si>
  <si>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</si>
  <si>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</si>
  <si>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</si>
  <si>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</si>
  <si>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</si>
  <si>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</si>
  <si>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</si>
  <si>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</si>
  <si>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</si>
  <si>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</si>
  <si>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</si>
  <si>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</si>
  <si>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</si>
  <si>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</si>
  <si>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</si>
  <si>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Better understand the nature of accounting equities.</t>
  </si>
  <si>
    <t>Become familiar with Gains and Losses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</si>
  <si>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</si>
  <si>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</si>
  <si>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</si>
  <si>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</si>
  <si>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</si>
  <si>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</si>
  <si>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</si>
  <si>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</si>
  <si>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</si>
  <si>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</si>
  <si>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</si>
  <si>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</si>
  <si>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</si>
  <si>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</si>
  <si>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</si>
  <si>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</si>
  <si>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</si>
  <si>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</si>
  <si>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</si>
  <si>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</si>
  <si>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Miloslav's Magazines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</si>
  <si>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</si>
  <si>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</si>
  <si>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</si>
  <si>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</si>
  <si>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</si>
  <si>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</si>
  <si>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</si>
  <si>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</si>
  <si>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</si>
  <si>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</si>
  <si>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</si>
  <si>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</si>
  <si>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</si>
  <si>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</si>
  <si>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</si>
  <si>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Sold common stock for $3 thousand cash on January 1.</t>
  </si>
  <si>
    <t>Borrowed $20 thousand cash on April 1 by issuing a promissory note. The interest rate on the loan is 12% compounded monthly and the interest is due each December 31, until the note is repaid.</t>
  </si>
  <si>
    <t>Bought a bicycle for $1 thousand cash on January 1. The bicycle has an estimated life of five years and no salvage value.</t>
  </si>
  <si>
    <t>Bought 10,000 magazines for $2 cash each on April 5.</t>
  </si>
  <si>
    <t>Sold magazines at various times for a total of $25 thousand. All sales were on account.</t>
  </si>
  <si>
    <t>Collected $20.5 thousand from customers.</t>
  </si>
  <si>
    <t>Paid himself a salary of $3 thousand cash.</t>
  </si>
  <si>
    <t>Declared a $0. 05 thousand cash dividend to shareholders.</t>
  </si>
  <si>
    <t>Paid the dividend declared in 8.</t>
  </si>
  <si>
    <t>Recorded the interest payable on the note issued in 2. The amount is $1.87 thousand.</t>
  </si>
  <si>
    <t>Paid the interest of $1.87 thousand on the note issued in 2.</t>
  </si>
  <si>
    <t>On December 31, Miloslav determined by a physical count that 1,000 magazines were left in the storage bin at the warehouse. You need to find the Cost of Goods Sold.</t>
  </si>
  <si>
    <t>Depreciation expense on the bicycle for 20x4 is $0.2 thousand.</t>
  </si>
  <si>
    <t>Close temporary accounts</t>
  </si>
  <si>
    <t>Recognition Yes/No</t>
  </si>
  <si>
    <t>YES</t>
  </si>
  <si>
    <t>Recognition Explanation</t>
  </si>
  <si>
    <t>Cash has been received and an ownership share has been created. Either requires recognition.</t>
  </si>
  <si>
    <t>Cash has been received and an obligation has been created. Either requires recognition.</t>
  </si>
  <si>
    <t>Cash has been spent and a (noncash) asset has been created. Either requires recognition.</t>
  </si>
  <si>
    <t>Criteria for recognizing revenue have been met.</t>
  </si>
  <si>
    <t>Cash has been received and a (noncash) asset has been given up. Either requires recognition.</t>
  </si>
  <si>
    <t>Cash has been spent.</t>
  </si>
  <si>
    <t>An obligation has been incurred.</t>
  </si>
  <si>
    <t>Cash has been spent and an obligation has been met. Either requires recognition.</t>
  </si>
  <si>
    <t>Time has passed and interest must be accrued.</t>
  </si>
  <si>
    <t>The amount shown as an asset in the records may not be accurate, so an adjustment may be required.</t>
  </si>
  <si>
    <t>Time has passed and the book value of the asset(s) must be reduced.</t>
  </si>
  <si>
    <t>Temporary accounts have nonzero ending balances. They must be closed; i.e., their ending balances must be made equal to zero.</t>
  </si>
  <si>
    <t>Cash Flow/Noncash trans CODE</t>
  </si>
  <si>
    <t>Does_NOT_affect_Cash_Flow</t>
  </si>
  <si>
    <t>Noncash_Financing</t>
  </si>
  <si>
    <t>Description if CODE is used</t>
  </si>
  <si>
    <t>Issued notes</t>
  </si>
  <si>
    <t>Acquired PP&amp;E</t>
  </si>
  <si>
    <t>Paid suppliers</t>
  </si>
  <si>
    <t>Collected from customers</t>
  </si>
  <si>
    <t>Paid employees</t>
  </si>
  <si>
    <t>Paid dividends</t>
  </si>
  <si>
    <t>Paid interest</t>
  </si>
  <si>
    <t>Record Depreciation Expense</t>
  </si>
  <si>
    <t>Close Temporary Accounts</t>
  </si>
  <si>
    <t>Code</t>
  </si>
  <si>
    <t>ICS</t>
  </si>
  <si>
    <t>IN</t>
  </si>
  <si>
    <t>PPPE</t>
  </si>
  <si>
    <t>PdS</t>
  </si>
  <si>
    <t>ColC</t>
  </si>
  <si>
    <t>PdSW</t>
  </si>
  <si>
    <t>DD</t>
  </si>
  <si>
    <t>PD</t>
  </si>
  <si>
    <t>PdInt</t>
  </si>
  <si>
    <t>RecDeprExp</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</si>
  <si>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</si>
  <si>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</si>
  <si>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</si>
  <si>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</si>
  <si>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</si>
  <si>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</si>
  <si>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</si>
  <si>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</si>
  <si>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</si>
  <si>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</si>
  <si>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</si>
  <si>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</si>
  <si>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</si>
  <si>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</si>
  <si>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</si>
  <si>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</si>
  <si>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</si>
  <si>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</si>
  <si>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</si>
  <si>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</si>
  <si>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</si>
  <si>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</si>
  <si>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</si>
  <si>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</si>
  <si>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</si>
  <si>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</si>
  <si>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</si>
  <si>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</si>
  <si>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</si>
  <si>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</si>
  <si>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</si>
  <si>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</si>
  <si>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</si>
  <si>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</si>
  <si>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</si>
  <si>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</si>
  <si>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</si>
  <si>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</si>
  <si>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</si>
  <si>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</si>
  <si>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</si>
  <si>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</si>
  <si>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</si>
  <si>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</si>
  <si>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</si>
  <si>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</si>
  <si>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</si>
  <si>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</si>
  <si>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</si>
  <si>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</si>
  <si>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</si>
  <si>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</si>
  <si>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</si>
  <si>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</si>
  <si>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</si>
  <si>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</si>
  <si>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</si>
  <si>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</si>
  <si>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</si>
  <si>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</si>
  <si>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</si>
  <si>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</si>
  <si>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</si>
  <si>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</si>
  <si>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</si>
  <si>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</si>
  <si>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</si>
  <si>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</si>
  <si>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</si>
  <si>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</si>
  <si>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</si>
  <si>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</si>
  <si>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</si>
  <si>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</si>
  <si>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</si>
  <si>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</si>
  <si>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</si>
  <si>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</si>
  <si>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</si>
  <si>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</si>
  <si>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</si>
  <si>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</si>
  <si>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</si>
  <si>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</si>
  <si>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</si>
  <si>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</si>
  <si>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</si>
  <si>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</si>
  <si>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</si>
  <si>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</si>
  <si>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</si>
  <si>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</si>
  <si>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</si>
  <si>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</si>
  <si>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</si>
  <si>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</si>
  <si>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</si>
  <si>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</si>
  <si>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</si>
  <si>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Rent Expense</t>
  </si>
  <si>
    <t>CS, APIC and RE</t>
  </si>
  <si>
    <t>Acquired marketable securities</t>
  </si>
  <si>
    <t>Bad Debts Expense</t>
  </si>
  <si>
    <t>PS, CS, APIC and RE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</si>
  <si>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</si>
  <si>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</si>
  <si>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</si>
  <si>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</si>
  <si>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</si>
  <si>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</si>
  <si>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</si>
  <si>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</si>
  <si>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</si>
  <si>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</si>
  <si>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</si>
  <si>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</si>
  <si>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</si>
  <si>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</si>
  <si>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</si>
  <si>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</si>
  <si>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</si>
  <si>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</si>
  <si>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</si>
  <si>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</si>
  <si>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</si>
  <si>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other noncurrent liabilities</t>
  </si>
  <si>
    <t>Issued senior debt</t>
  </si>
  <si>
    <t>Issued subordinated debt</t>
  </si>
  <si>
    <t>Accounts Payable</t>
  </si>
  <si>
    <t>Accrued Expenses</t>
  </si>
  <si>
    <t>Retired bonds</t>
  </si>
  <si>
    <t>Retired notes</t>
  </si>
  <si>
    <t>Taxes Payable</t>
  </si>
  <si>
    <t>Repaid loans</t>
  </si>
  <si>
    <t>Deferred Tax Liabilities</t>
  </si>
  <si>
    <t>Unearned Revenue</t>
  </si>
  <si>
    <t xml:space="preserve">  Cash Flow from Financing Activities</t>
  </si>
  <si>
    <t>Salaries &amp; Wages Payable</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</si>
  <si>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</si>
  <si>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</si>
  <si>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</si>
  <si>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</si>
  <si>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</si>
  <si>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</si>
  <si>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</si>
  <si>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</si>
  <si>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</si>
  <si>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</si>
  <si>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</si>
  <si>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</si>
  <si>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</si>
  <si>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</si>
  <si>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</si>
  <si>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</si>
  <si>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</si>
  <si>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</si>
  <si>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</si>
  <si>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</si>
  <si>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</si>
  <si>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</si>
  <si>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</si>
  <si>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</si>
  <si>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</si>
  <si>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</si>
  <si>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</si>
  <si>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</si>
  <si>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</si>
  <si>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</si>
  <si>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</si>
  <si>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</si>
  <si>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</si>
  <si>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</si>
  <si>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</si>
  <si>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</si>
  <si>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</si>
  <si>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</si>
  <si>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</si>
  <si>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</si>
  <si>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</si>
  <si>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</si>
  <si>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</si>
  <si>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</si>
  <si>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</si>
  <si>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</si>
  <si>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</si>
  <si>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</si>
  <si>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12/31/20x3</t>
  </si>
  <si>
    <t>Cash @ 12/31/20x3</t>
  </si>
  <si>
    <t>Changes in Shareholders' Equity</t>
  </si>
  <si>
    <t xml:space="preserve"> Current Assets:</t>
  </si>
  <si>
    <t>Balance @ 12/31/20x3</t>
  </si>
  <si>
    <t>Balance @ 12/31/20x4</t>
  </si>
  <si>
    <t xml:space="preserve"> Noncurrent Assets:</t>
  </si>
  <si>
    <t>Cash @ 12/31/20x4</t>
  </si>
  <si>
    <t>Total Shareholders' Equity @ 12/31/20x4</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</si>
  <si>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</si>
  <si>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</si>
  <si>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</si>
  <si>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</si>
  <si>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</si>
  <si>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</si>
  <si>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</si>
  <si>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</si>
  <si>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</si>
  <si>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</si>
  <si>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</si>
  <si>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</si>
  <si>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</si>
  <si>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</si>
  <si>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</si>
  <si>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</si>
  <si>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</si>
  <si>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</si>
  <si>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</si>
  <si>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</si>
  <si>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Transaction Description</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</si>
  <si>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</si>
  <si>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</si>
  <si>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</si>
  <si>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</si>
  <si>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</si>
  <si>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</si>
  <si>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</si>
  <si>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</si>
  <si>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</si>
  <si>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</si>
  <si>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</si>
  <si>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</si>
  <si>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</si>
  <si>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</si>
  <si>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</si>
  <si>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</si>
  <si>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</si>
  <si>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</si>
  <si>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</si>
  <si>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</si>
  <si>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</si>
  <si>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</si>
  <si>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</si>
  <si>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</si>
  <si>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</si>
  <si>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</si>
  <si>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</si>
  <si>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</si>
  <si>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</si>
  <si>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</si>
  <si>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</si>
  <si>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</si>
  <si>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</si>
  <si>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</si>
  <si>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</si>
  <si>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</si>
  <si>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</si>
  <si>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</si>
  <si>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</si>
  <si>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</si>
  <si>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</si>
  <si>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</si>
  <si>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</si>
  <si>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</si>
  <si>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</si>
  <si>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</si>
  <si>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</si>
  <si>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</si>
  <si>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</si>
  <si>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</si>
  <si>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</si>
  <si>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</si>
  <si>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</si>
  <si>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</si>
  <si>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</si>
  <si>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</si>
  <si>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</si>
  <si>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</si>
  <si>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</si>
  <si>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</si>
  <si>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</si>
  <si>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</si>
  <si>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</si>
  <si>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</si>
  <si>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</si>
  <si>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</si>
  <si>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</si>
  <si>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</si>
  <si>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</si>
  <si>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</si>
  <si>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</si>
  <si>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</si>
  <si>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</si>
  <si>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</si>
  <si>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</si>
  <si>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</si>
  <si>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</si>
  <si>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</si>
  <si>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</si>
  <si>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</si>
  <si>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</si>
  <si>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</si>
  <si>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</si>
  <si>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</si>
  <si>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</si>
  <si>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</si>
  <si>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</si>
  <si>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</si>
  <si>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</si>
  <si>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</si>
  <si>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</si>
  <si>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</si>
  <si>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</si>
  <si>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</si>
  <si>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</si>
  <si>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</si>
  <si>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</si>
  <si>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</si>
  <si>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</si>
  <si>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</si>
  <si>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</si>
  <si>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</si>
  <si>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</si>
  <si>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</si>
  <si>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</si>
  <si>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</si>
  <si>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</si>
  <si>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</si>
  <si>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</si>
  <si>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</si>
  <si>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</si>
  <si>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</si>
  <si>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</si>
  <si>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</si>
  <si>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</si>
  <si>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</si>
  <si>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</si>
  <si>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</si>
  <si>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</si>
  <si>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</si>
  <si>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</si>
  <si>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</si>
  <si>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</si>
  <si>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</si>
  <si>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</si>
  <si>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</si>
  <si>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</si>
  <si>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</si>
  <si>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</si>
  <si>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</si>
  <si>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</si>
  <si>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</si>
  <si>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</si>
  <si>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</si>
  <si>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</si>
  <si>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</si>
  <si>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</si>
  <si>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</si>
  <si>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</si>
  <si>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</si>
  <si>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</si>
  <si>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</si>
  <si>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</si>
  <si>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</si>
  <si>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</si>
  <si>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</si>
  <si>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</si>
  <si>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</si>
  <si>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</si>
  <si>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</si>
  <si>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</si>
  <si>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</si>
  <si>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</si>
  <si>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</si>
  <si>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</si>
  <si>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</si>
  <si>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</si>
  <si>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</si>
  <si>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</si>
  <si>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</si>
  <si>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</si>
  <si>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</si>
  <si>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</si>
  <si>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</si>
  <si>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</si>
  <si>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</si>
  <si>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</si>
  <si>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</si>
  <si>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</si>
  <si>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</si>
  <si>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</si>
  <si>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</si>
  <si>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</si>
  <si>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</si>
  <si>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</si>
  <si>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</si>
  <si>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</si>
  <si>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</si>
  <si>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</si>
  <si>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</si>
  <si>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</si>
  <si>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</si>
  <si>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</si>
  <si>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</si>
  <si>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</si>
  <si>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</si>
  <si>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</si>
  <si>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</si>
  <si>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</si>
  <si>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</si>
  <si>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</si>
  <si>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</si>
  <si>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</si>
  <si>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</si>
  <si>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</si>
  <si>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</si>
  <si>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</si>
  <si>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</si>
  <si>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</si>
  <si>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</si>
  <si>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</si>
  <si>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</si>
  <si>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</si>
  <si>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</si>
  <si>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</si>
  <si>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</si>
  <si>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</si>
  <si>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</si>
  <si>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</si>
  <si>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</si>
  <si>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</si>
  <si>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</si>
  <si>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</si>
  <si>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</si>
  <si>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</si>
  <si>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</si>
  <si>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</si>
  <si>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</si>
  <si>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</si>
  <si>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</si>
  <si>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</si>
  <si>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</si>
  <si>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</si>
  <si>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</si>
  <si>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</si>
  <si>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</si>
  <si>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</si>
  <si>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</si>
  <si>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</si>
  <si>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</si>
  <si>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</si>
  <si>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</si>
  <si>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</si>
  <si>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</si>
  <si>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</si>
  <si>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</si>
  <si>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</si>
  <si>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</si>
  <si>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</si>
  <si>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</si>
  <si>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</si>
  <si>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</si>
  <si>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</si>
  <si>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</si>
  <si>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</si>
  <si>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</si>
  <si>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</si>
  <si>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</si>
  <si>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</si>
  <si>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</si>
  <si>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</si>
  <si>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</si>
  <si>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</si>
  <si>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</si>
  <si>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</si>
  <si>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</si>
  <si>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</si>
  <si>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</si>
  <si>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</si>
  <si>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</si>
  <si>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</si>
  <si>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</si>
  <si>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</si>
  <si>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</si>
  <si>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</si>
  <si>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</si>
  <si>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</si>
  <si>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</si>
  <si>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</si>
  <si>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</si>
  <si>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</si>
  <si>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</si>
  <si>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</si>
  <si>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</si>
  <si>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</si>
  <si>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</si>
  <si>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</si>
  <si>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ISD</t>
  </si>
  <si>
    <t>ISubD</t>
  </si>
  <si>
    <t>Issued Other Noncurrent Liabilities</t>
  </si>
  <si>
    <t>IONCL</t>
  </si>
  <si>
    <t>RB</t>
  </si>
  <si>
    <t>RN</t>
  </si>
  <si>
    <t>PTS</t>
  </si>
  <si>
    <t>Issued Treasury Stock</t>
  </si>
  <si>
    <t>STS</t>
  </si>
  <si>
    <t>Repaid loan</t>
  </si>
  <si>
    <t>RL</t>
  </si>
  <si>
    <t>Prepaid expenses</t>
  </si>
  <si>
    <t>PdPPd</t>
  </si>
  <si>
    <t>Paid accrued expenses</t>
  </si>
  <si>
    <t>PdACCEx</t>
  </si>
  <si>
    <t>Paid taxes</t>
  </si>
  <si>
    <t>PdTx</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</si>
  <si>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</si>
  <si>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</si>
  <si>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</si>
  <si>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</si>
  <si>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</si>
  <si>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</si>
  <si>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</si>
  <si>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</si>
  <si>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</si>
  <si>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</si>
  <si>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</si>
  <si>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</si>
  <si>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</si>
  <si>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</si>
  <si>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</si>
  <si>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</si>
  <si>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</si>
  <si>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</si>
  <si>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</si>
  <si>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</si>
  <si>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</si>
  <si>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</si>
  <si>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</si>
  <si>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</si>
  <si>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</si>
  <si>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</si>
  <si>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</si>
  <si>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</si>
  <si>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</si>
  <si>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</si>
  <si>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</si>
  <si>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</si>
  <si>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</si>
  <si>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</si>
  <si>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</si>
  <si>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</si>
  <si>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</si>
  <si>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</si>
  <si>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</si>
  <si>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</si>
  <si>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</si>
  <si>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</si>
  <si>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</si>
  <si>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</si>
  <si>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</si>
  <si>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</si>
  <si>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</si>
  <si>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</si>
  <si>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</si>
  <si>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</si>
  <si>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</si>
  <si>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</si>
  <si>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</si>
  <si>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</si>
  <si>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</si>
  <si>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</si>
  <si>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</si>
  <si>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</si>
  <si>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</si>
  <si>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</si>
  <si>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An asset has been acquired.</t>
  </si>
  <si>
    <t>An asset has been acquired and an obligation has been created. Either requires recognition.</t>
  </si>
  <si>
    <t>An asset has been acquired and another asset has been given up. Either requires recognition.</t>
  </si>
  <si>
    <t>Resources have been used or services have been consumed.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</si>
  <si>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</si>
  <si>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</si>
  <si>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</si>
  <si>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</si>
  <si>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</si>
  <si>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</si>
  <si>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</si>
  <si>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</si>
  <si>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</si>
  <si>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</si>
  <si>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</si>
  <si>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</si>
  <si>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</si>
  <si>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</si>
  <si>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</si>
  <si>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</si>
  <si>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</si>
  <si>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</si>
  <si>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</si>
  <si>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</si>
  <si>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</si>
  <si>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</si>
  <si>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</si>
  <si>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</si>
  <si>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</si>
  <si>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</si>
  <si>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</si>
  <si>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</si>
  <si>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</si>
  <si>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</si>
  <si>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</si>
  <si>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</si>
  <si>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</si>
  <si>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</si>
  <si>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</si>
  <si>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</si>
  <si>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</si>
  <si>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</si>
  <si>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</si>
  <si>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</si>
  <si>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</si>
  <si>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</si>
  <si>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</si>
  <si>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</si>
  <si>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</si>
  <si>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</si>
  <si>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</si>
  <si>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</si>
  <si>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</si>
  <si>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</si>
  <si>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</si>
  <si>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</si>
  <si>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</si>
  <si>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</si>
  <si>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</si>
  <si>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</si>
  <si>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</si>
  <si>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</si>
  <si>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</si>
  <si>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</si>
  <si>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</si>
  <si>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</si>
  <si>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</si>
  <si>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Use T-account notation for analyzing individual assets, liabilities and equities.</t>
  </si>
  <si>
    <t>Understand the role of Temporary accounts.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</si>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</sst>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180360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175260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25791</xdr:rowOff>
    </xdr:from>
    <xdr:to>
      <xdr:col>6</xdr:col>
      <xdr:colOff>683311</xdr:colOff>
      <xdr:row>6</xdr:row>
      <xdr:rowOff>118374</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119282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opLeftCell="A10" zoomScale="115" zoomScaleNormal="115" workbookViewId="0">
      <selection activeCell="G22" sqref="G22"/>
    </sheetView>
  </sheetViews>
  <sheetFormatPr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85" t="s">
        <v>1</v>
      </c>
      <c r="C2" s="686"/>
      <c r="D2" s="686"/>
      <c r="E2" s="687"/>
    </row>
    <row r="3" spans="2:5" ht="15.75" thickBot="1">
      <c r="B3" s="531" t="s">
        <v>2</v>
      </c>
      <c r="C3" s="529"/>
      <c r="D3" s="529"/>
      <c r="E3" s="530"/>
    </row>
    <row r="4" spans="2:5">
      <c r="B4" s="404" t="s">
        <v>3</v>
      </c>
      <c r="C4" s="676" t="str">
        <f>IF(ProblemData!E61="","",ProblemData!E61)</f>
        <v>Miloslav's Magazines</v>
      </c>
      <c r="D4" s="676"/>
      <c r="E4" s="677"/>
    </row>
    <row r="5" spans="2:5">
      <c r="B5" s="524" t="s">
        <v>4</v>
      </c>
      <c r="C5" s="683" t="str">
        <f>IF(ProblemData!E62="","",ProblemData!E62)</f>
        <v>For-profit corporation</v>
      </c>
      <c r="D5" s="683"/>
      <c r="E5" s="684"/>
    </row>
    <row r="6" spans="2:5" ht="15.75" thickBot="1">
      <c r="B6" s="525" t="s">
        <v>5</v>
      </c>
      <c r="C6" s="674" t="str">
        <f>IF(ProblemData!E63="","",ProblemData!E63)</f>
        <v>Retail</v>
      </c>
      <c r="D6" s="674"/>
      <c r="E6" s="675"/>
    </row>
    <row r="7" spans="2:5" ht="15.75" thickBot="1">
      <c r="B7" s="531" t="s">
        <v>6</v>
      </c>
      <c r="C7" s="529"/>
      <c r="D7" s="529"/>
      <c r="E7" s="530"/>
    </row>
    <row r="8" spans="2:5">
      <c r="B8" s="404" t="s">
        <v>7</v>
      </c>
      <c r="C8" s="676" t="str">
        <f>IF(ProblemData!E64="","",ProblemData!E64)</f>
        <v>12/31/20x3</v>
      </c>
      <c r="D8" s="676"/>
      <c r="E8" s="677"/>
    </row>
    <row r="9" spans="2:5">
      <c r="B9" s="524" t="s">
        <v>8</v>
      </c>
      <c r="C9" s="683" t="str">
        <f>IF(ProblemData!E65="","",ProblemData!E65)</f>
        <v>12/31/20x4</v>
      </c>
      <c r="D9" s="683"/>
      <c r="E9" s="684"/>
    </row>
    <row r="10" spans="2:5" ht="15.75" thickBot="1">
      <c r="B10" s="525" t="s">
        <v>9</v>
      </c>
      <c r="C10" s="674" t="str">
        <f>IF(ProblemData!E67="","",ProblemData!E67)</f>
        <v>Year</v>
      </c>
      <c r="D10" s="674"/>
      <c r="E10" s="675"/>
    </row>
    <row r="11" spans="2:5" ht="15.75" thickBot="1">
      <c r="B11" s="531" t="s">
        <v>10</v>
      </c>
      <c r="C11" s="529"/>
      <c r="D11" s="529"/>
      <c r="E11" s="530"/>
    </row>
    <row r="12" spans="2:5">
      <c r="B12" s="404" t="s">
        <v>11</v>
      </c>
      <c r="C12" s="676" t="str">
        <f>IF(ProblemData!E68="","",ProblemData!E68)</f>
        <v>Dollars in Thousands</v>
      </c>
      <c r="D12" s="676"/>
      <c r="E12" s="677"/>
    </row>
    <row r="13" spans="2:5">
      <c r="B13" s="524" t="s">
        <v>12</v>
      </c>
      <c r="C13" s="678">
        <f>IF(ProblemData!E69="","",ProblemData!E69)</f>
        <v>0</v>
      </c>
      <c r="D13" s="678"/>
      <c r="E13" s="679"/>
    </row>
    <row r="14" spans="2:5" ht="15.75" thickBot="1">
      <c r="B14" s="525" t="s">
        <v>13</v>
      </c>
      <c r="C14" s="674">
        <f>IF(ProblemData!E70="","",ProblemData!E70)</f>
        <v>0</v>
      </c>
      <c r="D14" s="674"/>
      <c r="E14" s="675"/>
    </row>
    <row r="17" spans="2:8" ht="15.75" thickBot="1"/>
    <row r="18" spans="2:8" ht="15.75" thickBot="1">
      <c r="B18" s="680" t="s">
        <v>14</v>
      </c>
      <c r="C18" s="681"/>
      <c r="D18" s="681"/>
      <c r="E18" s="681"/>
      <c r="F18" s="681"/>
      <c r="G18" s="681"/>
      <c r="H18" s="682"/>
    </row>
    <row r="19" spans="2:8" ht="15.7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1</v>
      </c>
      <c r="H20" s="174" t="str" cm="1">
        <f t="array" ref="H20:H27">_xlfn._xlws.FILTER(RequirementsChosen[Tab],RequirementsChosen[Action]&lt;&gt;"Omit")</f>
        <v>Instructions</v>
      </c>
    </row>
    <row r="21" spans="2:8">
      <c r="B21" s="448" t="s">
        <v>21</v>
      </c>
      <c r="C21" s="309" t="str">
        <v>Review</v>
      </c>
      <c r="D21" t="str">
        <v>Notes to the Financial Statements</v>
      </c>
      <c r="F21" s="1"/>
      <c r="G21" s="545" t="b">
        <v>1</v>
      </c>
      <c r="H21" s="97" t="str">
        <v>Notes_to_FSs</v>
      </c>
    </row>
    <row r="22" spans="2:8">
      <c r="B22" s="448" t="s">
        <v>22</v>
      </c>
      <c r="C22" s="309" t="str">
        <v>Prepare</v>
      </c>
      <c r="D22" t="str">
        <v>Beginning Balance Sheet</v>
      </c>
      <c r="F22" s="1"/>
      <c r="G22" s="545" t="b">
        <v>1</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75" thickBot="1">
      <c r="B34" s="449" t="s">
        <v>34</v>
      </c>
      <c r="C34" s="407"/>
      <c r="D34" s="283"/>
      <c r="E34" s="283"/>
      <c r="F34" s="395"/>
      <c r="G34" s="543" t="b">
        <v>0</v>
      </c>
      <c r="H34" s="99"/>
    </row>
    <row r="35" spans="2:10">
      <c r="C35" s="40"/>
      <c r="F35" s="1"/>
    </row>
    <row r="36" spans="2:10">
      <c r="B36" s="658" t="s">
        <v>35</v>
      </c>
      <c r="C36" s="658"/>
      <c r="D36" s="658"/>
      <c r="E36" s="658"/>
      <c r="F36" s="658"/>
      <c r="G36" s="658"/>
      <c r="H36" s="658"/>
      <c r="I36" s="658"/>
      <c r="J36" s="658"/>
    </row>
    <row r="37" spans="2:10" ht="15.75" thickBot="1">
      <c r="E37" s="1"/>
    </row>
    <row r="38" spans="2:10">
      <c r="B38" s="659" t="s">
        <v>36</v>
      </c>
      <c r="C38" s="670" t="s">
        <v>37</v>
      </c>
      <c r="D38" s="671"/>
      <c r="E38" s="672" t="s">
        <v>38</v>
      </c>
      <c r="F38" s="673"/>
      <c r="G38" s="668" t="s">
        <v>39</v>
      </c>
      <c r="H38" s="669"/>
    </row>
    <row r="39" spans="2:10" ht="15.75" thickBot="1">
      <c r="B39" s="660"/>
      <c r="C39" s="599" t="s">
        <v>40</v>
      </c>
      <c r="D39" s="600" t="s">
        <v>41</v>
      </c>
      <c r="E39" s="602" t="s">
        <v>40</v>
      </c>
      <c r="F39" s="603" t="s">
        <v>41</v>
      </c>
      <c r="G39" s="604"/>
      <c r="H39" s="605"/>
    </row>
    <row r="40" spans="2:10">
      <c r="B40" s="660"/>
      <c r="C40" s="175" t="str" cm="1">
        <f t="array" ref="C40:C44">IFERROR(_xlfn._xlws.FILTER(MD_Asset[[#All],[Account Name]],MD_Asset[[#All],[Used]]=1),"")</f>
        <v>Cash</v>
      </c>
      <c r="D40" s="598" t="str">
        <f>IF(NOT(ISBLANK(C40)),_xlfn.XLOOKUP(C40,MD_Asset[Account Name],MD_Asset[C/NC],""),"")</f>
        <v>C</v>
      </c>
      <c r="E40" s="102" t="str" cm="1">
        <f t="array" ref="E40:E42">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c r="B41" s="660"/>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c r="B42" s="660"/>
      <c r="C42" s="96" t="str">
        <v>Inventories</v>
      </c>
      <c r="D42" s="535" t="str">
        <f>IF(NOT(ISBLANK(C42)),_xlfn.XLOOKUP(C42,MD_Asset[Account Name],MD_Asset[C/NC],""),"")</f>
        <v>C</v>
      </c>
      <c r="E42" s="102" t="str">
        <v>Notes Payable</v>
      </c>
      <c r="F42" s="254" t="str">
        <f>IF(NOT(ISBLANK(E42)),_xlfn.XLOOKUP(E42,MD_Liability[Account Name],MD_Liability[C/NC],""),"")</f>
        <v>NC</v>
      </c>
      <c r="G42" s="102"/>
      <c r="H42" s="103"/>
    </row>
    <row r="43" spans="2:10">
      <c r="B43" s="660"/>
      <c r="C43" s="96" t="str">
        <v>Property, Plant &amp; Equipment</v>
      </c>
      <c r="D43" s="535" t="str">
        <f>IF(NOT(ISBLANK(C43)),_xlfn.XLOOKUP(C43,MD_Asset[Account Name],MD_Asset[C/NC],""),"")</f>
        <v>NC</v>
      </c>
      <c r="E43" s="102"/>
      <c r="F43" s="254" t="str">
        <f>IF(NOT(ISBLANK(E43)),_xlfn.XLOOKUP(E43,MD_Liability[Account Name],MD_Liability[C/NC],""),"")</f>
        <v/>
      </c>
      <c r="G43" s="102"/>
      <c r="H43" s="103"/>
    </row>
    <row r="44" spans="2:10">
      <c r="B44" s="660"/>
      <c r="C44" s="96" t="str">
        <v>Accumulated Depreciation</v>
      </c>
      <c r="D44" s="535" t="str">
        <f>IF(NOT(ISBLANK(C44)),_xlfn.XLOOKUP(C44,MD_Asset[Account Name],MD_Asset[C/NC],""),"")</f>
        <v>NC</v>
      </c>
      <c r="E44" s="102"/>
      <c r="F44" s="254" t="str">
        <f>IF(NOT(ISBLANK(E44)),_xlfn.XLOOKUP(E44,MD_Liability[Account Name],MD_Liability[C/NC],""),"")</f>
        <v/>
      </c>
      <c r="G44" s="102"/>
      <c r="H44" s="103"/>
    </row>
    <row r="45" spans="2:10">
      <c r="B45" s="660"/>
      <c r="C45" s="96"/>
      <c r="D45" s="535" t="str">
        <f>IF(NOT(ISBLANK(C45)),_xlfn.XLOOKUP(C45,MD_Asset[Account Name],MD_Asset[C/NC],""),"")</f>
        <v/>
      </c>
      <c r="E45" s="102"/>
      <c r="F45" s="254" t="str">
        <f>IF(NOT(ISBLANK(E45)),_xlfn.XLOOKUP(E45,MD_Liability[Account Name],MD_Liability[C/NC],""),"")</f>
        <v/>
      </c>
      <c r="G45" s="102"/>
      <c r="H45" s="103"/>
    </row>
    <row r="46" spans="2:10">
      <c r="B46" s="660"/>
      <c r="C46" s="96"/>
      <c r="D46" s="535" t="str">
        <f>IF(NOT(ISBLANK(C46)),_xlfn.XLOOKUP(C46,MD_Asset[Account Name],MD_Asset[C/NC],""),"")</f>
        <v/>
      </c>
      <c r="E46" s="102"/>
      <c r="F46" s="254" t="str">
        <f>IF(NOT(ISBLANK(E46)),_xlfn.XLOOKUP(E46,MD_Liability[Account Name],MD_Liability[C/NC],""),"")</f>
        <v/>
      </c>
      <c r="G46" s="102"/>
      <c r="H46" s="103"/>
    </row>
    <row r="47" spans="2:10">
      <c r="B47" s="660"/>
      <c r="C47" s="96"/>
      <c r="D47" s="535" t="str">
        <f>IF(NOT(ISBLANK(C47)),_xlfn.XLOOKUP(C47,MD_Asset[Account Name],MD_Asset[C/NC],""),"")</f>
        <v/>
      </c>
      <c r="E47" s="102"/>
      <c r="F47" s="254" t="str">
        <f>IF(NOT(ISBLANK(E47)),_xlfn.XLOOKUP(E47,MD_Liability[Account Name],MD_Liability[C/NC],""),"")</f>
        <v/>
      </c>
      <c r="G47" s="102"/>
      <c r="H47" s="103"/>
    </row>
    <row r="48" spans="2:10">
      <c r="B48" s="660"/>
      <c r="C48" s="96"/>
      <c r="D48" s="535" t="str">
        <f>IF(NOT(ISBLANK(C48)),_xlfn.XLOOKUP(C48,MD_Asset[Account Name],MD_Asset[C/NC],""),"")</f>
        <v/>
      </c>
      <c r="E48" s="102"/>
      <c r="F48" s="254" t="str">
        <f>IF(NOT(ISBLANK(E48)),_xlfn.XLOOKUP(E48,MD_Liability[Account Name],MD_Liability[C/NC],""),"")</f>
        <v/>
      </c>
      <c r="G48" s="102"/>
      <c r="H48" s="103"/>
    </row>
    <row r="49" spans="2:10">
      <c r="B49" s="660"/>
      <c r="C49" s="96"/>
      <c r="D49" s="535" t="str">
        <f>IF(NOT(ISBLANK(C49)),_xlfn.XLOOKUP(C49,MD_Asset[Account Name],MD_Asset[C/NC],""),"")</f>
        <v/>
      </c>
      <c r="E49" s="102"/>
      <c r="F49" s="254" t="str">
        <f>IF(NOT(ISBLANK(E49)),_xlfn.XLOOKUP(E49,MD_Liability[Account Name],MD_Liability[C/NC],""),"")</f>
        <v/>
      </c>
      <c r="G49" s="102"/>
      <c r="H49" s="103"/>
    </row>
    <row r="50" spans="2:10">
      <c r="B50" s="660"/>
      <c r="C50" s="96"/>
      <c r="D50" s="535" t="str">
        <f>IF(NOT(ISBLANK(C50)),_xlfn.XLOOKUP(C50,MD_Asset[Account Name],MD_Asset[C/NC],""),"")</f>
        <v/>
      </c>
      <c r="E50" s="102"/>
      <c r="F50" s="254" t="str">
        <f>IF(NOT(ISBLANK(E50)),_xlfn.XLOOKUP(E50,MD_Liability[Account Name],MD_Liability[C/NC],""),"")</f>
        <v/>
      </c>
      <c r="G50" s="102"/>
      <c r="H50" s="103"/>
    </row>
    <row r="51" spans="2:10" ht="15.75" thickBot="1">
      <c r="B51" s="661"/>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75" thickBot="1">
      <c r="E53" s="1"/>
    </row>
    <row r="54" spans="2:10">
      <c r="B54" s="659" t="s">
        <v>42</v>
      </c>
      <c r="C54" s="662" t="s">
        <v>43</v>
      </c>
      <c r="D54" s="663"/>
      <c r="E54" s="664" t="s">
        <v>44</v>
      </c>
      <c r="F54" s="665"/>
      <c r="G54" s="666" t="s">
        <v>45</v>
      </c>
      <c r="H54" s="667"/>
      <c r="I54" s="656" t="s">
        <v>46</v>
      </c>
      <c r="J54" s="657"/>
    </row>
    <row r="55" spans="2:10">
      <c r="B55" s="660"/>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60"/>
      <c r="C56" s="96"/>
      <c r="D56" s="97"/>
      <c r="E56" s="96" t="str">
        <v>Interest Expense</v>
      </c>
      <c r="F56" s="97"/>
      <c r="G56" s="96"/>
      <c r="H56" s="97"/>
      <c r="I56" s="96"/>
      <c r="J56" s="97"/>
    </row>
    <row r="57" spans="2:10">
      <c r="B57" s="660"/>
      <c r="C57" s="96"/>
      <c r="D57" s="97"/>
      <c r="E57" s="96" t="str">
        <v>Depreciation Expense</v>
      </c>
      <c r="F57" s="97"/>
      <c r="G57" s="96"/>
      <c r="H57" s="97"/>
      <c r="I57" s="96"/>
      <c r="J57" s="97"/>
    </row>
    <row r="58" spans="2:10">
      <c r="B58" s="660"/>
      <c r="C58" s="96"/>
      <c r="D58" s="97"/>
      <c r="E58" s="96" t="str">
        <v>Salaries &amp; Wages Expense</v>
      </c>
      <c r="F58" s="97"/>
      <c r="G58" s="96"/>
      <c r="H58" s="97"/>
      <c r="I58" s="96"/>
      <c r="J58" s="97"/>
    </row>
    <row r="59" spans="2:10">
      <c r="B59" s="660"/>
      <c r="C59" s="96"/>
      <c r="D59" s="97"/>
      <c r="E59" s="96"/>
      <c r="F59" s="97"/>
      <c r="G59" s="96"/>
      <c r="H59" s="97"/>
      <c r="I59" s="96"/>
      <c r="J59" s="97"/>
    </row>
    <row r="60" spans="2:10">
      <c r="B60" s="660"/>
      <c r="C60" s="96"/>
      <c r="D60" s="97"/>
      <c r="E60" s="96"/>
      <c r="F60" s="97"/>
      <c r="G60" s="96"/>
      <c r="H60" s="97"/>
      <c r="I60" s="96"/>
      <c r="J60" s="97"/>
    </row>
    <row r="61" spans="2:10">
      <c r="B61" s="660"/>
      <c r="C61" s="96"/>
      <c r="D61" s="97"/>
      <c r="E61" s="96"/>
      <c r="F61" s="97"/>
      <c r="G61" s="96"/>
      <c r="H61" s="97"/>
      <c r="I61" s="96"/>
      <c r="J61" s="97"/>
    </row>
    <row r="62" spans="2:10">
      <c r="B62" s="660"/>
      <c r="C62" s="96"/>
      <c r="D62" s="97"/>
      <c r="E62" s="96"/>
      <c r="F62" s="97"/>
      <c r="G62" s="96"/>
      <c r="H62" s="97"/>
      <c r="I62" s="96"/>
      <c r="J62" s="97"/>
    </row>
    <row r="63" spans="2:10">
      <c r="B63" s="660"/>
      <c r="C63" s="96"/>
      <c r="D63" s="97"/>
      <c r="E63" s="96"/>
      <c r="F63" s="97"/>
      <c r="G63" s="96"/>
      <c r="H63" s="97"/>
      <c r="I63" s="96"/>
      <c r="J63" s="97"/>
    </row>
    <row r="64" spans="2:10">
      <c r="B64" s="660"/>
      <c r="C64" s="96"/>
      <c r="D64" s="97"/>
      <c r="E64" s="96"/>
      <c r="F64" s="97"/>
      <c r="G64" s="96"/>
      <c r="H64" s="97"/>
      <c r="I64" s="96"/>
      <c r="J64" s="97"/>
    </row>
    <row r="65" spans="2:10" ht="15.75" thickBot="1">
      <c r="B65" s="661"/>
      <c r="C65" s="98"/>
      <c r="D65" s="99"/>
      <c r="E65" s="98"/>
      <c r="F65" s="99"/>
      <c r="G65" s="98"/>
      <c r="H65" s="99"/>
      <c r="I65" s="98"/>
      <c r="J65" s="99"/>
    </row>
    <row r="69" spans="2:10">
      <c r="B69" s="658" t="s">
        <v>47</v>
      </c>
      <c r="C69" s="658"/>
      <c r="D69" s="658"/>
      <c r="E69" s="658"/>
      <c r="F69" s="658"/>
      <c r="G69" s="658"/>
      <c r="H69" s="658"/>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Better understand the nature of accounting equities.</v>
      </c>
      <c r="D73" s="1"/>
      <c r="E73" s="1"/>
      <c r="F73" s="1"/>
      <c r="G73" s="1"/>
      <c r="H73" s="1"/>
    </row>
    <row r="74" spans="2:10">
      <c r="B74" s="1" t="s">
        <v>24</v>
      </c>
      <c r="C74" t="str">
        <v>Become familiar with Gains and Losses accounts.</v>
      </c>
      <c r="D74" s="1"/>
      <c r="E74" s="1"/>
      <c r="F74" s="1"/>
      <c r="G74" s="1"/>
      <c r="H74" s="1"/>
    </row>
    <row r="75" spans="2:10">
      <c r="C75" s="1"/>
      <c r="D75" s="1"/>
      <c r="E75" s="1"/>
      <c r="F75" s="1"/>
      <c r="G75" s="1"/>
      <c r="H75" s="1"/>
    </row>
    <row r="76" spans="2:10">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B47" activePane="bottomRight" state="frozen"/>
      <selection pane="bottomRight" activeCell="F54" sqref="F54"/>
      <selection pane="bottomLeft"/>
      <selection pane="topRight"/>
    </sheetView>
  </sheetViews>
  <sheetFormatPr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14</v>
      </c>
      <c r="E2" s="547" t="str">
        <f>Entity&amp;" Journal for "&amp;BegDate&amp;" to "&amp;EndDate</f>
        <v>Miloslav's Magazines Journal for 12/31/20x3 to 12/31/20x4</v>
      </c>
      <c r="F2" s="548"/>
      <c r="G2" s="549"/>
      <c r="H2" s="357" t="s">
        <v>49</v>
      </c>
      <c r="I2" s="612" t="str">
        <f>IF(ROUND(SUM(Journal[Dr Amt])-SUM(Journal[Cr Amt]),2)=0,"YES",ROUND(SUM(Journal[Dr Amt])-SUM(Journal[Cr Amt]),2))</f>
        <v>YES</v>
      </c>
    </row>
    <row r="3" spans="2:16" ht="15.75" thickBot="1">
      <c r="B3" s="39"/>
      <c r="C3" s="688"/>
      <c r="D3" s="689"/>
      <c r="E3" s="689"/>
      <c r="F3" s="689"/>
      <c r="G3" s="689"/>
      <c r="H3" s="689"/>
      <c r="I3" s="690"/>
      <c r="J3" s="35"/>
      <c r="K3" s="35"/>
      <c r="L3" s="35" t="s">
        <v>50</v>
      </c>
    </row>
    <row r="4" spans="2:16">
      <c r="B4" s="39"/>
      <c r="C4" s="691" t="str" cm="1">
        <f t="array" ref="C4">INDEX(ProblemData!D78:AN79,2,D2+1)</f>
        <v>Close temporary accounts</v>
      </c>
      <c r="D4" s="692"/>
      <c r="E4" s="692"/>
      <c r="F4" s="692"/>
      <c r="G4" s="692"/>
      <c r="H4" s="692"/>
      <c r="I4" s="693"/>
      <c r="J4" s="35"/>
      <c r="K4" s="35"/>
      <c r="L4" s="35" t="s">
        <v>50</v>
      </c>
    </row>
    <row r="5" spans="2:16">
      <c r="B5" s="39"/>
      <c r="C5" s="694"/>
      <c r="D5" s="695"/>
      <c r="E5" s="695"/>
      <c r="F5" s="695"/>
      <c r="G5" s="695"/>
      <c r="H5" s="695"/>
      <c r="I5" s="696"/>
      <c r="J5" s="35"/>
      <c r="K5" s="35"/>
      <c r="L5" s="35" t="s">
        <v>50</v>
      </c>
    </row>
    <row r="6" spans="2:16">
      <c r="B6" s="39"/>
      <c r="C6" s="694"/>
      <c r="D6" s="695"/>
      <c r="E6" s="695"/>
      <c r="F6" s="695"/>
      <c r="G6" s="695"/>
      <c r="H6" s="695"/>
      <c r="I6" s="696"/>
      <c r="J6" s="35"/>
      <c r="K6" s="35"/>
      <c r="L6" s="35" t="s">
        <v>50</v>
      </c>
    </row>
    <row r="7" spans="2:16" ht="15.75" thickBot="1">
      <c r="B7" s="39"/>
      <c r="C7" s="697"/>
      <c r="D7" s="698"/>
      <c r="E7" s="698"/>
      <c r="F7" s="698"/>
      <c r="G7" s="698"/>
      <c r="H7" s="698"/>
      <c r="I7" s="699"/>
      <c r="J7" s="35"/>
      <c r="K7" s="35"/>
      <c r="L7" s="35" t="s">
        <v>50</v>
      </c>
    </row>
    <row r="8" spans="2:16" ht="14.85" customHeight="1">
      <c r="B8" s="39"/>
      <c r="C8" s="75" t="s">
        <v>48</v>
      </c>
      <c r="D8" s="28" t="s">
        <v>51</v>
      </c>
      <c r="E8" s="28" t="s">
        <v>52</v>
      </c>
      <c r="F8" s="28" t="s">
        <v>53</v>
      </c>
      <c r="G8" s="28" t="s">
        <v>54</v>
      </c>
      <c r="H8" s="28" t="s">
        <v>55</v>
      </c>
      <c r="I8" s="28" t="s">
        <v>56</v>
      </c>
      <c r="J8" s="28" t="s">
        <v>57</v>
      </c>
      <c r="K8" s="28" t="s">
        <v>58</v>
      </c>
      <c r="L8" s="28" t="s">
        <v>59</v>
      </c>
      <c r="M8" s="28" t="s">
        <v>60</v>
      </c>
      <c r="N8" s="28" t="s">
        <v>61</v>
      </c>
      <c r="O8" s="1"/>
    </row>
    <row r="9" spans="2:16">
      <c r="C9" s="37">
        <v>1</v>
      </c>
      <c r="D9" s="166" t="s">
        <v>62</v>
      </c>
      <c r="E9" s="167" t="s">
        <v>58</v>
      </c>
      <c r="F9" s="167"/>
      <c r="G9" s="168">
        <v>3</v>
      </c>
      <c r="H9" s="169"/>
      <c r="I9" s="322"/>
      <c r="J9" s="318">
        <f>IF(Journal[[#This Row],[Transaction '#]]="","",IF(Journal[[#This Row],[Transaction '#]]=C8,J8+1,1))</f>
        <v>1</v>
      </c>
      <c r="K9" s="319" cm="1">
        <f t="array" ref="K9">IFERROR(_xlfn.IFS(Journal[[#This Row],[Debit Account]]="Cash",Journal[[#This Row],[Dr Amt]],Journal[[#This Row],[Credit Account]]="Cash",-Journal[[#This Row],[Cr Amt]]),0)</f>
        <v>3</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63</v>
      </c>
      <c r="E10" s="167"/>
      <c r="F10" s="167" t="s">
        <v>64</v>
      </c>
      <c r="G10" s="168"/>
      <c r="H10" s="169">
        <v>3</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62</v>
      </c>
      <c r="E12" s="167" t="s">
        <v>58</v>
      </c>
      <c r="F12" s="167"/>
      <c r="G12" s="168">
        <v>20</v>
      </c>
      <c r="H12" s="169"/>
      <c r="I12" s="322"/>
      <c r="J12" s="318">
        <f>IF(Journal[[#This Row],[Transaction '#]]="","",IF(Journal[[#This Row],[Transaction '#]]=C11,J11+1,1))</f>
        <v>1</v>
      </c>
      <c r="K12" s="319" cm="1">
        <f t="array" ref="K12">IFERROR(_xlfn.IFS(Journal[[#This Row],[Debit Account]]="Cash",Journal[[#This Row],[Dr Amt]],Journal[[#This Row],[Credit Account]]="Cash",-Journal[[#This Row],[Cr Amt]]),0)</f>
        <v>20</v>
      </c>
      <c r="L12" s="294" t="str" cm="1">
        <f t="array" aca="1" ref="L12" ca="1">IF(Journal[[#This Row],[Transaction '#]]&lt;&gt;"",IFERROR(INDEX(ProblemData!$E$240:$AM$240,1,Journal[[#This Row],[Transaction '#]]),""),"")</f>
        <v>IN</v>
      </c>
      <c r="M12" s="320" t="str">
        <f ca="1">IF(Journal[[#This Row],[ref1]]="","",IF(NOT(ISBLANK(Journal[[#This Row],[Transaction '#]])),Journal[[#This Row],[ref1]]&amp;Journal[[#This Row],[Movement '#]],""))</f>
        <v>IN1</v>
      </c>
      <c r="N12" s="1" t="b">
        <f ca="1">OR(Journal[[#This Row],[ref1]]="",ISNUMBER(MATCH(Journal[[#This Row],[ref1]],Operating[Abbr], 0)))</f>
        <v>0</v>
      </c>
      <c r="O12" s="1"/>
      <c r="P12" s="1" t="str">
        <f>Journal[[#This Row],[Accnt Type]]&amp;"Used"</f>
        <v>AssetUsed</v>
      </c>
    </row>
    <row r="13" spans="2:16">
      <c r="C13" s="37">
        <v>2</v>
      </c>
      <c r="D13" s="166" t="s">
        <v>65</v>
      </c>
      <c r="E13" s="167"/>
      <c r="F13" s="167" t="s">
        <v>66</v>
      </c>
      <c r="G13" s="168"/>
      <c r="H13" s="169">
        <v>20</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IN</v>
      </c>
      <c r="M13" s="320" t="str">
        <f ca="1">IF(Journal[[#This Row],[ref1]]="","",IF(NOT(ISBLANK(Journal[[#This Row],[Transaction '#]])),Journal[[#This Row],[ref1]]&amp;Journal[[#This Row],[Movement '#]],""))</f>
        <v>IN2</v>
      </c>
      <c r="N13" s="1" t="b">
        <f ca="1">OR(Journal[[#This Row],[ref1]]="",ISNUMBER(MATCH(Journal[[#This Row],[ref1]],Operating[Abbr], 0)))</f>
        <v>0</v>
      </c>
      <c r="O13" s="1"/>
      <c r="P13" s="1" t="str">
        <f>Journal[[#This Row],[Accnt Type]]&amp;"Used"</f>
        <v>LiabilityUsed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v>3</v>
      </c>
      <c r="D15" s="166" t="s">
        <v>62</v>
      </c>
      <c r="E15" s="167" t="s">
        <v>67</v>
      </c>
      <c r="F15" s="167"/>
      <c r="G15" s="168">
        <v>1</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PPPE</v>
      </c>
      <c r="M15" s="320" t="str">
        <f ca="1">IF(Journal[[#This Row],[ref1]]="","",IF(NOT(ISBLANK(Journal[[#This Row],[Transaction '#]])),Journal[[#This Row],[ref1]]&amp;Journal[[#This Row],[Movement '#]],""))</f>
        <v>PPPE1</v>
      </c>
      <c r="N15" s="1" t="b">
        <f ca="1">OR(Journal[[#This Row],[ref1]]="",ISNUMBER(MATCH(Journal[[#This Row],[ref1]],Operating[Abbr], 0)))</f>
        <v>0</v>
      </c>
      <c r="O15" s="1"/>
      <c r="P15" s="1" t="str">
        <f>Journal[[#This Row],[Accnt Type]]&amp;"Used"</f>
        <v>AssetUsed</v>
      </c>
    </row>
    <row r="16" spans="2:16">
      <c r="C16" s="37">
        <v>3</v>
      </c>
      <c r="D16" s="166" t="s">
        <v>62</v>
      </c>
      <c r="E16" s="167"/>
      <c r="F16" s="167" t="s">
        <v>58</v>
      </c>
      <c r="G16" s="168"/>
      <c r="H16" s="169">
        <v>1</v>
      </c>
      <c r="I16" s="322"/>
      <c r="J16" s="318">
        <f>IF(Journal[[#This Row],[Transaction '#]]="","",IF(Journal[[#This Row],[Transaction '#]]=C15,J15+1,1))</f>
        <v>2</v>
      </c>
      <c r="K16" s="319" cm="1">
        <f t="array" ref="K16">IFERROR(_xlfn.IFS(Journal[[#This Row],[Debit Account]]="Cash",Journal[[#This Row],[Dr Amt]],Journal[[#This Row],[Credit Account]]="Cash",-Journal[[#This Row],[Cr Amt]]),0)</f>
        <v>-1</v>
      </c>
      <c r="L16" s="294" t="str" cm="1">
        <f t="array" aca="1" ref="L16" ca="1">IF(Journal[[#This Row],[Transaction '#]]&lt;&gt;"",IFERROR(INDEX(ProblemData!$E$240:$AM$240,1,Journal[[#This Row],[Transaction '#]]),""),"")</f>
        <v>PPPE</v>
      </c>
      <c r="M16" s="320" t="str">
        <f ca="1">IF(Journal[[#This Row],[ref1]]="","",IF(NOT(ISBLANK(Journal[[#This Row],[Transaction '#]])),Journal[[#This Row],[ref1]]&amp;Journal[[#This Row],[Movement '#]],""))</f>
        <v>PPPE2</v>
      </c>
      <c r="N16" s="1" t="b">
        <f ca="1">OR(Journal[[#This Row],[ref1]]="",ISNUMBER(MATCH(Journal[[#This Row],[ref1]],Operating[Abbr], 0)))</f>
        <v>0</v>
      </c>
      <c r="O16" s="1"/>
      <c r="P16" s="1" t="str">
        <f>Journal[[#This Row],[Accnt Type]]&amp;"Used"</f>
        <v>AssetUsed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v>4</v>
      </c>
      <c r="D18" s="166" t="s">
        <v>62</v>
      </c>
      <c r="E18" s="167" t="s">
        <v>68</v>
      </c>
      <c r="F18" s="167"/>
      <c r="G18" s="168">
        <v>20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PdS</v>
      </c>
      <c r="M18" s="320" t="str">
        <f ca="1">IF(Journal[[#This Row],[ref1]]="","",IF(NOT(ISBLANK(Journal[[#This Row],[Transaction '#]])),Journal[[#This Row],[ref1]]&amp;Journal[[#This Row],[Movement '#]],""))</f>
        <v>PdS1</v>
      </c>
      <c r="N18" s="1" t="b">
        <f ca="1">OR(Journal[[#This Row],[ref1]]="",ISNUMBER(MATCH(Journal[[#This Row],[ref1]],Operating[Abbr], 0)))</f>
        <v>1</v>
      </c>
      <c r="O18" s="1"/>
      <c r="P18" s="1" t="str">
        <f>Journal[[#This Row],[Accnt Type]]&amp;"Used"</f>
        <v>AssetUsed</v>
      </c>
    </row>
    <row r="19" spans="3:16">
      <c r="C19" s="37">
        <v>4</v>
      </c>
      <c r="D19" s="166" t="s">
        <v>62</v>
      </c>
      <c r="E19" s="167"/>
      <c r="F19" s="167" t="s">
        <v>58</v>
      </c>
      <c r="G19" s="168"/>
      <c r="H19" s="169">
        <v>20</v>
      </c>
      <c r="I19" s="322"/>
      <c r="J19" s="318">
        <f>IF(Journal[[#This Row],[Transaction '#]]="","",IF(Journal[[#This Row],[Transaction '#]]=C18,J18+1,1))</f>
        <v>2</v>
      </c>
      <c r="K19" s="319" cm="1">
        <f t="array" ref="K19">IFERROR(_xlfn.IFS(Journal[[#This Row],[Debit Account]]="Cash",Journal[[#This Row],[Dr Amt]],Journal[[#This Row],[Credit Account]]="Cash",-Journal[[#This Row],[Cr Amt]]),0)</f>
        <v>-20</v>
      </c>
      <c r="L19" s="294" t="str" cm="1">
        <f t="array" aca="1" ref="L19" ca="1">IF(Journal[[#This Row],[Transaction '#]]&lt;&gt;"",IFERROR(INDEX(ProblemData!$E$240:$AM$240,1,Journal[[#This Row],[Transaction '#]]),""),"")</f>
        <v>PdS</v>
      </c>
      <c r="M19" s="320" t="str">
        <f ca="1">IF(Journal[[#This Row],[ref1]]="","",IF(NOT(ISBLANK(Journal[[#This Row],[Transaction '#]])),Journal[[#This Row],[ref1]]&amp;Journal[[#This Row],[Movement '#]],""))</f>
        <v>PdS2</v>
      </c>
      <c r="N19" s="1" t="b">
        <f ca="1">OR(Journal[[#This Row],[ref1]]="",ISNUMBER(MATCH(Journal[[#This Row],[ref1]],Operating[Abbr], 0)))</f>
        <v>1</v>
      </c>
      <c r="O19" s="1"/>
      <c r="P19" s="1" t="str">
        <f>Journal[[#This Row],[Accnt Type]]&amp;"Used"</f>
        <v>AssetUsed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v>5</v>
      </c>
      <c r="D21" s="166" t="s">
        <v>62</v>
      </c>
      <c r="E21" s="167" t="s">
        <v>69</v>
      </c>
      <c r="F21" s="167"/>
      <c r="G21" s="168">
        <v>25</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AssetUsed</v>
      </c>
    </row>
    <row r="22" spans="3:16">
      <c r="C22" s="37">
        <v>5</v>
      </c>
      <c r="D22" s="166" t="s">
        <v>70</v>
      </c>
      <c r="E22" s="167"/>
      <c r="F22" s="167" t="s">
        <v>71</v>
      </c>
      <c r="G22" s="168"/>
      <c r="H22" s="169">
        <v>25</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RevenueUsed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v>6</v>
      </c>
      <c r="D24" s="166" t="s">
        <v>62</v>
      </c>
      <c r="E24" s="167" t="s">
        <v>58</v>
      </c>
      <c r="F24" s="167"/>
      <c r="G24" s="168">
        <v>20.5</v>
      </c>
      <c r="H24" s="169"/>
      <c r="I24" s="322"/>
      <c r="J24" s="318">
        <f>IF(Journal[[#This Row],[Transaction '#]]="","",IF(Journal[[#This Row],[Transaction '#]]=C23,J23+1,1))</f>
        <v>1</v>
      </c>
      <c r="K24" s="319" cm="1">
        <f t="array" ref="K24">IFERROR(_xlfn.IFS(Journal[[#This Row],[Debit Account]]="Cash",Journal[[#This Row],[Dr Amt]],Journal[[#This Row],[Credit Account]]="Cash",-Journal[[#This Row],[Cr Amt]]),0)</f>
        <v>20.5</v>
      </c>
      <c r="L24" s="294" t="str" cm="1">
        <f t="array" aca="1" ref="L24" ca="1">IF(Journal[[#This Row],[Transaction '#]]&lt;&gt;"",IFERROR(INDEX(ProblemData!$E$240:$AM$240,1,Journal[[#This Row],[Transaction '#]]),""),"")</f>
        <v>ColC</v>
      </c>
      <c r="M24" s="320" t="str">
        <f ca="1">IF(Journal[[#This Row],[ref1]]="","",IF(NOT(ISBLANK(Journal[[#This Row],[Transaction '#]])),Journal[[#This Row],[ref1]]&amp;Journal[[#This Row],[Movement '#]],""))</f>
        <v>ColC1</v>
      </c>
      <c r="N24" s="1" t="b">
        <f ca="1">OR(Journal[[#This Row],[ref1]]="",ISNUMBER(MATCH(Journal[[#This Row],[ref1]],Operating[Abbr], 0)))</f>
        <v>1</v>
      </c>
      <c r="O24" s="1"/>
      <c r="P24" s="1" t="str">
        <f>Journal[[#This Row],[Accnt Type]]&amp;"Used"</f>
        <v>AssetUsed</v>
      </c>
    </row>
    <row r="25" spans="3:16">
      <c r="C25" s="37">
        <v>6</v>
      </c>
      <c r="D25" s="166" t="s">
        <v>62</v>
      </c>
      <c r="E25" s="167"/>
      <c r="F25" s="167" t="s">
        <v>69</v>
      </c>
      <c r="G25" s="168"/>
      <c r="H25" s="169">
        <v>20.5</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ColC</v>
      </c>
      <c r="M25" s="320" t="str">
        <f ca="1">IF(Journal[[#This Row],[ref1]]="","",IF(NOT(ISBLANK(Journal[[#This Row],[Transaction '#]])),Journal[[#This Row],[ref1]]&amp;Journal[[#This Row],[Movement '#]],""))</f>
        <v>ColC2</v>
      </c>
      <c r="N25" s="1" t="b">
        <f ca="1">OR(Journal[[#This Row],[ref1]]="",ISNUMBER(MATCH(Journal[[#This Row],[ref1]],Operating[Abbr], 0)))</f>
        <v>1</v>
      </c>
      <c r="O25" s="1"/>
      <c r="P25" s="1" t="str">
        <f>Journal[[#This Row],[Accnt Type]]&amp;"Used"</f>
        <v>AssetUsed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7</v>
      </c>
      <c r="D27" s="166" t="s">
        <v>72</v>
      </c>
      <c r="E27" s="167" t="s">
        <v>73</v>
      </c>
      <c r="F27" s="167"/>
      <c r="G27" s="168">
        <v>3</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PdSW</v>
      </c>
      <c r="M27" s="320" t="str">
        <f ca="1">IF(Journal[[#This Row],[ref1]]="","",IF(NOT(ISBLANK(Journal[[#This Row],[Transaction '#]])),Journal[[#This Row],[ref1]]&amp;Journal[[#This Row],[Movement '#]],""))</f>
        <v>PdSW1</v>
      </c>
      <c r="N27" s="1" t="b">
        <f ca="1">OR(Journal[[#This Row],[ref1]]="",ISNUMBER(MATCH(Journal[[#This Row],[ref1]],Operating[Abbr], 0)))</f>
        <v>1</v>
      </c>
      <c r="O27" s="1"/>
      <c r="P27" s="1" t="str">
        <f>Journal[[#This Row],[Accnt Type]]&amp;"Used"</f>
        <v>ExpenseUsed</v>
      </c>
    </row>
    <row r="28" spans="3:16">
      <c r="C28" s="37">
        <v>7</v>
      </c>
      <c r="D28" s="166" t="s">
        <v>62</v>
      </c>
      <c r="E28" s="167"/>
      <c r="F28" s="167" t="s">
        <v>58</v>
      </c>
      <c r="G28" s="168"/>
      <c r="H28" s="169">
        <v>3</v>
      </c>
      <c r="I28" s="322"/>
      <c r="J28" s="318">
        <f>IF(Journal[[#This Row],[Transaction '#]]="","",IF(Journal[[#This Row],[Transaction '#]]=C27,J27+1,1))</f>
        <v>2</v>
      </c>
      <c r="K28" s="319" cm="1">
        <f t="array" ref="K28">IFERROR(_xlfn.IFS(Journal[[#This Row],[Debit Account]]="Cash",Journal[[#This Row],[Dr Amt]],Journal[[#This Row],[Credit Account]]="Cash",-Journal[[#This Row],[Cr Amt]]),0)</f>
        <v>-3</v>
      </c>
      <c r="L28" s="294" t="str" cm="1">
        <f t="array" aca="1" ref="L28" ca="1">IF(Journal[[#This Row],[Transaction '#]]&lt;&gt;"",IFERROR(INDEX(ProblemData!$E$240:$AM$240,1,Journal[[#This Row],[Transaction '#]]),""),"")</f>
        <v>PdSW</v>
      </c>
      <c r="M28" s="320" t="str">
        <f ca="1">IF(Journal[[#This Row],[ref1]]="","",IF(NOT(ISBLANK(Journal[[#This Row],[Transaction '#]])),Journal[[#This Row],[ref1]]&amp;Journal[[#This Row],[Movement '#]],""))</f>
        <v>PdSW2</v>
      </c>
      <c r="N28" s="1" t="b">
        <f ca="1">OR(Journal[[#This Row],[ref1]]="",ISNUMBER(MATCH(Journal[[#This Row],[ref1]],Operating[Abbr], 0)))</f>
        <v>1</v>
      </c>
      <c r="O28" s="1"/>
      <c r="P28" s="1" t="str">
        <f>Journal[[#This Row],[Accnt Type]]&amp;"Used"</f>
        <v>AssetUsed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8</v>
      </c>
      <c r="D30" s="166" t="s">
        <v>63</v>
      </c>
      <c r="E30" s="167" t="s">
        <v>74</v>
      </c>
      <c r="F30" s="167"/>
      <c r="G30" s="168">
        <v>0.05</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DD</v>
      </c>
      <c r="M30" s="320" t="str">
        <f ca="1">IF(Journal[[#This Row],[ref1]]="","",IF(NOT(ISBLANK(Journal[[#This Row],[Transaction '#]])),Journal[[#This Row],[ref1]]&amp;Journal[[#This Row],[Movement '#]],""))</f>
        <v>DD1</v>
      </c>
      <c r="N30" s="1" t="b">
        <f ca="1">OR(Journal[[#This Row],[ref1]]="",ISNUMBER(MATCH(Journal[[#This Row],[ref1]],Operating[Abbr], 0)))</f>
        <v>0</v>
      </c>
      <c r="O30" s="1"/>
      <c r="P30" s="1" t="str">
        <f>Journal[[#This Row],[Accnt Type]]&amp;"Used"</f>
        <v>EquityUsed</v>
      </c>
    </row>
    <row r="31" spans="3:16">
      <c r="C31" s="37">
        <v>8</v>
      </c>
      <c r="D31" s="166" t="s">
        <v>65</v>
      </c>
      <c r="E31" s="167"/>
      <c r="F31" s="167" t="s">
        <v>75</v>
      </c>
      <c r="G31" s="168"/>
      <c r="H31" s="169">
        <v>0.05</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DD</v>
      </c>
      <c r="M31" s="320" t="str">
        <f ca="1">IF(Journal[[#This Row],[ref1]]="","",IF(NOT(ISBLANK(Journal[[#This Row],[Transaction '#]])),Journal[[#This Row],[ref1]]&amp;Journal[[#This Row],[Movement '#]],""))</f>
        <v>DD2</v>
      </c>
      <c r="N31" s="1" t="b">
        <f ca="1">OR(Journal[[#This Row],[ref1]]="",ISNUMBER(MATCH(Journal[[#This Row],[ref1]],Operating[Abbr], 0)))</f>
        <v>0</v>
      </c>
      <c r="O31" s="1"/>
      <c r="P31" s="1" t="str">
        <f>Journal[[#This Row],[Accnt Type]]&amp;"Used"</f>
        <v>LiabilityUsed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9</v>
      </c>
      <c r="D33" s="166" t="s">
        <v>65</v>
      </c>
      <c r="E33" s="167" t="s">
        <v>75</v>
      </c>
      <c r="F33" s="167"/>
      <c r="G33" s="168">
        <v>0.05</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PD</v>
      </c>
      <c r="M33" s="320" t="str">
        <f ca="1">IF(Journal[[#This Row],[ref1]]="","",IF(NOT(ISBLANK(Journal[[#This Row],[Transaction '#]])),Journal[[#This Row],[ref1]]&amp;Journal[[#This Row],[Movement '#]],""))</f>
        <v>PD1</v>
      </c>
      <c r="N33" s="1" t="b">
        <f ca="1">OR(Journal[[#This Row],[ref1]]="",ISNUMBER(MATCH(Journal[[#This Row],[ref1]],Operating[Abbr], 0)))</f>
        <v>0</v>
      </c>
      <c r="O33" s="1"/>
      <c r="P33" s="1" t="str">
        <f>Journal[[#This Row],[Accnt Type]]&amp;"Used"</f>
        <v>LiabilityUsed</v>
      </c>
    </row>
    <row r="34" spans="3:16">
      <c r="C34" s="37">
        <v>9</v>
      </c>
      <c r="D34" s="166" t="s">
        <v>62</v>
      </c>
      <c r="E34" s="167"/>
      <c r="F34" s="167" t="s">
        <v>58</v>
      </c>
      <c r="G34" s="168"/>
      <c r="H34" s="169">
        <v>0.05</v>
      </c>
      <c r="I34" s="322"/>
      <c r="J34" s="318">
        <f>IF(Journal[[#This Row],[Transaction '#]]="","",IF(Journal[[#This Row],[Transaction '#]]=C33,J33+1,1))</f>
        <v>2</v>
      </c>
      <c r="K34" s="319" cm="1">
        <f t="array" ref="K34">IFERROR(_xlfn.IFS(Journal[[#This Row],[Debit Account]]="Cash",Journal[[#This Row],[Dr Amt]],Journal[[#This Row],[Credit Account]]="Cash",-Journal[[#This Row],[Cr Amt]]),0)</f>
        <v>-0.05</v>
      </c>
      <c r="L34" s="294" t="str" cm="1">
        <f t="array" aca="1" ref="L34" ca="1">IF(Journal[[#This Row],[Transaction '#]]&lt;&gt;"",IFERROR(INDEX(ProblemData!$E$240:$AM$240,1,Journal[[#This Row],[Transaction '#]]),""),"")</f>
        <v>PD</v>
      </c>
      <c r="M34" s="320" t="str">
        <f ca="1">IF(Journal[[#This Row],[ref1]]="","",IF(NOT(ISBLANK(Journal[[#This Row],[Transaction '#]])),Journal[[#This Row],[ref1]]&amp;Journal[[#This Row],[Movement '#]],""))</f>
        <v>PD2</v>
      </c>
      <c r="N34" s="1" t="b">
        <f ca="1">OR(Journal[[#This Row],[ref1]]="",ISNUMBER(MATCH(Journal[[#This Row],[ref1]],Operating[Abbr], 0)))</f>
        <v>0</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v>10</v>
      </c>
      <c r="D37" s="166" t="s">
        <v>72</v>
      </c>
      <c r="E37" s="167" t="s">
        <v>76</v>
      </c>
      <c r="F37" s="167"/>
      <c r="G37" s="168">
        <v>1.87</v>
      </c>
      <c r="H37" s="169"/>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
      </c>
      <c r="M37" s="320" t="str">
        <f ca="1">IF(Journal[[#This Row],[ref1]]="","",IF(NOT(ISBLANK(Journal[[#This Row],[Transaction '#]])),Journal[[#This Row],[ref1]]&amp;Journal[[#This Row],[Movement '#]],""))</f>
        <v/>
      </c>
      <c r="N37" s="1" t="b">
        <f ca="1">OR(Journal[[#This Row],[ref1]]="",ISNUMBER(MATCH(Journal[[#This Row],[ref1]],Operating[Abbr], 0)))</f>
        <v>1</v>
      </c>
      <c r="O37" s="1"/>
      <c r="P37" s="1" t="str">
        <f>Journal[[#This Row],[Accnt Type]]&amp;"Used"</f>
        <v>ExpenseUsed</v>
      </c>
    </row>
    <row r="38" spans="3:16">
      <c r="C38" s="37">
        <v>10</v>
      </c>
      <c r="D38" s="166" t="s">
        <v>65</v>
      </c>
      <c r="E38" s="167"/>
      <c r="F38" s="167" t="s">
        <v>77</v>
      </c>
      <c r="G38" s="168"/>
      <c r="H38" s="169">
        <v>1.87</v>
      </c>
      <c r="I38" s="322"/>
      <c r="J38" s="318">
        <f>IF(Journal[[#This Row],[Transaction '#]]="","",IF(Journal[[#This Row],[Transaction '#]]=C37,J37+1,1))</f>
        <v>2</v>
      </c>
      <c r="K38" s="319" cm="1">
        <f t="array" ref="K38">IFERROR(_xlfn.IFS(Journal[[#This Row],[Debit Account]]="Cash",Journal[[#This Row],[Dr Amt]],Journal[[#This Row],[Credit Account]]="Cash",-Journal[[#This Row],[Cr Amt]]),0)</f>
        <v>0</v>
      </c>
      <c r="L38" s="294" t="str" cm="1">
        <f t="array" aca="1" ref="L38" ca="1">IF(Journal[[#This Row],[Transaction '#]]&lt;&gt;"",IFERROR(INDEX(ProblemData!$E$240:$AM$240,1,Journal[[#This Row],[Transaction '#]]),""),"")</f>
        <v/>
      </c>
      <c r="M38" s="320" t="str">
        <f ca="1">IF(Journal[[#This Row],[ref1]]="","",IF(NOT(ISBLANK(Journal[[#This Row],[Transaction '#]])),Journal[[#This Row],[ref1]]&amp;Journal[[#This Row],[Movement '#]],""))</f>
        <v/>
      </c>
      <c r="N38" s="1" t="b">
        <f ca="1">OR(Journal[[#This Row],[ref1]]="",ISNUMBER(MATCH(Journal[[#This Row],[ref1]],Operating[Abbr], 0)))</f>
        <v>1</v>
      </c>
      <c r="O38" s="1"/>
      <c r="P38" s="1" t="str">
        <f>Journal[[#This Row],[Accnt Type]]&amp;"Used"</f>
        <v>LiabilityUsed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v>11</v>
      </c>
      <c r="D40" s="166" t="s">
        <v>65</v>
      </c>
      <c r="E40" s="167" t="s">
        <v>77</v>
      </c>
      <c r="F40" s="167"/>
      <c r="G40" s="168">
        <v>1.87</v>
      </c>
      <c r="H40" s="169"/>
      <c r="I40" s="322"/>
      <c r="J40" s="318">
        <f>IF(Journal[[#This Row],[Transaction '#]]="","",IF(Journal[[#This Row],[Transaction '#]]=C39,J39+1,1))</f>
        <v>1</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PdInt</v>
      </c>
      <c r="M40" s="320" t="str">
        <f ca="1">IF(Journal[[#This Row],[ref1]]="","",IF(NOT(ISBLANK(Journal[[#This Row],[Transaction '#]])),Journal[[#This Row],[ref1]]&amp;Journal[[#This Row],[Movement '#]],""))</f>
        <v>PdInt1</v>
      </c>
      <c r="N40" s="1" t="b">
        <f ca="1">OR(Journal[[#This Row],[ref1]]="",ISNUMBER(MATCH(Journal[[#This Row],[ref1]],Operating[Abbr], 0)))</f>
        <v>1</v>
      </c>
      <c r="O40" s="1"/>
      <c r="P40" s="1" t="str">
        <f>Journal[[#This Row],[Accnt Type]]&amp;"Used"</f>
        <v>LiabilityUsed</v>
      </c>
    </row>
    <row r="41" spans="3:16">
      <c r="C41" s="37">
        <v>11</v>
      </c>
      <c r="D41" s="166" t="s">
        <v>62</v>
      </c>
      <c r="E41" s="167"/>
      <c r="F41" s="167" t="s">
        <v>58</v>
      </c>
      <c r="G41" s="168"/>
      <c r="H41" s="169">
        <v>1.87</v>
      </c>
      <c r="I41" s="322"/>
      <c r="J41" s="318">
        <f>IF(Journal[[#This Row],[Transaction '#]]="","",IF(Journal[[#This Row],[Transaction '#]]=C40,J40+1,1))</f>
        <v>2</v>
      </c>
      <c r="K41" s="319" cm="1">
        <f t="array" ref="K41">IFERROR(_xlfn.IFS(Journal[[#This Row],[Debit Account]]="Cash",Journal[[#This Row],[Dr Amt]],Journal[[#This Row],[Credit Account]]="Cash",-Journal[[#This Row],[Cr Amt]]),0)</f>
        <v>-1.87</v>
      </c>
      <c r="L41" s="294" t="str" cm="1">
        <f t="array" aca="1" ref="L41" ca="1">IF(Journal[[#This Row],[Transaction '#]]&lt;&gt;"",IFERROR(INDEX(ProblemData!$E$240:$AM$240,1,Journal[[#This Row],[Transaction '#]]),""),"")</f>
        <v>PdInt</v>
      </c>
      <c r="M41" s="320" t="str">
        <f ca="1">IF(Journal[[#This Row],[ref1]]="","",IF(NOT(ISBLANK(Journal[[#This Row],[Transaction '#]])),Journal[[#This Row],[ref1]]&amp;Journal[[#This Row],[Movement '#]],""))</f>
        <v>PdInt2</v>
      </c>
      <c r="N41" s="1" t="b">
        <f ca="1">OR(Journal[[#This Row],[ref1]]="",ISNUMBER(MATCH(Journal[[#This Row],[ref1]],Operating[Abbr], 0)))</f>
        <v>1</v>
      </c>
      <c r="O41" s="1"/>
      <c r="P41" s="1" t="str">
        <f>Journal[[#This Row],[Accnt Type]]&amp;"Used"</f>
        <v>AssetUsed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v>12</v>
      </c>
      <c r="D43" s="166" t="s">
        <v>72</v>
      </c>
      <c r="E43" s="167" t="s">
        <v>78</v>
      </c>
      <c r="F43" s="167"/>
      <c r="G43" s="168">
        <v>18</v>
      </c>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ExpenseUsed</v>
      </c>
    </row>
    <row r="44" spans="3:16">
      <c r="C44" s="37">
        <v>12</v>
      </c>
      <c r="D44" s="166" t="s">
        <v>62</v>
      </c>
      <c r="E44" s="167"/>
      <c r="F44" s="167" t="s">
        <v>68</v>
      </c>
      <c r="G44" s="168"/>
      <c r="H44" s="169">
        <v>18</v>
      </c>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
      </c>
      <c r="M44" s="320" t="str">
        <f ca="1">IF(Journal[[#This Row],[ref1]]="","",IF(NOT(ISBLANK(Journal[[#This Row],[Transaction '#]])),Journal[[#This Row],[ref1]]&amp;Journal[[#This Row],[Movement '#]],""))</f>
        <v/>
      </c>
      <c r="N44" s="1" t="b">
        <f ca="1">OR(Journal[[#This Row],[ref1]]="",ISNUMBER(MATCH(Journal[[#This Row],[ref1]],Operating[Abbr], 0)))</f>
        <v>1</v>
      </c>
      <c r="O44" s="1"/>
      <c r="P44" s="1" t="str">
        <f>Journal[[#This Row],[Accnt Type]]&amp;"Used"</f>
        <v>AssetUsed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v>13</v>
      </c>
      <c r="D46" s="166" t="s">
        <v>72</v>
      </c>
      <c r="E46" s="167" t="s">
        <v>79</v>
      </c>
      <c r="F46" s="167"/>
      <c r="G46" s="168">
        <v>0.2</v>
      </c>
      <c r="H46" s="169"/>
      <c r="I46" s="322"/>
      <c r="J46" s="318">
        <f>IF(Journal[[#This Row],[Transaction '#]]="","",IF(Journal[[#This Row],[Transaction '#]]=C45,J45+1,1))</f>
        <v>1</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RecDeprExp</v>
      </c>
      <c r="M46" s="320" t="str">
        <f ca="1">IF(Journal[[#This Row],[ref1]]="","",IF(NOT(ISBLANK(Journal[[#This Row],[Transaction '#]])),Journal[[#This Row],[ref1]]&amp;Journal[[#This Row],[Movement '#]],""))</f>
        <v>RecDeprExp1</v>
      </c>
      <c r="N46" s="1" t="b">
        <f ca="1">OR(Journal[[#This Row],[ref1]]="",ISNUMBER(MATCH(Journal[[#This Row],[ref1]],Operating[Abbr], 0)))</f>
        <v>0</v>
      </c>
      <c r="O46" s="1"/>
      <c r="P46" s="1" t="str">
        <f>Journal[[#This Row],[Accnt Type]]&amp;"Used"</f>
        <v>ExpenseUsed</v>
      </c>
    </row>
    <row r="47" spans="3:16">
      <c r="C47" s="37">
        <v>13</v>
      </c>
      <c r="D47" s="166" t="s">
        <v>62</v>
      </c>
      <c r="E47" s="167"/>
      <c r="F47" s="167" t="s">
        <v>80</v>
      </c>
      <c r="G47" s="168"/>
      <c r="H47" s="169">
        <v>0.2</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RecDeprExp</v>
      </c>
      <c r="M47" s="320" t="str">
        <f ca="1">IF(Journal[[#This Row],[ref1]]="","",IF(NOT(ISBLANK(Journal[[#This Row],[Transaction '#]])),Journal[[#This Row],[ref1]]&amp;Journal[[#This Row],[Movement '#]],""))</f>
        <v>RecDeprExp2</v>
      </c>
      <c r="N47" s="1" t="b">
        <f ca="1">OR(Journal[[#This Row],[ref1]]="",ISNUMBER(MATCH(Journal[[#This Row],[ref1]],Operating[Abbr], 0)))</f>
        <v>0</v>
      </c>
      <c r="O47" s="1"/>
      <c r="P47" s="1" t="str">
        <f>Journal[[#This Row],[Accnt Type]]&amp;"Used"</f>
        <v>AssetUsed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v>14</v>
      </c>
      <c r="D49" s="166" t="s">
        <v>70</v>
      </c>
      <c r="E49" s="167" t="s">
        <v>71</v>
      </c>
      <c r="F49" s="167"/>
      <c r="G49" s="168">
        <v>25</v>
      </c>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CL</v>
      </c>
      <c r="M49" s="320" t="str">
        <f ca="1">IF(Journal[[#This Row],[ref1]]="","",IF(NOT(ISBLANK(Journal[[#This Row],[Transaction '#]])),Journal[[#This Row],[ref1]]&amp;Journal[[#This Row],[Movement '#]],""))</f>
        <v>CL1</v>
      </c>
      <c r="N49" s="1" t="b">
        <f ca="1">OR(Journal[[#This Row],[ref1]]="",ISNUMBER(MATCH(Journal[[#This Row],[ref1]],Operating[Abbr], 0)))</f>
        <v>0</v>
      </c>
      <c r="O49" s="1"/>
      <c r="P49" s="1" t="str">
        <f>Journal[[#This Row],[Accnt Type]]&amp;"Used"</f>
        <v>RevenueUsed</v>
      </c>
    </row>
    <row r="50" spans="3:16">
      <c r="C50" s="37">
        <v>14</v>
      </c>
      <c r="D50" s="166" t="s">
        <v>72</v>
      </c>
      <c r="E50" s="167"/>
      <c r="F50" s="167" t="s">
        <v>78</v>
      </c>
      <c r="G50" s="168"/>
      <c r="H50" s="169">
        <v>18</v>
      </c>
      <c r="I50" s="322"/>
      <c r="J50" s="318">
        <f>IF(Journal[[#This Row],[Transaction '#]]="","",IF(Journal[[#This Row],[Transaction '#]]=C49,J49+1,1))</f>
        <v>2</v>
      </c>
      <c r="K50" s="319" cm="1">
        <f t="array" ref="K50">IFERROR(_xlfn.IFS(Journal[[#This Row],[Debit Account]]="Cash",Journal[[#This Row],[Dr Amt]],Journal[[#This Row],[Credit Account]]="Cash",-Journal[[#This Row],[Cr Amt]]),0)</f>
        <v>0</v>
      </c>
      <c r="L50" s="294" t="str" cm="1">
        <f t="array" aca="1" ref="L50" ca="1">IF(Journal[[#This Row],[Transaction '#]]&lt;&gt;"",IFERROR(INDEX(ProblemData!$E$240:$AM$240,1,Journal[[#This Row],[Transaction '#]]),""),"")</f>
        <v>CL</v>
      </c>
      <c r="M50" s="320" t="str">
        <f ca="1">IF(Journal[[#This Row],[ref1]]="","",IF(NOT(ISBLANK(Journal[[#This Row],[Transaction '#]])),Journal[[#This Row],[ref1]]&amp;Journal[[#This Row],[Movement '#]],""))</f>
        <v>CL2</v>
      </c>
      <c r="N50" s="1" t="b">
        <f ca="1">OR(Journal[[#This Row],[ref1]]="",ISNUMBER(MATCH(Journal[[#This Row],[ref1]],Operating[Abbr], 0)))</f>
        <v>0</v>
      </c>
      <c r="O50" s="1"/>
      <c r="P50" s="1" t="str">
        <f>Journal[[#This Row],[Accnt Type]]&amp;"Used"</f>
        <v>ExpenseUsed</v>
      </c>
    </row>
    <row r="51" spans="3:16">
      <c r="C51" s="37">
        <v>14</v>
      </c>
      <c r="D51" s="166" t="s">
        <v>72</v>
      </c>
      <c r="E51" s="167"/>
      <c r="F51" s="167" t="s">
        <v>76</v>
      </c>
      <c r="G51" s="168"/>
      <c r="H51" s="169">
        <v>1.87</v>
      </c>
      <c r="I51" s="322"/>
      <c r="J51" s="318">
        <f>IF(Journal[[#This Row],[Transaction '#]]="","",IF(Journal[[#This Row],[Transaction '#]]=C50,J50+1,1))</f>
        <v>3</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CL</v>
      </c>
      <c r="M51" s="320" t="str">
        <f ca="1">IF(Journal[[#This Row],[ref1]]="","",IF(NOT(ISBLANK(Journal[[#This Row],[Transaction '#]])),Journal[[#This Row],[ref1]]&amp;Journal[[#This Row],[Movement '#]],""))</f>
        <v>CL3</v>
      </c>
      <c r="N51" s="1" t="b">
        <f ca="1">OR(Journal[[#This Row],[ref1]]="",ISNUMBER(MATCH(Journal[[#This Row],[ref1]],Operating[Abbr], 0)))</f>
        <v>0</v>
      </c>
      <c r="O51" s="1"/>
      <c r="P51" s="1" t="str">
        <f>Journal[[#This Row],[Accnt Type]]&amp;"Used"</f>
        <v>ExpenseUsed</v>
      </c>
    </row>
    <row r="52" spans="3:16">
      <c r="C52" s="37">
        <v>14</v>
      </c>
      <c r="D52" s="166" t="s">
        <v>72</v>
      </c>
      <c r="E52" s="167"/>
      <c r="F52" s="167" t="s">
        <v>79</v>
      </c>
      <c r="G52" s="168"/>
      <c r="H52" s="169">
        <v>0.2</v>
      </c>
      <c r="I52" s="322"/>
      <c r="J52" s="318">
        <f>IF(Journal[[#This Row],[Transaction '#]]="","",IF(Journal[[#This Row],[Transaction '#]]=C51,J51+1,1))</f>
        <v>4</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CL</v>
      </c>
      <c r="M52" s="320" t="str">
        <f ca="1">IF(Journal[[#This Row],[ref1]]="","",IF(NOT(ISBLANK(Journal[[#This Row],[Transaction '#]])),Journal[[#This Row],[ref1]]&amp;Journal[[#This Row],[Movement '#]],""))</f>
        <v>CL4</v>
      </c>
      <c r="N52" s="1" t="b">
        <f ca="1">OR(Journal[[#This Row],[ref1]]="",ISNUMBER(MATCH(Journal[[#This Row],[ref1]],Operating[Abbr], 0)))</f>
        <v>0</v>
      </c>
      <c r="O52" s="1"/>
      <c r="P52" s="1" t="str">
        <f>Journal[[#This Row],[Accnt Type]]&amp;"Used"</f>
        <v>ExpenseUsed</v>
      </c>
    </row>
    <row r="53" spans="3:16">
      <c r="C53" s="37">
        <v>14</v>
      </c>
      <c r="D53" s="166" t="s">
        <v>72</v>
      </c>
      <c r="E53" s="167"/>
      <c r="F53" s="167" t="s">
        <v>73</v>
      </c>
      <c r="G53" s="168"/>
      <c r="H53" s="169">
        <v>3</v>
      </c>
      <c r="I53" s="322"/>
      <c r="J53" s="318">
        <f>IF(Journal[[#This Row],[Transaction '#]]="","",IF(Journal[[#This Row],[Transaction '#]]=C52,J52+1,1))</f>
        <v>5</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CL</v>
      </c>
      <c r="M53" s="320" t="str">
        <f ca="1">IF(Journal[[#This Row],[ref1]]="","",IF(NOT(ISBLANK(Journal[[#This Row],[Transaction '#]])),Journal[[#This Row],[ref1]]&amp;Journal[[#This Row],[Movement '#]],""))</f>
        <v>CL5</v>
      </c>
      <c r="N53" s="1" t="b">
        <f ca="1">OR(Journal[[#This Row],[ref1]]="",ISNUMBER(MATCH(Journal[[#This Row],[ref1]],Operating[Abbr], 0)))</f>
        <v>0</v>
      </c>
      <c r="O53" s="1"/>
      <c r="P53" s="1" t="str">
        <f>Journal[[#This Row],[Accnt Type]]&amp;"Used"</f>
        <v>ExpenseUsed</v>
      </c>
    </row>
    <row r="54" spans="3:16">
      <c r="C54" s="37">
        <v>14</v>
      </c>
      <c r="D54" s="166" t="s">
        <v>63</v>
      </c>
      <c r="E54" s="167"/>
      <c r="F54" s="167" t="s">
        <v>74</v>
      </c>
      <c r="G54" s="168"/>
      <c r="H54" s="169">
        <v>1.93</v>
      </c>
      <c r="I54" s="322"/>
      <c r="J54" s="318">
        <f>IF(Journal[[#This Row],[Transaction '#]]="","",IF(Journal[[#This Row],[Transaction '#]]=C53,J53+1,1))</f>
        <v>6</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CL</v>
      </c>
      <c r="M54" s="320" t="str">
        <f ca="1">IF(Journal[[#This Row],[ref1]]="","",IF(NOT(ISBLANK(Journal[[#This Row],[Transaction '#]])),Journal[[#This Row],[ref1]]&amp;Journal[[#This Row],[Movement '#]],""))</f>
        <v>CL6</v>
      </c>
      <c r="N54" s="1" t="b">
        <f ca="1">OR(Journal[[#This Row],[ref1]]="",ISNUMBER(MATCH(Journal[[#This Row],[ref1]],Operating[Abbr], 0)))</f>
        <v>0</v>
      </c>
      <c r="O54" s="1"/>
      <c r="P54" s="1" t="str">
        <f>Journal[[#This Row],[Accnt Type]]&amp;"Used"</f>
        <v>EquityUsed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99"/>
  <sheetViews>
    <sheetView tabSelected="1" topLeftCell="J1" zoomScale="130" zoomScaleNormal="130" workbookViewId="0">
      <selection activeCell="T1" sqref="T1:V1048576"/>
    </sheetView>
  </sheetViews>
  <sheetFormatPr defaultRowHeight="1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8" width="8.85546875" hidden="1" customWidth="1"/>
    <col min="59" max="78" width="8.85546875" customWidth="1"/>
  </cols>
  <sheetData>
    <row r="1" spans="3:42" ht="23.25">
      <c r="C1" s="5" t="s">
        <v>81</v>
      </c>
      <c r="J1" s="363" t="str">
        <f>IF(D4&lt;&gt;"",D4,"")</f>
        <v>Miloslav's Magazines</v>
      </c>
      <c r="K1" s="450"/>
      <c r="L1" s="452"/>
      <c r="M1" s="452"/>
      <c r="N1" s="452"/>
      <c r="O1" s="452"/>
      <c r="P1" s="451">
        <f>IF(N1&lt;&gt;"",COUNTIFS($AK$183:$AK$200,N1),0)</f>
        <v>0</v>
      </c>
      <c r="Q1" s="451"/>
      <c r="R1" s="450"/>
      <c r="S1" s="450"/>
      <c r="T1" s="451"/>
      <c r="U1" s="450"/>
      <c r="V1" s="450"/>
      <c r="W1" s="452"/>
      <c r="X1" s="451"/>
      <c r="Y1" s="450"/>
      <c r="Z1" s="450"/>
    </row>
    <row r="2" spans="3:42" ht="15.7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75" thickBot="1">
      <c r="C3" s="503" t="s">
        <v>82</v>
      </c>
      <c r="D3" s="504" t="s">
        <v>83</v>
      </c>
      <c r="J3" s="39"/>
      <c r="K3" s="452"/>
      <c r="L3" s="452"/>
      <c r="M3" s="452"/>
      <c r="N3" t="s">
        <v>84</v>
      </c>
      <c r="O3" s="545" t="b">
        <v>1</v>
      </c>
      <c r="P3" s="451"/>
      <c r="Q3" s="451"/>
      <c r="R3" s="451"/>
      <c r="S3" s="451"/>
      <c r="T3" s="451"/>
      <c r="U3" s="451"/>
      <c r="V3" s="451"/>
      <c r="W3" s="451"/>
      <c r="X3" s="451"/>
      <c r="Y3" s="39"/>
      <c r="Z3" s="451"/>
    </row>
    <row r="4" spans="3:42" ht="19.5" thickBot="1">
      <c r="C4" s="175" t="s">
        <v>2</v>
      </c>
      <c r="D4" s="471" t="str">
        <f>Entity</f>
        <v>Miloslav's Magazines</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c r="C5" s="96" t="s">
        <v>85</v>
      </c>
      <c r="D5" s="472" t="str">
        <f>Units</f>
        <v>Dollars in Thousands</v>
      </c>
      <c r="J5" s="561"/>
      <c r="K5" s="562"/>
      <c r="M5" s="550"/>
      <c r="N5" s="551"/>
      <c r="O5" s="552"/>
      <c r="P5" s="553"/>
      <c r="Q5" s="553"/>
      <c r="R5" s="552"/>
      <c r="S5" s="552"/>
      <c r="T5" s="553"/>
      <c r="U5" s="552"/>
      <c r="V5" s="552"/>
      <c r="W5" s="550"/>
      <c r="X5" s="39"/>
      <c r="Y5" s="562"/>
      <c r="Z5" s="562"/>
    </row>
    <row r="6" spans="3:42" ht="19.5" thickBot="1">
      <c r="C6" s="96" t="s">
        <v>86</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c r="C7" s="96" t="s">
        <v>87</v>
      </c>
      <c r="D7" s="472" t="str">
        <f>EndDate</f>
        <v>12/31/20x4</v>
      </c>
      <c r="H7" s="39"/>
      <c r="I7" s="39" cm="1">
        <f t="array" ref="I7:K43">_xlfn.VSTACK(_xlfn.ANCHORARRAY(B609),{"","",""},_xlfn.ANCHORARRAY(B689),{"","",""},_xlfn.ANCHORARRAY(B744))</f>
        <v>2</v>
      </c>
      <c r="J7" s="63" t="str">
        <v>Assets</v>
      </c>
      <c r="K7" s="63" t="str">
        <v/>
      </c>
      <c r="L7" s="39"/>
      <c r="M7" s="553" cm="1">
        <f t="array" aca="1" ref="M7:O30"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9" ca="1">_xlfn.IFS(S566=1,_xlfn.ANCHORARRAY(Q653),S566=2,_xlfn.ANCHORARRAY(Q688),S566=3,_xlfn.ANCHORARRAY(Q728),S566=4,_xlfn.ANCHORARRAY(Q778))</f>
        <v>2</v>
      </c>
      <c r="R7" s="558" t="str">
        <f ca="1"/>
        <v>Total Shareholders' Equity @ 12/31/20x3</v>
      </c>
      <c r="S7" s="558">
        <f ca="1"/>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0</v>
      </c>
      <c r="W7" s="558"/>
      <c r="X7" s="39" cm="1">
        <f t="array" ref="X7:Z43">_xlfn.VSTACK(_xlfn.ANCHORARRAY(AB609),{"","",""},_xlfn.ANCHORARRAY(AB689),{"","",""},_xlfn.ANCHORARRAY(AB744))</f>
        <v>2</v>
      </c>
      <c r="Y7" s="63" t="str">
        <v>Assets</v>
      </c>
      <c r="Z7" s="63" t="str">
        <v/>
      </c>
      <c r="AC7" s="547" t="s">
        <v>88</v>
      </c>
      <c r="AD7" s="548"/>
      <c r="AE7" s="549"/>
      <c r="AF7" s="547" t="s">
        <v>89</v>
      </c>
      <c r="AG7" s="548"/>
      <c r="AH7" s="549"/>
      <c r="AJ7" s="547" t="s">
        <v>90</v>
      </c>
      <c r="AK7" s="548"/>
      <c r="AL7" s="549"/>
      <c r="AN7" s="547" t="s">
        <v>91</v>
      </c>
      <c r="AO7" s="548"/>
      <c r="AP7" s="549"/>
    </row>
    <row r="8" spans="3:42" ht="15.75" thickBot="1">
      <c r="C8" s="96" t="s">
        <v>92</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93</v>
      </c>
      <c r="AD8" s="546" t="s">
        <v>94</v>
      </c>
      <c r="AE8" s="405" t="s">
        <v>95</v>
      </c>
      <c r="AF8" s="465" t="s">
        <v>93</v>
      </c>
      <c r="AG8" s="546" t="s">
        <v>96</v>
      </c>
      <c r="AH8" s="405" t="s">
        <v>95</v>
      </c>
      <c r="AJ8" s="465" t="s">
        <v>97</v>
      </c>
      <c r="AK8" s="546" t="s">
        <v>98</v>
      </c>
      <c r="AL8" s="405" t="s">
        <v>99</v>
      </c>
      <c r="AN8" s="465" t="s">
        <v>97</v>
      </c>
      <c r="AO8" s="546" t="s">
        <v>98</v>
      </c>
      <c r="AP8" s="405" t="s">
        <v>99</v>
      </c>
    </row>
    <row r="9" spans="3:42">
      <c r="C9" s="96" t="s">
        <v>88</v>
      </c>
      <c r="D9" s="97" t="str">
        <f>"for the "&amp;D8&amp;" ended "&amp;D7</f>
        <v>for the Year ended 12/31/20x4</v>
      </c>
      <c r="H9" s="39"/>
      <c r="I9" s="39">
        <v>4</v>
      </c>
      <c r="J9" s="63" t="str">
        <v xml:space="preserve"> Current Assets:</v>
      </c>
      <c r="K9" s="63" t="str">
        <v/>
      </c>
      <c r="L9" s="39"/>
      <c r="M9" s="553">
        <f ca="1"/>
        <v>6</v>
      </c>
      <c r="N9" s="558" t="str">
        <f ca="1"/>
        <v>Sales</v>
      </c>
      <c r="O9" s="558">
        <f ca="1"/>
        <v>25</v>
      </c>
      <c r="P9" s="558"/>
      <c r="Q9" s="553">
        <f ca="1"/>
        <v>3</v>
      </c>
      <c r="R9" s="558" t="str">
        <f ca="1"/>
        <v>Common Stock</v>
      </c>
      <c r="S9" s="558" t="str">
        <f ca="1"/>
        <v/>
      </c>
      <c r="T9" s="553" t="str">
        <v/>
      </c>
      <c r="U9" s="558" t="str">
        <v/>
      </c>
      <c r="V9" s="558" t="str">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89</v>
      </c>
      <c r="D10" s="97" t="str">
        <f>"for the "&amp;D8&amp;" ended "&amp;D7</f>
        <v>for the Year ended 12/31/20x4</v>
      </c>
      <c r="H10" s="39"/>
      <c r="I10" s="39">
        <v>6</v>
      </c>
      <c r="J10" s="63" t="str">
        <v>Cash</v>
      </c>
      <c r="K10" s="63">
        <v>0</v>
      </c>
      <c r="L10" s="39"/>
      <c r="M10" s="553">
        <f ca="1"/>
        <v>5</v>
      </c>
      <c r="N10" s="558" t="str">
        <f ca="1"/>
        <v xml:space="preserve">  Total Revenues</v>
      </c>
      <c r="O10" s="558">
        <f ca="1"/>
        <v>25</v>
      </c>
      <c r="P10" s="558"/>
      <c r="Q10" s="553">
        <f ca="1"/>
        <v>5</v>
      </c>
      <c r="R10" s="558" t="str">
        <f ca="1"/>
        <v>Balance @ 12/31/20x3</v>
      </c>
      <c r="S10" s="558">
        <f ca="1"/>
        <v>0</v>
      </c>
      <c r="T10" s="553" t="str">
        <v/>
      </c>
      <c r="U10" s="558" t="str">
        <v/>
      </c>
      <c r="V10" s="558" t="str">
        <v/>
      </c>
      <c r="W10" s="558"/>
      <c r="X10" s="39">
        <v>6</v>
      </c>
      <c r="Y10" s="63" t="str">
        <v>Cash</v>
      </c>
      <c r="Z10" s="63">
        <v>17.579999999999998</v>
      </c>
      <c r="AC10" s="162" t="b">
        <f ca="1">ISNUMBER(MATCH(N10&amp;O10,FSData!$V$7:$V$95,0))</f>
        <v>1</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75" thickBot="1">
      <c r="C11" s="98" t="s">
        <v>90</v>
      </c>
      <c r="D11" s="99" t="str">
        <f>"for the "&amp;D8&amp;" ended "&amp;D7</f>
        <v>for the Year ended 12/31/20x4</v>
      </c>
      <c r="H11" s="39"/>
      <c r="I11" s="39">
        <v>7</v>
      </c>
      <c r="J11" s="63" t="str">
        <v>Accounts Receivable</v>
      </c>
      <c r="K11" s="63">
        <v>0</v>
      </c>
      <c r="L11" s="39"/>
      <c r="M11" s="553" t="str">
        <f ca="1"/>
        <v/>
      </c>
      <c r="N11" s="558" t="str">
        <f ca="1"/>
        <v/>
      </c>
      <c r="O11" s="558" t="str">
        <f ca="1"/>
        <v/>
      </c>
      <c r="P11" s="558"/>
      <c r="Q11" s="553">
        <f ca="1"/>
        <v>7</v>
      </c>
      <c r="R11" s="558" t="str">
        <f ca="1"/>
        <v>Issued common stock</v>
      </c>
      <c r="S11" s="558">
        <f ca="1"/>
        <v>3</v>
      </c>
      <c r="T11" s="553" t="str">
        <v/>
      </c>
      <c r="U11" s="558" t="str">
        <v/>
      </c>
      <c r="V11" s="558" t="str">
        <v/>
      </c>
      <c r="W11" s="558"/>
      <c r="X11" s="39">
        <v>7</v>
      </c>
      <c r="Y11" s="63" t="str">
        <v>Accounts Receivable</v>
      </c>
      <c r="Z11" s="63">
        <v>4.5</v>
      </c>
      <c r="AC11" s="162" t="b">
        <f ca="1">ISNUMBER(MATCH(N11&amp;O11,FSData!$V$7:$V$95,0))</f>
        <v>1</v>
      </c>
      <c r="AD11" s="162" t="b">
        <f t="shared" ca="1" si="0"/>
        <v>0</v>
      </c>
      <c r="AE11" s="97" t="b">
        <f t="shared" ca="1" si="1"/>
        <v>0</v>
      </c>
      <c r="AF11" s="162" t="b">
        <f ca="1">ISNUMBER(MATCH(R11&amp;S11,FSData!$X$7:$X$95,0))</f>
        <v>1</v>
      </c>
      <c r="AG11" s="162" t="b">
        <f t="shared" ca="1" si="2"/>
        <v>0</v>
      </c>
      <c r="AH11" s="97" t="b">
        <f t="shared" ca="1"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75" thickBot="1">
      <c r="H12" s="39"/>
      <c r="I12" s="39">
        <v>7</v>
      </c>
      <c r="J12" s="63" t="str">
        <v>Inventories</v>
      </c>
      <c r="K12" s="63">
        <v>0</v>
      </c>
      <c r="L12" s="39"/>
      <c r="M12" s="553">
        <f ca="1"/>
        <v>2</v>
      </c>
      <c r="N12" s="558" t="str">
        <f ca="1"/>
        <v>Expenses</v>
      </c>
      <c r="O12" s="558" t="str">
        <f ca="1"/>
        <v/>
      </c>
      <c r="P12" s="558"/>
      <c r="Q12" s="553">
        <f ca="1"/>
        <v>5</v>
      </c>
      <c r="R12" s="558" t="str">
        <f ca="1"/>
        <v>Balance @ 12/31/20x4</v>
      </c>
      <c r="S12" s="558">
        <f ca="1"/>
        <v>3</v>
      </c>
      <c r="T12" s="553" t="str">
        <v/>
      </c>
      <c r="U12" s="558" t="str">
        <v/>
      </c>
      <c r="V12" s="558" t="str">
        <v/>
      </c>
      <c r="W12" s="558"/>
      <c r="X12" s="39">
        <v>7</v>
      </c>
      <c r="Y12" s="63" t="str">
        <v>Inventories</v>
      </c>
      <c r="Z12" s="63">
        <v>2</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75" thickBot="1">
      <c r="C13" s="503" t="s">
        <v>100</v>
      </c>
      <c r="D13" s="504" t="s">
        <v>101</v>
      </c>
      <c r="H13" s="39"/>
      <c r="I13" s="39">
        <v>5</v>
      </c>
      <c r="J13" s="63" t="str">
        <v xml:space="preserve">  Total Current Assets</v>
      </c>
      <c r="K13" s="63">
        <v>0</v>
      </c>
      <c r="L13" s="39"/>
      <c r="M13" s="553" t="str">
        <f ca="1"/>
        <v/>
      </c>
      <c r="N13" s="558" t="str">
        <f ca="1"/>
        <v/>
      </c>
      <c r="O13" s="558" t="str">
        <f ca="1"/>
        <v/>
      </c>
      <c r="P13" s="558"/>
      <c r="Q13" s="553">
        <f ca="1"/>
        <v>3</v>
      </c>
      <c r="R13" s="558" t="str">
        <f ca="1"/>
        <v>Retained Earnings</v>
      </c>
      <c r="S13" s="558" t="str">
        <f ca="1"/>
        <v/>
      </c>
      <c r="T13" s="553" t="str">
        <v/>
      </c>
      <c r="U13" s="558" t="str">
        <v/>
      </c>
      <c r="V13" s="558" t="str">
        <v/>
      </c>
      <c r="W13" s="558"/>
      <c r="X13" s="39">
        <v>5</v>
      </c>
      <c r="Y13" s="63" t="str">
        <v xml:space="preserve">  Total Current Assets</v>
      </c>
      <c r="Z13" s="63">
        <v>24.08</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1</v>
      </c>
      <c r="AO13" s="162" t="b">
        <f t="shared" si="6"/>
        <v>1</v>
      </c>
      <c r="AP13" s="97" t="b">
        <f t="shared" si="7"/>
        <v>0</v>
      </c>
    </row>
    <row r="14" spans="3:42">
      <c r="C14" s="96" t="str" cm="1">
        <f t="array" ref="C14:C17">IFERROR(_xlfn._xlws.FILTER(ProblemData!D10:D17,ProblemData!E10:E17),"")</f>
        <v>Beginning Balance Sheet</v>
      </c>
      <c r="D14" s="512" t="b">
        <v>1</v>
      </c>
      <c r="H14" s="39"/>
      <c r="I14" s="39" t="str">
        <v/>
      </c>
      <c r="J14" s="63" t="str">
        <v/>
      </c>
      <c r="K14" s="63" t="str">
        <v/>
      </c>
      <c r="L14" s="39"/>
      <c r="M14" s="553">
        <f ca="1"/>
        <v>6</v>
      </c>
      <c r="N14" s="558" t="str">
        <f ca="1"/>
        <v>Cost of Goods Sold</v>
      </c>
      <c r="O14" s="558">
        <f ca="1"/>
        <v>18</v>
      </c>
      <c r="P14" s="558"/>
      <c r="Q14" s="553">
        <f ca="1"/>
        <v>5</v>
      </c>
      <c r="R14" s="558" t="str">
        <f ca="1"/>
        <v>Balance @ 12/31/20x3</v>
      </c>
      <c r="S14" s="558">
        <f ca="1"/>
        <v>0</v>
      </c>
      <c r="T14" s="553" t="str">
        <v/>
      </c>
      <c r="U14" s="558" t="str">
        <v/>
      </c>
      <c r="V14" s="558" t="str">
        <v/>
      </c>
      <c r="W14" s="558"/>
      <c r="X14" s="39" t="str">
        <v/>
      </c>
      <c r="Y14" s="63" t="str">
        <v/>
      </c>
      <c r="Z14" s="63" t="str">
        <v/>
      </c>
      <c r="AC14" s="162" t="b">
        <f ca="1">ISNUMBER(MATCH(N14&amp;O14,FSData!$V$7:$V$95,0))</f>
        <v>1</v>
      </c>
      <c r="AD14" s="162" t="b">
        <f t="shared" ca="1" si="0"/>
        <v>0</v>
      </c>
      <c r="AE14" s="97" t="b">
        <f t="shared" ca="1" si="1"/>
        <v>0</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1</v>
      </c>
      <c r="AO14" s="162" t="b">
        <f t="shared" si="6"/>
        <v>0</v>
      </c>
      <c r="AP14" s="97" t="b">
        <f t="shared" si="7"/>
        <v>0</v>
      </c>
    </row>
    <row r="15" spans="3:42">
      <c r="C15" s="510" t="str">
        <v>Income Statement</v>
      </c>
      <c r="D15" s="512" t="b">
        <v>1</v>
      </c>
      <c r="H15" s="39"/>
      <c r="I15" s="39">
        <v>4</v>
      </c>
      <c r="J15" s="63" t="str">
        <v xml:space="preserve"> Noncurrent Assets:</v>
      </c>
      <c r="K15" s="63" t="str">
        <v/>
      </c>
      <c r="L15" s="39"/>
      <c r="M15" s="553">
        <f ca="1"/>
        <v>7</v>
      </c>
      <c r="N15" s="558" t="str">
        <f ca="1"/>
        <v>Interest Expense</v>
      </c>
      <c r="O15" s="558">
        <f ca="1"/>
        <v>1.87</v>
      </c>
      <c r="P15" s="558"/>
      <c r="Q15" s="553">
        <f ca="1"/>
        <v>7</v>
      </c>
      <c r="R15" s="558" t="str">
        <f ca="1"/>
        <v>Declared Dividends</v>
      </c>
      <c r="S15" s="558">
        <f ca="1"/>
        <v>-0.05</v>
      </c>
      <c r="T15" s="553" t="str">
        <v/>
      </c>
      <c r="U15" s="558" t="str">
        <v/>
      </c>
      <c r="V15" s="558" t="str">
        <v/>
      </c>
      <c r="W15" s="558"/>
      <c r="X15" s="39">
        <v>4</v>
      </c>
      <c r="Y15" s="63" t="str">
        <v xml:space="preserve"> Noncurrent Assets:</v>
      </c>
      <c r="Z15" s="63" t="str">
        <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6</v>
      </c>
      <c r="J16" s="63" t="str">
        <v>Property, Plant &amp; Equipment</v>
      </c>
      <c r="K16" s="63">
        <v>0</v>
      </c>
      <c r="L16" s="39"/>
      <c r="M16" s="553">
        <f ca="1"/>
        <v>7</v>
      </c>
      <c r="N16" s="558" t="str">
        <f ca="1"/>
        <v>Depreciation Expense</v>
      </c>
      <c r="O16" s="558">
        <f ca="1"/>
        <v>0.2</v>
      </c>
      <c r="P16" s="558"/>
      <c r="Q16" s="553">
        <f ca="1"/>
        <v>7</v>
      </c>
      <c r="R16" s="558" t="str">
        <f ca="1"/>
        <v>Net Income (Loss)</v>
      </c>
      <c r="S16" s="558">
        <f ca="1"/>
        <v>1.93</v>
      </c>
      <c r="T16" s="553" t="str">
        <v/>
      </c>
      <c r="U16" s="558" t="str">
        <v/>
      </c>
      <c r="V16" s="558" t="str">
        <v/>
      </c>
      <c r="W16" s="558"/>
      <c r="X16" s="39">
        <v>6</v>
      </c>
      <c r="Y16" s="63" t="str">
        <v>Property, Plant &amp; Equipment</v>
      </c>
      <c r="Z16" s="63">
        <v>1</v>
      </c>
      <c r="AC16" s="162" t="b">
        <f ca="1">ISNUMBER(MATCH(N16&amp;O16,FSData!$V$7:$V$95,0))</f>
        <v>1</v>
      </c>
      <c r="AD16" s="162" t="b">
        <f t="shared" ca="1" si="0"/>
        <v>0</v>
      </c>
      <c r="AE16" s="97" t="b">
        <f t="shared" ca="1" si="1"/>
        <v>0</v>
      </c>
      <c r="AF16" s="162" t="b">
        <f ca="1">ISNUMBER(MATCH(R16&amp;S16,FSData!$X$7:$X$95,0))</f>
        <v>1</v>
      </c>
      <c r="AG16" s="162" t="b">
        <f t="shared" ca="1" si="2"/>
        <v>0</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Ending Balance Sheet</v>
      </c>
      <c r="D17" s="512" t="b">
        <v>1</v>
      </c>
      <c r="H17" s="39"/>
      <c r="I17" s="39">
        <v>7</v>
      </c>
      <c r="J17" s="63" t="str">
        <v>Accumulated Depreciation</v>
      </c>
      <c r="K17" s="63">
        <v>0</v>
      </c>
      <c r="L17" s="39"/>
      <c r="M17" s="553">
        <f ca="1"/>
        <v>7</v>
      </c>
      <c r="N17" s="558" t="str">
        <f ca="1"/>
        <v>Salaries &amp; Wages Expense</v>
      </c>
      <c r="O17" s="558">
        <f ca="1"/>
        <v>3</v>
      </c>
      <c r="P17" s="558"/>
      <c r="Q17" s="553">
        <f ca="1"/>
        <v>5</v>
      </c>
      <c r="R17" s="558" t="str">
        <f ca="1"/>
        <v>Balance @ 12/31/20x4</v>
      </c>
      <c r="S17" s="558">
        <f ca="1"/>
        <v>1.88</v>
      </c>
      <c r="T17" s="553">
        <v>2</v>
      </c>
      <c r="U17" s="558" t="str">
        <v>Cash @ 12/31/20x4</v>
      </c>
      <c r="V17" s="558">
        <v>17.579999999999998</v>
      </c>
      <c r="W17" s="558"/>
      <c r="X17" s="39">
        <v>7</v>
      </c>
      <c r="Y17" s="63" t="str">
        <v>Accumulated Depreciation</v>
      </c>
      <c r="Z17" s="63">
        <v>-0.2</v>
      </c>
      <c r="AC17" s="162" t="b">
        <f ca="1">ISNUMBER(MATCH(N17&amp;O17,FSData!$V$7:$V$95,0))</f>
        <v>1</v>
      </c>
      <c r="AD17" s="162" t="b">
        <f t="shared" ca="1" si="0"/>
        <v>0</v>
      </c>
      <c r="AE17" s="97" t="b">
        <f t="shared" ca="1" si="1"/>
        <v>0</v>
      </c>
      <c r="AF17" s="162" t="b">
        <f ca="1">ISNUMBER(MATCH(R17&amp;S17,FSData!$X$7:$X$95,0))</f>
        <v>0</v>
      </c>
      <c r="AG17" s="162" t="b">
        <f t="shared" ca="1" si="2"/>
        <v>1</v>
      </c>
      <c r="AH17" s="97" t="b">
        <f t="shared" ca="1" si="3"/>
        <v>0</v>
      </c>
      <c r="AJ17" s="162" t="b">
        <f>ISNUMBER(MATCH(U17&amp;V17,FSData!$Z$7:$Z$95,0))</f>
        <v>1</v>
      </c>
      <c r="AK17" s="162" t="b">
        <f t="shared" si="4"/>
        <v>1</v>
      </c>
      <c r="AL17" s="97" t="b">
        <f t="shared" si="5"/>
        <v>0</v>
      </c>
      <c r="AN17" s="162" t="b">
        <f>ISNUMBER(MATCH(Y17&amp;Z17,FSData!$AB$7:$AB$95,0))</f>
        <v>1</v>
      </c>
      <c r="AO17" s="162" t="b">
        <f t="shared" si="6"/>
        <v>0</v>
      </c>
      <c r="AP17" s="97" t="b">
        <f t="shared" si="7"/>
        <v>0</v>
      </c>
    </row>
    <row r="18" spans="3:61">
      <c r="C18" s="510"/>
      <c r="D18" s="512" t="b">
        <v>0</v>
      </c>
      <c r="H18" s="39"/>
      <c r="I18" s="39">
        <v>5</v>
      </c>
      <c r="J18" s="63" t="str">
        <v xml:space="preserve">  Total Noncurrent Assets</v>
      </c>
      <c r="K18" s="63">
        <v>0</v>
      </c>
      <c r="L18" s="39"/>
      <c r="M18" s="553">
        <f ca="1"/>
        <v>5</v>
      </c>
      <c r="N18" s="558" t="str">
        <f ca="1"/>
        <v xml:space="preserve">  Total Expenses</v>
      </c>
      <c r="O18" s="558">
        <f ca="1"/>
        <v>23.07</v>
      </c>
      <c r="P18" s="558"/>
      <c r="Q18" s="553">
        <f ca="1"/>
        <v>2</v>
      </c>
      <c r="R18" s="558" t="str">
        <f ca="1"/>
        <v>Total Shareholders' Equity @ 12/31/20x4</v>
      </c>
      <c r="S18" s="558">
        <f ca="1"/>
        <v>4.88</v>
      </c>
      <c r="T18" s="553" t="str">
        <v/>
      </c>
      <c r="U18" s="558" t="str">
        <v/>
      </c>
      <c r="V18" s="558" t="str">
        <v/>
      </c>
      <c r="W18" s="558"/>
      <c r="X18" s="39">
        <v>5</v>
      </c>
      <c r="Y18" s="63" t="str">
        <v xml:space="preserve">  Total Noncurrent Assets</v>
      </c>
      <c r="Z18" s="63">
        <v>0.8</v>
      </c>
      <c r="AC18" s="162" t="b">
        <f ca="1">ISNUMBER(MATCH(N18&amp;O18,FSData!$V$7:$V$95,0))</f>
        <v>1</v>
      </c>
      <c r="AD18" s="162" t="b">
        <f t="shared" ca="1" si="0"/>
        <v>1</v>
      </c>
      <c r="AE18" s="97" t="b">
        <f t="shared" ca="1" si="1"/>
        <v>0</v>
      </c>
      <c r="AF18" s="162" t="b">
        <f ca="1">ISNUMBER(MATCH(R18&amp;S18,FSData!$X$7:$X$95,0))</f>
        <v>0</v>
      </c>
      <c r="AG18" s="162" t="b">
        <f t="shared" ca="1" si="2"/>
        <v>1</v>
      </c>
      <c r="AH18" s="97" t="b">
        <f t="shared" ca="1" si="3"/>
        <v>0</v>
      </c>
      <c r="AJ18" s="162" t="b">
        <f>ISNUMBER(MATCH(U18&amp;V18,FSData!$Z$7:$Z$95,0))</f>
        <v>1</v>
      </c>
      <c r="AK18" s="162" t="b">
        <f t="shared" si="4"/>
        <v>0</v>
      </c>
      <c r="AL18" s="97" t="b">
        <f t="shared" si="5"/>
        <v>0</v>
      </c>
      <c r="AN18" s="162" t="b">
        <f>ISNUMBER(MATCH(Y18&amp;Z18,FSData!$AB$7:$AB$95,0))</f>
        <v>1</v>
      </c>
      <c r="AO18" s="162" t="b">
        <f t="shared" si="6"/>
        <v>1</v>
      </c>
      <c r="AP18" s="97" t="b">
        <f t="shared" si="7"/>
        <v>0</v>
      </c>
    </row>
    <row r="19" spans="3:61">
      <c r="C19" s="510"/>
      <c r="D19" s="512" t="b">
        <v>0</v>
      </c>
      <c r="H19" s="39"/>
      <c r="I19" s="39" t="str">
        <v/>
      </c>
      <c r="J19" s="63" t="str">
        <v/>
      </c>
      <c r="K19" s="63" t="str">
        <v/>
      </c>
      <c r="L19" s="39"/>
      <c r="M19" s="553" t="str">
        <f ca="1"/>
        <v/>
      </c>
      <c r="N19" s="558" t="str">
        <f ca="1"/>
        <v/>
      </c>
      <c r="O19" s="558" t="str">
        <f ca="1"/>
        <v/>
      </c>
      <c r="P19" s="558"/>
      <c r="Q19" s="553" t="str">
        <f ca="1"/>
        <v/>
      </c>
      <c r="R19" s="558" t="str">
        <f ca="1"/>
        <v/>
      </c>
      <c r="S19" s="558" t="str">
        <f ca="1"/>
        <v/>
      </c>
      <c r="T19" s="553" t="str">
        <v/>
      </c>
      <c r="U19" s="558" t="str">
        <v/>
      </c>
      <c r="V19" s="558" t="str">
        <v/>
      </c>
      <c r="W19" s="558"/>
      <c r="X19" s="39" t="str">
        <v/>
      </c>
      <c r="Y19" s="63" t="str">
        <v/>
      </c>
      <c r="Z19" s="63" t="str">
        <v/>
      </c>
      <c r="AC19" s="162" t="b">
        <f ca="1">ISNUMBER(MATCH(N19&amp;O19,FSData!$V$7:$V$95,0))</f>
        <v>1</v>
      </c>
      <c r="AD19" s="162" t="b">
        <f t="shared" ca="1" si="0"/>
        <v>0</v>
      </c>
      <c r="AE19" s="97" t="b">
        <f t="shared" ca="1" si="1"/>
        <v>0</v>
      </c>
      <c r="AF19" s="162" t="b">
        <f ca="1">ISNUMBER(MATCH(R19&amp;S19,FSData!$X$7:$X$95,0))</f>
        <v>1</v>
      </c>
      <c r="AG19" s="162" t="b">
        <f t="shared" ca="1" si="2"/>
        <v>0</v>
      </c>
      <c r="AH19" s="97" t="b">
        <f t="shared" ca="1"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c r="C20" s="510"/>
      <c r="D20" s="512" t="b">
        <v>0</v>
      </c>
      <c r="H20" s="39"/>
      <c r="I20" s="39">
        <v>3</v>
      </c>
      <c r="J20" s="63" t="str">
        <v>Total Assets</v>
      </c>
      <c r="K20" s="63">
        <v>0</v>
      </c>
      <c r="L20" s="39"/>
      <c r="M20" s="553">
        <f ca="1"/>
        <v>3</v>
      </c>
      <c r="N20" s="558" t="str">
        <f ca="1"/>
        <v>Net Income</v>
      </c>
      <c r="O20" s="558">
        <f ca="1"/>
        <v>1.93</v>
      </c>
      <c r="P20" s="558"/>
      <c r="Q20" s="553"/>
      <c r="R20" s="558"/>
      <c r="S20" s="558"/>
      <c r="T20" s="553" t="str">
        <v/>
      </c>
      <c r="U20" s="558" t="str">
        <v/>
      </c>
      <c r="V20" s="558" t="str">
        <v/>
      </c>
      <c r="W20" s="558"/>
      <c r="X20" s="39">
        <v>3</v>
      </c>
      <c r="Y20" s="63" t="str">
        <v>Total Assets</v>
      </c>
      <c r="Z20" s="63">
        <v>24.88</v>
      </c>
      <c r="AC20" s="162" t="b">
        <f ca="1">ISNUMBER(MATCH(N20&amp;O20,FSData!$V$7:$V$95,0))</f>
        <v>1</v>
      </c>
      <c r="AD20" s="162" t="b">
        <f t="shared" ca="1" si="0"/>
        <v>1</v>
      </c>
      <c r="AE20" s="97" t="b">
        <f t="shared" ca="1"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1</v>
      </c>
      <c r="AO20" s="162" t="b">
        <f t="shared" si="6"/>
        <v>1</v>
      </c>
      <c r="AP20" s="97" t="b">
        <f t="shared" si="7"/>
        <v>0</v>
      </c>
      <c r="BI20" t="s">
        <v>0</v>
      </c>
    </row>
    <row r="21" spans="3:61" ht="15.75" thickBot="1">
      <c r="C21" s="511"/>
      <c r="D21" s="513" t="b">
        <v>0</v>
      </c>
      <c r="H21" s="39"/>
      <c r="I21" s="39" t="str">
        <v/>
      </c>
      <c r="J21" s="63" t="str">
        <v/>
      </c>
      <c r="K21" s="63" t="str">
        <v/>
      </c>
      <c r="L21" s="39"/>
      <c r="M21" s="553" t="str">
        <f ca="1"/>
        <v/>
      </c>
      <c r="N21" s="558" t="str">
        <f ca="1"/>
        <v/>
      </c>
      <c r="O21" s="558" t="str">
        <f ca="1"/>
        <v/>
      </c>
      <c r="P21" s="558"/>
      <c r="Q21" s="553"/>
      <c r="R21" s="558"/>
      <c r="S21" s="558"/>
      <c r="T21" s="553" t="str">
        <v/>
      </c>
      <c r="U21" s="558" t="str">
        <v/>
      </c>
      <c r="V21" s="558" t="str">
        <v/>
      </c>
      <c r="W21" s="558"/>
      <c r="X21" s="39" t="str">
        <v/>
      </c>
      <c r="Y21" s="63" t="str">
        <v/>
      </c>
      <c r="Z21" s="63" t="str">
        <v/>
      </c>
      <c r="AC21" s="162" t="b">
        <f ca="1">ISNUMBER(MATCH(N21&amp;O21,FSData!$V$7:$V$95,0))</f>
        <v>1</v>
      </c>
      <c r="AD21" s="162" t="b">
        <f t="shared" ca="1" si="0"/>
        <v>0</v>
      </c>
      <c r="AE21" s="97" t="b">
        <f t="shared" ca="1"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2</v>
      </c>
      <c r="J22" s="63" t="str">
        <v>Liabilities</v>
      </c>
      <c r="K22" s="63" t="str">
        <v/>
      </c>
      <c r="L22" s="39"/>
      <c r="M22" s="553" t="str">
        <f ca="1"/>
        <v/>
      </c>
      <c r="N22" s="558" t="str">
        <f ca="1"/>
        <v/>
      </c>
      <c r="O22" s="558" t="str">
        <f ca="1"/>
        <v/>
      </c>
      <c r="P22" s="558"/>
      <c r="Q22" s="553"/>
      <c r="R22" s="558"/>
      <c r="S22" s="558"/>
      <c r="T22" s="553" t="str">
        <v/>
      </c>
      <c r="U22" s="558" t="str">
        <v/>
      </c>
      <c r="V22" s="558" t="str">
        <v/>
      </c>
      <c r="W22" s="558"/>
      <c r="X22" s="39">
        <v>2</v>
      </c>
      <c r="Y22" s="63" t="str">
        <v>Liabilities</v>
      </c>
      <c r="Z22" s="63" t="str">
        <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t="str">
        <v/>
      </c>
      <c r="J23" s="63" t="str">
        <v/>
      </c>
      <c r="K23" s="63" t="str">
        <v/>
      </c>
      <c r="L23" s="39"/>
      <c r="M23" s="553" t="str">
        <f ca="1"/>
        <v/>
      </c>
      <c r="N23" s="558" t="str">
        <f ca="1"/>
        <v/>
      </c>
      <c r="O23" s="558" t="str">
        <f ca="1"/>
        <v/>
      </c>
      <c r="P23" s="558"/>
      <c r="Q23" s="553"/>
      <c r="R23" s="558"/>
      <c r="S23" s="558"/>
      <c r="T23" s="553" t="str">
        <v/>
      </c>
      <c r="U23" s="558" t="str">
        <v/>
      </c>
      <c r="V23" s="558" t="str">
        <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102</v>
      </c>
    </row>
    <row r="24" spans="3:61" ht="15.75" thickBot="1">
      <c r="C24" s="469" t="s">
        <v>103</v>
      </c>
      <c r="D24" s="469" t="s">
        <v>104</v>
      </c>
      <c r="E24" s="469" t="s">
        <v>105</v>
      </c>
      <c r="F24" s="469" t="s">
        <v>106</v>
      </c>
      <c r="H24" s="39"/>
      <c r="I24" s="39">
        <v>4</v>
      </c>
      <c r="J24" s="63" t="str">
        <v xml:space="preserve"> Current Liabilities:</v>
      </c>
      <c r="K24" s="63" t="str">
        <v/>
      </c>
      <c r="L24" s="39"/>
      <c r="M24" s="553" t="str">
        <f ca="1"/>
        <v/>
      </c>
      <c r="N24" s="558" t="str">
        <f ca="1"/>
        <v/>
      </c>
      <c r="O24" s="558" t="str">
        <f ca="1"/>
        <v/>
      </c>
      <c r="P24" s="558"/>
      <c r="Q24" s="553"/>
      <c r="R24" s="558"/>
      <c r="S24" s="558"/>
      <c r="T24" s="553" t="str">
        <v/>
      </c>
      <c r="U24" s="558" t="str">
        <v/>
      </c>
      <c r="V24" s="558" t="str">
        <v/>
      </c>
      <c r="W24" s="558"/>
      <c r="X24" s="39">
        <v>4</v>
      </c>
      <c r="Y24" s="63" t="str">
        <v xml:space="preserve"> Current 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107</v>
      </c>
      <c r="AS24" s="5" t="s">
        <v>104</v>
      </c>
    </row>
    <row r="25" spans="3:61">
      <c r="C25" s="467" t="s">
        <v>108</v>
      </c>
      <c r="D25" s="467" t="s">
        <v>109</v>
      </c>
      <c r="E25" s="467" t="s">
        <v>66</v>
      </c>
      <c r="F25" s="497">
        <v>0</v>
      </c>
      <c r="H25" s="39" t="str">
        <f>_xlfn.TEXTJOIN(6,1,FSBuilder[[#This Row],[Statement]:[Account or Explanation]])</f>
        <v>Beginning Balance Sheet6  Noncurrent Liabilities6Notes Payable</v>
      </c>
      <c r="I25" s="39">
        <v>6</v>
      </c>
      <c r="J25" s="63" t="str">
        <v>Interest Payable</v>
      </c>
      <c r="K25" s="63">
        <v>0</v>
      </c>
      <c r="L25" s="39"/>
      <c r="M25" s="553" t="str">
        <f ca="1"/>
        <v/>
      </c>
      <c r="N25" s="558" t="str">
        <f ca="1"/>
        <v/>
      </c>
      <c r="O25" s="558" t="str">
        <f ca="1"/>
        <v/>
      </c>
      <c r="P25" s="558"/>
      <c r="Q25" s="553"/>
      <c r="R25" s="558"/>
      <c r="S25" s="558"/>
      <c r="T25" s="553" t="str">
        <v/>
      </c>
      <c r="U25" s="558" t="str">
        <v/>
      </c>
      <c r="V25" s="558" t="str">
        <v/>
      </c>
      <c r="W25" s="558"/>
      <c r="X25" s="39">
        <v>6</v>
      </c>
      <c r="Y25" s="63" t="str">
        <v>Interest Payable</v>
      </c>
      <c r="Z25" s="63">
        <v>0</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str" cm="1">
        <f t="array" ref="AR25">_xlfn.IFS(ISNUMBER(SEARCH("Balance",C25,1)),"MasterData!O56#",ISNUMBER(SEARCH("Income St",C25,1)),"MasterData!O116#",ISNUMBER(SEARCH("Shareholders",C25,1)),"D115#",ISNUMBER(SEARCH("Cash Flow",C25,1)),"E115#",ISNUMBER(SEARCH("Noncash",C25,1)),"C139#",ISNUMBER(SEARCH("Comprehensive",C25,1)),"E145",ISNUMBER(SEARCH("Reconciliation",C25,1)),"D137#")</f>
        <v>MasterData!O56#</v>
      </c>
      <c r="AS25" t="str" cm="1">
        <f t="array" ref="AS25">_xlfn.IFS(ISNUMBER(SEARCH("Balance",C25,1)),"AX25:AX29",ISNUMBER(SEARCH("Income St",C25,1)),"AY25:AY28",ISNUMBER(SEARCH("Shareholders",C25,1)),"EquityUsed",ISNUMBER(SEARCH("Cash Flow",C25,1)),"BA25:BA27",ISNUMBER(SEARCH("Noncash",C25,1)),"AZ25",ISNUMBER(SEARCH("Comprehensive",C25,1)),"AZ25",ISNUMBER(SEARCH("Reconciliation",C25,1)),"BB25:BB26")</f>
        <v>AX25:AX29</v>
      </c>
      <c r="AU25" t="str" cm="1">
        <f t="array" aca="1" ref="AU25:AU34" ca="1">INDIRECT(AR25)</f>
        <v>Accounts Receivable</v>
      </c>
      <c r="AX25" t="s">
        <v>110</v>
      </c>
      <c r="AY25" t="s">
        <v>111</v>
      </c>
      <c r="AZ25" t="s">
        <v>112</v>
      </c>
      <c r="BA25" t="s">
        <v>113</v>
      </c>
      <c r="BB25" t="s">
        <v>114</v>
      </c>
    </row>
    <row r="26" spans="3:61">
      <c r="C26" s="468" t="s">
        <v>108</v>
      </c>
      <c r="D26" s="468" t="s">
        <v>110</v>
      </c>
      <c r="E26" s="468" t="s">
        <v>58</v>
      </c>
      <c r="F26" s="498">
        <v>0</v>
      </c>
      <c r="H26" s="39" t="str">
        <f>_xlfn.TEXTJOIN(6,1,FSBuilder[[#This Row],[Statement]:[Account or Explanation]])</f>
        <v>Beginning Balance Sheet6  Current Assets6Cash</v>
      </c>
      <c r="I26" s="39">
        <v>7</v>
      </c>
      <c r="J26" s="63" t="str">
        <v>Dividends Payable</v>
      </c>
      <c r="K26" s="63">
        <v>0</v>
      </c>
      <c r="L26" s="39"/>
      <c r="M26" s="553" t="str">
        <f ca="1"/>
        <v/>
      </c>
      <c r="N26" s="558" t="str">
        <f ca="1"/>
        <v/>
      </c>
      <c r="O26" s="558" t="str">
        <f ca="1"/>
        <v/>
      </c>
      <c r="P26" s="558"/>
      <c r="Q26" s="553"/>
      <c r="R26" s="558"/>
      <c r="S26" s="558"/>
      <c r="T26" s="553" t="str">
        <v/>
      </c>
      <c r="U26" s="558" t="str">
        <v/>
      </c>
      <c r="V26" s="558" t="str">
        <v/>
      </c>
      <c r="W26" s="558"/>
      <c r="X26" s="39">
        <v>7</v>
      </c>
      <c r="Y26" s="63" t="str">
        <v>Dividends Payable</v>
      </c>
      <c r="Z26" s="63">
        <v>0</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str" cm="1">
        <f t="array" ref="AR26">_xlfn.IFS(ISNUMBER(SEARCH("Balance",C26,1)),"MasterData!O56#",ISNUMBER(SEARCH("Income St",C26,1)),"MasterData!O116#",ISNUMBER(SEARCH("Shareholders",C26,1)),"D115#",ISNUMBER(SEARCH("Cash Flow",C26,1)),"E115#",ISNUMBER(SEARCH("Noncash",C26,1)),"C139#",ISNUMBER(SEARCH("Comprehensive",C26,1)),"E145",ISNUMBER(SEARCH("Reconciliation",C26,1)),"D137#")</f>
        <v>MasterData!O56#</v>
      </c>
      <c r="AS26" t="str" cm="1">
        <f t="array" ref="AS26">_xlfn.IFS(ISNUMBER(SEARCH("Balance",C26,1)),"AX25:AX29",ISNUMBER(SEARCH("Income St",C26,1)),"AY25:AY28",ISNUMBER(SEARCH("Shareholders",C26,1)),"EquityUsed",ISNUMBER(SEARCH("Cash Flow",C26,1)),"BA25:BA27",ISNUMBER(SEARCH("Noncash",C26,1)),"AZ25",ISNUMBER(SEARCH("Comprehensive",C26,1)),"AZ25",ISNUMBER(SEARCH("Reconciliation",C26,1)),"BB25:BB26")</f>
        <v>AX25:AX29</v>
      </c>
      <c r="AU26" t="str">
        <f ca="1"/>
        <v>Accumulated Depreciation</v>
      </c>
      <c r="AX26" t="s">
        <v>115</v>
      </c>
      <c r="AY26" t="s">
        <v>116</v>
      </c>
      <c r="BA26" t="s">
        <v>117</v>
      </c>
      <c r="BB26" t="s">
        <v>118</v>
      </c>
    </row>
    <row r="27" spans="3:61">
      <c r="C27" s="468" t="s">
        <v>108</v>
      </c>
      <c r="D27" s="468" t="s">
        <v>110</v>
      </c>
      <c r="E27" s="468" t="s">
        <v>69</v>
      </c>
      <c r="F27" s="498">
        <v>0</v>
      </c>
      <c r="H27" s="39" t="str">
        <f>_xlfn.TEXTJOIN(6,1,FSBuilder[[#This Row],[Statement]:[Account or Explanation]])</f>
        <v>Beginning Balance Sheet6  Current Assets6Accounts Receivable</v>
      </c>
      <c r="I27" s="39">
        <v>5</v>
      </c>
      <c r="J27" s="63" t="str">
        <v xml:space="preserve">  Total Current Liabilities</v>
      </c>
      <c r="K27" s="63">
        <v>0</v>
      </c>
      <c r="L27" s="39"/>
      <c r="M27" s="553" t="str">
        <f ca="1"/>
        <v/>
      </c>
      <c r="N27" s="558" t="str">
        <f ca="1"/>
        <v/>
      </c>
      <c r="O27" s="558" t="str">
        <f ca="1"/>
        <v/>
      </c>
      <c r="P27" s="558"/>
      <c r="Q27" s="553"/>
      <c r="R27" s="558"/>
      <c r="S27" s="558"/>
      <c r="T27" s="553" t="str">
        <v/>
      </c>
      <c r="U27" s="558" t="str">
        <v/>
      </c>
      <c r="V27" s="558" t="str">
        <v/>
      </c>
      <c r="W27" s="558"/>
      <c r="X27" s="39">
        <v>5</v>
      </c>
      <c r="Y27" s="63" t="str">
        <v xml:space="preserve">  Total Current Liabilities</v>
      </c>
      <c r="Z27" s="63">
        <v>0</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1</v>
      </c>
      <c r="AP27" s="97" t="b">
        <f t="shared" si="7"/>
        <v>0</v>
      </c>
      <c r="AR27" t="str" cm="1">
        <f t="array" ref="AR27">_xlfn.IFS(ISNUMBER(SEARCH("Balance",C27,1)),"MasterData!O56#",ISNUMBER(SEARCH("Income St",C27,1)),"MasterData!O116#",ISNUMBER(SEARCH("Shareholders",C27,1)),"D115#",ISNUMBER(SEARCH("Cash Flow",C27,1)),"E115#",ISNUMBER(SEARCH("Noncash",C27,1)),"C139#",ISNUMBER(SEARCH("Comprehensive",C27,1)),"E145",ISNUMBER(SEARCH("Reconciliation",C27,1)),"D137#")</f>
        <v>MasterData!O56#</v>
      </c>
      <c r="AS27" t="str" cm="1">
        <f t="array" ref="AS27">_xlfn.IFS(ISNUMBER(SEARCH("Balance",C27,1)),"AX25:AX29",ISNUMBER(SEARCH("Income St",C27,1)),"AY25:AY28",ISNUMBER(SEARCH("Shareholders",C27,1)),"EquityUsed",ISNUMBER(SEARCH("Cash Flow",C27,1)),"BA25:BA27",ISNUMBER(SEARCH("Noncash",C27,1)),"AZ25",ISNUMBER(SEARCH("Comprehensive",C27,1)),"AZ25",ISNUMBER(SEARCH("Reconciliation",C27,1)),"BB25:BB26")</f>
        <v>AX25:AX29</v>
      </c>
      <c r="AU27" t="str">
        <f ca="1"/>
        <v>Cash</v>
      </c>
      <c r="AX27" t="s">
        <v>119</v>
      </c>
      <c r="AY27" t="str">
        <f>IF(MAX(FSConstruction!P36:P51),"  Gains","")</f>
        <v/>
      </c>
      <c r="BA27" t="s">
        <v>120</v>
      </c>
    </row>
    <row r="28" spans="3:61">
      <c r="C28" s="468" t="s">
        <v>108</v>
      </c>
      <c r="D28" s="468" t="s">
        <v>110</v>
      </c>
      <c r="E28" s="468" t="s">
        <v>68</v>
      </c>
      <c r="F28" s="498">
        <v>0</v>
      </c>
      <c r="H28" s="39" t="str">
        <f>_xlfn.TEXTJOIN(6,1,FSBuilder[[#This Row],[Statement]:[Account or Explanation]])</f>
        <v>Beginning Balance Sheet6  Current Assets6Inventories</v>
      </c>
      <c r="I28" s="39" t="str">
        <v/>
      </c>
      <c r="J28" s="63" t="str">
        <v/>
      </c>
      <c r="K28" s="63" t="str">
        <v/>
      </c>
      <c r="L28" s="39"/>
      <c r="M28" s="553" t="str">
        <f ca="1"/>
        <v/>
      </c>
      <c r="N28" s="558" t="str">
        <f ca="1"/>
        <v/>
      </c>
      <c r="O28" s="558" t="str">
        <f ca="1"/>
        <v/>
      </c>
      <c r="P28" s="558"/>
      <c r="Q28" s="553"/>
      <c r="R28" s="558"/>
      <c r="S28" s="558"/>
      <c r="T28" s="553" t="str">
        <v/>
      </c>
      <c r="U28" s="558" t="str">
        <v/>
      </c>
      <c r="V28" s="558" t="str">
        <v/>
      </c>
      <c r="W28" s="558"/>
      <c r="X28" s="39" t="str">
        <v/>
      </c>
      <c r="Y28" s="63" t="str">
        <v/>
      </c>
      <c r="Z28" s="63" t="str">
        <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str" cm="1">
        <f t="array" ref="AR28">_xlfn.IFS(ISNUMBER(SEARCH("Balance",C28,1)),"MasterData!O56#",ISNUMBER(SEARCH("Income St",C28,1)),"MasterData!O116#",ISNUMBER(SEARCH("Shareholders",C28,1)),"D115#",ISNUMBER(SEARCH("Cash Flow",C28,1)),"E115#",ISNUMBER(SEARCH("Noncash",C28,1)),"C139#",ISNUMBER(SEARCH("Comprehensive",C28,1)),"E145",ISNUMBER(SEARCH("Reconciliation",C28,1)),"D137#")</f>
        <v>MasterData!O56#</v>
      </c>
      <c r="AS28" t="str" cm="1">
        <f t="array" ref="AS28">_xlfn.IFS(ISNUMBER(SEARCH("Balance",C28,1)),"AX25:AX29",ISNUMBER(SEARCH("Income St",C28,1)),"AY25:AY28",ISNUMBER(SEARCH("Shareholders",C28,1)),"EquityUsed",ISNUMBER(SEARCH("Cash Flow",C28,1)),"BA25:BA27",ISNUMBER(SEARCH("Noncash",C28,1)),"AZ25",ISNUMBER(SEARCH("Comprehensive",C28,1)),"AZ25",ISNUMBER(SEARCH("Reconciliation",C28,1)),"BB25:BB26")</f>
        <v>AX25:AX29</v>
      </c>
      <c r="AU28" t="str">
        <f ca="1"/>
        <v>Common Stock</v>
      </c>
      <c r="AX28" t="s">
        <v>109</v>
      </c>
      <c r="AY28" t="str">
        <f>IF(MAX(FSConstruction!P36:P51),"  Losses","")</f>
        <v/>
      </c>
    </row>
    <row r="29" spans="3:61">
      <c r="C29" s="468" t="s">
        <v>108</v>
      </c>
      <c r="D29" s="468" t="s">
        <v>121</v>
      </c>
      <c r="E29" s="468" t="s">
        <v>64</v>
      </c>
      <c r="F29" s="498">
        <v>0</v>
      </c>
      <c r="H29" s="39" t="str">
        <f>_xlfn.TEXTJOIN(6,1,FSBuilder[[#This Row],[Statement]:[Account or Explanation]])</f>
        <v>Beginning Balance Sheet6  Equities6Common Stock</v>
      </c>
      <c r="I29" s="39">
        <v>4</v>
      </c>
      <c r="J29" s="63" t="str">
        <v xml:space="preserve"> Noncurrent Liabilities:</v>
      </c>
      <c r="K29" s="63" t="str">
        <v/>
      </c>
      <c r="L29" s="39"/>
      <c r="M29" s="553" t="str">
        <f ca="1"/>
        <v/>
      </c>
      <c r="N29" s="558" t="str">
        <f ca="1"/>
        <v/>
      </c>
      <c r="O29" s="558" t="str">
        <f ca="1"/>
        <v/>
      </c>
      <c r="P29" s="558"/>
      <c r="Q29" s="553"/>
      <c r="R29" s="558"/>
      <c r="S29" s="558"/>
      <c r="T29" s="553" t="str">
        <v/>
      </c>
      <c r="U29" s="558" t="str">
        <v/>
      </c>
      <c r="V29" s="558" t="str">
        <v/>
      </c>
      <c r="W29" s="558"/>
      <c r="X29" s="39">
        <v>4</v>
      </c>
      <c r="Y29" s="63" t="str">
        <v xml:space="preserve"> Noncurrent Liabilities:</v>
      </c>
      <c r="Z29" s="63" t="str">
        <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0</v>
      </c>
      <c r="AP29" s="97" t="b">
        <f t="shared" si="7"/>
        <v>0</v>
      </c>
      <c r="AR29" t="str" cm="1">
        <f t="array" ref="AR29">_xlfn.IFS(ISNUMBER(SEARCH("Balance",C29,1)),"MasterData!O56#",ISNUMBER(SEARCH("Income St",C29,1)),"MasterData!O116#",ISNUMBER(SEARCH("Shareholders",C29,1)),"D115#",ISNUMBER(SEARCH("Cash Flow",C29,1)),"E115#",ISNUMBER(SEARCH("Noncash",C29,1)),"C139#",ISNUMBER(SEARCH("Comprehensive",C29,1)),"E145",ISNUMBER(SEARCH("Reconciliation",C29,1)),"D137#")</f>
        <v>MasterData!O56#</v>
      </c>
      <c r="AS29" t="str" cm="1">
        <f t="array" ref="AS29">_xlfn.IFS(ISNUMBER(SEARCH("Balance",C29,1)),"AX25:AX29",ISNUMBER(SEARCH("Income St",C29,1)),"AY25:AY28",ISNUMBER(SEARCH("Shareholders",C29,1)),"EquityUsed",ISNUMBER(SEARCH("Cash Flow",C29,1)),"BA25:BA27",ISNUMBER(SEARCH("Noncash",C29,1)),"AZ25",ISNUMBER(SEARCH("Comprehensive",C29,1)),"AZ25",ISNUMBER(SEARCH("Reconciliation",C29,1)),"BB25:BB26")</f>
        <v>AX25:AX29</v>
      </c>
      <c r="AU29" t="str">
        <f ca="1"/>
        <v>Dividends Payable</v>
      </c>
      <c r="AX29" t="s">
        <v>121</v>
      </c>
    </row>
    <row r="30" spans="3:61">
      <c r="C30" s="468" t="s">
        <v>108</v>
      </c>
      <c r="D30" s="468" t="s">
        <v>121</v>
      </c>
      <c r="E30" s="468" t="s">
        <v>74</v>
      </c>
      <c r="F30" s="498">
        <v>0</v>
      </c>
      <c r="H30" s="39" t="str">
        <f>_xlfn.TEXTJOIN(6,1,FSBuilder[[#This Row],[Statement]:[Account or Explanation]])</f>
        <v>Beginning Balance Sheet6  Equities6Retained Earnings</v>
      </c>
      <c r="I30" s="39">
        <v>6</v>
      </c>
      <c r="J30" s="63" t="str">
        <v>Notes Payable</v>
      </c>
      <c r="K30" s="63">
        <v>0</v>
      </c>
      <c r="L30" s="39"/>
      <c r="M30" s="553" t="str">
        <f ca="1"/>
        <v/>
      </c>
      <c r="N30" s="558" t="str">
        <f ca="1"/>
        <v/>
      </c>
      <c r="O30" s="558" t="str">
        <f ca="1"/>
        <v/>
      </c>
      <c r="P30" s="558"/>
      <c r="Q30" s="553"/>
      <c r="R30" s="558"/>
      <c r="S30" s="558"/>
      <c r="T30" s="553" t="str">
        <v/>
      </c>
      <c r="U30" s="558" t="str">
        <v/>
      </c>
      <c r="V30" s="558" t="str">
        <v/>
      </c>
      <c r="W30" s="558"/>
      <c r="X30" s="39">
        <v>6</v>
      </c>
      <c r="Y30" s="63" t="str">
        <v>Notes Payable</v>
      </c>
      <c r="Z30" s="63">
        <v>20</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str" cm="1">
        <f t="array" ref="AR30">_xlfn.IFS(ISNUMBER(SEARCH("Balance",C30,1)),"MasterData!O56#",ISNUMBER(SEARCH("Income St",C30,1)),"MasterData!O116#",ISNUMBER(SEARCH("Shareholders",C30,1)),"D115#",ISNUMBER(SEARCH("Cash Flow",C30,1)),"E115#",ISNUMBER(SEARCH("Noncash",C30,1)),"C139#",ISNUMBER(SEARCH("Comprehensive",C30,1)),"E145",ISNUMBER(SEARCH("Reconciliation",C30,1)),"D137#")</f>
        <v>MasterData!O56#</v>
      </c>
      <c r="AS30" t="str" cm="1">
        <f t="array" ref="AS30">_xlfn.IFS(ISNUMBER(SEARCH("Balance",C30,1)),"AX25:AX29",ISNUMBER(SEARCH("Income St",C30,1)),"AY25:AY28",ISNUMBER(SEARCH("Shareholders",C30,1)),"EquityUsed",ISNUMBER(SEARCH("Cash Flow",C30,1)),"BA25:BA27",ISNUMBER(SEARCH("Noncash",C30,1)),"AZ25",ISNUMBER(SEARCH("Comprehensive",C30,1)),"AZ25",ISNUMBER(SEARCH("Reconciliation",C30,1)),"BB25:BB26")</f>
        <v>AX25:AX29</v>
      </c>
      <c r="AU30" t="str">
        <f ca="1"/>
        <v>Interest Payable</v>
      </c>
    </row>
    <row r="31" spans="3:61">
      <c r="C31" s="468" t="s">
        <v>108</v>
      </c>
      <c r="D31" s="468" t="s">
        <v>115</v>
      </c>
      <c r="E31" s="468" t="s">
        <v>77</v>
      </c>
      <c r="F31" s="498">
        <v>0</v>
      </c>
      <c r="H31" s="39" t="str">
        <f>_xlfn.TEXTJOIN(6,1,FSBuilder[[#This Row],[Statement]:[Account or Explanation]])</f>
        <v>Beginning Balance Sheet6  Current Liabilities6Interest Payable</v>
      </c>
      <c r="I31" s="39">
        <v>5</v>
      </c>
      <c r="J31" s="63" t="str">
        <v xml:space="preserve">  Total Noncurrent Liabilities</v>
      </c>
      <c r="K31" s="63">
        <v>0</v>
      </c>
      <c r="L31" s="39"/>
      <c r="M31" s="553"/>
      <c r="N31" s="558"/>
      <c r="O31" s="558"/>
      <c r="P31" s="558"/>
      <c r="Q31" s="553"/>
      <c r="R31" s="558"/>
      <c r="S31" s="558"/>
      <c r="T31" s="553" t="str">
        <v/>
      </c>
      <c r="U31" s="558" t="str">
        <v/>
      </c>
      <c r="V31" s="558" t="str">
        <v/>
      </c>
      <c r="W31" s="558"/>
      <c r="X31" s="39">
        <v>5</v>
      </c>
      <c r="Y31" s="63" t="str">
        <v xml:space="preserve">  Total Noncurrent Liabilities</v>
      </c>
      <c r="Z31" s="63">
        <v>20</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1</v>
      </c>
      <c r="AP31" s="97" t="b">
        <f t="shared" si="7"/>
        <v>0</v>
      </c>
      <c r="AR31" t="str" cm="1">
        <f t="array" ref="AR31">_xlfn.IFS(ISNUMBER(SEARCH("Balance",C31,1)),"MasterData!O56#",ISNUMBER(SEARCH("Income St",C31,1)),"MasterData!O116#",ISNUMBER(SEARCH("Shareholders",C31,1)),"D115#",ISNUMBER(SEARCH("Cash Flow",C31,1)),"E115#",ISNUMBER(SEARCH("Noncash",C31,1)),"C139#",ISNUMBER(SEARCH("Comprehensive",C31,1)),"E145",ISNUMBER(SEARCH("Reconciliation",C31,1)),"D137#")</f>
        <v>MasterData!O56#</v>
      </c>
      <c r="AS31" t="str" cm="1">
        <f t="array" ref="AS31">_xlfn.IFS(ISNUMBER(SEARCH("Balance",C31,1)),"AX25:AX29",ISNUMBER(SEARCH("Income St",C31,1)),"AY25:AY28",ISNUMBER(SEARCH("Shareholders",C31,1)),"EquityUsed",ISNUMBER(SEARCH("Cash Flow",C31,1)),"BA25:BA27",ISNUMBER(SEARCH("Noncash",C31,1)),"AZ25",ISNUMBER(SEARCH("Comprehensive",C31,1)),"AZ25",ISNUMBER(SEARCH("Reconciliation",C31,1)),"BB25:BB26")</f>
        <v>AX25:AX29</v>
      </c>
      <c r="AU31" t="str">
        <f ca="1"/>
        <v>Inventories</v>
      </c>
    </row>
    <row r="32" spans="3:61">
      <c r="C32" s="468" t="s">
        <v>108</v>
      </c>
      <c r="D32" s="468" t="s">
        <v>110</v>
      </c>
      <c r="E32" s="468" t="s">
        <v>75</v>
      </c>
      <c r="F32" s="498">
        <v>0</v>
      </c>
      <c r="H32" s="39" t="str">
        <f>_xlfn.TEXTJOIN(6,1,FSBuilder[[#This Row],[Statement]:[Account or Explanation]])</f>
        <v>Beginning Balance Sheet6  Current Assets6Dividends Payable</v>
      </c>
      <c r="I32" s="39" t="str">
        <v/>
      </c>
      <c r="J32" s="63" t="str">
        <v/>
      </c>
      <c r="K32" s="63" t="str">
        <v/>
      </c>
      <c r="L32" s="39"/>
      <c r="M32" s="553"/>
      <c r="N32" s="558"/>
      <c r="O32" s="558"/>
      <c r="P32" s="558"/>
      <c r="Q32" s="553"/>
      <c r="R32" s="558"/>
      <c r="S32" s="558"/>
      <c r="T32" s="553" t="str">
        <v/>
      </c>
      <c r="U32" s="558" t="str">
        <v/>
      </c>
      <c r="V32" s="558" t="str">
        <v/>
      </c>
      <c r="W32" s="558"/>
      <c r="X32" s="39" t="str">
        <v/>
      </c>
      <c r="Y32" s="63" t="str">
        <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str" cm="1">
        <f t="array" ref="AR32">_xlfn.IFS(ISNUMBER(SEARCH("Balance",C32,1)),"MasterData!O56#",ISNUMBER(SEARCH("Income St",C32,1)),"MasterData!O116#",ISNUMBER(SEARCH("Shareholders",C32,1)),"D115#",ISNUMBER(SEARCH("Cash Flow",C32,1)),"E115#",ISNUMBER(SEARCH("Noncash",C32,1)),"C139#",ISNUMBER(SEARCH("Comprehensive",C32,1)),"E145",ISNUMBER(SEARCH("Reconciliation",C32,1)),"D137#")</f>
        <v>MasterData!O56#</v>
      </c>
      <c r="AS32" t="str" cm="1">
        <f t="array" ref="AS32">_xlfn.IFS(ISNUMBER(SEARCH("Balance",C32,1)),"AX25:AX29",ISNUMBER(SEARCH("Income St",C32,1)),"AY25:AY28",ISNUMBER(SEARCH("Shareholders",C32,1)),"EquityUsed",ISNUMBER(SEARCH("Cash Flow",C32,1)),"BA25:BA27",ISNUMBER(SEARCH("Noncash",C32,1)),"AZ25",ISNUMBER(SEARCH("Comprehensive",C32,1)),"AZ25",ISNUMBER(SEARCH("Reconciliation",C32,1)),"BB25:BB26")</f>
        <v>AX25:AX29</v>
      </c>
      <c r="AU32" t="str">
        <f ca="1"/>
        <v>Notes Payable</v>
      </c>
    </row>
    <row r="33" spans="3:47">
      <c r="C33" s="468" t="s">
        <v>108</v>
      </c>
      <c r="D33" s="468" t="s">
        <v>119</v>
      </c>
      <c r="E33" s="468" t="s">
        <v>67</v>
      </c>
      <c r="F33" s="498">
        <v>0</v>
      </c>
      <c r="H33" s="39" t="str">
        <f>_xlfn.TEXTJOIN(6,1,FSBuilder[[#This Row],[Statement]:[Account or Explanation]])</f>
        <v>Beginning Balance Sheet6  Noncurrent Assets6Property, Plant &amp; Equipment</v>
      </c>
      <c r="I33" s="39">
        <v>3</v>
      </c>
      <c r="J33" s="63" t="str">
        <v>Total Liabilities</v>
      </c>
      <c r="K33" s="63">
        <v>0</v>
      </c>
      <c r="L33" s="39"/>
      <c r="M33" s="553"/>
      <c r="N33" s="558"/>
      <c r="O33" s="558"/>
      <c r="P33" s="558"/>
      <c r="Q33" s="553"/>
      <c r="R33" s="558"/>
      <c r="S33" s="558"/>
      <c r="T33" s="553" t="str">
        <v/>
      </c>
      <c r="U33" s="558" t="str">
        <v/>
      </c>
      <c r="V33" s="558" t="str">
        <v/>
      </c>
      <c r="W33" s="558"/>
      <c r="X33" s="39">
        <v>3</v>
      </c>
      <c r="Y33" s="63" t="str">
        <v>Total Liabilities</v>
      </c>
      <c r="Z33" s="63">
        <v>20</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1</v>
      </c>
      <c r="AP33" s="97" t="b">
        <f t="shared" si="7"/>
        <v>0</v>
      </c>
      <c r="AR33" t="str" cm="1">
        <f t="array" ref="AR33">_xlfn.IFS(ISNUMBER(SEARCH("Balance",C33,1)),"MasterData!O56#",ISNUMBER(SEARCH("Income St",C33,1)),"MasterData!O116#",ISNUMBER(SEARCH("Shareholders",C33,1)),"D115#",ISNUMBER(SEARCH("Cash Flow",C33,1)),"E115#",ISNUMBER(SEARCH("Noncash",C33,1)),"C139#",ISNUMBER(SEARCH("Comprehensive",C33,1)),"E145",ISNUMBER(SEARCH("Reconciliation",C33,1)),"D137#")</f>
        <v>MasterData!O56#</v>
      </c>
      <c r="AS33" t="str" cm="1">
        <f t="array" ref="AS33">_xlfn.IFS(ISNUMBER(SEARCH("Balance",C33,1)),"AX25:AX29",ISNUMBER(SEARCH("Income St",C33,1)),"AY25:AY28",ISNUMBER(SEARCH("Shareholders",C33,1)),"EquityUsed",ISNUMBER(SEARCH("Cash Flow",C33,1)),"BA25:BA27",ISNUMBER(SEARCH("Noncash",C33,1)),"AZ25",ISNUMBER(SEARCH("Comprehensive",C33,1)),"AZ25",ISNUMBER(SEARCH("Reconciliation",C33,1)),"BB25:BB26")</f>
        <v>AX25:AX29</v>
      </c>
      <c r="AU33" t="str">
        <f ca="1"/>
        <v>Property, Plant &amp; Equipment</v>
      </c>
    </row>
    <row r="34" spans="3:47">
      <c r="C34" s="468" t="s">
        <v>108</v>
      </c>
      <c r="D34" s="468" t="s">
        <v>119</v>
      </c>
      <c r="E34" s="468" t="s">
        <v>80</v>
      </c>
      <c r="F34" s="498">
        <v>0</v>
      </c>
      <c r="H34" s="39" t="str">
        <f>_xlfn.TEXTJOIN(6,1,FSBuilder[[#This Row],[Statement]:[Account or Explanation]])</f>
        <v>Beginning Balance Sheet6  Noncurrent Assets6Accumulated Depreciation</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str" cm="1">
        <f t="array" ref="AR34">_xlfn.IFS(ISNUMBER(SEARCH("Balance",C34,1)),"MasterData!O56#",ISNUMBER(SEARCH("Income St",C34,1)),"MasterData!O116#",ISNUMBER(SEARCH("Shareholders",C34,1)),"D115#",ISNUMBER(SEARCH("Cash Flow",C34,1)),"E115#",ISNUMBER(SEARCH("Noncash",C34,1)),"C139#",ISNUMBER(SEARCH("Comprehensive",C34,1)),"E145",ISNUMBER(SEARCH("Reconciliation",C34,1)),"D137#")</f>
        <v>MasterData!O56#</v>
      </c>
      <c r="AS34" t="str" cm="1">
        <f t="array" ref="AS34">_xlfn.IFS(ISNUMBER(SEARCH("Balance",C34,1)),"AX25:AX29",ISNUMBER(SEARCH("Income St",C34,1)),"AY25:AY28",ISNUMBER(SEARCH("Shareholders",C34,1)),"EquityUsed",ISNUMBER(SEARCH("Cash Flow",C34,1)),"BA25:BA27",ISNUMBER(SEARCH("Noncash",C34,1)),"AZ25",ISNUMBER(SEARCH("Comprehensive",C34,1)),"AZ25",ISNUMBER(SEARCH("Reconciliation",C34,1)),"BB25:BB26")</f>
        <v>AX25:AX29</v>
      </c>
      <c r="AU34" t="str">
        <f ca="1"/>
        <v>Retained Earnings</v>
      </c>
    </row>
    <row r="35" spans="3:47">
      <c r="C35" s="468"/>
      <c r="D35" s="468"/>
      <c r="E35" s="468" t="s">
        <v>78</v>
      </c>
      <c r="F35" s="498"/>
      <c r="H35" s="39" t="str">
        <f>_xlfn.TEXTJOIN(6,1,FSBuilder[[#This Row],[Statement]:[Account or Explanation]])</f>
        <v>Cost of Goods Sold</v>
      </c>
      <c r="I35" s="39">
        <v>2</v>
      </c>
      <c r="J35" s="63" t="str">
        <v>Equities</v>
      </c>
      <c r="K35" s="63" t="str">
        <v/>
      </c>
      <c r="L35" s="39"/>
      <c r="M35" s="553"/>
      <c r="N35" s="558"/>
      <c r="O35" s="558"/>
      <c r="P35" s="558"/>
      <c r="Q35" s="553"/>
      <c r="R35" s="558"/>
      <c r="S35" s="558"/>
      <c r="T35" s="553" t="str">
        <v/>
      </c>
      <c r="U35" s="558" t="str">
        <v/>
      </c>
      <c r="V35" s="558" t="str">
        <v/>
      </c>
      <c r="W35" s="558"/>
      <c r="X35" s="39">
        <v>2</v>
      </c>
      <c r="Y35" s="63" t="str">
        <v>Equities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7">
      <c r="C36" s="468"/>
      <c r="D36" s="468"/>
      <c r="E36" s="468" t="s">
        <v>76</v>
      </c>
      <c r="F36" s="498"/>
      <c r="H36" s="39" t="str">
        <f>_xlfn.TEXTJOIN(6,1,FSBuilder[[#This Row],[Statement]:[Account or Explanation]])</f>
        <v>Interest Expense</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7">
      <c r="C37" s="468"/>
      <c r="D37" s="468"/>
      <c r="E37" s="468" t="s">
        <v>79</v>
      </c>
      <c r="F37" s="498"/>
      <c r="H37" s="39" t="str">
        <f>_xlfn.TEXTJOIN(6,1,FSBuilder[[#This Row],[Statement]:[Account or Explanation]])</f>
        <v>Depreciation Expense</v>
      </c>
      <c r="I37" s="39">
        <v>6</v>
      </c>
      <c r="J37" s="63" t="str">
        <v>Common Stock</v>
      </c>
      <c r="K37" s="63">
        <v>0</v>
      </c>
      <c r="L37" s="39"/>
      <c r="M37" s="553"/>
      <c r="N37" s="558"/>
      <c r="O37" s="558"/>
      <c r="P37" s="558"/>
      <c r="Q37" s="553"/>
      <c r="R37" s="558"/>
      <c r="S37" s="558"/>
      <c r="T37" s="553" t="str">
        <v/>
      </c>
      <c r="U37" s="558" t="str">
        <v/>
      </c>
      <c r="V37" s="558" t="str">
        <v/>
      </c>
      <c r="W37" s="558"/>
      <c r="X37" s="39">
        <v>6</v>
      </c>
      <c r="Y37" s="63" t="str">
        <v>Common Stock</v>
      </c>
      <c r="Z37" s="63">
        <v>3</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7">
      <c r="C38" s="468"/>
      <c r="D38" s="468"/>
      <c r="E38" s="468" t="s">
        <v>73</v>
      </c>
      <c r="F38" s="498"/>
      <c r="H38" s="39" t="str">
        <f>_xlfn.TEXTJOIN(6,1,FSBuilder[[#This Row],[Statement]:[Account or Explanation]])</f>
        <v>Salaries &amp; Wages Expense</v>
      </c>
      <c r="I38" s="39">
        <v>7</v>
      </c>
      <c r="J38" s="63" t="str">
        <v>Retained Earnings</v>
      </c>
      <c r="K38" s="63">
        <v>0</v>
      </c>
      <c r="L38" s="39"/>
      <c r="M38" s="553"/>
      <c r="N38" s="558"/>
      <c r="O38" s="558"/>
      <c r="P38" s="558"/>
      <c r="Q38" s="553"/>
      <c r="R38" s="558"/>
      <c r="S38" s="558"/>
      <c r="T38" s="553"/>
      <c r="U38" s="558"/>
      <c r="V38" s="558"/>
      <c r="W38" s="558"/>
      <c r="X38" s="39">
        <v>7</v>
      </c>
      <c r="Y38" s="63" t="str">
        <v>Retained Earnings</v>
      </c>
      <c r="Z38" s="63">
        <v>1.88</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7">
      <c r="C39" s="468"/>
      <c r="D39" s="468"/>
      <c r="E39" s="468" t="s">
        <v>71</v>
      </c>
      <c r="F39" s="498"/>
      <c r="H39" s="39" t="str">
        <f>_xlfn.TEXTJOIN(6,1,FSBuilder[[#This Row],[Statement]:[Account or Explanation]])</f>
        <v>Sales</v>
      </c>
      <c r="I39" s="39" t="str">
        <v/>
      </c>
      <c r="J39" s="63" t="str">
        <v/>
      </c>
      <c r="K39" s="63" t="str">
        <v/>
      </c>
      <c r="L39" s="39"/>
      <c r="M39" s="553"/>
      <c r="N39" s="558"/>
      <c r="O39" s="558"/>
      <c r="P39" s="558"/>
      <c r="Q39" s="553"/>
      <c r="R39" s="558"/>
      <c r="S39" s="558"/>
      <c r="T39" s="553"/>
      <c r="U39" s="558"/>
      <c r="V39" s="558"/>
      <c r="W39" s="558"/>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7">
      <c r="C40" s="468"/>
      <c r="D40" s="468"/>
      <c r="E40" s="468" t="s">
        <v>66</v>
      </c>
      <c r="F40" s="498"/>
      <c r="H40" s="39" t="str">
        <f>_xlfn.TEXTJOIN(6,1,FSBuilder[[#This Row],[Statement]:[Account or Explanation]])</f>
        <v>Notes Payable</v>
      </c>
      <c r="I40" s="39">
        <v>3</v>
      </c>
      <c r="J40" s="63" t="str">
        <v>Total Equities</v>
      </c>
      <c r="K40" s="63">
        <v>0</v>
      </c>
      <c r="L40" s="39"/>
      <c r="M40" s="553"/>
      <c r="N40" s="558"/>
      <c r="O40" s="558"/>
      <c r="P40" s="558"/>
      <c r="Q40" s="553"/>
      <c r="R40" s="558"/>
      <c r="S40" s="558"/>
      <c r="T40" s="553"/>
      <c r="U40" s="558"/>
      <c r="V40" s="558"/>
      <c r="W40" s="558"/>
      <c r="X40" s="39">
        <v>3</v>
      </c>
      <c r="Y40" s="63" t="str">
        <v>Total Equities</v>
      </c>
      <c r="Z40" s="63">
        <v>4.88</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0</v>
      </c>
      <c r="AO40" s="162" t="b">
        <f t="shared" si="6"/>
        <v>1</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7">
      <c r="C41" s="468"/>
      <c r="D41" s="468"/>
      <c r="E41" s="468" t="s">
        <v>58</v>
      </c>
      <c r="F41" s="498"/>
      <c r="H41" s="39" t="str">
        <f>_xlfn.TEXTJOIN(6,1,FSBuilder[[#This Row],[Statement]:[Account or Explanation]])</f>
        <v>Cash</v>
      </c>
      <c r="I41" s="39" t="str">
        <v/>
      </c>
      <c r="J41" s="63" t="str">
        <v/>
      </c>
      <c r="K41" s="63" t="str">
        <v/>
      </c>
      <c r="L41" s="39"/>
      <c r="M41" s="553"/>
      <c r="N41" s="558"/>
      <c r="O41" s="558"/>
      <c r="P41" s="558"/>
      <c r="Q41" s="553"/>
      <c r="R41" s="558"/>
      <c r="S41" s="558"/>
      <c r="T41" s="553"/>
      <c r="U41" s="558"/>
      <c r="V41" s="558"/>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7">
      <c r="C42" s="468"/>
      <c r="D42" s="468"/>
      <c r="E42" s="468" t="s">
        <v>69</v>
      </c>
      <c r="F42" s="498"/>
      <c r="H42" s="39" t="str">
        <f>_xlfn.TEXTJOIN(6,1,FSBuilder[[#This Row],[Statement]:[Account or Explanation]])</f>
        <v>Accounts Receivable</v>
      </c>
      <c r="I42" s="39">
        <v>3</v>
      </c>
      <c r="J42" s="63" t="str">
        <v>Total Liabilities and Equities</v>
      </c>
      <c r="K42" s="63">
        <v>0</v>
      </c>
      <c r="L42" s="39"/>
      <c r="M42" s="553"/>
      <c r="N42" s="558"/>
      <c r="O42" s="558"/>
      <c r="P42" s="558"/>
      <c r="Q42" s="553"/>
      <c r="R42" s="558"/>
      <c r="S42" s="558"/>
      <c r="T42" s="553"/>
      <c r="U42" s="558"/>
      <c r="V42" s="558"/>
      <c r="W42" s="558"/>
      <c r="X42" s="39">
        <v>3</v>
      </c>
      <c r="Y42" s="63" t="str">
        <v>Total Liabilities and Equities</v>
      </c>
      <c r="Z42" s="63">
        <v>24.88</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0</v>
      </c>
      <c r="AO42" s="162" t="b">
        <f t="shared" si="6"/>
        <v>1</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7">
      <c r="C43" s="468"/>
      <c r="D43" s="468"/>
      <c r="E43" s="468" t="s">
        <v>68</v>
      </c>
      <c r="F43" s="498"/>
      <c r="H43" s="39" t="str">
        <f>_xlfn.TEXTJOIN(6,1,FSBuilder[[#This Row],[Statement]:[Account or Explanation]])</f>
        <v>Inventories</v>
      </c>
      <c r="I43" s="39" t="str">
        <v/>
      </c>
      <c r="J43" s="63" t="str">
        <v/>
      </c>
      <c r="K43" s="63" t="str">
        <v/>
      </c>
      <c r="L43" s="39"/>
      <c r="M43" s="553"/>
      <c r="N43" s="558"/>
      <c r="O43" s="558"/>
      <c r="P43" s="558"/>
      <c r="Q43" s="553"/>
      <c r="R43" s="558"/>
      <c r="S43" s="558"/>
      <c r="T43" s="553"/>
      <c r="U43" s="558"/>
      <c r="V43" s="558"/>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7">
      <c r="C44" s="468"/>
      <c r="D44" s="468"/>
      <c r="E44" s="468" t="s">
        <v>64</v>
      </c>
      <c r="F44" s="498"/>
      <c r="H44" s="39" t="str">
        <f>_xlfn.TEXTJOIN(6,1,FSBuilder[[#This Row],[Statement]:[Account or Explanation]])</f>
        <v>Common Stock</v>
      </c>
      <c r="I44" s="39"/>
      <c r="J44" s="63"/>
      <c r="K44" s="63"/>
      <c r="L44" s="39"/>
      <c r="M44" s="553"/>
      <c r="N44" s="558"/>
      <c r="O44" s="558"/>
      <c r="P44" s="558"/>
      <c r="Q44" s="553"/>
      <c r="R44" s="558"/>
      <c r="S44" s="558"/>
      <c r="T44" s="553"/>
      <c r="U44" s="558"/>
      <c r="V44" s="558"/>
      <c r="W44" s="558"/>
      <c r="X44" s="39"/>
      <c r="Y44" s="63"/>
      <c r="Z44" s="63"/>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7">
      <c r="C45" s="468"/>
      <c r="D45" s="468"/>
      <c r="E45" s="468" t="s">
        <v>74</v>
      </c>
      <c r="F45" s="514"/>
      <c r="H45" s="39" t="str">
        <f>_xlfn.TEXTJOIN(6,1,FSBuilder[[#This Row],[Statement]:[Account or Explanation]])</f>
        <v>Retained Earnings</v>
      </c>
      <c r="I45" s="39"/>
      <c r="J45" s="63"/>
      <c r="K45" s="63"/>
      <c r="L45" s="39"/>
      <c r="M45" s="553"/>
      <c r="N45" s="558"/>
      <c r="O45" s="558"/>
      <c r="P45" s="558"/>
      <c r="Q45" s="553"/>
      <c r="R45" s="558"/>
      <c r="S45" s="558"/>
      <c r="T45" s="553"/>
      <c r="U45" s="558"/>
      <c r="V45" s="558"/>
      <c r="W45" s="558"/>
      <c r="X45" s="39"/>
      <c r="Y45" s="63"/>
      <c r="Z45" s="63"/>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7">
      <c r="C46" s="468"/>
      <c r="D46" s="468"/>
      <c r="E46" s="468" t="s">
        <v>77</v>
      </c>
      <c r="F46" s="514"/>
      <c r="H46" s="39" t="str">
        <f>_xlfn.TEXTJOIN(6,1,FSBuilder[[#This Row],[Statement]:[Account or Explanation]])</f>
        <v>Interest Payable</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7">
      <c r="C47" s="468"/>
      <c r="D47" s="468"/>
      <c r="E47" s="468" t="s">
        <v>75</v>
      </c>
      <c r="F47" s="514"/>
      <c r="H47" s="39" t="str">
        <f>_xlfn.TEXTJOIN(6,1,FSBuilder[[#This Row],[Statement]:[Account or Explanation]])</f>
        <v>Dividends Payable</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7">
      <c r="C48" s="468"/>
      <c r="D48" s="468"/>
      <c r="E48" s="468" t="s">
        <v>67</v>
      </c>
      <c r="F48" s="498"/>
      <c r="H48" s="39" t="str">
        <f>_xlfn.TEXTJOIN(6,1,FSBuilder[[#This Row],[Statement]:[Account or Explanation]])</f>
        <v>Property, Plant &amp; Equipment</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t="s">
        <v>80</v>
      </c>
      <c r="F49" s="498"/>
      <c r="H49" s="39" t="str">
        <f>_xlfn.TEXTJOIN(6,1,FSBuilder[[#This Row],[Statement]:[Account or Explanation]])</f>
        <v>Accumulated Depreciation</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t="s">
        <v>122</v>
      </c>
      <c r="F50" s="498"/>
      <c r="H50" s="39" t="str">
        <f>_xlfn.TEXTJOIN(6,1,FSBuilder[[#This Row],[Statement]:[Account or Explanation]])</f>
        <v>Issued common stock</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t="s">
        <v>123</v>
      </c>
      <c r="F51" s="498"/>
      <c r="H51" s="39" t="str">
        <f>_xlfn.TEXTJOIN(6,1,FSBuilder[[#This Row],[Statement]:[Account or Explanation]])</f>
        <v>Declared Dividends</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t="s">
        <v>124</v>
      </c>
      <c r="F52" s="498"/>
      <c r="H52" s="39" t="str">
        <f>_xlfn.TEXTJOIN(6,1,FSBuilder[[#This Row],[Statement]:[Account or Explanation]])</f>
        <v>Net Income (Loss)</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125</v>
      </c>
      <c r="L95" s="521"/>
      <c r="M95" s="521"/>
    </row>
    <row r="96" spans="2:45" hidden="1">
      <c r="B96" s="260"/>
      <c r="C96" s="5" t="s">
        <v>126</v>
      </c>
    </row>
    <row r="97" spans="2:33" hidden="1">
      <c r="B97" s="260"/>
      <c r="C97" s="372" t="s">
        <v>103</v>
      </c>
      <c r="D97" s="372" t="s">
        <v>104</v>
      </c>
      <c r="E97" s="372" t="s">
        <v>127</v>
      </c>
      <c r="AC97" s="528" t="s">
        <v>90</v>
      </c>
      <c r="AF97" s="528" t="s">
        <v>128</v>
      </c>
    </row>
    <row r="98" spans="2:33" hidden="1">
      <c r="B98" s="260"/>
      <c r="C98" s="192" t="str">
        <f>_xlfn.TEXTJOIN("6",TRUE,C25:C91)</f>
        <v>Beginning Balance Sheet6Beginning Balance Sheet6Beginning Balance Sheet6Beginning Balance Sheet6Beginning Balance Sheet6Beginning Balance Sheet6Beginning Balance Sheet6Beginning Balance Sheet6Beginning Balance Sheet6Beginning Balance Sheet</v>
      </c>
      <c r="D98" s="192" t="str">
        <f>_xlfn.TEXTJOIN("6",TRUE,D25:D91)</f>
        <v xml:space="preserve">  Noncurrent Liabilities6  Current Assets6  Current Assets6  Current Assets6  Equities6  Equities6  Current Liabilities6  Current Assets6  Noncurrent Assets6  Noncurrent Assets</v>
      </c>
      <c r="E98" s="192" t="str">
        <f>_xlfn.TEXTJOIN(6,1,H25:H91)</f>
        <v>Beginning Balance Sheet6  Noncurrent Liabilities6Notes Payable6Beginning Balance Sheet6  Current Assets6Cash6Beginning Balance Sheet6  Current Assets6Accounts Receivable6Beginning Balance Sheet6  Current Assets6Inventories6Beginning Balance Sheet6  Equities6Common Stock6Beginning Balance Sheet6  Equities6Retained Earnings6Beginning Balance Sheet6  Current Liabilities6Interest Payable6Beginning Balance Sheet6  Current Assets6Dividends Payable6Beginning Balance Sheet6  Noncurrent Assets6Property, Plant &amp; Equipment6Beginning Balance Sheet6  Noncurrent Assets6Accumulated Depreciation6Cost of Goods Sold6Interest Expense6Depreciation Expense6Salaries &amp; Wages Expense6Sales6Notes Payable6Cash6Accounts Receivable6Inventories6Common Stock6Retained Earnings6Interest Payable6Dividends Payable6Property, Plant &amp; Equipment6Accumulated Depreciation6Issued common stock6Declared Dividends6Net Income (Loss)</v>
      </c>
      <c r="AC98" t="s">
        <v>129</v>
      </c>
      <c r="AF98" t="s">
        <v>130</v>
      </c>
      <c r="AG98" s="5" t="b">
        <f>OR(F107,E107)</f>
        <v>0</v>
      </c>
    </row>
    <row r="99" spans="2:33" ht="15.75" hidden="1" thickBot="1">
      <c r="B99" s="260"/>
      <c r="AC99" s="5" t="s">
        <v>131</v>
      </c>
      <c r="AD99" s="5" t="b">
        <f>$S$126</f>
        <v>1</v>
      </c>
    </row>
    <row r="100" spans="2:33" hidden="1">
      <c r="B100" s="372"/>
      <c r="C100" s="465" t="s">
        <v>132</v>
      </c>
      <c r="D100" s="515" t="s">
        <v>133</v>
      </c>
      <c r="E100" s="515" t="s">
        <v>134</v>
      </c>
      <c r="F100" s="515" t="s">
        <v>135</v>
      </c>
      <c r="G100" s="515" t="s">
        <v>136</v>
      </c>
      <c r="H100" s="516" t="s">
        <v>137</v>
      </c>
      <c r="M100" s="372"/>
      <c r="N100" s="465" t="s">
        <v>138</v>
      </c>
      <c r="O100" s="516" t="s">
        <v>134</v>
      </c>
      <c r="R100" s="404" t="s">
        <v>139</v>
      </c>
      <c r="S100" s="174"/>
      <c r="U100" s="5" t="s">
        <v>140</v>
      </c>
      <c r="AC100" s="5" t="s">
        <v>141</v>
      </c>
      <c r="AD100" s="5" t="b">
        <f>$S$126</f>
        <v>1</v>
      </c>
      <c r="AF100" s="528" t="s">
        <v>142</v>
      </c>
    </row>
    <row r="101" spans="2:33" hidden="1">
      <c r="C101" s="96" t="s">
        <v>108</v>
      </c>
      <c r="D101" s="1" t="str">
        <f>ProblemData!F37</f>
        <v>Prepare</v>
      </c>
      <c r="E101" t="b">
        <f t="shared" ref="E101:E108" si="16">ISNUMBER(SEARCH(C101,$C$98))</f>
        <v>1</v>
      </c>
      <c r="F101" s="1" t="b">
        <f>IF(ProblemData!E10,_xlfn.XLOOKUP(C101,$C$14:$C$21,$D$14:$D$21),"FALSE")</f>
        <v>1</v>
      </c>
      <c r="G101" t="b">
        <f>ABS(D555-D556-D557)&lt;0.00001</f>
        <v>1</v>
      </c>
      <c r="H101" s="97" t="b">
        <f>FSAnswers!D99</f>
        <v>0</v>
      </c>
      <c r="N101" s="96" t="s">
        <v>143</v>
      </c>
      <c r="O101" s="97" t="b">
        <f t="shared" ref="O101:O108" si="17">ISNUMBER(SEARCH(N101,$E$98,1))</f>
        <v>1</v>
      </c>
      <c r="R101" s="96"/>
      <c r="S101" s="97"/>
      <c r="AF101" t="s">
        <v>130</v>
      </c>
      <c r="AG101" s="5" t="b">
        <f>OR(F105,E105)</f>
        <v>0</v>
      </c>
    </row>
    <row r="102" spans="2:33" hidden="1">
      <c r="B102" s="372"/>
      <c r="C102" s="96" t="s">
        <v>88</v>
      </c>
      <c r="D102" s="1" t="str">
        <f>ProblemData!F41</f>
        <v>Prepare</v>
      </c>
      <c r="E102" t="b">
        <f t="shared" si="16"/>
        <v>0</v>
      </c>
      <c r="F102" s="1" t="b">
        <f>IF(ProblemData!E11,_xlfn.XLOOKUP(C102,$C$14:$C$21,$D$14:$D$21),"FALSE")</f>
        <v>1</v>
      </c>
      <c r="H102" s="97" t="b">
        <f ca="1">FSAnswers!I99</f>
        <v>0</v>
      </c>
      <c r="N102" s="96" t="s">
        <v>144</v>
      </c>
      <c r="O102" s="97" t="b">
        <f t="shared" si="17"/>
        <v>1</v>
      </c>
      <c r="R102" s="524" t="s">
        <v>108</v>
      </c>
      <c r="S102" s="97"/>
      <c r="U102" s="528" t="s">
        <v>108</v>
      </c>
      <c r="Y102" s="528" t="s">
        <v>88</v>
      </c>
      <c r="AC102" s="5" t="s">
        <v>145</v>
      </c>
    </row>
    <row r="103" spans="2:33" hidden="1">
      <c r="B103" s="372"/>
      <c r="C103" s="96" t="s">
        <v>89</v>
      </c>
      <c r="D103" s="1" t="str">
        <f>ProblemData!F43</f>
        <v>Prepare</v>
      </c>
      <c r="E103" t="b">
        <f t="shared" si="16"/>
        <v>0</v>
      </c>
      <c r="F103" s="1" t="b">
        <f>IF(ProblemData!E13,_xlfn.XLOOKUP(C103,$C$14:$C$21,$D$14:$D$21),"FALSE")</f>
        <v>1</v>
      </c>
      <c r="H103" s="97" t="b">
        <f ca="1">FSAnswers!M99</f>
        <v>0</v>
      </c>
      <c r="N103" s="96" t="s">
        <v>146</v>
      </c>
      <c r="O103" s="97" t="b">
        <f t="shared" si="17"/>
        <v>1</v>
      </c>
      <c r="R103" s="96" t="s">
        <v>147</v>
      </c>
      <c r="S103" s="535" t="b">
        <f>$F$101</f>
        <v>1</v>
      </c>
      <c r="U103" t="s">
        <v>148</v>
      </c>
      <c r="Y103" t="s">
        <v>149</v>
      </c>
      <c r="AC103" t="s">
        <v>150</v>
      </c>
      <c r="AD103" t="str">
        <f>$F$104</f>
        <v>FALSE</v>
      </c>
      <c r="AF103" t="s">
        <v>124</v>
      </c>
    </row>
    <row r="104" spans="2:33" hidden="1">
      <c r="B104" s="372"/>
      <c r="C104" s="96" t="s">
        <v>90</v>
      </c>
      <c r="D104" s="1" t="str">
        <f>ProblemData!F45</f>
        <v>Omit</v>
      </c>
      <c r="E104" t="b">
        <f t="shared" si="16"/>
        <v>0</v>
      </c>
      <c r="F104" s="1" t="str">
        <f>IF(ProblemData!E14,_xlfn.XLOOKUP(C104,$C$14:$C$21,$D$14:$D$21),"FALSE")</f>
        <v>FALSE</v>
      </c>
      <c r="H104" s="97"/>
      <c r="N104" s="96" t="s">
        <v>151</v>
      </c>
      <c r="O104" s="97" t="b">
        <f t="shared" si="17"/>
        <v>1</v>
      </c>
      <c r="R104" s="96" t="s">
        <v>152</v>
      </c>
      <c r="S104" s="535" t="b">
        <f>$E$101</f>
        <v>1</v>
      </c>
      <c r="U104" s="5" t="s">
        <v>37</v>
      </c>
      <c r="V104" s="5" t="b">
        <f>$S$105</f>
        <v>1</v>
      </c>
      <c r="Y104" s="5" t="s">
        <v>43</v>
      </c>
      <c r="Z104" s="5" t="b">
        <f>$S$111</f>
        <v>1</v>
      </c>
      <c r="AC104" t="s">
        <v>153</v>
      </c>
      <c r="AD104" t="b">
        <f>$S$126</f>
        <v>1</v>
      </c>
      <c r="AF104" t="s">
        <v>154</v>
      </c>
    </row>
    <row r="105" spans="2:33" hidden="1">
      <c r="B105" s="372"/>
      <c r="C105" s="96" t="s">
        <v>155</v>
      </c>
      <c r="D105" s="1" t="str">
        <f>ProblemData!F47</f>
        <v>Omit</v>
      </c>
      <c r="E105" t="b">
        <f t="shared" si="16"/>
        <v>0</v>
      </c>
      <c r="F105" s="1" t="str">
        <f>IF(ProblemData!E15,_xlfn.XLOOKUP(C105,$C$14:$C$21,$D$14:$D$21),"FALSE")</f>
        <v>FALSE</v>
      </c>
      <c r="H105" s="97"/>
      <c r="N105" s="96" t="s">
        <v>156</v>
      </c>
      <c r="O105" s="97" t="b">
        <f t="shared" si="17"/>
        <v>1</v>
      </c>
      <c r="R105" s="524" t="s">
        <v>157</v>
      </c>
      <c r="S105" s="536" t="b">
        <f>OR(S103,S104)</f>
        <v>1</v>
      </c>
      <c r="U105" s="5" t="s">
        <v>38</v>
      </c>
      <c r="V105" s="5" t="b">
        <f t="shared" ref="V105:V106" si="18">$S$105</f>
        <v>1</v>
      </c>
      <c r="Y105" s="5" t="s">
        <v>44</v>
      </c>
      <c r="Z105" s="5" t="b">
        <f>$S$111</f>
        <v>1</v>
      </c>
      <c r="AC105" t="s">
        <v>158</v>
      </c>
      <c r="AD105" t="b">
        <f>$K$125</f>
        <v>0</v>
      </c>
      <c r="AF105" t="s">
        <v>159</v>
      </c>
    </row>
    <row r="106" spans="2:33" hidden="1">
      <c r="B106" s="372"/>
      <c r="C106" s="96" t="s">
        <v>91</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160</v>
      </c>
      <c r="AD106" t="b">
        <f>$K$126</f>
        <v>0</v>
      </c>
      <c r="AF106" t="s">
        <v>161</v>
      </c>
    </row>
    <row r="107" spans="2:33" hidden="1">
      <c r="B107" s="372"/>
      <c r="C107" s="96" t="s">
        <v>128</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1</v>
      </c>
      <c r="R107" s="524" t="s">
        <v>88</v>
      </c>
      <c r="S107" s="535"/>
      <c r="Y107" s="5" t="s">
        <v>45</v>
      </c>
      <c r="AC107" t="s">
        <v>162</v>
      </c>
      <c r="AD107" t="b">
        <f>$K$127</f>
        <v>0</v>
      </c>
    </row>
    <row r="108" spans="2:33" ht="15.75" hidden="1" thickBot="1">
      <c r="B108" s="372"/>
      <c r="C108" s="98" t="s">
        <v>163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147</v>
      </c>
      <c r="S108" s="535" t="b">
        <f>$F$102</f>
        <v>1</v>
      </c>
      <c r="Y108" t="s">
        <v>149</v>
      </c>
      <c r="Z108" t="b">
        <f>$S$111</f>
        <v>1</v>
      </c>
      <c r="AC108" s="5" t="s">
        <v>157</v>
      </c>
      <c r="AD108" s="5" t="b">
        <f>OR(AD103,AND(AD104,OR(AD105,AD106,AD107)))</f>
        <v>0</v>
      </c>
      <c r="AF108" s="528" t="s">
        <v>91</v>
      </c>
    </row>
    <row r="109" spans="2:33" ht="15.75" hidden="1" thickBot="1">
      <c r="B109" s="260"/>
      <c r="N109" s="96" t="str">
        <f>$N$105&amp;"6Retained Earnings"</f>
        <v>Beginning Balance Sheet6  Equities6Retained Earnings</v>
      </c>
      <c r="O109" s="97" t="b">
        <f t="shared" ref="O109:O111" si="19">ISNUMBER(SEARCH(N109,$E$98,1))</f>
        <v>1</v>
      </c>
      <c r="R109" s="96" t="s">
        <v>152</v>
      </c>
      <c r="S109" s="535" t="b">
        <f>$E$102</f>
        <v>0</v>
      </c>
      <c r="U109" s="5" t="s">
        <v>164</v>
      </c>
      <c r="Y109" t="s">
        <v>165</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166</v>
      </c>
      <c r="S110" s="535" t="b">
        <f>AND($S$105,$S$146)</f>
        <v>1</v>
      </c>
      <c r="U110" t="s">
        <v>167</v>
      </c>
      <c r="V110" t="b">
        <f>$S$105</f>
        <v>1</v>
      </c>
      <c r="Y110" t="s">
        <v>168</v>
      </c>
      <c r="Z110" t="b">
        <f>$K$123</f>
        <v>0</v>
      </c>
      <c r="AC110" s="5" t="s">
        <v>169</v>
      </c>
      <c r="AF110" s="5" t="s">
        <v>38</v>
      </c>
      <c r="AG110" s="5" t="b">
        <f t="shared" ref="AG110:AG111" si="20">$S$146</f>
        <v>1</v>
      </c>
    </row>
    <row r="111" spans="2:33" hidden="1">
      <c r="B111" s="260"/>
      <c r="C111" s="162" t="str">
        <f>"as of "&amp;BegDate</f>
        <v>as of 12/31/20x3</v>
      </c>
      <c r="N111" s="96" t="str">
        <f>$N$105&amp;"6Treasury Stock"</f>
        <v>Beginning Balance Sheet6  Equities6Treasury Stock</v>
      </c>
      <c r="O111" s="97" t="b">
        <f t="shared" si="19"/>
        <v>0</v>
      </c>
      <c r="R111" s="524" t="s">
        <v>157</v>
      </c>
      <c r="S111" s="536" t="b">
        <f>OR(S108,S109,S110)</f>
        <v>1</v>
      </c>
      <c r="U111" t="s">
        <v>170</v>
      </c>
      <c r="V111" t="b">
        <f>$K$116</f>
        <v>1</v>
      </c>
      <c r="Y111" t="s">
        <v>171</v>
      </c>
      <c r="Z111" t="b">
        <f>FSConstruction!$J$52=1</f>
        <v>0</v>
      </c>
      <c r="AC111" t="s">
        <v>150</v>
      </c>
      <c r="AD111" t="str">
        <f>$F$104</f>
        <v>FALSE</v>
      </c>
      <c r="AF111" s="5" t="s">
        <v>39</v>
      </c>
      <c r="AG111" s="5" t="b">
        <f t="shared" si="20"/>
        <v>1</v>
      </c>
    </row>
    <row r="112" spans="2:33" ht="15.75" hidden="1" thickBot="1">
      <c r="B112" s="260"/>
      <c r="C112" s="163" t="str">
        <f>"for the "&amp;Period&amp;" ended "&amp;EndDate</f>
        <v>for the Year ended 12/31/20x4</v>
      </c>
      <c r="N112" s="96" t="s">
        <v>172</v>
      </c>
      <c r="O112" s="97" t="b">
        <f t="shared" ref="O112:O119" si="21">ISNUMBER(SEARCH(N112,$E$98,1))</f>
        <v>1</v>
      </c>
      <c r="R112" s="96"/>
      <c r="S112" s="535"/>
      <c r="U112" t="s">
        <v>173</v>
      </c>
      <c r="V112" t="b">
        <f>$K$117</f>
        <v>1</v>
      </c>
      <c r="Y112" t="s">
        <v>174</v>
      </c>
      <c r="Z112" t="b">
        <f>$K$124</f>
        <v>0</v>
      </c>
      <c r="AC112" t="s">
        <v>153</v>
      </c>
      <c r="AD112" t="b">
        <f>$S$126</f>
        <v>1</v>
      </c>
    </row>
    <row r="113" spans="2:33" hidden="1">
      <c r="B113" s="260"/>
      <c r="N113" s="96" t="s">
        <v>175</v>
      </c>
      <c r="O113" s="97" t="b">
        <f t="shared" si="21"/>
        <v>0</v>
      </c>
      <c r="R113" s="96"/>
      <c r="S113" s="535"/>
      <c r="U113" s="5" t="s">
        <v>157</v>
      </c>
      <c r="V113" s="5" t="b">
        <f>AND(V110,OR(V111,V112))</f>
        <v>1</v>
      </c>
      <c r="Y113" s="5" t="s">
        <v>157</v>
      </c>
      <c r="Z113" s="5" t="b">
        <f>AND(Z108,OR(Z109,Z110,Z111,Z112))</f>
        <v>0</v>
      </c>
      <c r="AC113" t="s">
        <v>158</v>
      </c>
      <c r="AD113" t="b">
        <f>$K$125</f>
        <v>0</v>
      </c>
      <c r="AF113" s="5" t="s">
        <v>164</v>
      </c>
    </row>
    <row r="114" spans="2:33" ht="15.75" hidden="1" thickBot="1">
      <c r="B114" s="260"/>
      <c r="C114" s="40"/>
      <c r="D114" s="40" t="s">
        <v>176</v>
      </c>
      <c r="E114" s="40" t="s">
        <v>177</v>
      </c>
      <c r="F114" s="40" t="s">
        <v>178</v>
      </c>
      <c r="G114" s="40"/>
      <c r="N114" s="96" t="s">
        <v>179</v>
      </c>
      <c r="O114" s="97" t="b">
        <f t="shared" si="21"/>
        <v>0</v>
      </c>
      <c r="R114" s="524" t="s">
        <v>180</v>
      </c>
      <c r="S114" s="535"/>
      <c r="AC114" t="s">
        <v>160</v>
      </c>
      <c r="AD114" t="b">
        <f>$K$126</f>
        <v>0</v>
      </c>
      <c r="AF114" t="s">
        <v>181</v>
      </c>
      <c r="AG114" t="b">
        <f>$S$146</f>
        <v>1</v>
      </c>
    </row>
    <row r="115" spans="2:33" hidden="1">
      <c r="B115" s="260"/>
      <c r="D115" t="str" cm="1">
        <f t="array" aca="1" ref="D115:D117" ca="1">_xlfn._xlws.FILTER(StChsSE[Item],ABS(StChsSE[AmtAnswer])&gt;0,"")</f>
        <v>Issued common stock</v>
      </c>
      <c r="E115" t="str" cm="1">
        <f t="array" aca="1" ref="E115:E122" ca="1">_xlfn._xlws.SORT(_xlfn.VSTACK(_xlfn.ANCHORARRAY(C129),_xlfn.ANCHORARRAY(D129),_xlfn.ANCHORARRAY(E129)))</f>
        <v>Acquired PP&amp;E</v>
      </c>
      <c r="F115" t="str" cm="1">
        <f t="array" aca="1" ref="F115" ca="1">_xlfn._xlws.FILTER(NI_CFO_Recon_Adjs[Account],NI_CFO_Recon_Adjs[UsedAnswer]=1,"")</f>
        <v>Depreciation expense</v>
      </c>
      <c r="J115" s="465" t="s">
        <v>182</v>
      </c>
      <c r="K115" s="516" t="s">
        <v>134</v>
      </c>
      <c r="N115" s="96" t="s">
        <v>183</v>
      </c>
      <c r="O115" s="97" t="b">
        <f t="shared" si="21"/>
        <v>0</v>
      </c>
      <c r="R115" s="96" t="s">
        <v>147</v>
      </c>
      <c r="S115" s="535" t="b">
        <f>$F$103</f>
        <v>1</v>
      </c>
      <c r="Y115" s="5" t="s">
        <v>46</v>
      </c>
      <c r="AC115" t="s">
        <v>162</v>
      </c>
      <c r="AD115" t="b">
        <f>$K$127</f>
        <v>0</v>
      </c>
      <c r="AF115" t="s">
        <v>170</v>
      </c>
      <c r="AG115" t="b">
        <f>$O$113</f>
        <v>0</v>
      </c>
    </row>
    <row r="116" spans="2:33" hidden="1">
      <c r="B116" s="260"/>
      <c r="D116" t="str">
        <f ca="1"/>
        <v>Declared Dividends</v>
      </c>
      <c r="E116" t="str">
        <f ca="1"/>
        <v>Collections from customers</v>
      </c>
      <c r="J116" s="96" t="s">
        <v>110</v>
      </c>
      <c r="K116" s="97" t="b">
        <f t="shared" ref="K116:K128" si="22">ISNUMBER(SEARCH(J116,$D$98))</f>
        <v>1</v>
      </c>
      <c r="N116" s="96" t="s">
        <v>184</v>
      </c>
      <c r="O116" s="97" t="b">
        <f t="shared" si="21"/>
        <v>0</v>
      </c>
      <c r="R116" s="96" t="s">
        <v>185</v>
      </c>
      <c r="S116" s="535" t="b">
        <f>AND($O$105,$O$117)</f>
        <v>0</v>
      </c>
      <c r="U116" s="5" t="s">
        <v>186</v>
      </c>
      <c r="Y116" t="s">
        <v>149</v>
      </c>
      <c r="Z116" t="b">
        <f>$S$111</f>
        <v>1</v>
      </c>
      <c r="AC116" s="5" t="s">
        <v>157</v>
      </c>
      <c r="AD116" s="5" t="b">
        <f>OR(AD111,AND(AD112,OR(AD113,AD114,AD115)))</f>
        <v>0</v>
      </c>
      <c r="AF116" t="s">
        <v>173</v>
      </c>
      <c r="AG116" t="b">
        <f>$O$114</f>
        <v>0</v>
      </c>
    </row>
    <row r="117" spans="2:33" hidden="1">
      <c r="B117" s="260"/>
      <c r="D117" t="str">
        <f ca="1"/>
        <v>Net Income (Loss)</v>
      </c>
      <c r="E117" t="str">
        <f ca="1"/>
        <v>Issued common stock</v>
      </c>
      <c r="J117" s="96" t="s">
        <v>119</v>
      </c>
      <c r="K117" s="97" t="b">
        <f t="shared" si="22"/>
        <v>1</v>
      </c>
      <c r="N117" s="96" t="s">
        <v>187</v>
      </c>
      <c r="O117" s="97" t="b">
        <f t="shared" si="21"/>
        <v>0</v>
      </c>
      <c r="R117" s="96" t="s">
        <v>166</v>
      </c>
      <c r="S117" s="535" t="b">
        <f>AND($S$105,$S$146)</f>
        <v>1</v>
      </c>
      <c r="U117" t="s">
        <v>167</v>
      </c>
      <c r="V117" t="b">
        <f>$S$105</f>
        <v>1</v>
      </c>
      <c r="Y117" t="s">
        <v>165</v>
      </c>
      <c r="Z117" t="b">
        <f>FSConstruction!$J$42=1</f>
        <v>0</v>
      </c>
      <c r="AF117" s="5" t="s">
        <v>157</v>
      </c>
      <c r="AG117" s="5" t="b">
        <f>AND(AG114,OR(AG115,AG116))</f>
        <v>0</v>
      </c>
    </row>
    <row r="118" spans="2:33" hidden="1">
      <c r="B118" s="260"/>
      <c r="E118" t="str">
        <f ca="1"/>
        <v>Issued notes</v>
      </c>
      <c r="J118" s="96" t="s">
        <v>115</v>
      </c>
      <c r="K118" s="97" t="b">
        <f t="shared" si="22"/>
        <v>1</v>
      </c>
      <c r="N118" s="96" t="str">
        <f>$N$117&amp;"6Preferred Stock"</f>
        <v>Ending Balance Sheet6  Equities6Preferred Stock</v>
      </c>
      <c r="O118" s="97" t="b">
        <f t="shared" si="21"/>
        <v>0</v>
      </c>
      <c r="R118" s="524" t="s">
        <v>157</v>
      </c>
      <c r="S118" s="536" t="b">
        <f>OR(S115,S116,S117)</f>
        <v>1</v>
      </c>
      <c r="U118" t="s">
        <v>170</v>
      </c>
      <c r="V118" t="b">
        <f>$K$116</f>
        <v>1</v>
      </c>
      <c r="Y118" t="s">
        <v>168</v>
      </c>
      <c r="Z118" t="b">
        <f>$K$123</f>
        <v>0</v>
      </c>
      <c r="AC118" s="5" t="s">
        <v>188</v>
      </c>
    </row>
    <row r="119" spans="2:33" hidden="1">
      <c r="B119" s="260"/>
      <c r="E119" t="str">
        <f ca="1"/>
        <v>Paid dividends</v>
      </c>
      <c r="J119" s="96" t="s">
        <v>109</v>
      </c>
      <c r="K119" s="97" t="b">
        <f t="shared" si="22"/>
        <v>1</v>
      </c>
      <c r="N119" s="96" t="str">
        <f>$N$117&amp;"6Common Stock"</f>
        <v>Ending Balance Sheet6  Equities6Common Stock</v>
      </c>
      <c r="O119" s="97" t="b">
        <f t="shared" si="21"/>
        <v>0</v>
      </c>
      <c r="R119" s="96"/>
      <c r="S119" s="535"/>
      <c r="U119" t="s">
        <v>173</v>
      </c>
      <c r="V119" t="b">
        <f>K117</f>
        <v>1</v>
      </c>
      <c r="Y119" t="s">
        <v>171</v>
      </c>
      <c r="Z119" t="b">
        <f>FSConstruction!$J$52=1</f>
        <v>0</v>
      </c>
      <c r="AC119" t="s">
        <v>150</v>
      </c>
      <c r="AD119" t="str">
        <f>$F$104</f>
        <v>FALSE</v>
      </c>
    </row>
    <row r="120" spans="2:33" hidden="1">
      <c r="B120" s="260"/>
      <c r="E120" t="str">
        <f ca="1"/>
        <v>Payments for interest</v>
      </c>
      <c r="J120" s="96" t="s">
        <v>121</v>
      </c>
      <c r="K120" s="97" t="b">
        <f t="shared" si="22"/>
        <v>1</v>
      </c>
      <c r="N120" s="96" t="str">
        <f>$N$117&amp;"6Additional Paid-in Capital"</f>
        <v>Ending Balance Sheet6  Equities6Additional Paid-in Capital</v>
      </c>
      <c r="O120" s="97" t="b">
        <f t="shared" ref="O120:O123" si="23">ISNUMBER(SEARCH(N120,$E$98,1))</f>
        <v>0</v>
      </c>
      <c r="R120" s="96"/>
      <c r="S120" s="535"/>
      <c r="U120" s="5" t="s">
        <v>157</v>
      </c>
      <c r="V120" s="5" t="b">
        <f>AND(V117,OR(V118,V119))</f>
        <v>1</v>
      </c>
      <c r="Y120" t="s">
        <v>174</v>
      </c>
      <c r="Z120" t="b">
        <f>$K$124</f>
        <v>0</v>
      </c>
      <c r="AC120" t="s">
        <v>153</v>
      </c>
      <c r="AD120" t="b">
        <f>$S$126</f>
        <v>1</v>
      </c>
      <c r="AF120" s="5" t="s">
        <v>186</v>
      </c>
    </row>
    <row r="121" spans="2:33" hidden="1">
      <c r="B121" s="260"/>
      <c r="E121" t="str">
        <f ca="1"/>
        <v>Payments to employees</v>
      </c>
      <c r="J121" s="96" t="s">
        <v>111</v>
      </c>
      <c r="K121" s="97" t="b">
        <f t="shared" si="22"/>
        <v>0</v>
      </c>
      <c r="N121" s="96" t="str">
        <f>$N$117&amp;"6Retained Earnings"</f>
        <v>Ending Balance Sheet6  Equities6Retained Earnings</v>
      </c>
      <c r="O121" s="97" t="b">
        <f t="shared" si="23"/>
        <v>0</v>
      </c>
      <c r="R121" s="524" t="s">
        <v>90</v>
      </c>
      <c r="S121" s="535"/>
      <c r="Y121" s="5" t="s">
        <v>157</v>
      </c>
      <c r="Z121" s="5" t="b">
        <f>AND(Z116,OR(Z117,Z118,Z119,Z120))</f>
        <v>0</v>
      </c>
      <c r="AC121" t="s">
        <v>158</v>
      </c>
      <c r="AD121" t="b">
        <f>$K$125</f>
        <v>0</v>
      </c>
      <c r="AF121" t="s">
        <v>181</v>
      </c>
      <c r="AG121" t="b">
        <f>$S$146</f>
        <v>1</v>
      </c>
    </row>
    <row r="122" spans="2:33" hidden="1">
      <c r="B122" s="260"/>
      <c r="E122" t="str">
        <f ca="1"/>
        <v>Payments to suppliers</v>
      </c>
      <c r="J122" s="96" t="s">
        <v>116</v>
      </c>
      <c r="K122" s="97" t="b">
        <f t="shared" si="22"/>
        <v>0</v>
      </c>
      <c r="N122" s="96" t="str">
        <f>$N$117&amp;"6Accumulated Other Comprehensive Income"</f>
        <v>Ending Balance Sheet6  Equities6Accumulated Other Comprehensive Income</v>
      </c>
      <c r="O122" s="97" t="b">
        <f t="shared" si="23"/>
        <v>0</v>
      </c>
      <c r="R122" s="96" t="s">
        <v>147</v>
      </c>
      <c r="S122" s="535" t="str">
        <f>$F$104</f>
        <v>FALSE</v>
      </c>
      <c r="AC122" t="s">
        <v>160</v>
      </c>
      <c r="AD122" t="b">
        <f>$K$126</f>
        <v>0</v>
      </c>
      <c r="AF122" t="s">
        <v>170</v>
      </c>
      <c r="AG122" t="b">
        <f>$O$113</f>
        <v>0</v>
      </c>
    </row>
    <row r="123" spans="2:33" hidden="1">
      <c r="B123" s="260"/>
      <c r="J123" s="96" t="s">
        <v>189</v>
      </c>
      <c r="K123" s="97" t="b">
        <f t="shared" si="22"/>
        <v>0</v>
      </c>
      <c r="N123" s="96" t="str">
        <f>$N$117&amp;"6Treasury Stock"</f>
        <v>Ending Balance Sheet6  Equities6Treasury Stock</v>
      </c>
      <c r="O123" s="97" t="b">
        <f t="shared" si="23"/>
        <v>0</v>
      </c>
      <c r="R123" s="96" t="s">
        <v>190</v>
      </c>
      <c r="S123" s="535" t="b">
        <f>$E$104</f>
        <v>0</v>
      </c>
      <c r="U123" s="5" t="s">
        <v>191</v>
      </c>
      <c r="Y123" s="528" t="s">
        <v>192</v>
      </c>
      <c r="AC123" t="s">
        <v>162</v>
      </c>
      <c r="AD123" t="b">
        <f>$K$127</f>
        <v>0</v>
      </c>
      <c r="AF123" t="s">
        <v>173</v>
      </c>
      <c r="AG123" t="b">
        <f>$O$114</f>
        <v>0</v>
      </c>
    </row>
    <row r="124" spans="2:33" hidden="1">
      <c r="B124" s="260"/>
      <c r="F124" s="5" t="s">
        <v>193</v>
      </c>
      <c r="J124" s="96" t="s">
        <v>194</v>
      </c>
      <c r="K124" s="97" t="b">
        <f t="shared" si="22"/>
        <v>0</v>
      </c>
      <c r="N124" s="96" t="s">
        <v>195</v>
      </c>
      <c r="O124" s="97" t="b">
        <f>ISNUMBER(SEARCH(N124,$E$98,1))</f>
        <v>0</v>
      </c>
      <c r="R124" s="96" t="s">
        <v>196</v>
      </c>
      <c r="S124" s="535" t="b">
        <f>AND($O$112,$O$124)</f>
        <v>0</v>
      </c>
      <c r="U124" t="s">
        <v>167</v>
      </c>
      <c r="V124" t="b">
        <f>$S$105</f>
        <v>1</v>
      </c>
      <c r="AC124" s="5" t="s">
        <v>157</v>
      </c>
      <c r="AD124" s="5" t="b">
        <f>OR(AD119,AND(AD120,OR(AD121,AD122,AD123)))</f>
        <v>0</v>
      </c>
      <c r="AF124" s="5" t="s">
        <v>157</v>
      </c>
      <c r="AG124" s="5" t="b">
        <f>AND(AG121,OR(AG122,AG123))</f>
        <v>0</v>
      </c>
    </row>
    <row r="125" spans="2:33" hidden="1">
      <c r="B125" s="260"/>
      <c r="F125" t="str" cm="1">
        <f t="array" aca="1" ref="F125:F126" ca="1">_xlfn._xlws.FILTER(NI_CFO_Recon_Chs_Ops[Account],NI_CFO_Recon_Chs_Ops[UsedAnswer]=1,"")</f>
        <v>Accounts Receivable</v>
      </c>
      <c r="J125" s="96" t="s">
        <v>113</v>
      </c>
      <c r="K125" s="97" t="b">
        <f t="shared" si="22"/>
        <v>0</v>
      </c>
      <c r="N125" s="96"/>
      <c r="O125" s="97"/>
      <c r="R125" s="96" t="s">
        <v>166</v>
      </c>
      <c r="S125" s="535" t="b">
        <f>AND($S$105,$S$146)</f>
        <v>1</v>
      </c>
      <c r="U125" t="s">
        <v>197</v>
      </c>
      <c r="V125" t="b">
        <f>$K$118</f>
        <v>1</v>
      </c>
      <c r="Y125" t="s">
        <v>198</v>
      </c>
    </row>
    <row r="126" spans="2:33" hidden="1">
      <c r="B126" s="260"/>
      <c r="F126" t="str">
        <f ca="1"/>
        <v>Inventories</v>
      </c>
      <c r="J126" s="96" t="s">
        <v>120</v>
      </c>
      <c r="K126" s="97" t="b">
        <f t="shared" si="22"/>
        <v>0</v>
      </c>
      <c r="N126" s="96"/>
      <c r="O126" s="97"/>
      <c r="R126" s="524" t="s">
        <v>157</v>
      </c>
      <c r="S126" s="536" t="b">
        <f>OR(S122,S123,S124,S125)</f>
        <v>1</v>
      </c>
      <c r="U126" t="s">
        <v>199</v>
      </c>
      <c r="V126" t="b">
        <f>$K$119</f>
        <v>1</v>
      </c>
      <c r="Y126" s="5" t="s">
        <v>200</v>
      </c>
      <c r="Z126" s="5" t="b">
        <f>$S$118</f>
        <v>1</v>
      </c>
      <c r="AC126" s="5" t="s">
        <v>201</v>
      </c>
    </row>
    <row r="127" spans="2:33" hidden="1">
      <c r="B127" s="260"/>
      <c r="J127" s="96" t="s">
        <v>117</v>
      </c>
      <c r="K127" s="97" t="b">
        <f t="shared" si="22"/>
        <v>0</v>
      </c>
      <c r="N127" s="96"/>
      <c r="O127" s="97"/>
      <c r="R127" s="96"/>
      <c r="S127" s="535"/>
      <c r="U127" s="5" t="s">
        <v>157</v>
      </c>
      <c r="V127" s="5" t="b">
        <f>AND(V124,OR(V125,V126))</f>
        <v>1</v>
      </c>
      <c r="Y127" s="5" t="s">
        <v>202</v>
      </c>
      <c r="Z127" s="5" t="b">
        <f>$S$118</f>
        <v>1</v>
      </c>
      <c r="AC127" s="5" t="s">
        <v>203</v>
      </c>
      <c r="AF127" s="5" t="s">
        <v>191</v>
      </c>
    </row>
    <row r="128" spans="2:33" ht="15.75" hidden="1" thickBot="1">
      <c r="B128" s="260"/>
      <c r="C128" s="5" t="s">
        <v>204</v>
      </c>
      <c r="D128" s="5" t="s">
        <v>205</v>
      </c>
      <c r="E128" s="372" t="s">
        <v>206</v>
      </c>
      <c r="J128" s="98" t="s">
        <v>207</v>
      </c>
      <c r="K128" s="99" t="b">
        <f t="shared" si="22"/>
        <v>0</v>
      </c>
      <c r="N128" s="96"/>
      <c r="O128" s="97"/>
      <c r="R128" s="524" t="s">
        <v>142</v>
      </c>
      <c r="S128" s="535"/>
      <c r="AC128" t="s">
        <v>150</v>
      </c>
      <c r="AD128" t="str">
        <f>$F$104</f>
        <v>FALSE</v>
      </c>
      <c r="AF128" t="s">
        <v>181</v>
      </c>
      <c r="AG128" t="b">
        <f>$S$146</f>
        <v>1</v>
      </c>
    </row>
    <row r="129" spans="2:33" hidden="1">
      <c r="B129" s="260"/>
      <c r="C129" t="str" cm="1">
        <f t="array" aca="1" ref="C129:C132" ca="1">_xlfn._xlws.FILTER(FSConstruction!AQ9:AQ15,FSConstruction!AX9:AX15,"")</f>
        <v>Collections from customers</v>
      </c>
      <c r="D129" t="str" cm="1">
        <f t="array" aca="1" ref="D129" ca="1">_xlfn._xlws.FILTER(FSConstruction!AQ20:AQ29,FSConstruction!AX20:AX29,"")</f>
        <v>Acquired PP&amp;E</v>
      </c>
      <c r="E129" s="192" t="str" cm="1">
        <f t="array" aca="1" ref="E129:E131" ca="1">_xlfn._xlws.FILTER(FSConstruction!AQ34:AQ46,FSConstruction!AX34:AX46,"")</f>
        <v>Issued common stock</v>
      </c>
      <c r="N129" s="96"/>
      <c r="O129" s="97"/>
      <c r="R129" s="96" t="s">
        <v>147</v>
      </c>
      <c r="S129" s="535" t="str">
        <f>$F$105</f>
        <v>FALSE</v>
      </c>
      <c r="U129" s="5" t="s">
        <v>208</v>
      </c>
      <c r="Y129" s="5" t="s">
        <v>209</v>
      </c>
      <c r="AC129" t="s">
        <v>153</v>
      </c>
      <c r="AD129" t="b">
        <f>$S$126</f>
        <v>1</v>
      </c>
      <c r="AF129" t="s">
        <v>197</v>
      </c>
      <c r="AG129" t="b">
        <f>$O$115</f>
        <v>0</v>
      </c>
    </row>
    <row r="130" spans="2:33" hidden="1">
      <c r="B130" s="260"/>
      <c r="C130" t="str">
        <f ca="1"/>
        <v>Payments to suppliers</v>
      </c>
      <c r="E130" s="192" t="str">
        <f ca="1"/>
        <v>Issued notes</v>
      </c>
      <c r="J130" t="str" cm="1">
        <f t="array" ref="J130">IF(OR(($F$101=FALSE),$F$106=FALSE),_xlfn.ANCHORARRAY(FSConstruction!D88),"")</f>
        <v/>
      </c>
      <c r="L130" s="192" t="str" cm="1">
        <f t="array" ref="L130">IF(($F$102=FALSE),_xlfn.ANCHORARRAY(FSConstruction!I88),"")</f>
        <v/>
      </c>
      <c r="N130" s="96"/>
      <c r="O130" s="97"/>
      <c r="R130" s="96" t="s">
        <v>152</v>
      </c>
      <c r="S130" s="535" t="b">
        <f>$E$106</f>
        <v>0</v>
      </c>
      <c r="U130" t="s">
        <v>167</v>
      </c>
      <c r="V130" t="b">
        <f>$S$105</f>
        <v>1</v>
      </c>
      <c r="Y130" t="s">
        <v>210</v>
      </c>
      <c r="Z130" t="b">
        <f>$F$103</f>
        <v>1</v>
      </c>
      <c r="AC130" t="s">
        <v>158</v>
      </c>
      <c r="AD130" t="b">
        <f>$K$125</f>
        <v>0</v>
      </c>
      <c r="AF130" t="s">
        <v>199</v>
      </c>
      <c r="AG130" t="b">
        <f>$O$116</f>
        <v>0</v>
      </c>
    </row>
    <row r="131" spans="2:33" hidden="1">
      <c r="B131" s="260"/>
      <c r="C131" t="str">
        <f ca="1"/>
        <v>Payments to employees</v>
      </c>
      <c r="E131" s="192" t="str">
        <f ca="1"/>
        <v>Paid dividends</v>
      </c>
      <c r="N131" s="96"/>
      <c r="O131" s="97"/>
      <c r="R131" s="524" t="s">
        <v>157</v>
      </c>
      <c r="S131" s="536" t="b">
        <f>OR(S129,S130)</f>
        <v>0</v>
      </c>
      <c r="U131" t="s">
        <v>197</v>
      </c>
      <c r="V131" t="b">
        <f>$K$118</f>
        <v>1</v>
      </c>
      <c r="Y131" t="s">
        <v>211</v>
      </c>
      <c r="Z131" t="b">
        <f>$S$118</f>
        <v>1</v>
      </c>
      <c r="AC131" t="s">
        <v>212</v>
      </c>
      <c r="AD131" t="b">
        <f>$W$159</f>
        <v>0</v>
      </c>
      <c r="AF131" s="5" t="s">
        <v>157</v>
      </c>
      <c r="AG131" s="5" t="b">
        <f>AND(AG128,OR(AG129,AG130))</f>
        <v>0</v>
      </c>
    </row>
    <row r="132" spans="2:33" hidden="1">
      <c r="B132" s="260"/>
      <c r="C132" t="str">
        <f ca="1"/>
        <v>Payments for interest</v>
      </c>
      <c r="N132" s="96"/>
      <c r="O132" s="97"/>
      <c r="R132" s="96"/>
      <c r="S132" s="535"/>
      <c r="U132" t="s">
        <v>199</v>
      </c>
      <c r="V132" t="b">
        <f>$K$119</f>
        <v>1</v>
      </c>
      <c r="Y132" t="s">
        <v>213</v>
      </c>
      <c r="Z132" t="b">
        <f>$K$120</f>
        <v>1</v>
      </c>
      <c r="AC132" t="s">
        <v>214</v>
      </c>
      <c r="AD132" t="b">
        <f>AND(AD128,AD131)</f>
        <v>0</v>
      </c>
    </row>
    <row r="133" spans="2:33" hidden="1">
      <c r="B133" s="260"/>
      <c r="N133" s="96"/>
      <c r="O133" s="97"/>
      <c r="R133" s="96"/>
      <c r="S133" s="535"/>
      <c r="U133" s="5" t="s">
        <v>157</v>
      </c>
      <c r="V133" s="5" t="b">
        <f>AND(V130,OR(V131,V132))</f>
        <v>1</v>
      </c>
      <c r="Y133" s="5" t="s">
        <v>157</v>
      </c>
      <c r="Z133" s="5" t="b">
        <f>OR(Z130,AND(Z131,Z132))</f>
        <v>1</v>
      </c>
      <c r="AC133" t="s">
        <v>215</v>
      </c>
      <c r="AD133" t="b">
        <f>AND(AD129,AD130,AD131)</f>
        <v>0</v>
      </c>
      <c r="AF133" s="5" t="s">
        <v>208</v>
      </c>
    </row>
    <row r="134" spans="2:33" hidden="1">
      <c r="B134" s="260"/>
      <c r="N134" s="96"/>
      <c r="O134" s="97"/>
      <c r="R134" s="524" t="s">
        <v>128</v>
      </c>
      <c r="S134" s="535"/>
      <c r="AC134" s="5" t="s">
        <v>157</v>
      </c>
      <c r="AD134" s="5" t="b">
        <f>OR(AD132,AD133)</f>
        <v>0</v>
      </c>
      <c r="AF134" t="s">
        <v>181</v>
      </c>
      <c r="AG134" t="b">
        <f>$S$146</f>
        <v>1</v>
      </c>
    </row>
    <row r="135" spans="2:33" hidden="1">
      <c r="B135" s="260"/>
      <c r="N135" s="96"/>
      <c r="O135" s="97"/>
      <c r="R135" s="96" t="s">
        <v>147</v>
      </c>
      <c r="S135" s="535" t="str">
        <f>$F$107</f>
        <v>FALSE</v>
      </c>
      <c r="U135" s="5" t="s">
        <v>39</v>
      </c>
      <c r="AF135" t="s">
        <v>197</v>
      </c>
      <c r="AG135" t="b">
        <f>$O$115</f>
        <v>0</v>
      </c>
    </row>
    <row r="136" spans="2:33" hidden="1">
      <c r="B136" s="260"/>
      <c r="C136" s="40"/>
      <c r="D136" s="5" t="s">
        <v>216</v>
      </c>
      <c r="N136" s="96"/>
      <c r="O136" s="97"/>
      <c r="R136" s="96" t="s">
        <v>152</v>
      </c>
      <c r="S136" s="535" t="b">
        <f>$E$107</f>
        <v>0</v>
      </c>
      <c r="U136" t="s">
        <v>167</v>
      </c>
      <c r="V136" t="b">
        <f>$S$105</f>
        <v>1</v>
      </c>
      <c r="Y136" s="5" t="s">
        <v>217</v>
      </c>
      <c r="AC136" s="5" t="s">
        <v>218</v>
      </c>
      <c r="AF136" t="s">
        <v>199</v>
      </c>
      <c r="AG136" t="b">
        <f>$O$116</f>
        <v>0</v>
      </c>
    </row>
    <row r="137" spans="2:33" ht="15.75" hidden="1" thickBot="1">
      <c r="B137" s="260"/>
      <c r="D137" t="str" cm="1">
        <f t="array" aca="1" ref="D137:D139" ca="1">_xlfn._xlws.SORT(_xlfn.VSTACK(_xlfn.ANCHORARRAY(F115),_xlfn.ANCHORARRAY(F125)))</f>
        <v>Accounts Receivable</v>
      </c>
      <c r="N137" s="98"/>
      <c r="O137" s="99"/>
      <c r="R137" s="524" t="s">
        <v>157</v>
      </c>
      <c r="S137" s="536" t="b">
        <f>OR(S135,S136)</f>
        <v>0</v>
      </c>
      <c r="U137" t="s">
        <v>219</v>
      </c>
      <c r="V137" t="b">
        <f>$K$120</f>
        <v>1</v>
      </c>
      <c r="Y137" t="s">
        <v>210</v>
      </c>
      <c r="Z137" t="b">
        <f>$F$103</f>
        <v>1</v>
      </c>
      <c r="AC137" t="s">
        <v>150</v>
      </c>
      <c r="AD137" t="str">
        <f>$F$104</f>
        <v>FALSE</v>
      </c>
      <c r="AF137" s="5" t="s">
        <v>157</v>
      </c>
      <c r="AG137" s="5" t="b">
        <f>AND(AG134,OR(AG135,AG136))</f>
        <v>0</v>
      </c>
    </row>
    <row r="138" spans="2:33" hidden="1">
      <c r="B138" s="260"/>
      <c r="C138" s="40" t="s">
        <v>128</v>
      </c>
      <c r="D138" t="str">
        <f ca="1"/>
        <v>Depreciation expense</v>
      </c>
      <c r="R138" s="96"/>
      <c r="S138" s="535"/>
      <c r="U138" s="5" t="s">
        <v>157</v>
      </c>
      <c r="Y138" t="s">
        <v>213</v>
      </c>
      <c r="Z138" t="b">
        <f>$K$120</f>
        <v>1</v>
      </c>
      <c r="AC138" t="s">
        <v>153</v>
      </c>
      <c r="AD138" t="b">
        <f>$S$126</f>
        <v>1</v>
      </c>
    </row>
    <row r="139" spans="2:33" hidden="1">
      <c r="B139" s="260"/>
      <c r="C139" t="str" cm="1">
        <f t="array" aca="1" ref="C139" ca="1">_xlfn._xlws.FILTER(Noncash_IF[Account],Noncash_IF[UsedAnswer],"")</f>
        <v/>
      </c>
      <c r="D139" t="str">
        <f ca="1"/>
        <v>Inventories</v>
      </c>
      <c r="R139" s="524" t="s">
        <v>220</v>
      </c>
      <c r="S139" s="535"/>
      <c r="Y139" t="s">
        <v>221</v>
      </c>
      <c r="Z139" t="b">
        <f ca="1">FSConstruction!AF7&gt;0</f>
        <v>1</v>
      </c>
      <c r="AC139" t="s">
        <v>160</v>
      </c>
      <c r="AD139" t="b">
        <f>$K$126</f>
        <v>0</v>
      </c>
      <c r="AF139" s="5" t="s">
        <v>39</v>
      </c>
    </row>
    <row r="140" spans="2:33" hidden="1">
      <c r="B140" s="260"/>
      <c r="R140" s="96"/>
      <c r="S140" s="535"/>
      <c r="Y140" t="s">
        <v>222</v>
      </c>
      <c r="Z140" t="b">
        <f>StChsSE[[#Headers],[AmtFSBuilder]]&gt;0</f>
        <v>1</v>
      </c>
      <c r="AC140" t="s">
        <v>223</v>
      </c>
      <c r="AD140" t="b">
        <f>$W$185</f>
        <v>0</v>
      </c>
      <c r="AF140" t="s">
        <v>181</v>
      </c>
      <c r="AG140" t="b">
        <f>$S$146</f>
        <v>1</v>
      </c>
    </row>
    <row r="141" spans="2:33" hidden="1">
      <c r="B141" s="260"/>
      <c r="R141" s="96"/>
      <c r="S141" s="535"/>
      <c r="AC141" t="s">
        <v>224</v>
      </c>
      <c r="AD141" t="b">
        <f>AND(AD137,AD140)</f>
        <v>0</v>
      </c>
      <c r="AF141" t="s">
        <v>219</v>
      </c>
      <c r="AG141" t="b">
        <f>$O$117</f>
        <v>0</v>
      </c>
    </row>
    <row r="142" spans="2:33" hidden="1">
      <c r="B142" s="260"/>
      <c r="R142" s="96"/>
      <c r="S142" s="535"/>
      <c r="Y142" s="5" t="s">
        <v>157</v>
      </c>
      <c r="Z142" s="5" t="b">
        <f>OR(Z137,AND(Z138,Z141))</f>
        <v>1</v>
      </c>
      <c r="AC142" t="s">
        <v>225</v>
      </c>
      <c r="AD142" t="b">
        <f>AND(AD138,AD139,AD140)</f>
        <v>0</v>
      </c>
      <c r="AF142" s="5" t="s">
        <v>157</v>
      </c>
      <c r="AG142" s="5" t="b">
        <f>AND(AG140,AG141)</f>
        <v>0</v>
      </c>
    </row>
    <row r="143" spans="2:33" hidden="1">
      <c r="B143" s="260"/>
      <c r="R143" s="524" t="s">
        <v>91</v>
      </c>
      <c r="S143" s="535"/>
      <c r="AC143" s="5" t="s">
        <v>157</v>
      </c>
      <c r="AD143" s="5" t="b">
        <f>OR(AD141,AD142)</f>
        <v>0</v>
      </c>
    </row>
    <row r="144" spans="2:33" hidden="1">
      <c r="B144" s="260"/>
      <c r="E144" s="5" t="s">
        <v>163</v>
      </c>
      <c r="R144" s="96" t="s">
        <v>147</v>
      </c>
      <c r="S144" s="535" t="b">
        <f>$F$106</f>
        <v>1</v>
      </c>
    </row>
    <row r="145" spans="2:31" hidden="1">
      <c r="B145" s="260"/>
      <c r="C145" s="5" t="s">
        <v>226</v>
      </c>
      <c r="E145" t="str" cm="1">
        <f t="array" aca="1" ref="E145" ca="1">_xlfn._xlws.FILTER(OCI[Account],OCI[UsedAnswer]=1,"")</f>
        <v/>
      </c>
      <c r="R145" s="96" t="s">
        <v>152</v>
      </c>
      <c r="S145" s="535" t="b">
        <f>$E$106</f>
        <v>0</v>
      </c>
      <c r="AC145" s="5" t="s">
        <v>227</v>
      </c>
    </row>
    <row r="146" spans="2:31" hidden="1">
      <c r="B146" s="260"/>
      <c r="C146" s="192" t="str" cm="1">
        <f t="array" ref="C146:C149">_xlfn._xlws.FILTER(C101:C108,D101:D108="Prepare","")</f>
        <v>Beginning Balance Sheet</v>
      </c>
      <c r="R146" s="524" t="s">
        <v>157</v>
      </c>
      <c r="S146" s="536" t="b">
        <f>OR(S144,S145)</f>
        <v>1</v>
      </c>
      <c r="AC146" t="s">
        <v>150</v>
      </c>
      <c r="AD146" t="str">
        <f>$F$104</f>
        <v>FALSE</v>
      </c>
    </row>
    <row r="147" spans="2:31" hidden="1">
      <c r="B147" s="260"/>
      <c r="C147" t="str">
        <v>Income Statement</v>
      </c>
      <c r="R147" s="96"/>
      <c r="S147" s="535"/>
      <c r="AC147" t="s">
        <v>153</v>
      </c>
      <c r="AD147" t="b">
        <f>$S$126</f>
        <v>1</v>
      </c>
    </row>
    <row r="148" spans="2:31" hidden="1">
      <c r="B148" s="260"/>
      <c r="C148" t="str">
        <v>Statement of Changes in Shareholders' Equity</v>
      </c>
      <c r="R148" s="96"/>
      <c r="S148" s="535"/>
      <c r="AC148" t="s">
        <v>228</v>
      </c>
      <c r="AD148" t="b">
        <f>$K$127</f>
        <v>0</v>
      </c>
    </row>
    <row r="149" spans="2:31" ht="15.75" hidden="1" thickBot="1">
      <c r="B149" s="260"/>
      <c r="C149" t="str">
        <v>Ending Balance Sheet</v>
      </c>
      <c r="R149" s="525"/>
      <c r="S149" s="537"/>
      <c r="AC149" t="s">
        <v>229</v>
      </c>
      <c r="AD149" t="b">
        <f>$W$211</f>
        <v>0</v>
      </c>
    </row>
    <row r="150" spans="2:31" hidden="1">
      <c r="B150" s="260"/>
      <c r="R150" s="5"/>
      <c r="S150" s="5"/>
      <c r="AC150" t="s">
        <v>230</v>
      </c>
      <c r="AD150" t="b">
        <f>AND(AD146,AD149)</f>
        <v>0</v>
      </c>
    </row>
    <row r="151" spans="2:31" hidden="1">
      <c r="B151" s="260"/>
      <c r="AC151" t="s">
        <v>231</v>
      </c>
      <c r="AD151" t="b">
        <f>AND(AD147,AD148,AD149)</f>
        <v>0</v>
      </c>
    </row>
    <row r="152" spans="2:31" hidden="1">
      <c r="B152" s="260"/>
      <c r="AC152" s="5" t="s">
        <v>157</v>
      </c>
      <c r="AD152" s="5" t="b">
        <f>OR(AD150,AD151)</f>
        <v>0</v>
      </c>
    </row>
    <row r="153" spans="2:31" hidden="1">
      <c r="B153" s="260"/>
    </row>
    <row r="154" spans="2:31" s="171" customFormat="1" hidden="1">
      <c r="B154" s="176" t="s">
        <v>232</v>
      </c>
      <c r="F154"/>
      <c r="G154"/>
      <c r="L154" s="521"/>
      <c r="M154" s="521"/>
    </row>
    <row r="155" spans="2:31" hidden="1">
      <c r="B155" s="260"/>
    </row>
    <row r="156" spans="2:31" hidden="1">
      <c r="B156" s="5" t="s">
        <v>108</v>
      </c>
      <c r="I156" s="5" t="s">
        <v>88</v>
      </c>
      <c r="Q156" s="5" t="s">
        <v>89</v>
      </c>
      <c r="U156" s="5" t="s">
        <v>90</v>
      </c>
      <c r="AB156" s="5" t="s">
        <v>91</v>
      </c>
    </row>
    <row r="157" spans="2:31" hidden="1">
      <c r="C157" t="s">
        <v>233</v>
      </c>
      <c r="D157" s="5" t="b">
        <f>$F$101</f>
        <v>1</v>
      </c>
      <c r="J157" t="s">
        <v>233</v>
      </c>
      <c r="K157" s="5" t="b">
        <f>$F$102</f>
        <v>1</v>
      </c>
      <c r="R157" t="s">
        <v>233</v>
      </c>
      <c r="S157" s="5" t="b">
        <f>F103</f>
        <v>1</v>
      </c>
      <c r="AC157" t="s">
        <v>233</v>
      </c>
      <c r="AD157" s="5" t="b">
        <f>F106</f>
        <v>1</v>
      </c>
    </row>
    <row r="158" spans="2:31" hidden="1"/>
    <row r="159" spans="2:31" ht="15.75" hidden="1" thickBot="1">
      <c r="B159" s="5" t="s">
        <v>234</v>
      </c>
      <c r="E159" t="s">
        <v>235</v>
      </c>
      <c r="I159" s="5" t="s">
        <v>43</v>
      </c>
      <c r="L159" s="372" t="b">
        <f>COUNTIF(JournalAnswer[Accnt Type],"Revenue")&gt;0</f>
        <v>1</v>
      </c>
      <c r="M159" s="372"/>
      <c r="N159" t="s">
        <v>236</v>
      </c>
      <c r="R159" s="5" t="s">
        <v>237</v>
      </c>
      <c r="S159" cm="1">
        <f t="array" aca="1" ref="S159" ca="1">IF(MAX(ABS(S160:S162)&gt;0),1,0)</f>
        <v>0</v>
      </c>
      <c r="T159">
        <v>3</v>
      </c>
      <c r="U159" s="372" t="s">
        <v>203</v>
      </c>
      <c r="W159" t="b">
        <f>SUM(W160:W178)&gt;0.000001</f>
        <v>0</v>
      </c>
      <c r="AB159" s="5" t="s">
        <v>234</v>
      </c>
      <c r="AE159" t="s">
        <v>235</v>
      </c>
    </row>
    <row r="160" spans="2:31" hidden="1">
      <c r="B160" s="175">
        <v>6</v>
      </c>
      <c r="C160" s="365" t="str" cm="1">
        <f t="array" ref="C160:D162">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25</v>
      </c>
      <c r="L160" s="372" t="b">
        <f>COUNTIF(Journal[Accnt Type],"Revenue")&gt;0</f>
        <v>1</v>
      </c>
      <c r="M160" s="372"/>
      <c r="N160" t="s">
        <v>238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2">IF($AD$157,_xlfn._xlws.FILTER(CHOOSE({1,2},ECurrAssets[Account],ECurrAssets[AmtJournal]),ECurrAssets[Used]=1,{"",""}),_xlfn._xlws.FILTER(FSBuilder[[Account or Explanation]:[Amount]],(FSBuilder[Statement]="Ending Balance Sheet")*(FSBuilder[Category]="  Current Assets"),{"",""}))</f>
        <v>Cash</v>
      </c>
      <c r="AD160" s="381">
        <v>17.579999999999998</v>
      </c>
      <c r="AE160">
        <f>IF(AD160&lt;&gt;"",ABS(AD160),0)</f>
        <v>17.579999999999998</v>
      </c>
    </row>
    <row r="161" spans="2:31" hidden="1">
      <c r="B161" s="96">
        <v>7</v>
      </c>
      <c r="C161" t="str">
        <v>Accounts Receivable</v>
      </c>
      <c r="D161" s="173">
        <v>0</v>
      </c>
      <c r="E161">
        <f t="shared" ref="E161:E169" si="24">ABS(D161)</f>
        <v>0</v>
      </c>
      <c r="I161" s="481">
        <v>7</v>
      </c>
      <c r="J161" s="192"/>
      <c r="K161" s="482"/>
      <c r="P161" t="b">
        <f ca="1">IF(OR(S161=0,S161=""),FALSE,TRUE)</f>
        <v>0</v>
      </c>
      <c r="Q161">
        <v>7</v>
      </c>
      <c r="R161" s="96" t="s">
        <v>239</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4.5</v>
      </c>
      <c r="AE161">
        <f t="shared" ref="AE161:AE169" si="27">ABS(AD161)</f>
        <v>4.5</v>
      </c>
    </row>
    <row r="162" spans="2:31" ht="15.75" hidden="1" thickBot="1">
      <c r="B162" s="96">
        <v>7</v>
      </c>
      <c r="C162" t="str">
        <v>Inventories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2</v>
      </c>
      <c r="AE162">
        <f t="shared" si="27"/>
        <v>2</v>
      </c>
    </row>
    <row r="163" spans="2:31" hidden="1">
      <c r="B163" s="96">
        <v>7</v>
      </c>
      <c r="D163" s="173"/>
      <c r="E163">
        <f t="shared" si="24"/>
        <v>0</v>
      </c>
      <c r="I163" s="481">
        <v>7</v>
      </c>
      <c r="J163" s="192"/>
      <c r="K163" s="482"/>
      <c r="T163" s="192">
        <v>7</v>
      </c>
      <c r="U163" s="481"/>
      <c r="V163" s="482"/>
      <c r="W163">
        <f t="shared" si="25"/>
        <v>0</v>
      </c>
      <c r="X163" t="b">
        <f t="shared" si="26"/>
        <v>0</v>
      </c>
      <c r="AB163" s="96">
        <v>7</v>
      </c>
      <c r="AD163" s="173"/>
      <c r="AE163">
        <f t="shared" si="27"/>
        <v>0</v>
      </c>
    </row>
    <row r="164" spans="2:31" ht="15.75" hidden="1" thickBot="1">
      <c r="B164" s="96">
        <v>7</v>
      </c>
      <c r="D164" s="173"/>
      <c r="E164">
        <f t="shared" si="24"/>
        <v>0</v>
      </c>
      <c r="I164" s="481">
        <v>7</v>
      </c>
      <c r="J164" s="192"/>
      <c r="K164" s="482"/>
      <c r="R164" s="5" t="s">
        <v>64</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122</v>
      </c>
      <c r="S166" s="173">
        <f ca="1">IF($S$157,FSConstruction!$AF$10,FSConstruction!$AH$10)</f>
        <v>3</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240</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241</v>
      </c>
      <c r="S168" s="173">
        <f ca="1">IF($S$157,FSConstruction!$AF$19,FSConstruction!$AH$19)</f>
        <v>0</v>
      </c>
      <c r="T168" s="192">
        <v>7</v>
      </c>
      <c r="U168" s="481"/>
      <c r="V168" s="482"/>
      <c r="W168">
        <f t="shared" si="25"/>
        <v>0</v>
      </c>
      <c r="X168" t="b">
        <f t="shared" si="26"/>
        <v>0</v>
      </c>
      <c r="AB168" s="96">
        <v>7</v>
      </c>
      <c r="AD168" s="173"/>
      <c r="AE168">
        <f t="shared" si="27"/>
        <v>0</v>
      </c>
    </row>
    <row r="169" spans="2:31" ht="15.7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3</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24.08</v>
      </c>
    </row>
    <row r="171" spans="2:31" ht="15.75" hidden="1" thickBot="1">
      <c r="B171" s="5" t="s">
        <v>242</v>
      </c>
      <c r="D171" s="368"/>
      <c r="I171" s="5" t="s">
        <v>44</v>
      </c>
      <c r="L171" s="372" t="b">
        <f>COUNTIF(JournalAnswer[Accnt Type],"Expense")&gt;0</f>
        <v>1</v>
      </c>
      <c r="M171" s="372"/>
      <c r="N171" t="s">
        <v>236</v>
      </c>
      <c r="R171" s="5" t="s">
        <v>243</v>
      </c>
      <c r="S171" cm="1">
        <f t="array" aca="1" ref="S171" ca="1">IF(MAX(ABS(S172:S176)&gt;0),1,0)</f>
        <v>0</v>
      </c>
      <c r="T171" s="192">
        <v>7</v>
      </c>
      <c r="U171" s="481"/>
      <c r="V171" s="482"/>
      <c r="W171">
        <f t="shared" si="25"/>
        <v>0</v>
      </c>
      <c r="X171" t="b">
        <f t="shared" si="26"/>
        <v>0</v>
      </c>
      <c r="AB171" s="5" t="s">
        <v>242</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0</v>
      </c>
      <c r="E172">
        <f>IF(D172&lt;&gt;"",ABS(D172),0)</f>
        <v>0</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18</v>
      </c>
      <c r="L172" s="372" t="b">
        <f>COUNTIF(Journal[Accnt Type],"Expense")&gt;0</f>
        <v>1</v>
      </c>
      <c r="M172" s="372"/>
      <c r="N172" t="s">
        <v>238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1</v>
      </c>
      <c r="AE172">
        <f>IF(AD172&lt;&gt;"",ABS(AD172),0)</f>
        <v>1</v>
      </c>
    </row>
    <row r="173" spans="2:31" hidden="1">
      <c r="B173" s="96">
        <v>7</v>
      </c>
      <c r="C173" t="str">
        <v>Accumulated Depreciation</v>
      </c>
      <c r="D173" s="173">
        <v>0</v>
      </c>
      <c r="E173">
        <f t="shared" ref="E173:E181" si="29">ABS(D173)</f>
        <v>0</v>
      </c>
      <c r="I173" s="192">
        <v>7</v>
      </c>
      <c r="J173" s="481" t="str">
        <f ca="1"/>
        <v>Interest Expense</v>
      </c>
      <c r="K173" s="482">
        <f ca="1"/>
        <v>1.87</v>
      </c>
      <c r="P173" t="b">
        <f t="shared" ref="P173:P175" ca="1" si="30">IF(OR(S173=0,S173=""),FALSE,TRUE)</f>
        <v>0</v>
      </c>
      <c r="Q173">
        <v>7</v>
      </c>
      <c r="R173" s="96" t="s">
        <v>244</v>
      </c>
      <c r="S173" s="173">
        <f ca="1">IF($S$157,FSConstruction!$AF$11,FSConstruction!$AH$11)</f>
        <v>0</v>
      </c>
      <c r="T173" s="192">
        <v>7</v>
      </c>
      <c r="U173" s="481"/>
      <c r="V173" s="482"/>
      <c r="W173">
        <f t="shared" si="25"/>
        <v>0</v>
      </c>
      <c r="X173" t="b">
        <f t="shared" si="26"/>
        <v>0</v>
      </c>
      <c r="AB173" s="96">
        <v>7</v>
      </c>
      <c r="AC173" t="str">
        <v>Accumulated Depreciation</v>
      </c>
      <c r="AD173" s="173">
        <v>-0.2</v>
      </c>
      <c r="AE173">
        <f t="shared" ref="AE173:AE181" si="31">ABS(AD173)</f>
        <v>0.2</v>
      </c>
    </row>
    <row r="174" spans="2:31" hidden="1">
      <c r="B174" s="96">
        <v>7</v>
      </c>
      <c r="D174" s="173"/>
      <c r="E174">
        <f t="shared" si="29"/>
        <v>0</v>
      </c>
      <c r="I174" s="192">
        <v>7</v>
      </c>
      <c r="J174" s="481" t="str">
        <f ca="1"/>
        <v>Depreciation Expense</v>
      </c>
      <c r="K174" s="482">
        <f ca="1"/>
        <v>0.2</v>
      </c>
      <c r="P174" t="b">
        <f t="shared" ca="1" si="30"/>
        <v>0</v>
      </c>
      <c r="Q174">
        <v>7</v>
      </c>
      <c r="R174" s="96" t="s">
        <v>245</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Salaries &amp; Wages Expense</v>
      </c>
      <c r="K175" s="482">
        <f ca="1"/>
        <v>3</v>
      </c>
      <c r="P175" t="b">
        <f t="shared" ca="1" si="30"/>
        <v>0</v>
      </c>
      <c r="Q175">
        <v>7</v>
      </c>
      <c r="R175" s="96" t="s">
        <v>246</v>
      </c>
      <c r="S175" s="173">
        <f ca="1">IF($S$157,FSConstruction!$AF$20,FSConstruction!$AH$20)</f>
        <v>0</v>
      </c>
      <c r="T175" s="192">
        <v>7</v>
      </c>
      <c r="U175" s="481"/>
      <c r="V175" s="482"/>
      <c r="W175">
        <f t="shared" si="25"/>
        <v>0</v>
      </c>
      <c r="X175" t="b">
        <f t="shared" si="26"/>
        <v>0</v>
      </c>
      <c r="AB175" s="96">
        <v>7</v>
      </c>
      <c r="AD175" s="173"/>
      <c r="AE175">
        <f t="shared" si="31"/>
        <v>0</v>
      </c>
    </row>
    <row r="176" spans="2:31" ht="15.7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c r="B178" s="96">
        <v>7</v>
      </c>
      <c r="D178" s="173"/>
      <c r="E178">
        <f t="shared" si="29"/>
        <v>0</v>
      </c>
      <c r="I178" s="192">
        <v>7</v>
      </c>
      <c r="J178" s="481"/>
      <c r="K178" s="482"/>
      <c r="R178" s="5" t="s">
        <v>74</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1</v>
      </c>
      <c r="Q180">
        <v>7</v>
      </c>
      <c r="R180" s="96" t="s">
        <v>123</v>
      </c>
      <c r="S180" s="173">
        <f ca="1">IF($S$157,FSConstruction!$AF$12,FSConstruction!$AH$12)</f>
        <v>-0.05</v>
      </c>
      <c r="U180" s="5"/>
      <c r="AB180" s="96">
        <v>7</v>
      </c>
      <c r="AD180" s="173"/>
      <c r="AE180">
        <f t="shared" si="31"/>
        <v>0</v>
      </c>
    </row>
    <row r="181" spans="2:31" ht="15.75" hidden="1" thickBot="1">
      <c r="B181" s="98">
        <v>7</v>
      </c>
      <c r="C181" s="283"/>
      <c r="D181" s="285"/>
      <c r="E181">
        <f t="shared" si="29"/>
        <v>0</v>
      </c>
      <c r="I181" s="192">
        <v>7</v>
      </c>
      <c r="J181" s="481"/>
      <c r="K181" s="482"/>
      <c r="N181" s="192"/>
      <c r="O181" s="192"/>
      <c r="P181" t="b">
        <f t="shared" ca="1" si="32"/>
        <v>1</v>
      </c>
      <c r="Q181">
        <v>7</v>
      </c>
      <c r="R181" s="96" t="s">
        <v>124</v>
      </c>
      <c r="S181" s="173">
        <f ca="1">IF($S$157,FSConstruction!$AF$13,FSConstruction!$AH$13)</f>
        <v>1.93</v>
      </c>
      <c r="AB181" s="98">
        <v>7</v>
      </c>
      <c r="AC181" s="283"/>
      <c r="AD181" s="285"/>
      <c r="AE181">
        <f t="shared" si="31"/>
        <v>0</v>
      </c>
    </row>
    <row r="182" spans="2:31" ht="15.75" hidden="1"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1.88</v>
      </c>
      <c r="W182" s="5"/>
      <c r="AE182">
        <f>SUM(AE172:AE181)</f>
        <v>1.2</v>
      </c>
    </row>
    <row r="183" spans="2:31" ht="15.75" hidden="1" thickBot="1">
      <c r="B183" s="5" t="s">
        <v>247</v>
      </c>
      <c r="I183" s="192">
        <v>7</v>
      </c>
      <c r="J183" s="481"/>
      <c r="K183" s="482"/>
      <c r="S183" s="34"/>
      <c r="AB183" s="5" t="s">
        <v>247</v>
      </c>
    </row>
    <row r="184" spans="2:31" ht="15.75" hidden="1" thickBot="1">
      <c r="B184" s="175">
        <v>6</v>
      </c>
      <c r="C184" s="365" t="str" cm="1">
        <f t="array" ref="C184:D185">IF(D157,_xlfn._xlws.FILTER(CHOOSE({1,2},BCurrLiabs[Account],BCurrLiabs[Amt]),BCurrLiabs[Used]=1,{"",""}),_xlfn._xlws.FILTER(FSBuilder[[Account or Explanation]:[Amount]],(FSBuilder[Statement]="Beginning Balance Sheet")*(FSBuilder[Category]="  Current Liabilities"),{"",""}))</f>
        <v>Interest Payable</v>
      </c>
      <c r="D184" s="381">
        <v>0</v>
      </c>
      <c r="E184">
        <f>IF(D184&lt;&gt;"",ABS(D184),0)</f>
        <v>0</v>
      </c>
      <c r="I184" s="192">
        <v>7</v>
      </c>
      <c r="J184" s="481"/>
      <c r="K184" s="482"/>
      <c r="R184" s="5" t="s">
        <v>248</v>
      </c>
      <c r="S184" cm="1">
        <f t="array" aca="1" ref="S184" ca="1">IF(MAX(ABS(S185:S187)&gt;0),1,0)</f>
        <v>0</v>
      </c>
      <c r="AB184" s="175">
        <v>6</v>
      </c>
      <c r="AC184" s="365" t="str" cm="1">
        <f t="array" ref="AC184:AD185">IF(AD157,_xlfn._xlws.FILTER(CHOOSE({1,2},ECurrLiabs[Account],ECurrLiabs[AmtJournal]),ECurrLiabs[Used]=1,{"",""}),_xlfn._xlws.FILTER(FSBuilder[[Account or Explanation]:[Amount]],(FSBuilder[Statement]="Ending Balance Sheet")*(FSBuilder[Category]="  Current Liabilities"),{"",""}))</f>
        <v>Interest Payable</v>
      </c>
      <c r="AD184" s="381">
        <v>0</v>
      </c>
      <c r="AE184">
        <f>IF(AD184&lt;&gt;"",ABS(AD184),0)</f>
        <v>0</v>
      </c>
    </row>
    <row r="185" spans="2:31" ht="15.75" hidden="1" thickBot="1">
      <c r="B185" s="96">
        <v>7</v>
      </c>
      <c r="C185" t="str">
        <v>Dividends Payable</v>
      </c>
      <c r="D185" s="173">
        <v>0</v>
      </c>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218</v>
      </c>
      <c r="V185" s="192"/>
      <c r="W185" t="b">
        <f>SUM(W186:W204)&gt;0.000001</f>
        <v>0</v>
      </c>
      <c r="AB185" s="96">
        <v>7</v>
      </c>
      <c r="AC185" t="str">
        <v>Dividends Payable</v>
      </c>
      <c r="AD185" s="173">
        <v>0</v>
      </c>
      <c r="AE185">
        <f t="shared" ref="AE185:AE193" si="34">ABS(AD185)</f>
        <v>0</v>
      </c>
    </row>
    <row r="186" spans="2:31" hidden="1">
      <c r="B186" s="96">
        <v>7</v>
      </c>
      <c r="D186" s="173"/>
      <c r="E186">
        <f t="shared" si="33"/>
        <v>0</v>
      </c>
      <c r="I186" s="192">
        <v>7</v>
      </c>
      <c r="J186" s="481"/>
      <c r="K186" s="482"/>
      <c r="P186" t="b">
        <f ca="1">IF(OR(S186=0,S186=""),FALSE,TRUE)</f>
        <v>0</v>
      </c>
      <c r="Q186">
        <v>7</v>
      </c>
      <c r="R186" s="96" t="s">
        <v>249</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D186" s="173"/>
      <c r="AE186">
        <f t="shared" si="34"/>
        <v>0</v>
      </c>
    </row>
    <row r="187" spans="2:31" ht="15.75" hidden="1" thickBot="1">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hidden="1" thickBot="1">
      <c r="B189" s="96">
        <v>7</v>
      </c>
      <c r="D189" s="173"/>
      <c r="E189">
        <f t="shared" si="33"/>
        <v>0</v>
      </c>
      <c r="I189" s="192">
        <v>7</v>
      </c>
      <c r="J189" s="481"/>
      <c r="K189" s="482"/>
      <c r="R189" s="5" t="s">
        <v>250</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c r="B191" s="96">
        <v>7</v>
      </c>
      <c r="D191" s="173"/>
      <c r="E191">
        <f t="shared" si="33"/>
        <v>0</v>
      </c>
      <c r="I191" s="192">
        <v>7</v>
      </c>
      <c r="J191" s="483"/>
      <c r="K191" s="485"/>
      <c r="P191" t="b">
        <f t="shared" ref="P191:P192" ca="1" si="37">IF(OR(S191=0,S191=""),FALSE,TRUE)</f>
        <v>0</v>
      </c>
      <c r="Q191">
        <v>7</v>
      </c>
      <c r="R191" s="96" t="s">
        <v>251</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252</v>
      </c>
      <c r="S192" s="173">
        <f ca="1">IF($S$157,FSConstruction!$AF$14,FSConstruction!$AH$14)</f>
        <v>0</v>
      </c>
      <c r="T192" s="192">
        <v>7</v>
      </c>
      <c r="U192" s="481"/>
      <c r="V192" s="482"/>
      <c r="W192">
        <f t="shared" si="35"/>
        <v>0</v>
      </c>
      <c r="X192" t="b">
        <f t="shared" si="36"/>
        <v>0</v>
      </c>
      <c r="AB192" s="96">
        <v>7</v>
      </c>
      <c r="AD192" s="173"/>
      <c r="AE192">
        <f t="shared" si="34"/>
        <v>0</v>
      </c>
    </row>
    <row r="193" spans="2:31" ht="15.7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0</v>
      </c>
    </row>
    <row r="195" spans="2:31" ht="15.75" hidden="1" thickBot="1">
      <c r="B195" s="5" t="s">
        <v>208</v>
      </c>
      <c r="I195" s="5" t="s">
        <v>45</v>
      </c>
      <c r="L195" s="372" t="b">
        <f>COUNTIF(JournalAnswer[Accnt Type],"Gain")&gt;0</f>
        <v>0</v>
      </c>
      <c r="M195" s="372"/>
      <c r="N195" t="s">
        <v>236</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208</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Notes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238</v>
      </c>
      <c r="P196" t="b">
        <v>1</v>
      </c>
      <c r="Q196">
        <v>2</v>
      </c>
      <c r="R196" t="str">
        <f>"Total Shareholders' Equity @ "&amp;EndDate</f>
        <v>Total Shareholders' Equity @ 12/31/20x4</v>
      </c>
      <c r="S196" s="216">
        <f>S162+S169+S176+S182+S187+S193</f>
        <v>4.88</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Notes Payable</v>
      </c>
      <c r="AD196" s="381">
        <v>20</v>
      </c>
      <c r="AE196">
        <f>IF(AD196&lt;&gt;"",ABS(AD196),0)</f>
        <v>20</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20</v>
      </c>
    </row>
    <row r="207" spans="2:31" ht="15.75" hidden="1" thickBot="1">
      <c r="B207" s="5" t="s">
        <v>39</v>
      </c>
      <c r="I207" s="5" t="s">
        <v>46</v>
      </c>
      <c r="L207" s="372" t="b">
        <f>COUNTIF(JournalAnswer[Accnt Type],"Loss")&gt;0</f>
        <v>0</v>
      </c>
      <c r="M207" s="372"/>
      <c r="N207" t="s">
        <v>236</v>
      </c>
      <c r="AB207" s="5" t="s">
        <v>39</v>
      </c>
    </row>
    <row r="208" spans="2:31" hidden="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238</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3</v>
      </c>
      <c r="AE208">
        <f>IF(AD208&lt;&gt;"",ABS(AD208),0)</f>
        <v>3</v>
      </c>
    </row>
    <row r="209" spans="2:31" hidden="1">
      <c r="B209" s="96">
        <v>7</v>
      </c>
      <c r="C209" t="str">
        <v>Retained Earnings</v>
      </c>
      <c r="D209" s="173">
        <v>0</v>
      </c>
      <c r="E209">
        <f t="shared" ref="E209:E217" si="40">ABS(D209)</f>
        <v>0</v>
      </c>
      <c r="I209" s="192">
        <v>7</v>
      </c>
      <c r="J209" s="481"/>
      <c r="K209" s="482"/>
      <c r="AB209" s="96">
        <v>7</v>
      </c>
      <c r="AC209" t="str">
        <v>Retained Earnings</v>
      </c>
      <c r="AD209" s="173">
        <v>1.88</v>
      </c>
      <c r="AE209">
        <f t="shared" ref="AE209:AE217" si="41">ABS(AD209)</f>
        <v>1.88</v>
      </c>
    </row>
    <row r="210" spans="2:31" hidden="1">
      <c r="B210" s="96">
        <v>7</v>
      </c>
      <c r="D210" s="173"/>
      <c r="E210">
        <f t="shared" si="40"/>
        <v>0</v>
      </c>
      <c r="I210" s="192">
        <v>7</v>
      </c>
      <c r="J210" s="481"/>
      <c r="K210" s="482"/>
      <c r="AB210" s="96">
        <v>7</v>
      </c>
      <c r="AD210" s="173"/>
      <c r="AE210">
        <f t="shared" si="41"/>
        <v>0</v>
      </c>
    </row>
    <row r="211" spans="2:31" ht="15.75" hidden="1" thickBot="1">
      <c r="B211" s="96">
        <v>7</v>
      </c>
      <c r="D211" s="173"/>
      <c r="E211">
        <f t="shared" si="40"/>
        <v>0</v>
      </c>
      <c r="I211" s="192">
        <v>7</v>
      </c>
      <c r="J211" s="481"/>
      <c r="K211" s="482"/>
      <c r="T211">
        <v>3</v>
      </c>
      <c r="U211" s="372" t="s">
        <v>227</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4.88</v>
      </c>
    </row>
    <row r="219" spans="2:31" hidden="1">
      <c r="T219" s="192">
        <v>7</v>
      </c>
      <c r="U219" s="481"/>
      <c r="V219" s="482"/>
      <c r="W219">
        <f t="shared" si="42"/>
        <v>0</v>
      </c>
      <c r="X219" t="b">
        <f t="shared" si="43"/>
        <v>0</v>
      </c>
    </row>
    <row r="220" spans="2:31" ht="15.75" hidden="1" thickBot="1">
      <c r="C220" s="5"/>
      <c r="I220" s="5" t="s">
        <v>163</v>
      </c>
      <c r="T220" s="192">
        <v>7</v>
      </c>
      <c r="U220" s="481"/>
      <c r="V220" s="482"/>
      <c r="W220">
        <f t="shared" si="42"/>
        <v>0</v>
      </c>
      <c r="X220" t="b">
        <f t="shared" si="43"/>
        <v>0</v>
      </c>
      <c r="AC220" s="5" t="s">
        <v>253</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254</v>
      </c>
      <c r="AD221">
        <f>SUM(AD160:AD169)</f>
        <v>24.08</v>
      </c>
    </row>
    <row r="222" spans="2:31" hidden="1">
      <c r="H222" s="5"/>
      <c r="I222">
        <v>7</v>
      </c>
      <c r="J222" s="96"/>
      <c r="K222" s="97"/>
      <c r="T222" s="192">
        <v>7</v>
      </c>
      <c r="U222" s="481"/>
      <c r="V222" s="482"/>
      <c r="W222">
        <f t="shared" si="42"/>
        <v>0</v>
      </c>
      <c r="X222" t="b">
        <f t="shared" si="43"/>
        <v>0</v>
      </c>
      <c r="AB222">
        <v>5</v>
      </c>
      <c r="AC222" t="s">
        <v>255</v>
      </c>
      <c r="AD222">
        <f>SUM(AD172:AD181)</f>
        <v>0.8</v>
      </c>
    </row>
    <row r="223" spans="2:31" hidden="1">
      <c r="I223">
        <v>7</v>
      </c>
      <c r="J223" s="96"/>
      <c r="K223" s="97"/>
      <c r="T223" s="192">
        <v>7</v>
      </c>
      <c r="U223" s="481"/>
      <c r="V223" s="482"/>
      <c r="W223">
        <f t="shared" si="42"/>
        <v>0</v>
      </c>
      <c r="X223" t="b">
        <f t="shared" si="43"/>
        <v>0</v>
      </c>
      <c r="AB223">
        <v>3</v>
      </c>
      <c r="AC223" t="s">
        <v>256</v>
      </c>
      <c r="AD223">
        <f>AD221+AD222</f>
        <v>24.88</v>
      </c>
    </row>
    <row r="224" spans="2:31" hidden="1">
      <c r="I224">
        <v>7</v>
      </c>
      <c r="J224" s="96"/>
      <c r="K224" s="97"/>
      <c r="T224" s="192">
        <v>7</v>
      </c>
      <c r="U224" s="481"/>
      <c r="V224" s="482"/>
      <c r="W224">
        <f t="shared" si="42"/>
        <v>0</v>
      </c>
      <c r="X224" t="b">
        <f t="shared" si="43"/>
        <v>0</v>
      </c>
      <c r="AB224">
        <v>5</v>
      </c>
      <c r="AC224" t="s">
        <v>257</v>
      </c>
      <c r="AD224">
        <f>SUM(AD184:AD193)</f>
        <v>0</v>
      </c>
    </row>
    <row r="225" spans="9:30" ht="15.75" hidden="1" thickBot="1">
      <c r="I225">
        <v>7</v>
      </c>
      <c r="J225" s="98"/>
      <c r="K225" s="99"/>
      <c r="T225" s="192">
        <v>7</v>
      </c>
      <c r="U225" s="481"/>
      <c r="V225" s="482"/>
      <c r="W225">
        <f t="shared" si="42"/>
        <v>0</v>
      </c>
      <c r="X225" t="b">
        <f t="shared" si="43"/>
        <v>0</v>
      </c>
      <c r="AB225">
        <v>5</v>
      </c>
      <c r="AC225" t="s">
        <v>258</v>
      </c>
      <c r="AD225">
        <f>SUM(AD196:AD205)</f>
        <v>20</v>
      </c>
    </row>
    <row r="226" spans="9:30" hidden="1">
      <c r="T226" s="192">
        <v>7</v>
      </c>
      <c r="U226" s="481"/>
      <c r="V226" s="482"/>
      <c r="W226">
        <f t="shared" si="42"/>
        <v>0</v>
      </c>
      <c r="X226" t="b">
        <f t="shared" si="43"/>
        <v>0</v>
      </c>
      <c r="AB226">
        <v>3</v>
      </c>
      <c r="AC226" t="s">
        <v>259</v>
      </c>
      <c r="AD226">
        <f>AD224+AD225</f>
        <v>20</v>
      </c>
    </row>
    <row r="227" spans="9:30" hidden="1">
      <c r="T227" s="192">
        <v>7</v>
      </c>
      <c r="U227" s="481"/>
      <c r="V227" s="482"/>
      <c r="W227">
        <f t="shared" si="42"/>
        <v>0</v>
      </c>
      <c r="X227" t="b">
        <f t="shared" si="43"/>
        <v>0</v>
      </c>
      <c r="AB227">
        <v>3</v>
      </c>
      <c r="AC227" t="s">
        <v>260</v>
      </c>
      <c r="AD227">
        <f>SUM(AD208:AD217)</f>
        <v>4.88</v>
      </c>
    </row>
    <row r="228" spans="9:30" hidden="1">
      <c r="T228" s="192">
        <v>7</v>
      </c>
      <c r="U228" s="481"/>
      <c r="V228" s="482"/>
      <c r="W228">
        <f t="shared" si="42"/>
        <v>0</v>
      </c>
      <c r="X228" t="b">
        <f t="shared" si="43"/>
        <v>0</v>
      </c>
      <c r="AB228">
        <v>3</v>
      </c>
      <c r="AC228" t="s">
        <v>261</v>
      </c>
      <c r="AD228">
        <f>AD226+AD227</f>
        <v>24.88</v>
      </c>
    </row>
    <row r="229" spans="9:30" hidden="1">
      <c r="T229" s="192">
        <v>7</v>
      </c>
      <c r="U229" s="481"/>
      <c r="V229" s="482"/>
      <c r="W229">
        <f t="shared" si="42"/>
        <v>0</v>
      </c>
      <c r="X229" t="b">
        <f t="shared" si="43"/>
        <v>0</v>
      </c>
    </row>
    <row r="230" spans="9:30" ht="15.75" hidden="1" thickBot="1">
      <c r="T230" s="192">
        <v>7</v>
      </c>
      <c r="U230" s="483"/>
      <c r="V230" s="485"/>
      <c r="W230">
        <f t="shared" si="42"/>
        <v>0</v>
      </c>
      <c r="X230" t="b">
        <f t="shared" si="43"/>
        <v>0</v>
      </c>
    </row>
    <row r="231" spans="9:30" hidden="1"/>
    <row r="232" spans="9:30" hidden="1">
      <c r="J232" s="5"/>
      <c r="R232" s="5"/>
      <c r="T232" s="192">
        <v>2</v>
      </c>
      <c r="U232" t="str">
        <f>"Cash @ "&amp;BegDate</f>
        <v>Cash @ 12/31/20x3</v>
      </c>
      <c r="V232" s="289">
        <f>FSConstruction!F11</f>
        <v>0</v>
      </c>
    </row>
    <row r="233" spans="9:30" hidden="1">
      <c r="N233" s="5"/>
      <c r="R233" s="5"/>
      <c r="T233" s="192">
        <v>2</v>
      </c>
      <c r="U233" t="str">
        <f>"Cash @ "&amp;EndDate</f>
        <v>Cash @ 12/31/20x4</v>
      </c>
      <c r="V233" s="289">
        <f>FSConstruction!BP10</f>
        <v>17.579999999999998</v>
      </c>
    </row>
    <row r="234" spans="9:30" hidden="1">
      <c r="O234" s="216"/>
      <c r="S234" s="34"/>
    </row>
    <row r="235" spans="9:30" hidden="1">
      <c r="O235" s="216"/>
      <c r="S235" s="34"/>
      <c r="T235" s="192">
        <v>5</v>
      </c>
      <c r="U235" s="192" t="s">
        <v>262</v>
      </c>
      <c r="V235" s="491">
        <f>ROUND(SUM(V160:V178),2)</f>
        <v>0</v>
      </c>
    </row>
    <row r="236" spans="9:30" hidden="1">
      <c r="O236" s="216"/>
      <c r="T236" s="192">
        <v>5</v>
      </c>
      <c r="U236" s="192" t="s">
        <v>263</v>
      </c>
      <c r="V236" s="491">
        <f>ROUND(SUM(V186:V204),2)</f>
        <v>0</v>
      </c>
    </row>
    <row r="237" spans="9:30" hidden="1">
      <c r="O237" s="216"/>
      <c r="R237" s="5"/>
      <c r="T237" s="192">
        <v>5</v>
      </c>
      <c r="U237" s="192" t="s">
        <v>264</v>
      </c>
      <c r="V237" s="491">
        <f>ROUND(SUM(V212:V230),2)</f>
        <v>0</v>
      </c>
    </row>
    <row r="238" spans="9:30" hidden="1">
      <c r="O238" s="216"/>
    </row>
    <row r="239" spans="9:30" hidden="1">
      <c r="T239" s="192">
        <v>5</v>
      </c>
      <c r="U239" s="192" t="s">
        <v>265</v>
      </c>
      <c r="V239" s="371">
        <f>ROUND(V235+V236+V237,2)</f>
        <v>0</v>
      </c>
    </row>
    <row r="240" spans="9:30" hidden="1"/>
    <row r="241" spans="10:26" hidden="1">
      <c r="T241" s="39"/>
      <c r="U241" s="192"/>
      <c r="V241" s="192"/>
    </row>
    <row r="242" spans="10:26" ht="15.75" hidden="1" thickBot="1">
      <c r="J242" s="5"/>
      <c r="N242" s="5"/>
      <c r="T242">
        <v>1</v>
      </c>
      <c r="U242" s="372" t="s">
        <v>128</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7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cm="1">
        <f t="array" ref="I278:K278">IF(OR(ISNUMBER(SEARCH("Current Assets",$D$98)),ISNUMBER(SEARCH("Noncurrent Assets",$D$98))),B223:D223,{"","",""})</f>
        <v>0</v>
      </c>
      <c r="J278">
        <v>0</v>
      </c>
      <c r="K278">
        <v>0</v>
      </c>
    </row>
    <row r="279" spans="9:22" hidden="1">
      <c r="U279" s="372" t="s">
        <v>142</v>
      </c>
    </row>
    <row r="280" spans="9:22" hidden="1">
      <c r="T280">
        <v>2</v>
      </c>
      <c r="U280" t="s">
        <v>266</v>
      </c>
      <c r="V280" s="371">
        <f ca="1">K562</f>
        <v>1.93</v>
      </c>
    </row>
    <row r="281" spans="9:22" ht="15.7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75" hidden="1" thickBot="1">
      <c r="T301" s="192">
        <v>7</v>
      </c>
      <c r="U301" s="483"/>
      <c r="V301" s="488"/>
    </row>
    <row r="302" spans="9:22" hidden="1">
      <c r="I302" cm="1">
        <f t="array" ref="I302:K302">IF(OR(ISNUMBER(SEARCH("Current Liabilities",$D$98)),ISNUMBER(SEARCH("Noncurrent Liabilities",$D$98))),B226:D226,{"","",""})</f>
        <v>0</v>
      </c>
      <c r="J302">
        <v>0</v>
      </c>
      <c r="K302">
        <v>0</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cm="1">
        <f t="array" ref="I314:K314">IF(OR(ISNUMBER(SEARCH("Current Liabilities",$D$98)),ISNUMBER(SEARCH("Noncurrent Liabilities",$D$98)),K256),B228:D228,{"","",""})</f>
        <v>0</v>
      </c>
      <c r="J314">
        <v>0</v>
      </c>
      <c r="K314">
        <v>0</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75" hidden="1" thickBot="1">
      <c r="T331" s="192">
        <v>7</v>
      </c>
      <c r="U331" s="483"/>
      <c r="V331" s="488"/>
    </row>
    <row r="332" spans="20:22" hidden="1">
      <c r="T332" s="39"/>
      <c r="U332" s="5"/>
    </row>
    <row r="333" spans="20:22" hidden="1">
      <c r="T333" s="192">
        <v>2</v>
      </c>
      <c r="U333" s="192" t="s">
        <v>161</v>
      </c>
      <c r="V333" s="491">
        <f ca="1">SUM(V280:V331)</f>
        <v>1.93</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267</v>
      </c>
      <c r="L401" s="521"/>
      <c r="M401" s="521"/>
    </row>
    <row r="402" spans="2:26" hidden="1">
      <c r="J402" t="s">
        <v>268</v>
      </c>
      <c r="N402" s="5" t="s">
        <v>269</v>
      </c>
      <c r="R402" s="5" t="s">
        <v>270</v>
      </c>
      <c r="U402" s="5" t="s">
        <v>271</v>
      </c>
      <c r="Y402" s="5" t="s">
        <v>272</v>
      </c>
    </row>
    <row r="403" spans="2:26" hidden="1">
      <c r="J403" s="5" t="s">
        <v>273</v>
      </c>
      <c r="K403" s="5" t="b">
        <f>NOT(ISNUMBER(MATCH(FALSE,K405:K487,0)))</f>
        <v>1</v>
      </c>
      <c r="N403" s="5" t="s">
        <v>273</v>
      </c>
      <c r="O403" s="5" t="b">
        <f>NOT(ISNUMBER(MATCH(FALSE,O405:O487,0)))</f>
        <v>1</v>
      </c>
      <c r="R403" s="5" t="s">
        <v>273</v>
      </c>
      <c r="S403" s="5" t="b">
        <f>NOT(ISNUMBER(MATCH(FALSE,S405:S487,0)))</f>
        <v>1</v>
      </c>
      <c r="U403" s="5" t="s">
        <v>273</v>
      </c>
      <c r="V403" s="5" t="b">
        <f>NOT(ISNUMBER(MATCH(FALSE,V405:V487,0)))</f>
        <v>1</v>
      </c>
      <c r="Y403" s="5" t="s">
        <v>274</v>
      </c>
      <c r="Z403" s="5" t="b">
        <f>NOT(ISNUMBER(MATCH(FALSE,Z405:Z487,0)))</f>
        <v>0</v>
      </c>
    </row>
    <row r="404" spans="2:26" ht="15.75" hidden="1" thickBot="1">
      <c r="K404" s="5" t="s">
        <v>275</v>
      </c>
      <c r="Z404" s="5" t="s">
        <v>275</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12/31/20x30</v>
      </c>
      <c r="S405" s="174"/>
      <c r="U405" s="175" t="str">
        <f t="shared" ref="U405:U436" si="47">IF(U7&lt;&gt;"",U7&amp;V7,"")</f>
        <v>Cash @ 12/31/20x30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Sales25</v>
      </c>
      <c r="O407" s="97"/>
      <c r="R407" s="96" t="str">
        <f t="shared" ca="1"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 xml:space="preserve">  Total Revenues25</v>
      </c>
      <c r="O408" s="97"/>
      <c r="R408" s="96" t="str">
        <f t="shared" ca="1" si="46"/>
        <v>Balance @ 12/31/20x30</v>
      </c>
      <c r="S408" s="97"/>
      <c r="U408" s="96" t="str">
        <f t="shared" si="47"/>
        <v/>
      </c>
      <c r="V408" s="97"/>
      <c r="Y408" s="96" t="str">
        <f t="shared" si="48"/>
        <v>Cash17.58</v>
      </c>
      <c r="Z408" s="97" t="b">
        <f>IF(Y408&lt;&gt;"",ISNUMBER(MATCH(Y408,FSAnswers!$T$100:$T$200,0)),"")</f>
        <v>1</v>
      </c>
    </row>
    <row r="409" spans="2:26" hidden="1">
      <c r="J409" s="96" t="str">
        <f t="shared" si="44"/>
        <v>Accounts Receivable0</v>
      </c>
      <c r="K409" s="97" t="b">
        <f>IF(J409&lt;&gt;"",ISNUMBER(MATCH(J409,FSAnswers!$C$97:$C$151,0)),"")</f>
        <v>1</v>
      </c>
      <c r="N409" s="96" t="str">
        <f t="shared" ca="1" si="45"/>
        <v/>
      </c>
      <c r="O409" s="97"/>
      <c r="R409" s="96" t="str">
        <f t="shared" ca="1" si="46"/>
        <v>Issued common stock3</v>
      </c>
      <c r="S409" s="97"/>
      <c r="U409" s="96" t="str">
        <f t="shared" si="47"/>
        <v/>
      </c>
      <c r="V409" s="97"/>
      <c r="Y409" s="96" t="str">
        <f t="shared" si="48"/>
        <v>Accounts Receivable4.5</v>
      </c>
      <c r="Z409" s="97" t="b">
        <f>IF(Y409&lt;&gt;"",ISNUMBER(MATCH(Y409,FSAnswers!$T$100:$T$200,0)),"")</f>
        <v>1</v>
      </c>
    </row>
    <row r="410" spans="2:26" hidden="1">
      <c r="J410" s="96" t="str">
        <f t="shared" si="44"/>
        <v>Inventories0</v>
      </c>
      <c r="K410" s="97" t="b">
        <f>IF(J410&lt;&gt;"",ISNUMBER(MATCH(J410,FSAnswers!$C$97:$C$151,0)),"")</f>
        <v>1</v>
      </c>
      <c r="N410" s="96" t="str">
        <f t="shared" ca="1" si="45"/>
        <v>Expenses</v>
      </c>
      <c r="O410" s="97"/>
      <c r="R410" s="96" t="str">
        <f t="shared" ca="1" si="46"/>
        <v>Balance @ 12/31/20x43</v>
      </c>
      <c r="S410" s="97"/>
      <c r="U410" s="96" t="str">
        <f t="shared" si="47"/>
        <v/>
      </c>
      <c r="V410" s="97"/>
      <c r="Y410" s="96" t="str">
        <f t="shared" si="48"/>
        <v>Inventories2</v>
      </c>
      <c r="Z410" s="97" t="b">
        <f>IF(Y410&lt;&gt;"",ISNUMBER(MATCH(Y410,FSAnswers!$T$100:$T$200,0)),"")</f>
        <v>1</v>
      </c>
    </row>
    <row r="411" spans="2:26" hidden="1">
      <c r="J411" s="96" t="str">
        <f t="shared" si="44"/>
        <v xml:space="preserve">  Total Current Assets0</v>
      </c>
      <c r="K411" s="97" t="b">
        <f>IF(J411&lt;&gt;"",ISNUMBER(MATCH(J411,FSAnswers!$C$97:$C$151,0)),"")</f>
        <v>1</v>
      </c>
      <c r="N411" s="96" t="str">
        <f t="shared" ca="1" si="45"/>
        <v/>
      </c>
      <c r="O411" s="97"/>
      <c r="R411" s="96" t="str">
        <f t="shared" ca="1" si="46"/>
        <v>Retained Earnings</v>
      </c>
      <c r="S411" s="97"/>
      <c r="U411" s="96" t="str">
        <f t="shared" si="47"/>
        <v/>
      </c>
      <c r="V411" s="97"/>
      <c r="Y411" s="96" t="str">
        <f t="shared" si="48"/>
        <v xml:space="preserve">  Total Current Assets24.08</v>
      </c>
      <c r="Z411" s="97" t="b">
        <f>IF(Y411&lt;&gt;"",ISNUMBER(MATCH(Y411,FSAnswers!$T$100:$T$200,0)),"")</f>
        <v>1</v>
      </c>
    </row>
    <row r="412" spans="2:26" hidden="1">
      <c r="J412" s="96" t="str">
        <f t="shared" si="44"/>
        <v/>
      </c>
      <c r="K412" s="97" t="str">
        <f>IF(J412&lt;&gt;"",ISNUMBER(MATCH(J412,FSAnswers!$C$97:$C$151,0)),"")</f>
        <v/>
      </c>
      <c r="N412" s="96" t="str">
        <f t="shared" ca="1" si="45"/>
        <v>Cost of Goods Sold18</v>
      </c>
      <c r="O412" s="97"/>
      <c r="R412" s="96" t="str">
        <f t="shared" ca="1" si="46"/>
        <v>Balance @ 12/31/20x30</v>
      </c>
      <c r="S412" s="97"/>
      <c r="U412" s="96" t="str">
        <f t="shared" si="47"/>
        <v/>
      </c>
      <c r="V412" s="97"/>
      <c r="Y412" s="96" t="str">
        <f t="shared" si="48"/>
        <v/>
      </c>
      <c r="Z412" s="97" t="str">
        <f>IF(Y412&lt;&gt;"",ISNUMBER(MATCH(Y412,FSAnswers!$T$100:$T$200,0)),"")</f>
        <v/>
      </c>
    </row>
    <row r="413" spans="2:26" hidden="1">
      <c r="J413" s="96" t="str">
        <f t="shared" si="44"/>
        <v xml:space="preserve"> Noncurrent Assets:</v>
      </c>
      <c r="K413" s="97" t="b">
        <f>IF(J413&lt;&gt;"",ISNUMBER(MATCH(J413,FSAnswers!$C$97:$C$151,0)),"")</f>
        <v>1</v>
      </c>
      <c r="N413" s="96" t="str">
        <f t="shared" ca="1" si="45"/>
        <v>Interest Expense1.87</v>
      </c>
      <c r="O413" s="97"/>
      <c r="R413" s="96" t="str">
        <f t="shared" ca="1" si="46"/>
        <v>Declared Dividends-0.05</v>
      </c>
      <c r="S413" s="97"/>
      <c r="U413" s="96" t="str">
        <f t="shared" si="47"/>
        <v/>
      </c>
      <c r="V413" s="97"/>
      <c r="Y413" s="96" t="str">
        <f t="shared" si="48"/>
        <v xml:space="preserve"> Noncurrent Assets:</v>
      </c>
      <c r="Z413" s="97" t="b">
        <f>IF(Y413&lt;&gt;"",ISNUMBER(MATCH(Y413,FSAnswers!$T$100:$T$200,0)),"")</f>
        <v>1</v>
      </c>
    </row>
    <row r="414" spans="2:26" hidden="1">
      <c r="J414" s="96" t="str">
        <f t="shared" si="44"/>
        <v>Property, Plant &amp; Equipment0</v>
      </c>
      <c r="K414" s="97" t="b">
        <f>IF(J414&lt;&gt;"",ISNUMBER(MATCH(J414,FSAnswers!$C$97:$C$151,0)),"")</f>
        <v>1</v>
      </c>
      <c r="N414" s="96" t="str">
        <f t="shared" ca="1" si="45"/>
        <v>Depreciation Expense0.2</v>
      </c>
      <c r="O414" s="97"/>
      <c r="R414" s="96" t="str">
        <f t="shared" ca="1" si="46"/>
        <v>Net Income (Loss)1.93</v>
      </c>
      <c r="S414" s="97"/>
      <c r="U414" s="96" t="str">
        <f t="shared" si="47"/>
        <v/>
      </c>
      <c r="V414" s="97"/>
      <c r="Y414" s="96" t="str">
        <f t="shared" si="48"/>
        <v>Property, Plant &amp; Equipment1</v>
      </c>
      <c r="Z414" s="97" t="b">
        <f>IF(Y414&lt;&gt;"",ISNUMBER(MATCH(Y414,FSAnswers!$T$100:$T$200,0)),"")</f>
        <v>1</v>
      </c>
    </row>
    <row r="415" spans="2:26" hidden="1">
      <c r="J415" s="96" t="str">
        <f t="shared" si="44"/>
        <v>Accumulated Depreciation0</v>
      </c>
      <c r="K415" s="97" t="b">
        <f>IF(J415&lt;&gt;"",ISNUMBER(MATCH(J415,FSAnswers!$C$97:$C$151,0)),"")</f>
        <v>1</v>
      </c>
      <c r="N415" s="96" t="str">
        <f t="shared" ca="1" si="45"/>
        <v>Salaries &amp; Wages Expense3</v>
      </c>
      <c r="O415" s="97"/>
      <c r="R415" s="96" t="str">
        <f t="shared" ca="1" si="46"/>
        <v>Balance @ 12/31/20x41.88</v>
      </c>
      <c r="S415" s="97"/>
      <c r="U415" s="96" t="str">
        <f t="shared" si="47"/>
        <v>Cash @ 12/31/20x417.58</v>
      </c>
      <c r="V415" s="97"/>
      <c r="Y415" s="96" t="str">
        <f t="shared" si="48"/>
        <v>Accumulated Depreciation-0.2</v>
      </c>
      <c r="Z415" s="97" t="b">
        <f>IF(Y415&lt;&gt;"",ISNUMBER(MATCH(Y415,FSAnswers!$T$100:$T$200,0)),"")</f>
        <v>1</v>
      </c>
    </row>
    <row r="416" spans="2:26" hidden="1">
      <c r="J416" s="96" t="str">
        <f t="shared" si="44"/>
        <v xml:space="preserve">  Total Noncurrent Assets0</v>
      </c>
      <c r="K416" s="97" t="b">
        <f>IF(J416&lt;&gt;"",ISNUMBER(MATCH(J416,FSAnswers!$C$97:$C$151,0)),"")</f>
        <v>1</v>
      </c>
      <c r="N416" s="96" t="str">
        <f t="shared" ca="1" si="45"/>
        <v xml:space="preserve">  Total Expenses23.07</v>
      </c>
      <c r="O416" s="97"/>
      <c r="R416" s="96" t="str">
        <f t="shared" ca="1" si="46"/>
        <v>Total Shareholders' Equity @ 12/31/20x44.88</v>
      </c>
      <c r="S416" s="97"/>
      <c r="U416" s="96" t="str">
        <f t="shared" si="47"/>
        <v/>
      </c>
      <c r="V416" s="97"/>
      <c r="Y416" s="96" t="str">
        <f t="shared" si="48"/>
        <v xml:space="preserve">  Total Noncurrent Assets0.8</v>
      </c>
      <c r="Z416" s="97" t="b">
        <f>IF(Y416&lt;&gt;"",ISNUMBER(MATCH(Y416,FSAnswers!$T$100:$T$200,0)),"")</f>
        <v>1</v>
      </c>
    </row>
    <row r="417" spans="10:26" hidden="1">
      <c r="J417" s="96" t="str">
        <f t="shared" si="44"/>
        <v/>
      </c>
      <c r="K417" s="97" t="str">
        <f>IF(J417&lt;&gt;"",ISNUMBER(MATCH(J417,FSAnswers!$C$97:$C$151,0)),"")</f>
        <v/>
      </c>
      <c r="N417" s="96" t="str">
        <f t="shared" ca="1" si="45"/>
        <v/>
      </c>
      <c r="O417" s="97"/>
      <c r="R417" s="96" t="str">
        <f t="shared" ca="1" si="46"/>
        <v/>
      </c>
      <c r="S417" s="97"/>
      <c r="U417" s="96" t="str">
        <f t="shared" si="47"/>
        <v/>
      </c>
      <c r="V417" s="97"/>
      <c r="Y417" s="96" t="str">
        <f t="shared" si="48"/>
        <v/>
      </c>
      <c r="Z417" s="97" t="str">
        <f>IF(Y417&lt;&gt;"",ISNUMBER(MATCH(Y417,FSAnswers!$T$100:$T$200,0)),"")</f>
        <v/>
      </c>
    </row>
    <row r="418" spans="10:26" hidden="1">
      <c r="J418" s="96" t="str">
        <f t="shared" si="44"/>
        <v>Total Assets0</v>
      </c>
      <c r="K418" s="97" t="b">
        <f>IF(J418&lt;&gt;"",ISNUMBER(MATCH(J418,FSAnswers!$C$97:$C$151,0)),"")</f>
        <v>1</v>
      </c>
      <c r="N418" s="96" t="str">
        <f t="shared" ca="1" si="45"/>
        <v>Net Income1.93</v>
      </c>
      <c r="O418" s="97"/>
      <c r="R418" s="96" t="str">
        <f t="shared" si="46"/>
        <v/>
      </c>
      <c r="S418" s="97"/>
      <c r="U418" s="96" t="str">
        <f t="shared" si="47"/>
        <v/>
      </c>
      <c r="V418" s="97"/>
      <c r="Y418" s="96" t="str">
        <f t="shared" si="48"/>
        <v>Total Assets24.88</v>
      </c>
      <c r="Z418" s="97" t="b">
        <f>IF(Y418&lt;&gt;"",ISNUMBER(MATCH(Y418,FSAnswers!$T$100:$T$200,0)),"")</f>
        <v>1</v>
      </c>
    </row>
    <row r="419" spans="10:26" hidden="1">
      <c r="J419" s="96" t="str">
        <f t="shared" si="44"/>
        <v/>
      </c>
      <c r="K419" s="97" t="str">
        <f>IF(J419&lt;&gt;"",ISNUMBER(MATCH(J419,FSAnswers!$C$97:$C$151,0)),"")</f>
        <v/>
      </c>
      <c r="N419" s="96" t="str">
        <f t="shared" ca="1" si="45"/>
        <v/>
      </c>
      <c r="O419" s="97"/>
      <c r="R419" s="96" t="str">
        <f t="shared" si="46"/>
        <v/>
      </c>
      <c r="S419" s="97"/>
      <c r="U419" s="96" t="str">
        <f t="shared" si="47"/>
        <v/>
      </c>
      <c r="V419" s="97"/>
      <c r="Y419" s="96" t="str">
        <f t="shared" si="48"/>
        <v/>
      </c>
      <c r="Z419" s="97" t="str">
        <f>IF(Y419&lt;&gt;"",ISNUMBER(MATCH(Y419,FSAnswers!$T$100:$T$200,0)),"")</f>
        <v/>
      </c>
    </row>
    <row r="420" spans="10:26" hidden="1">
      <c r="J420" s="96" t="str">
        <f t="shared" si="44"/>
        <v>Liabilities</v>
      </c>
      <c r="K420" s="97" t="b">
        <f>IF(J420&lt;&gt;"",ISNUMBER(MATCH(J420,FSAnswers!$C$97:$C$151,0)),"")</f>
        <v>1</v>
      </c>
      <c r="N420" s="96" t="str">
        <f t="shared" ca="1" si="45"/>
        <v/>
      </c>
      <c r="O420" s="97"/>
      <c r="R420" s="96" t="str">
        <f t="shared" si="46"/>
        <v/>
      </c>
      <c r="S420" s="97"/>
      <c r="U420" s="96" t="str">
        <f t="shared" si="47"/>
        <v/>
      </c>
      <c r="V420" s="97"/>
      <c r="Y420" s="96" t="str">
        <f t="shared" si="48"/>
        <v>Liabilities</v>
      </c>
      <c r="Z420" s="97" t="b">
        <f>IF(Y420&lt;&gt;"",ISNUMBER(MATCH(Y420,FSAnswers!$T$100:$T$200,0)),"")</f>
        <v>1</v>
      </c>
    </row>
    <row r="421" spans="10:26" hidden="1">
      <c r="J421" s="96" t="str">
        <f t="shared" si="44"/>
        <v/>
      </c>
      <c r="K421" s="97" t="str">
        <f>IF(J421&lt;&gt;"",ISNUMBER(MATCH(J421,FSAnswers!$C$97:$C$151,0)),"")</f>
        <v/>
      </c>
      <c r="N421" s="96" t="str">
        <f t="shared" ca="1" si="45"/>
        <v/>
      </c>
      <c r="O421" s="97"/>
      <c r="R421" s="96" t="str">
        <f t="shared" si="46"/>
        <v/>
      </c>
      <c r="S421" s="97"/>
      <c r="U421" s="96" t="str">
        <f t="shared" si="47"/>
        <v/>
      </c>
      <c r="V421" s="97"/>
      <c r="Y421" s="96" t="str">
        <f t="shared" si="48"/>
        <v/>
      </c>
      <c r="Z421" s="97" t="str">
        <f>IF(Y421&lt;&gt;"",ISNUMBER(MATCH(Y421,FSAnswers!$T$100:$T$200,0)),"")</f>
        <v/>
      </c>
    </row>
    <row r="422" spans="10:26" hidden="1">
      <c r="J422" s="96" t="str">
        <f t="shared" si="44"/>
        <v xml:space="preserve"> Current Liabilities:</v>
      </c>
      <c r="K422" s="97" t="b">
        <f>IF(J422&lt;&gt;"",ISNUMBER(MATCH(J422,FSAnswers!$C$97:$C$151,0)),"")</f>
        <v>1</v>
      </c>
      <c r="N422" s="96" t="str">
        <f t="shared" ca="1" si="45"/>
        <v/>
      </c>
      <c r="O422" s="97"/>
      <c r="R422" s="96" t="str">
        <f t="shared" si="46"/>
        <v/>
      </c>
      <c r="S422" s="97"/>
      <c r="U422" s="96" t="str">
        <f t="shared" si="47"/>
        <v/>
      </c>
      <c r="V422" s="97"/>
      <c r="Y422" s="96" t="str">
        <f t="shared" si="48"/>
        <v xml:space="preserve"> Current Liabilities:</v>
      </c>
      <c r="Z422" s="97" t="b">
        <f>IF(Y422&lt;&gt;"",ISNUMBER(MATCH(Y422,FSAnswers!$T$100:$T$200,0)),"")</f>
        <v>0</v>
      </c>
    </row>
    <row r="423" spans="10:26" hidden="1">
      <c r="J423" s="96" t="str">
        <f t="shared" si="44"/>
        <v>Interest Payable0</v>
      </c>
      <c r="K423" s="97" t="b">
        <f>IF(J423&lt;&gt;"",ISNUMBER(MATCH(J423,FSAnswers!$C$97:$C$151,0)),"")</f>
        <v>1</v>
      </c>
      <c r="N423" s="96" t="str">
        <f t="shared" ca="1" si="45"/>
        <v/>
      </c>
      <c r="O423" s="97"/>
      <c r="R423" s="96" t="str">
        <f t="shared" si="46"/>
        <v/>
      </c>
      <c r="S423" s="97"/>
      <c r="U423" s="96" t="str">
        <f t="shared" si="47"/>
        <v/>
      </c>
      <c r="V423" s="97"/>
      <c r="Y423" s="96" t="str">
        <f t="shared" si="48"/>
        <v>Interest Payable0</v>
      </c>
      <c r="Z423" s="97" t="b">
        <f>IF(Y423&lt;&gt;"",ISNUMBER(MATCH(Y423,FSAnswers!$T$100:$T$200,0)),"")</f>
        <v>0</v>
      </c>
    </row>
    <row r="424" spans="10:26" hidden="1">
      <c r="J424" s="96" t="str">
        <f t="shared" si="44"/>
        <v>Dividends Payable0</v>
      </c>
      <c r="K424" s="97" t="b">
        <f>IF(J424&lt;&gt;"",ISNUMBER(MATCH(J424,FSAnswers!$C$97:$C$151,0)),"")</f>
        <v>1</v>
      </c>
      <c r="N424" s="96" t="str">
        <f t="shared" ca="1" si="45"/>
        <v/>
      </c>
      <c r="O424" s="97"/>
      <c r="R424" s="96" t="str">
        <f t="shared" si="46"/>
        <v/>
      </c>
      <c r="S424" s="97"/>
      <c r="U424" s="96" t="str">
        <f t="shared" si="47"/>
        <v/>
      </c>
      <c r="V424" s="97"/>
      <c r="Y424" s="96" t="str">
        <f t="shared" si="48"/>
        <v>Dividends Payable0</v>
      </c>
      <c r="Z424" s="97" t="b">
        <f>IF(Y424&lt;&gt;"",ISNUMBER(MATCH(Y424,FSAnswers!$T$100:$T$200,0)),"")</f>
        <v>0</v>
      </c>
    </row>
    <row r="425" spans="10:26" hidden="1">
      <c r="J425" s="96" t="str">
        <f t="shared" si="44"/>
        <v xml:space="preserve">  Total Current Liabilities0</v>
      </c>
      <c r="K425" s="97" t="b">
        <f>IF(J425&lt;&gt;"",ISNUMBER(MATCH(J425,FSAnswers!$C$97:$C$151,0)),"")</f>
        <v>1</v>
      </c>
      <c r="N425" s="96" t="str">
        <f t="shared" ca="1" si="45"/>
        <v/>
      </c>
      <c r="O425" s="97"/>
      <c r="R425" s="96" t="str">
        <f t="shared" si="46"/>
        <v/>
      </c>
      <c r="S425" s="97"/>
      <c r="U425" s="96" t="str">
        <f t="shared" si="47"/>
        <v/>
      </c>
      <c r="V425" s="97"/>
      <c r="Y425" s="96" t="str">
        <f t="shared" si="48"/>
        <v xml:space="preserve">  Total Current Liabilities0</v>
      </c>
      <c r="Z425" s="97" t="b">
        <f>IF(Y425&lt;&gt;"",ISNUMBER(MATCH(Y425,FSAnswers!$T$100:$T$200,0)),"")</f>
        <v>0</v>
      </c>
    </row>
    <row r="426" spans="10:26" hidden="1">
      <c r="J426" s="96" t="str">
        <f t="shared" si="44"/>
        <v/>
      </c>
      <c r="K426" s="97" t="str">
        <f>IF(J426&lt;&gt;"",ISNUMBER(MATCH(J426,FSAnswers!$C$97:$C$151,0)),"")</f>
        <v/>
      </c>
      <c r="N426" s="96" t="str">
        <f t="shared" ca="1" si="45"/>
        <v/>
      </c>
      <c r="O426" s="97"/>
      <c r="R426" s="96" t="str">
        <f t="shared" si="46"/>
        <v/>
      </c>
      <c r="S426" s="97"/>
      <c r="U426" s="96" t="str">
        <f t="shared" si="47"/>
        <v/>
      </c>
      <c r="V426" s="97"/>
      <c r="Y426" s="96" t="str">
        <f t="shared" si="48"/>
        <v/>
      </c>
      <c r="Z426" s="97" t="str">
        <f>IF(Y426&lt;&gt;"",ISNUMBER(MATCH(Y426,FSAnswers!$T$100:$T$200,0)),"")</f>
        <v/>
      </c>
    </row>
    <row r="427" spans="10:26" hidden="1">
      <c r="J427" s="96" t="str">
        <f t="shared" si="44"/>
        <v xml:space="preserve"> Noncurrent Liabilities:</v>
      </c>
      <c r="K427" s="97" t="b">
        <f>IF(J427&lt;&gt;"",ISNUMBER(MATCH(J427,FSAnswers!$C$97:$C$151,0)),"")</f>
        <v>1</v>
      </c>
      <c r="N427" s="96" t="str">
        <f t="shared" ca="1" si="45"/>
        <v/>
      </c>
      <c r="O427" s="97"/>
      <c r="R427" s="96" t="str">
        <f t="shared" si="46"/>
        <v/>
      </c>
      <c r="S427" s="97"/>
      <c r="U427" s="96" t="str">
        <f t="shared" si="47"/>
        <v/>
      </c>
      <c r="V427" s="97"/>
      <c r="Y427" s="96" t="str">
        <f t="shared" si="48"/>
        <v xml:space="preserve"> Noncurrent Liabilities:</v>
      </c>
      <c r="Z427" s="97" t="b">
        <f>IF(Y427&lt;&gt;"",ISNUMBER(MATCH(Y427,FSAnswers!$T$100:$T$200,0)),"")</f>
        <v>1</v>
      </c>
    </row>
    <row r="428" spans="10:26" hidden="1">
      <c r="J428" s="96" t="str">
        <f t="shared" si="44"/>
        <v>Notes Payable0</v>
      </c>
      <c r="K428" s="97" t="b">
        <f>IF(J428&lt;&gt;"",ISNUMBER(MATCH(J428,FSAnswers!$C$97:$C$151,0)),"")</f>
        <v>1</v>
      </c>
      <c r="N428" s="96" t="str">
        <f t="shared" ca="1" si="45"/>
        <v/>
      </c>
      <c r="O428" s="97"/>
      <c r="R428" s="96" t="str">
        <f t="shared" si="46"/>
        <v/>
      </c>
      <c r="S428" s="97"/>
      <c r="U428" s="96" t="str">
        <f t="shared" si="47"/>
        <v/>
      </c>
      <c r="V428" s="97"/>
      <c r="Y428" s="96" t="str">
        <f t="shared" si="48"/>
        <v>Notes Payable20</v>
      </c>
      <c r="Z428" s="97" t="b">
        <f>IF(Y428&lt;&gt;"",ISNUMBER(MATCH(Y428,FSAnswers!$T$100:$T$200,0)),"")</f>
        <v>1</v>
      </c>
    </row>
    <row r="429" spans="10:26" hidden="1">
      <c r="J429" s="96" t="str">
        <f t="shared" si="44"/>
        <v xml:space="preserve">  Total Noncurrent Liabilities0</v>
      </c>
      <c r="K429" s="97" t="b">
        <f>IF(J429&lt;&gt;"",ISNUMBER(MATCH(J429,FSAnswers!$C$97:$C$151,0)),"")</f>
        <v>1</v>
      </c>
      <c r="N429" s="96" t="str">
        <f t="shared" si="45"/>
        <v/>
      </c>
      <c r="O429" s="97"/>
      <c r="R429" s="96" t="str">
        <f t="shared" si="46"/>
        <v/>
      </c>
      <c r="S429" s="97"/>
      <c r="U429" s="96" t="str">
        <f t="shared" si="47"/>
        <v/>
      </c>
      <c r="V429" s="97"/>
      <c r="Y429" s="96" t="str">
        <f t="shared" si="48"/>
        <v xml:space="preserve">  Total Noncurrent Liabilities20</v>
      </c>
      <c r="Z429" s="97" t="b">
        <f>IF(Y429&lt;&gt;"",ISNUMBER(MATCH(Y429,FSAnswers!$T$100:$T$200,0)),"")</f>
        <v>1</v>
      </c>
    </row>
    <row r="430" spans="10:26" hidden="1">
      <c r="J430" s="96" t="str">
        <f t="shared" si="44"/>
        <v/>
      </c>
      <c r="K430" s="97" t="str">
        <f>IF(J430&lt;&gt;"",ISNUMBER(MATCH(J430,FSAnswers!$C$97:$C$151,0)),"")</f>
        <v/>
      </c>
      <c r="N430" s="96" t="str">
        <f t="shared" si="45"/>
        <v/>
      </c>
      <c r="O430" s="97"/>
      <c r="R430" s="96" t="str">
        <f t="shared" si="46"/>
        <v/>
      </c>
      <c r="S430" s="97"/>
      <c r="U430" s="96" t="str">
        <f t="shared" si="47"/>
        <v/>
      </c>
      <c r="V430" s="97"/>
      <c r="Y430" s="96" t="str">
        <f t="shared" si="48"/>
        <v/>
      </c>
      <c r="Z430" s="97" t="str">
        <f>IF(Y430&lt;&gt;"",ISNUMBER(MATCH(Y430,FSAnswers!$T$100:$T$200,0)),"")</f>
        <v/>
      </c>
    </row>
    <row r="431" spans="10:26" hidden="1">
      <c r="J431" s="96" t="str">
        <f t="shared" si="44"/>
        <v>Total Liabilities0</v>
      </c>
      <c r="K431" s="97" t="b">
        <f>IF(J431&lt;&gt;"",ISNUMBER(MATCH(J431,FSAnswers!$C$97:$C$151,0)),"")</f>
        <v>1</v>
      </c>
      <c r="N431" s="96" t="str">
        <f t="shared" si="45"/>
        <v/>
      </c>
      <c r="O431" s="97"/>
      <c r="R431" s="96" t="str">
        <f t="shared" si="46"/>
        <v/>
      </c>
      <c r="S431" s="97"/>
      <c r="U431" s="96" t="str">
        <f t="shared" si="47"/>
        <v/>
      </c>
      <c r="V431" s="97"/>
      <c r="Y431" s="96" t="str">
        <f t="shared" si="48"/>
        <v>Total Liabilities20</v>
      </c>
      <c r="Z431" s="97" t="b">
        <f>IF(Y431&lt;&gt;"",ISNUMBER(MATCH(Y431,FSAnswers!$T$100:$T$200,0)),"")</f>
        <v>1</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Equities</v>
      </c>
      <c r="K433" s="97" t="b">
        <f>IF(J433&lt;&gt;"",ISNUMBER(MATCH(J433,FSAnswers!$C$97:$C$151,0)),"")</f>
        <v>1</v>
      </c>
      <c r="N433" s="96" t="str">
        <f t="shared" si="45"/>
        <v/>
      </c>
      <c r="O433" s="97"/>
      <c r="R433" s="96" t="str">
        <f t="shared" si="46"/>
        <v/>
      </c>
      <c r="S433" s="97"/>
      <c r="U433" s="96" t="str">
        <f t="shared" si="47"/>
        <v/>
      </c>
      <c r="V433" s="97"/>
      <c r="Y433" s="96" t="str">
        <f t="shared" si="48"/>
        <v>Equities</v>
      </c>
      <c r="Z433" s="97" t="b">
        <f>IF(Y433&lt;&gt;"",ISNUMBER(MATCH(Y433,FSAnswers!$T$100:$T$200,0)),"")</f>
        <v>1</v>
      </c>
    </row>
    <row r="434" spans="10:26" hidden="1">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c r="J435" s="96" t="str">
        <f t="shared" si="44"/>
        <v>Common Stock0</v>
      </c>
      <c r="K435" s="97" t="b">
        <f>IF(J435&lt;&gt;"",ISNUMBER(MATCH(J435,FSAnswers!$C$97:$C$151,0)),"")</f>
        <v>1</v>
      </c>
      <c r="N435" s="96" t="str">
        <f t="shared" si="45"/>
        <v/>
      </c>
      <c r="O435" s="97"/>
      <c r="R435" s="96" t="str">
        <f t="shared" si="46"/>
        <v/>
      </c>
      <c r="S435" s="97"/>
      <c r="U435" s="96" t="str">
        <f t="shared" si="47"/>
        <v/>
      </c>
      <c r="V435" s="97"/>
      <c r="Y435" s="96" t="str">
        <f t="shared" si="48"/>
        <v>Common Stock3</v>
      </c>
      <c r="Z435" s="97" t="b">
        <f>IF(Y435&lt;&gt;"",ISNUMBER(MATCH(Y435,FSAnswers!$T$100:$T$200,0)),"")</f>
        <v>1</v>
      </c>
    </row>
    <row r="436" spans="10:26" hidden="1">
      <c r="J436" s="96" t="str">
        <f t="shared" si="44"/>
        <v>Retained Earnings0</v>
      </c>
      <c r="K436" s="97" t="b">
        <f>IF(J436&lt;&gt;"",ISNUMBER(MATCH(J436,FSAnswers!$C$97:$C$151,0)),"")</f>
        <v>1</v>
      </c>
      <c r="N436" s="96" t="str">
        <f t="shared" si="45"/>
        <v/>
      </c>
      <c r="O436" s="97"/>
      <c r="R436" s="96" t="str">
        <f t="shared" si="46"/>
        <v/>
      </c>
      <c r="S436" s="97"/>
      <c r="U436" s="96" t="str">
        <f t="shared" si="47"/>
        <v/>
      </c>
      <c r="V436" s="97"/>
      <c r="Y436" s="96" t="str">
        <f t="shared" si="48"/>
        <v>Retained Earnings1.88</v>
      </c>
      <c r="Z436" s="97" t="b">
        <f>IF(Y436&lt;&gt;"",ISNUMBER(MATCH(Y436,FSAnswers!$T$100:$T$200,0)),"")</f>
        <v>1</v>
      </c>
    </row>
    <row r="437" spans="10:26" hidden="1">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c r="J438" s="96" t="str">
        <f t="shared" si="49"/>
        <v>Total Equities0</v>
      </c>
      <c r="K438" s="97" t="b">
        <f>IF(J438&lt;&gt;"",ISNUMBER(MATCH(J438,FSAnswers!$C$97:$C$151,0)),"")</f>
        <v>1</v>
      </c>
      <c r="N438" s="96" t="str">
        <f t="shared" si="50"/>
        <v/>
      </c>
      <c r="O438" s="97"/>
      <c r="R438" s="96" t="str">
        <f t="shared" si="51"/>
        <v/>
      </c>
      <c r="S438" s="97"/>
      <c r="U438" s="96" t="str">
        <f t="shared" si="52"/>
        <v/>
      </c>
      <c r="V438" s="97"/>
      <c r="Y438" s="96" t="str">
        <f t="shared" si="53"/>
        <v>Total Equities4.88</v>
      </c>
      <c r="Z438" s="97" t="b">
        <f>IF(Y438&lt;&gt;"",ISNUMBER(MATCH(Y438,FSAnswers!$T$100:$T$200,0)),"")</f>
        <v>1</v>
      </c>
    </row>
    <row r="439" spans="10:26" hidden="1">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hidden="1">
      <c r="J440" s="96" t="str">
        <f t="shared" si="49"/>
        <v>Total Liabilities and Equities0</v>
      </c>
      <c r="K440" s="97" t="b">
        <f>IF(J440&lt;&gt;"",ISNUMBER(MATCH(J440,FSAnswers!$C$97:$C$151,0)),"")</f>
        <v>1</v>
      </c>
      <c r="N440" s="96" t="str">
        <f t="shared" si="50"/>
        <v/>
      </c>
      <c r="O440" s="97"/>
      <c r="R440" s="96" t="str">
        <f t="shared" si="51"/>
        <v/>
      </c>
      <c r="S440" s="97"/>
      <c r="U440" s="96" t="str">
        <f t="shared" si="52"/>
        <v/>
      </c>
      <c r="V440" s="97"/>
      <c r="Y440" s="96" t="str">
        <f t="shared" si="53"/>
        <v>Total Liabilities and Equities24.88</v>
      </c>
      <c r="Z440" s="97" t="b">
        <f>IF(Y440&lt;&gt;"",ISNUMBER(MATCH(Y440,FSAnswers!$T$100:$T$200,0)),"")</f>
        <v>1</v>
      </c>
    </row>
    <row r="441" spans="10:26" hidden="1">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276</v>
      </c>
      <c r="L549" s="521"/>
      <c r="M549" s="521"/>
    </row>
    <row r="550" spans="1:31" hidden="1">
      <c r="E550" s="40" t="s">
        <v>277</v>
      </c>
      <c r="L550" s="286" t="s">
        <v>277</v>
      </c>
      <c r="M550" s="286"/>
      <c r="O550" s="40" t="s">
        <v>277</v>
      </c>
      <c r="S550" s="40" t="s">
        <v>278</v>
      </c>
      <c r="AE550" s="40" t="s">
        <v>277</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279</v>
      </c>
      <c r="O551" s="5" t="b">
        <f>OR($E$108,$F$108)</f>
        <v>0</v>
      </c>
      <c r="R551" t="s">
        <v>237</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266</v>
      </c>
      <c r="O552" s="371">
        <f ca="1">ROUND(K562,2)</f>
        <v>1.93</v>
      </c>
      <c r="R552" t="s">
        <v>64</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280</v>
      </c>
      <c r="O553">
        <f ca="1">ROUND(IFERROR(O558+O560,O552),2)</f>
        <v>1.93</v>
      </c>
      <c r="R553" t="s">
        <v>243</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74</v>
      </c>
      <c r="S554" t="b">
        <f ca="1">S178=1</f>
        <v>0</v>
      </c>
    </row>
    <row r="555" spans="1:31" hidden="1">
      <c r="B555">
        <v>3</v>
      </c>
      <c r="C555" t="s">
        <v>256</v>
      </c>
      <c r="D555" s="216">
        <f>D566+D567</f>
        <v>0</v>
      </c>
      <c r="E555" t="b">
        <f>($E$170+$E$182)&gt;0.00000001</f>
        <v>0</v>
      </c>
      <c r="R555" t="s">
        <v>220</v>
      </c>
      <c r="S555" t="b">
        <f ca="1">S184=1</f>
        <v>0</v>
      </c>
      <c r="Z555" s="216"/>
      <c r="AB555">
        <v>3</v>
      </c>
      <c r="AC555" t="s">
        <v>256</v>
      </c>
      <c r="AD555" s="216">
        <f>ROUND(AD566+AD567,2)</f>
        <v>24.88</v>
      </c>
      <c r="AE555" t="b">
        <f>AD555&gt;0.00000001</f>
        <v>1</v>
      </c>
    </row>
    <row r="556" spans="1:31" hidden="1">
      <c r="B556">
        <v>3</v>
      </c>
      <c r="C556" t="s">
        <v>259</v>
      </c>
      <c r="D556" s="216">
        <f>D568+D569</f>
        <v>0</v>
      </c>
      <c r="E556" t="b">
        <f>($E$194+$E$206)&gt;0.00000001</f>
        <v>0</v>
      </c>
      <c r="R556" t="s">
        <v>250</v>
      </c>
      <c r="S556" t="b">
        <f ca="1">S189=1</f>
        <v>0</v>
      </c>
      <c r="Z556" s="216"/>
      <c r="AB556">
        <v>3</v>
      </c>
      <c r="AC556" t="s">
        <v>259</v>
      </c>
      <c r="AD556" s="216">
        <f>ROUND(AD568+AD569,2)</f>
        <v>20</v>
      </c>
      <c r="AE556" t="b">
        <f t="shared" ref="AE556:AE557" si="59">AD556&gt;0.00000001</f>
        <v>1</v>
      </c>
    </row>
    <row r="557" spans="1:31" hidden="1">
      <c r="B557">
        <v>3</v>
      </c>
      <c r="C557" t="s">
        <v>260</v>
      </c>
      <c r="D557" s="216">
        <f>SUM(D208:D217)</f>
        <v>0</v>
      </c>
      <c r="E557" t="b">
        <f>E218&gt;0.00000001</f>
        <v>0</v>
      </c>
      <c r="I557">
        <v>5</v>
      </c>
      <c r="J557" t="s">
        <v>281</v>
      </c>
      <c r="K557" s="289">
        <f ca="1">ROUND(SUM(K575:K580),2)</f>
        <v>25</v>
      </c>
      <c r="L557" s="192" t="b">
        <f ca="1">OR($K$157,AND(K121,$E$102,K557&gt;0.000001))</f>
        <v>1</v>
      </c>
      <c r="M557" s="517" t="str" cm="1">
        <f t="array" ref="M557:O557">IF(OR($E$108,$F$108),{1,"Statement of Comprehensive Income",""},{"","",""})</f>
        <v/>
      </c>
      <c r="N557" t="str">
        <v/>
      </c>
      <c r="O557" t="str">
        <v/>
      </c>
      <c r="Z557" s="216"/>
      <c r="AB557">
        <v>3</v>
      </c>
      <c r="AC557" t="s">
        <v>260</v>
      </c>
      <c r="AD557" s="216">
        <f>ROUND(SUM(AD208:AD217),2)</f>
        <v>4.88</v>
      </c>
      <c r="AE557" t="b">
        <f t="shared" si="59"/>
        <v>1</v>
      </c>
    </row>
    <row r="558" spans="1:31" hidden="1">
      <c r="B558">
        <v>3</v>
      </c>
      <c r="C558" t="s">
        <v>261</v>
      </c>
      <c r="D558" s="216">
        <f>D556+D557</f>
        <v>0</v>
      </c>
      <c r="E558" t="b">
        <f>AND(D572,D573)</f>
        <v>1</v>
      </c>
      <c r="I558">
        <v>5</v>
      </c>
      <c r="J558" t="s">
        <v>282</v>
      </c>
      <c r="K558" s="289">
        <f ca="1">ROUND(SUM(K585:K613),2)</f>
        <v>23.07</v>
      </c>
      <c r="L558" s="192" t="b">
        <f ca="1">OR($K$157,AND(K122,$E$102,K558&gt;0.000001))</f>
        <v>1</v>
      </c>
      <c r="M558" s="517" t="str" cm="1">
        <f t="array" ref="M558:O558">IF(OR($E$108,$F$108),M552:O552,{"","",""})</f>
        <v/>
      </c>
      <c r="N558" t="str">
        <v/>
      </c>
      <c r="O558" t="str">
        <v/>
      </c>
      <c r="S558" s="40" t="s">
        <v>277</v>
      </c>
      <c r="Z558" s="216"/>
      <c r="AB558">
        <v>3</v>
      </c>
      <c r="AC558" t="s">
        <v>261</v>
      </c>
      <c r="AD558" s="216">
        <f>ROUND(AD556+AD557,2)</f>
        <v>24.88</v>
      </c>
      <c r="AE558" t="b">
        <f>AND(AE556,AE557)</f>
        <v>1</v>
      </c>
    </row>
    <row r="559" spans="1:31" hidden="1">
      <c r="C559" s="5" t="s">
        <v>283</v>
      </c>
      <c r="E559" s="1" t="b">
        <f>ABS(D555-D556-D557)&lt;0.00001</f>
        <v>1</v>
      </c>
      <c r="I559">
        <v>5</v>
      </c>
      <c r="J559" t="s">
        <v>284</v>
      </c>
      <c r="K559" s="289">
        <f>ROUND(SUM(K620:K629),2)</f>
        <v>0</v>
      </c>
      <c r="L559" s="192" t="b">
        <f>OR(AND($K$157,K559&gt;0.000001),AND(K123,$E$102,K559&gt;0.000001))</f>
        <v>0</v>
      </c>
      <c r="M559" s="517" t="str" cm="1">
        <f t="array" ref="M559:O559">IF(OR($E$108,$F$108),{2,"Other Comprehensive Income:",""},{"","",""})</f>
        <v/>
      </c>
      <c r="N559" t="str">
        <v/>
      </c>
      <c r="O559" t="str">
        <v/>
      </c>
      <c r="R559" t="s">
        <v>237</v>
      </c>
      <c r="S559" t="b">
        <f ca="1">AND(S551,OR($E$103,$F$103,OR($O$118,$O$106)))</f>
        <v>0</v>
      </c>
      <c r="Y559" s="5"/>
      <c r="AC559" s="5" t="s">
        <v>283</v>
      </c>
      <c r="AE559" s="1" t="b">
        <f>ABS(AD555-AD556-AD557)&lt;0.00001</f>
        <v>1</v>
      </c>
    </row>
    <row r="560" spans="1:31" hidden="1">
      <c r="I560">
        <v>5</v>
      </c>
      <c r="J560" t="s">
        <v>285</v>
      </c>
      <c r="K560" s="289">
        <f>ROUND(SUM(K635:K644),2)</f>
        <v>0</v>
      </c>
      <c r="L560" s="192" t="b">
        <f>OR(AND($K$157,K560&gt;0.000001),AND(K124,$E$102,K560&gt;0.000001))</f>
        <v>0</v>
      </c>
      <c r="M560" s="517" t="str" cm="1">
        <f t="array" ref="M560:O560">IF(OR(AND($E$108,K128),$F$108),I221:K221,{"","",""})</f>
        <v/>
      </c>
      <c r="N560" t="str">
        <v/>
      </c>
      <c r="O560" t="str">
        <v/>
      </c>
      <c r="R560" t="s">
        <v>64</v>
      </c>
      <c r="S560" t="b">
        <f ca="1">AND(S552,OR($E$103,$F$103,OR($O119,$O$107)))</f>
        <v>0</v>
      </c>
    </row>
    <row r="561" spans="2:31" hidden="1">
      <c r="B561" cm="1">
        <f t="array" ref="B561:D561">{4," Current Assets:",""}</f>
        <v>4</v>
      </c>
      <c r="C561" t="str">
        <v xml:space="preserve"> Current Assets:</v>
      </c>
      <c r="D561" t="str">
        <v/>
      </c>
      <c r="E561" t="b">
        <f>AND(E555,O101,OR($F$101,$K$116))</f>
        <v>0</v>
      </c>
      <c r="R561" t="s">
        <v>243</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266</v>
      </c>
      <c r="K562" s="289">
        <f ca="1">ROUND(K557-K558+K559-K560,2)</f>
        <v>1.93</v>
      </c>
      <c r="L562" s="192" t="b">
        <f>OR($E$102,$K$157)</f>
        <v>1</v>
      </c>
      <c r="M562" s="517" t="str" cm="1">
        <f t="array" ref="M562:O562">IF(OR(AND($E$108,K128),$F$108),M553:O553,{"","",""})</f>
        <v/>
      </c>
      <c r="N562" t="str">
        <v/>
      </c>
      <c r="O562" t="str">
        <v/>
      </c>
      <c r="R562" t="s">
        <v>74</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220</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286</v>
      </c>
      <c r="L564" s="192" t="b">
        <f>AND(NOT(L559),NOT(L560))</f>
        <v>1</v>
      </c>
      <c r="R564" t="s">
        <v>250</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287</v>
      </c>
      <c r="L565" s="192" t="b">
        <f>AND(L559,NOT(L560))</f>
        <v>0</v>
      </c>
    </row>
    <row r="566" spans="2:31" hidden="1">
      <c r="B566">
        <v>5</v>
      </c>
      <c r="C566" t="s">
        <v>288</v>
      </c>
      <c r="D566" s="216">
        <f>SUM(D160:D169)</f>
        <v>0</v>
      </c>
      <c r="E566" t="b">
        <f>E170&gt;0.0000001</f>
        <v>0</v>
      </c>
      <c r="J566" t="s">
        <v>289</v>
      </c>
      <c r="L566" s="192" t="b">
        <f>AND(NOT(L559),L560)</f>
        <v>0</v>
      </c>
      <c r="R566" s="5" t="s">
        <v>290</v>
      </c>
      <c r="S566">
        <f>FSConstruction!$AF$28</f>
        <v>1</v>
      </c>
      <c r="Z566" s="216"/>
      <c r="AB566">
        <v>5</v>
      </c>
      <c r="AC566" t="s">
        <v>288</v>
      </c>
      <c r="AD566" s="216">
        <f>ROUND(SUM(AD160:AD169),2)</f>
        <v>24.08</v>
      </c>
      <c r="AE566" t="b">
        <f>AD566&gt;0.0000001</f>
        <v>1</v>
      </c>
    </row>
    <row r="567" spans="2:31" hidden="1">
      <c r="B567">
        <v>5</v>
      </c>
      <c r="C567" t="s">
        <v>291</v>
      </c>
      <c r="D567" s="216">
        <f>SUM(D172:D181)</f>
        <v>0</v>
      </c>
      <c r="E567" t="b">
        <f>E182&gt;0.0000001</f>
        <v>0</v>
      </c>
      <c r="J567" t="s">
        <v>292</v>
      </c>
      <c r="L567" s="192" t="b">
        <f>AND(L559,L560)</f>
        <v>0</v>
      </c>
      <c r="T567" s="517" cm="1">
        <f t="array" ref="T567:V567">IF($AD$99,T232:V232,{"","",""})</f>
        <v>2</v>
      </c>
      <c r="U567" t="str">
        <v>Cash @ 12/31/20x3</v>
      </c>
      <c r="V567">
        <v>0</v>
      </c>
      <c r="Z567" s="216"/>
      <c r="AB567">
        <v>5</v>
      </c>
      <c r="AC567" t="s">
        <v>291</v>
      </c>
      <c r="AD567" s="216">
        <f>ROUND(SUM(AD172:AD181),2)</f>
        <v>0.8</v>
      </c>
      <c r="AE567" t="b">
        <f t="shared" ref="AE567:AE568" si="60">AD567&gt;0.0000001</f>
        <v>1</v>
      </c>
    </row>
    <row r="568" spans="2:31" hidden="1">
      <c r="B568">
        <v>5</v>
      </c>
      <c r="C568" t="s">
        <v>293</v>
      </c>
      <c r="D568" s="216">
        <f>SUM(D184:D193)</f>
        <v>0</v>
      </c>
      <c r="E568" t="b">
        <f>E194&gt;0.0000001</f>
        <v>0</v>
      </c>
      <c r="J568" t="s">
        <v>294</v>
      </c>
      <c r="L568" s="192" t="b">
        <f>NOT(OR(L564,L565,L566,L567))</f>
        <v>0</v>
      </c>
      <c r="Z568" s="216"/>
      <c r="AB568">
        <v>5</v>
      </c>
      <c r="AC568" t="s">
        <v>293</v>
      </c>
      <c r="AD568" s="216">
        <f>ROUND(SUM(AD184:AD193),2)</f>
        <v>0</v>
      </c>
      <c r="AE568" t="b">
        <f t="shared" si="60"/>
        <v>0</v>
      </c>
    </row>
    <row r="569" spans="2:31" hidden="1">
      <c r="B569">
        <v>5</v>
      </c>
      <c r="C569" t="s">
        <v>295</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295</v>
      </c>
      <c r="AD569" s="216">
        <f>ROUND(SUM(AD196:AD205),2)</f>
        <v>20</v>
      </c>
      <c r="AE569" t="b">
        <f>AD569&gt;0.0000001</f>
        <v>1</v>
      </c>
    </row>
    <row r="570" spans="2:31" hidden="1">
      <c r="Q570" s="517" cm="1">
        <f t="array" aca="1" ref="Q570:S571" ca="1">IF($Z$142,_xlfn._xlws.FILTER(Q160:S162,P160:P162,{"","",""}),{"","",""})</f>
        <v>5</v>
      </c>
      <c r="R570" t="str">
        <f ca="1"/>
        <v>Balance @ 12/31/20x3</v>
      </c>
      <c r="S570">
        <f ca="1"/>
        <v>0</v>
      </c>
    </row>
    <row r="571" spans="2:31" hidden="1">
      <c r="C571" t="s">
        <v>296</v>
      </c>
      <c r="D571" t="b">
        <f>IF(OR(C576&lt;&gt;"",C590&lt;&gt;""),TRUE,FALSE)</f>
        <v>1</v>
      </c>
      <c r="Q571">
        <f ca="1"/>
        <v>5</v>
      </c>
      <c r="R571" t="str">
        <f ca="1"/>
        <v>Balance @ 12/31/20x4</v>
      </c>
      <c r="S571">
        <f ca="1"/>
        <v>0</v>
      </c>
      <c r="T571" s="517" t="str" cm="1">
        <f t="array" ref="T571:V571">IF($AD$134,_xlfn.VSTACK(_xlfn._xlws.FILTER(T160:V178,X160:X178,{"","",""}),T235:V235,{"","",""}),{"","",""})</f>
        <v/>
      </c>
      <c r="U571" t="str">
        <v/>
      </c>
      <c r="V571" t="str">
        <v/>
      </c>
      <c r="AC571" t="s">
        <v>296</v>
      </c>
      <c r="AD571" t="b">
        <f>IF(OR(AC576&lt;&gt;"",AC590&lt;&gt;""),TRUE,FALSE)</f>
        <v>1</v>
      </c>
    </row>
    <row r="572" spans="2:31" hidden="1">
      <c r="C572" t="s">
        <v>297</v>
      </c>
      <c r="D572" t="b">
        <f>IF(OR(C651&lt;&gt;"",C666&lt;&gt;""),TRUE,FALSE)</f>
        <v>1</v>
      </c>
      <c r="AC572" t="s">
        <v>297</v>
      </c>
      <c r="AD572" t="b">
        <f>IF(OR(AC651&lt;&gt;"",AC666&lt;&gt;""),TRUE,FALSE)</f>
        <v>1</v>
      </c>
    </row>
    <row r="573" spans="2:31" hidden="1">
      <c r="C573" t="s">
        <v>298</v>
      </c>
      <c r="D573" t="b">
        <f>C730&lt;&gt;""</f>
        <v>1</v>
      </c>
      <c r="AC573" t="s">
        <v>298</v>
      </c>
      <c r="AD573" t="b">
        <f>AC730&lt;&gt;""</f>
        <v>1</v>
      </c>
    </row>
    <row r="574" spans="2:31" ht="15.7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25</v>
      </c>
      <c r="AB575" s="518" cm="1">
        <f t="array" ref="AB575:AD575">IF(OR($F$106,$AG$116),_xlfn.ANCHORARRAY(AB561),{"","",""})</f>
        <v>4</v>
      </c>
      <c r="AC575" s="365" t="str">
        <v xml:space="preserve"> Current Assets:</v>
      </c>
      <c r="AD575" s="174" t="str">
        <v/>
      </c>
    </row>
    <row r="576" spans="2:31" hidden="1">
      <c r="B576" s="519" cm="1">
        <f t="array" ref="B576:D578">IF(OR($F$101,AND($V$113,C160&lt;&gt;"")),_xlfn._xlws.FILTER(B160:D169,C160:C169&lt;&gt;""),{"","",""})</f>
        <v>6</v>
      </c>
      <c r="C576" t="str">
        <v>Cash</v>
      </c>
      <c r="D576" s="173">
        <v>0</v>
      </c>
      <c r="I576" s="96"/>
      <c r="K576" s="97"/>
      <c r="AB576" s="519" cm="1">
        <f t="array" ref="AB576:AD578">IF(OR($F$106,AND($AG$116,AC160&lt;&gt;"")),_xlfn._xlws.FILTER(AB160:AD169,AC160:AC169&lt;&gt;""),{"","",""})</f>
        <v>6</v>
      </c>
      <c r="AC576" t="str">
        <v>Cash</v>
      </c>
      <c r="AD576" s="97">
        <v>17.579999999999998</v>
      </c>
    </row>
    <row r="577" spans="2:30" hidden="1">
      <c r="B577" s="96">
        <v>7</v>
      </c>
      <c r="C577" t="str">
        <v>Accounts Receivable</v>
      </c>
      <c r="D577" s="173">
        <v>0</v>
      </c>
      <c r="I577" s="96"/>
      <c r="K577" s="97"/>
      <c r="AB577" s="96">
        <v>7</v>
      </c>
      <c r="AC577" t="str">
        <v>Accounts Receivable</v>
      </c>
      <c r="AD577" s="97">
        <v>4.5</v>
      </c>
    </row>
    <row r="578" spans="2:30" hidden="1">
      <c r="B578" s="96">
        <v>7</v>
      </c>
      <c r="C578" t="str">
        <v>Inventories</v>
      </c>
      <c r="D578" s="173">
        <v>0</v>
      </c>
      <c r="I578" s="96"/>
      <c r="K578" s="97"/>
      <c r="AB578" s="96">
        <v>7</v>
      </c>
      <c r="AC578" t="str">
        <v>Inventories</v>
      </c>
      <c r="AD578" s="97">
        <v>2</v>
      </c>
    </row>
    <row r="579" spans="2:30" hidden="1">
      <c r="B579" s="96"/>
      <c r="D579" s="173"/>
      <c r="I579" s="96"/>
      <c r="K579" s="97"/>
      <c r="Q579" s="517" cm="1">
        <f t="array" ref="Q579:S579">IF($Z$133,{3,"Common Stock",""},{"","",""})</f>
        <v>3</v>
      </c>
      <c r="R579" t="str">
        <v>Common Stock</v>
      </c>
      <c r="S579" t="str">
        <v/>
      </c>
      <c r="AB579" s="96"/>
      <c r="AD579" s="97"/>
    </row>
    <row r="580" spans="2:30" ht="15.75" hidden="1" thickBot="1">
      <c r="B580" s="96"/>
      <c r="D580" s="173"/>
      <c r="I580" s="98"/>
      <c r="J580" s="283"/>
      <c r="K580" s="99"/>
      <c r="Q580" s="517" cm="1">
        <f t="array" aca="1" ref="Q580:S582" ca="1">IF($Z$142,_xlfn._xlws.FILTER(Q165:S169,P165:P169,{"","",""}),{"","",""})</f>
        <v>5</v>
      </c>
      <c r="R580" t="str">
        <f ca="1"/>
        <v>Balance @ 12/31/20x3</v>
      </c>
      <c r="S580">
        <f ca="1"/>
        <v>0</v>
      </c>
      <c r="AB580" s="96"/>
      <c r="AD580" s="97"/>
    </row>
    <row r="581" spans="2:30" hidden="1">
      <c r="B581" s="96"/>
      <c r="D581" s="173"/>
      <c r="Q581">
        <f ca="1"/>
        <v>7</v>
      </c>
      <c r="R581" t="str">
        <f ca="1"/>
        <v>Issued common stock</v>
      </c>
      <c r="S581">
        <f ca="1"/>
        <v>3</v>
      </c>
      <c r="AB581" s="96"/>
      <c r="AD581" s="97"/>
    </row>
    <row r="582" spans="2:30" hidden="1">
      <c r="B582" s="96"/>
      <c r="D582" s="173"/>
      <c r="Q582">
        <f ca="1"/>
        <v>5</v>
      </c>
      <c r="R582" t="str">
        <f ca="1"/>
        <v>Balance @ 12/31/20x4</v>
      </c>
      <c r="S582">
        <f ca="1"/>
        <v>3</v>
      </c>
      <c r="AB582" s="96"/>
      <c r="AD582" s="97"/>
    </row>
    <row r="583" spans="2:30" hidden="1">
      <c r="B583" s="96"/>
      <c r="D583" s="173"/>
      <c r="AB583" s="96"/>
      <c r="AD583" s="97"/>
    </row>
    <row r="584" spans="2:30" ht="15.75" hidden="1" thickBot="1">
      <c r="B584" s="96"/>
      <c r="D584" s="173"/>
      <c r="I584" s="517" cm="1">
        <f t="array" ref="I584:K584">IF(L552,_xlfn.ANCHORARRAY(I552),{"","",""})</f>
        <v>2</v>
      </c>
      <c r="J584" t="str">
        <v>Expenses</v>
      </c>
      <c r="K584" t="str">
        <v/>
      </c>
      <c r="AB584" s="96"/>
      <c r="AD584" s="97"/>
    </row>
    <row r="585" spans="2:30" ht="15.75" hidden="1" thickBot="1">
      <c r="B585" s="520" cm="1">
        <f t="array" ref="B585:D585">IF(C575=" Current Assets:",B566:D566,{"","",""})</f>
        <v>5</v>
      </c>
      <c r="C585" s="283" t="str">
        <v xml:space="preserve">  Total Current Assets</v>
      </c>
      <c r="D585" s="285">
        <v>0</v>
      </c>
      <c r="I585" s="518" cm="1">
        <f t="array" aca="1" ref="I585:K588" ca="1">IF(L552,_xlfn._xlws.FILTER(I172:K191,K172:K191&lt;&gt;"",{"","",""}),{"","",""})</f>
        <v>6</v>
      </c>
      <c r="J585" s="365" t="str">
        <f ca="1"/>
        <v>Cost of Goods Sold</v>
      </c>
      <c r="K585" s="174">
        <f ca="1"/>
        <v>18</v>
      </c>
      <c r="AB585" s="520" cm="1">
        <f t="array" ref="AB585:AD585">IF(AC575=" Current Assets:",AB566:AD566,{"","",""})</f>
        <v>5</v>
      </c>
      <c r="AC585" s="283" t="str">
        <v xml:space="preserve">  Total Current Assets</v>
      </c>
      <c r="AD585" s="99">
        <v>24.08</v>
      </c>
    </row>
    <row r="586" spans="2:30" hidden="1">
      <c r="I586" s="96">
        <f ca="1"/>
        <v>7</v>
      </c>
      <c r="J586" t="str">
        <f ca="1"/>
        <v>Interest Expense</v>
      </c>
      <c r="K586" s="97">
        <f ca="1"/>
        <v>1.87</v>
      </c>
    </row>
    <row r="587" spans="2:30" hidden="1">
      <c r="I587" s="96">
        <f ca="1"/>
        <v>7</v>
      </c>
      <c r="J587" t="str">
        <f ca="1"/>
        <v>Depreciation Expense</v>
      </c>
      <c r="K587" s="97">
        <f ca="1"/>
        <v>0.2</v>
      </c>
    </row>
    <row r="588" spans="2:30" ht="15.75" hidden="1" thickBot="1">
      <c r="I588" s="96">
        <f ca="1"/>
        <v>7</v>
      </c>
      <c r="J588" t="str">
        <f ca="1"/>
        <v>Salaries &amp; Wages Expense</v>
      </c>
      <c r="K588" s="97">
        <f ca="1"/>
        <v>3</v>
      </c>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1">IF(OR($F$101,AND($V$120,$C$172&lt;&gt;"")),_xlfn._xlws.FILTER(B172:D181,C172:C181&lt;&gt;""),{"","",""})</f>
        <v>6</v>
      </c>
      <c r="C590" t="str">
        <v>Property, Plant &amp; Equipment</v>
      </c>
      <c r="D590" s="173">
        <v>0</v>
      </c>
      <c r="I590" s="96"/>
      <c r="K590" s="97"/>
      <c r="Q590" s="517" cm="1">
        <f t="array" aca="1" ref="Q590:S591" ca="1">IF($Z$142,_xlfn._xlws.FILTER(Q172:S176,P172:P176,{"","",""}),{"","",""})</f>
        <v>5</v>
      </c>
      <c r="R590" t="str">
        <f ca="1"/>
        <v>Balance @ 12/31/20x3</v>
      </c>
      <c r="S590">
        <f ca="1"/>
        <v>0</v>
      </c>
      <c r="AB590" s="519" cm="1">
        <f t="array" ref="AB590:AD591">IF(OR($F$106,AND($AG$123,$AC$172&lt;&gt;"")),_xlfn._xlws.FILTER(AB172:AD181,AC172:AC181&lt;&gt;""),{"","",""})</f>
        <v>6</v>
      </c>
      <c r="AC590" t="str">
        <v>Property, Plant &amp; Equipment</v>
      </c>
      <c r="AD590" s="97">
        <v>1</v>
      </c>
    </row>
    <row r="591" spans="2:30" hidden="1">
      <c r="B591" s="96">
        <v>7</v>
      </c>
      <c r="C591" t="str">
        <v>Accumulated Depreciation</v>
      </c>
      <c r="D591" s="173">
        <v>0</v>
      </c>
      <c r="I591" s="96"/>
      <c r="K591" s="97"/>
      <c r="Q591">
        <f ca="1"/>
        <v>5</v>
      </c>
      <c r="R591" t="str">
        <f ca="1"/>
        <v>Balance @ 12/31/20x4</v>
      </c>
      <c r="S591">
        <f ca="1"/>
        <v>0</v>
      </c>
      <c r="AB591" s="96">
        <v>7</v>
      </c>
      <c r="AC591" t="str">
        <v>Accumulated Depreciation</v>
      </c>
      <c r="AD591" s="97">
        <v>-0.2</v>
      </c>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7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0.8</v>
      </c>
    </row>
    <row r="600" spans="2:30" hidden="1">
      <c r="I600" s="96"/>
      <c r="K600" s="97"/>
      <c r="Q600" s="517" cm="1">
        <f t="array" aca="1" ref="Q600:S603" ca="1">IF($Z$142,_xlfn._xlws.FILTER(Q179:S182,P179:P182,{"","",""}),{"","",""})</f>
        <v>5</v>
      </c>
      <c r="R600" t="str">
        <f ca="1"/>
        <v>Balance @ 12/31/20x3</v>
      </c>
      <c r="S600">
        <f ca="1"/>
        <v>0</v>
      </c>
    </row>
    <row r="601" spans="2:30" hidden="1">
      <c r="I601" s="96"/>
      <c r="K601" s="97"/>
      <c r="Q601">
        <f ca="1"/>
        <v>7</v>
      </c>
      <c r="R601" t="str">
        <f ca="1"/>
        <v>Declared Dividends</v>
      </c>
      <c r="S601">
        <f ca="1"/>
        <v>-0.05</v>
      </c>
    </row>
    <row r="602" spans="2:30" hidden="1">
      <c r="I602" s="96"/>
      <c r="K602" s="97"/>
      <c r="Q602">
        <f ca="1"/>
        <v>7</v>
      </c>
      <c r="R602" t="str">
        <f ca="1"/>
        <v>Net Income (Loss)</v>
      </c>
      <c r="S602">
        <f ca="1"/>
        <v>1.93</v>
      </c>
    </row>
    <row r="603" spans="2:30" hidden="1">
      <c r="I603" s="96"/>
      <c r="K603" s="97"/>
      <c r="Q603">
        <f ca="1"/>
        <v>5</v>
      </c>
      <c r="R603" t="str">
        <f ca="1"/>
        <v>Balance @ 12/31/20x4</v>
      </c>
      <c r="S603">
        <f ca="1"/>
        <v>1.88</v>
      </c>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24.88</v>
      </c>
    </row>
    <row r="605" spans="2:30" hidden="1">
      <c r="I605" s="96"/>
      <c r="K605" s="97"/>
    </row>
    <row r="606" spans="2:30" hidden="1">
      <c r="I606" s="96"/>
      <c r="K606" s="97"/>
    </row>
    <row r="607" spans="2:30" hidden="1">
      <c r="I607" s="96"/>
      <c r="K607" s="97"/>
    </row>
    <row r="608" spans="2:30" ht="15.75" hidden="1" thickBot="1">
      <c r="B608" s="5" t="s">
        <v>299</v>
      </c>
      <c r="I608" s="96"/>
      <c r="K608" s="97"/>
      <c r="X608" s="5"/>
      <c r="AB608" s="5" t="s">
        <v>299</v>
      </c>
    </row>
    <row r="609" spans="2:30" hidden="1">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17.579999999999998</v>
      </c>
    </row>
    <row r="613" spans="2:30" ht="15.75" hidden="1" thickBot="1">
      <c r="B613" s="96">
        <v>7</v>
      </c>
      <c r="C613" t="str">
        <v>Accounts Receivable</v>
      </c>
      <c r="D613" s="173">
        <v>0</v>
      </c>
      <c r="I613" s="98"/>
      <c r="J613" s="283"/>
      <c r="K613" s="99"/>
      <c r="AB613" s="96">
        <v>7</v>
      </c>
      <c r="AC613" t="str">
        <v>Accounts Receivable</v>
      </c>
      <c r="AD613" s="97">
        <v>4.5</v>
      </c>
    </row>
    <row r="614" spans="2:30" hidden="1">
      <c r="B614" s="96">
        <v>7</v>
      </c>
      <c r="C614" t="str">
        <v>Inventories</v>
      </c>
      <c r="D614" s="173">
        <v>0</v>
      </c>
      <c r="T614" s="517" t="str" cm="1">
        <f t="array" ref="T614:V614">IF(AD124,_xlfn.VSTACK({3,"Financing Activities",""},{"","",""}),{"","",""})</f>
        <v/>
      </c>
      <c r="U614" t="str">
        <v/>
      </c>
      <c r="V614" t="str">
        <v/>
      </c>
      <c r="AB614" s="96">
        <v>7</v>
      </c>
      <c r="AC614" t="str">
        <v>Inventories</v>
      </c>
      <c r="AD614" s="97">
        <v>2</v>
      </c>
    </row>
    <row r="615" spans="2:30" hidden="1">
      <c r="B615" s="96">
        <v>5</v>
      </c>
      <c r="C615" t="str">
        <v xml:space="preserve">  Total Current Assets</v>
      </c>
      <c r="D615" s="173">
        <v>0</v>
      </c>
      <c r="AB615" s="96">
        <v>5</v>
      </c>
      <c r="AC615" t="str">
        <v xml:space="preserve">  Total Current Assets</v>
      </c>
      <c r="AD615" s="97">
        <v>24.08</v>
      </c>
    </row>
    <row r="616" spans="2:30" hidden="1">
      <c r="B616" s="96" t="str">
        <v/>
      </c>
      <c r="C616" t="str">
        <v/>
      </c>
      <c r="D616" s="173" t="str">
        <v/>
      </c>
      <c r="T616" s="517" t="str" cm="1">
        <f t="array" ref="T616:V616">IF($AD$152,_xlfn.VSTACK(_xlfn._xlws.FILTER(T212:V230,X212:X230,{"","",""}),T237:V237,{"","",""}),{"","",""})</f>
        <v/>
      </c>
      <c r="U616" t="str">
        <v/>
      </c>
      <c r="V616" t="str">
        <v/>
      </c>
      <c r="AB616" s="96" t="str">
        <v/>
      </c>
      <c r="AC616" t="str">
        <v/>
      </c>
      <c r="AD616" s="97" t="str">
        <v/>
      </c>
    </row>
    <row r="617" spans="2:30" hidden="1">
      <c r="B617" s="96">
        <v>4</v>
      </c>
      <c r="C617" t="str">
        <v xml:space="preserve"> Noncurrent Assets:</v>
      </c>
      <c r="D617" s="173" t="str">
        <v/>
      </c>
      <c r="AB617" s="96">
        <v>4</v>
      </c>
      <c r="AC617" t="str">
        <v xml:space="preserve"> Noncurrent Assets:</v>
      </c>
      <c r="AD617" s="97" t="str">
        <v/>
      </c>
    </row>
    <row r="618" spans="2:30" hidden="1">
      <c r="B618" s="96">
        <v>6</v>
      </c>
      <c r="C618" t="str">
        <v>Property, Plant &amp; Equipment</v>
      </c>
      <c r="D618" s="173">
        <v>0</v>
      </c>
      <c r="AB618" s="96">
        <v>6</v>
      </c>
      <c r="AC618" t="str">
        <v>Property, Plant &amp; Equipment</v>
      </c>
      <c r="AD618" s="97">
        <v>1</v>
      </c>
    </row>
    <row r="619" spans="2:30" ht="15.75" hidden="1" thickBot="1">
      <c r="B619" s="96">
        <v>7</v>
      </c>
      <c r="C619" t="str">
        <v>Accumulated Depreciation</v>
      </c>
      <c r="D619" s="173">
        <v>0</v>
      </c>
      <c r="I619" s="517" t="str" cm="1">
        <f t="array" ref="I619:K619">IF(L553,_xlfn.ANCHORARRAY(I553),{"","",""})</f>
        <v/>
      </c>
      <c r="J619" t="str">
        <v/>
      </c>
      <c r="K619" t="str">
        <v/>
      </c>
      <c r="Q619" s="517" cm="1">
        <f t="array" ref="Q619:S619">IF($Z$133,{3,"Treasury Stock",""},{"","",""})</f>
        <v>3</v>
      </c>
      <c r="R619" t="str">
        <v>Treasury Stock</v>
      </c>
      <c r="S619" t="str">
        <v/>
      </c>
      <c r="AB619" s="96">
        <v>7</v>
      </c>
      <c r="AC619" t="str">
        <v>Accumulated Depreciation</v>
      </c>
      <c r="AD619" s="97">
        <v>-0.2</v>
      </c>
    </row>
    <row r="620" spans="2:30" hidden="1">
      <c r="B620" s="96">
        <v>5</v>
      </c>
      <c r="C620" t="str">
        <v xml:space="preserve">  Total Noncurrent Assets</v>
      </c>
      <c r="D620" s="173">
        <v>0</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5</v>
      </c>
      <c r="AC620" t="str">
        <v xml:space="preserve">  Total Noncurrent Assets</v>
      </c>
      <c r="AD620" s="97">
        <v>0.8</v>
      </c>
    </row>
    <row r="621" spans="2:30" hidden="1">
      <c r="B621" s="96" t="str">
        <v/>
      </c>
      <c r="C621" t="str">
        <v/>
      </c>
      <c r="D621" s="173" t="str">
        <v/>
      </c>
      <c r="I621" s="96"/>
      <c r="K621" s="97"/>
      <c r="Q621">
        <f ca="1"/>
        <v>5</v>
      </c>
      <c r="R621" t="str">
        <f ca="1"/>
        <v>Balance @ 12/31/20x4</v>
      </c>
      <c r="S621">
        <f ca="1"/>
        <v>0</v>
      </c>
      <c r="AB621" s="96" t="str">
        <v/>
      </c>
      <c r="AC621" t="str">
        <v/>
      </c>
      <c r="AD621" s="97" t="str">
        <v/>
      </c>
    </row>
    <row r="622" spans="2:30" hidden="1">
      <c r="B622" s="96">
        <v>3</v>
      </c>
      <c r="C622" t="str">
        <v>Total Assets</v>
      </c>
      <c r="D622" s="173">
        <v>0</v>
      </c>
      <c r="I622" s="96"/>
      <c r="K622" s="97"/>
      <c r="AB622" s="96">
        <v>3</v>
      </c>
      <c r="AC622" t="str">
        <v>Total Assets</v>
      </c>
      <c r="AD622" s="97">
        <v>24.88</v>
      </c>
    </row>
    <row r="623" spans="2:30" hidden="1">
      <c r="B623" s="96"/>
      <c r="D623" s="173"/>
      <c r="I623" s="96"/>
      <c r="K623" s="97"/>
      <c r="AB623" s="96"/>
      <c r="AD623" s="97"/>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75" hidden="1" thickBot="1">
      <c r="B629" s="96"/>
      <c r="D629" s="173"/>
      <c r="I629" s="98"/>
      <c r="J629" s="283"/>
      <c r="K629" s="99"/>
      <c r="T629" s="517" cm="1">
        <f t="array" ref="T629:V629">IF($AD$100,T233:V233,{"","",""})</f>
        <v>2</v>
      </c>
      <c r="U629" t="str">
        <v>Cash @ 12/31/20x4</v>
      </c>
      <c r="V629">
        <v>17.579999999999998</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7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7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75" hidden="1" thickBot="1">
      <c r="B647" s="98"/>
      <c r="C647" s="283"/>
      <c r="D647" s="285"/>
      <c r="I647" s="5" t="s">
        <v>300</v>
      </c>
      <c r="AB647" s="98"/>
      <c r="AC647" s="283"/>
      <c r="AD647" s="99"/>
    </row>
    <row r="648" spans="2:30" ht="15.75" hidden="1" thickBot="1">
      <c r="I648" s="5" t="s">
        <v>43</v>
      </c>
    </row>
    <row r="649" spans="2:30" ht="15.75" hidden="1" thickBot="1">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2">IF(OR($F$101,AND($V$127,$C$184&lt;&gt;"")),_xlfn._xlws.FILTER(B184:D193,C184:C193&lt;&gt;""),{"","",""})</f>
        <v>6</v>
      </c>
      <c r="C651" t="str">
        <v>Interest Payable</v>
      </c>
      <c r="D651" s="173">
        <v>0</v>
      </c>
      <c r="I651" s="96">
        <f ca="1"/>
        <v>6</v>
      </c>
      <c r="J651" t="str">
        <f ca="1"/>
        <v>Sales</v>
      </c>
      <c r="K651" s="173">
        <f ca="1"/>
        <v>25</v>
      </c>
      <c r="AB651" s="519" cm="1">
        <f t="array" ref="AB651:AD652">IF(OR($F$106,AND($AG$131,$AC$184&lt;&gt;"")),_xlfn._xlws.FILTER(AB184:AD193,AC184:AC193&lt;&gt;""),{"","",""})</f>
        <v>6</v>
      </c>
      <c r="AC651" t="str">
        <v>Interest Payable</v>
      </c>
      <c r="AD651" s="97">
        <v>0</v>
      </c>
    </row>
    <row r="652" spans="2:30" hidden="1">
      <c r="B652" s="96">
        <v>7</v>
      </c>
      <c r="C652" t="str">
        <v>Dividends Payable</v>
      </c>
      <c r="D652" s="173">
        <v>0</v>
      </c>
      <c r="I652" s="96">
        <f ca="1"/>
        <v>5</v>
      </c>
      <c r="J652" t="str">
        <f ca="1"/>
        <v xml:space="preserve">  Total Revenues</v>
      </c>
      <c r="K652" s="173">
        <f ca="1"/>
        <v>25</v>
      </c>
      <c r="Q652" s="5" t="s">
        <v>301</v>
      </c>
      <c r="T652" s="544" t="str" cm="1">
        <f t="array" ref="T652:V652">IF($AG$101,{1,"NI CFO Reconciliation",""},{"","",""})</f>
        <v/>
      </c>
      <c r="U652" t="str">
        <v/>
      </c>
      <c r="V652" t="str">
        <v/>
      </c>
      <c r="AB652" s="96">
        <v>7</v>
      </c>
      <c r="AC652" t="str">
        <v>Dividends Payable</v>
      </c>
      <c r="AD652" s="97">
        <v>0</v>
      </c>
    </row>
    <row r="653" spans="2:30" hidden="1">
      <c r="B653" s="96"/>
      <c r="D653" s="173"/>
      <c r="I653" s="96"/>
      <c r="K653" s="173"/>
      <c r="Q653" cm="1">
        <f t="array" aca="1" ref="Q653:S665" ca="1">IF($S$118,_xlfn.VSTACK(Q195:S195,{"","",""},_xlfn.ANCHORARRAY(Q579),_xlfn.ANCHORARRAY(Q580),_xlfn.ANCHORARRAY(Q599),_xlfn.ANCHORARRAY(Q600),Q196:S196,{"","",""}),{"","",""})</f>
        <v>2</v>
      </c>
      <c r="R653" t="str">
        <f ca="1"/>
        <v>Total Shareholders' Equity @ 12/31/20x3</v>
      </c>
      <c r="S653">
        <f ca="1"/>
        <v>0</v>
      </c>
      <c r="AB653" s="96"/>
      <c r="AD653" s="97"/>
    </row>
    <row r="654" spans="2:30" hidden="1">
      <c r="B654" s="96"/>
      <c r="D654" s="173"/>
      <c r="I654" s="96"/>
      <c r="K654" s="173"/>
      <c r="Q654" t="str">
        <f ca="1"/>
        <v/>
      </c>
      <c r="R654" t="str">
        <f ca="1"/>
        <v/>
      </c>
      <c r="S654" t="str">
        <f ca="1"/>
        <v/>
      </c>
      <c r="T654" s="544" t="str" cm="1">
        <f t="array" ref="T654:V654">IF($AG$101,T280:V280,{"","",""})</f>
        <v/>
      </c>
      <c r="U654" t="str">
        <v/>
      </c>
      <c r="V654" t="str">
        <v/>
      </c>
      <c r="AB654" s="96"/>
      <c r="AD654" s="97"/>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12/31/20x3</v>
      </c>
      <c r="S656">
        <f ca="1"/>
        <v>0</v>
      </c>
      <c r="T656" s="544" t="str" cm="1">
        <f t="array" ref="T656:V656">IF($AG$101,{3,"Adjustments:",""},{"","",""})</f>
        <v/>
      </c>
      <c r="U656" t="str">
        <v/>
      </c>
      <c r="V656" t="str">
        <v/>
      </c>
      <c r="AB656" s="96"/>
      <c r="AD656" s="97"/>
    </row>
    <row r="657" spans="2:30" ht="15.75" hidden="1" thickBot="1">
      <c r="B657" s="96"/>
      <c r="D657" s="173"/>
      <c r="I657" s="98"/>
      <c r="J657" s="283"/>
      <c r="K657" s="285"/>
      <c r="Q657">
        <f ca="1"/>
        <v>7</v>
      </c>
      <c r="R657" t="str">
        <f ca="1"/>
        <v>Issued common stock</v>
      </c>
      <c r="S657">
        <f ca="1"/>
        <v>3</v>
      </c>
      <c r="T657" s="544" t="str" cm="1">
        <f t="array" ref="T657:V657">IF($AG$101,_xlfn._xlws.FILTER(T282:V301,U282:U301&lt;&gt;"",{"","",""}),{"","",""})</f>
        <v/>
      </c>
      <c r="U657" t="str">
        <v/>
      </c>
      <c r="V657" t="str">
        <v/>
      </c>
      <c r="AB657" s="96"/>
      <c r="AD657" s="97"/>
    </row>
    <row r="658" spans="2:30" hidden="1">
      <c r="B658" s="96"/>
      <c r="D658" s="173"/>
      <c r="K658" s="34"/>
      <c r="Q658">
        <f ca="1"/>
        <v>5</v>
      </c>
      <c r="R658" t="str">
        <f ca="1"/>
        <v>Balance @ 12/31/20x4</v>
      </c>
      <c r="S658">
        <f ca="1"/>
        <v>3</v>
      </c>
      <c r="AB658" s="96"/>
      <c r="AD658" s="97"/>
    </row>
    <row r="659" spans="2:30" hidden="1">
      <c r="B659" s="96"/>
      <c r="D659" s="173"/>
      <c r="K659" s="34"/>
      <c r="Q659">
        <f ca="1"/>
        <v>3</v>
      </c>
      <c r="R659" t="str">
        <f ca="1"/>
        <v>Retained Earnings</v>
      </c>
      <c r="S659" t="str">
        <f ca="1"/>
        <v/>
      </c>
      <c r="AB659" s="96"/>
      <c r="AD659" s="97"/>
    </row>
    <row r="660" spans="2:30" ht="15.75" hidden="1" thickBot="1">
      <c r="B660" s="520" cm="1">
        <f t="array" ref="B660:D660">IF(C650=" Current Liabilities:",B568:D568,{"","",""})</f>
        <v>5</v>
      </c>
      <c r="C660" s="283" t="str">
        <v xml:space="preserve">  Total Current Liabilities</v>
      </c>
      <c r="D660" s="285">
        <v>0</v>
      </c>
      <c r="K660" s="34"/>
      <c r="Q660">
        <f ca="1"/>
        <v>5</v>
      </c>
      <c r="R660" t="str">
        <f ca="1"/>
        <v>Balance @ 12/31/20x3</v>
      </c>
      <c r="S660">
        <f ca="1"/>
        <v>0</v>
      </c>
      <c r="AB660" s="520" cm="1">
        <f t="array" ref="AB660:AD660">IF(AC650=" Current Liabilities:",AB568:AD568,{"","",""})</f>
        <v>5</v>
      </c>
      <c r="AC660" s="283" t="str">
        <v xml:space="preserve">  Total Current Liabilities</v>
      </c>
      <c r="AD660" s="99">
        <v>0</v>
      </c>
    </row>
    <row r="661" spans="2:30" hidden="1">
      <c r="K661" s="34"/>
      <c r="Q661">
        <f ca="1"/>
        <v>7</v>
      </c>
      <c r="R661" t="str">
        <f ca="1"/>
        <v>Declared Dividends</v>
      </c>
      <c r="S661">
        <f ca="1"/>
        <v>-0.05</v>
      </c>
    </row>
    <row r="662" spans="2:30" hidden="1">
      <c r="K662" s="34"/>
      <c r="Q662">
        <f ca="1"/>
        <v>7</v>
      </c>
      <c r="R662" t="str">
        <f ca="1"/>
        <v>Net Income (Loss)</v>
      </c>
      <c r="S662">
        <f ca="1"/>
        <v>1.93</v>
      </c>
    </row>
    <row r="663" spans="2:30" ht="15.75" hidden="1" thickBot="1">
      <c r="I663" s="5" t="s">
        <v>44</v>
      </c>
      <c r="K663" s="34"/>
      <c r="Q663">
        <f ca="1"/>
        <v>5</v>
      </c>
      <c r="R663" t="str">
        <f ca="1"/>
        <v>Balance @ 12/31/20x4</v>
      </c>
      <c r="S663">
        <f ca="1"/>
        <v>1.88</v>
      </c>
    </row>
    <row r="664" spans="2:30" ht="15.75" hidden="1" thickBot="1">
      <c r="I664" s="175" cm="1">
        <f t="array" aca="1" ref="I664:K670" ca="1">_xlfn.IFS(AND(L552,L558),_xlfn.VSTACK(_xlfn.ANCHORARRAY(I584),{"","",""},_xlfn.ANCHORARRAY(I585),I558:K558),AND(L552,NOT(L558)),_xlfn.ANCHORARRAY(I552),NOT(L552),{"","",""})</f>
        <v>2</v>
      </c>
      <c r="J664" s="365" t="str">
        <f ca="1"/>
        <v>Expenses</v>
      </c>
      <c r="K664" s="381" t="str">
        <f ca="1"/>
        <v/>
      </c>
      <c r="Q664">
        <f ca="1"/>
        <v>2</v>
      </c>
      <c r="R664" t="str">
        <f ca="1"/>
        <v>Total Shareholders' Equity @ 12/31/20x4</v>
      </c>
      <c r="S664">
        <f ca="1"/>
        <v>4.88</v>
      </c>
    </row>
    <row r="665" spans="2:30" hidden="1">
      <c r="B665" s="518" cm="1">
        <f t="array" ref="B665:D665">IF(OR($F$101,$V$133),_xlfn.ANCHORARRAY(B564),{"","",""})</f>
        <v>4</v>
      </c>
      <c r="C665" s="365" t="str">
        <v xml:space="preserve"> Noncurrent Liabilities:</v>
      </c>
      <c r="D665" s="381" t="str">
        <v/>
      </c>
      <c r="I665" s="96" t="str">
        <f ca="1"/>
        <v/>
      </c>
      <c r="J665" t="str">
        <f ca="1"/>
        <v/>
      </c>
      <c r="K665" s="173" t="str">
        <f ca="1"/>
        <v/>
      </c>
      <c r="Q665" t="str">
        <f ca="1"/>
        <v/>
      </c>
      <c r="R665" t="str">
        <f ca="1"/>
        <v/>
      </c>
      <c r="S665"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Notes Payable</v>
      </c>
      <c r="D666" s="173">
        <v>0</v>
      </c>
      <c r="I666" s="96">
        <f ca="1"/>
        <v>6</v>
      </c>
      <c r="J666" t="str">
        <f ca="1"/>
        <v>Cost of Goods Sold</v>
      </c>
      <c r="K666" s="173">
        <f ca="1"/>
        <v>18</v>
      </c>
      <c r="AB666" s="519" cm="1">
        <f t="array" ref="AB666:AD666">IF(OR($F$106,AND($AG$137,$AC$196&lt;&gt;"")),_xlfn._xlws.FILTER(AB196:AD205,AC196:AC205&lt;&gt;""),{"","",""})</f>
        <v>6</v>
      </c>
      <c r="AC666" t="str">
        <v>Notes Payable</v>
      </c>
      <c r="AD666" s="97">
        <v>20</v>
      </c>
    </row>
    <row r="667" spans="2:30" hidden="1">
      <c r="B667" s="96"/>
      <c r="D667" s="173"/>
      <c r="I667" s="96">
        <f ca="1"/>
        <v>7</v>
      </c>
      <c r="J667" t="str">
        <f ca="1"/>
        <v>Interest Expense</v>
      </c>
      <c r="K667" s="173">
        <f ca="1"/>
        <v>1.87</v>
      </c>
      <c r="AB667" s="96"/>
      <c r="AD667" s="97"/>
    </row>
    <row r="668" spans="2:30" hidden="1">
      <c r="B668" s="96"/>
      <c r="D668" s="173"/>
      <c r="I668" s="96">
        <f ca="1"/>
        <v>7</v>
      </c>
      <c r="J668" t="str">
        <f ca="1"/>
        <v>Depreciation Expense</v>
      </c>
      <c r="K668" s="173">
        <f ca="1"/>
        <v>0.2</v>
      </c>
      <c r="AB668" s="96"/>
      <c r="AD668" s="97"/>
    </row>
    <row r="669" spans="2:30" hidden="1">
      <c r="B669" s="96"/>
      <c r="D669" s="173"/>
      <c r="I669" s="96">
        <f ca="1"/>
        <v>7</v>
      </c>
      <c r="J669" t="str">
        <f ca="1"/>
        <v>Salaries &amp; Wages Expense</v>
      </c>
      <c r="K669" s="173">
        <f ca="1"/>
        <v>3</v>
      </c>
      <c r="AB669" s="96"/>
      <c r="AD669" s="97"/>
    </row>
    <row r="670" spans="2:30" hidden="1">
      <c r="B670" s="96"/>
      <c r="D670" s="173"/>
      <c r="I670" s="96">
        <f ca="1"/>
        <v>5</v>
      </c>
      <c r="J670" t="str">
        <f ca="1"/>
        <v xml:space="preserve">  Total Expenses</v>
      </c>
      <c r="K670" s="173">
        <f ca="1"/>
        <v>23.07</v>
      </c>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7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20</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20</v>
      </c>
    </row>
    <row r="681" spans="2:30" hidden="1">
      <c r="I681" s="96"/>
      <c r="K681" s="173"/>
    </row>
    <row r="682" spans="2:30" hidden="1">
      <c r="I682" s="96"/>
      <c r="K682" s="173"/>
    </row>
    <row r="683" spans="2:30" hidden="1">
      <c r="I683" s="96"/>
      <c r="K683" s="173"/>
    </row>
    <row r="684" spans="2:30" ht="15.7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302</v>
      </c>
    </row>
    <row r="688" spans="2:30" ht="15.75" hidden="1" thickBot="1">
      <c r="B688" s="5" t="s">
        <v>303</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12/31/20x3</v>
      </c>
      <c r="S688">
        <f ca="1"/>
        <v>0</v>
      </c>
      <c r="X688" s="5"/>
      <c r="AB688" s="5" t="s">
        <v>304</v>
      </c>
    </row>
    <row r="689" spans="2:30" hidden="1">
      <c r="B689" s="175" cm="1">
        <f t="array" ref="B689:D700">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0">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12/31/20x3</v>
      </c>
      <c r="S691">
        <f ca="1"/>
        <v>0</v>
      </c>
      <c r="AB691" s="96">
        <v>4</v>
      </c>
      <c r="AC691" t="str">
        <v xml:space="preserve"> Current Liabilities:</v>
      </c>
      <c r="AD691" s="97" t="str">
        <v/>
      </c>
    </row>
    <row r="692" spans="2:30" hidden="1">
      <c r="B692" s="96">
        <v>6</v>
      </c>
      <c r="C692" t="str">
        <v>Interest Payable</v>
      </c>
      <c r="D692" s="173">
        <v>0</v>
      </c>
      <c r="I692" s="96"/>
      <c r="K692" s="173"/>
      <c r="Q692">
        <f ca="1"/>
        <v>7</v>
      </c>
      <c r="R692" t="str">
        <f ca="1"/>
        <v>Issued common stock</v>
      </c>
      <c r="S692">
        <f ca="1"/>
        <v>3</v>
      </c>
      <c r="AB692" s="96">
        <v>6</v>
      </c>
      <c r="AC692" t="str">
        <v>Interest Payable</v>
      </c>
      <c r="AD692" s="97">
        <v>0</v>
      </c>
    </row>
    <row r="693" spans="2:30" hidden="1">
      <c r="B693" s="96">
        <v>7</v>
      </c>
      <c r="C693" t="str">
        <v>Dividends Payable</v>
      </c>
      <c r="D693" s="173">
        <v>0</v>
      </c>
      <c r="I693" s="96"/>
      <c r="K693" s="173"/>
      <c r="Q693">
        <f ca="1"/>
        <v>5</v>
      </c>
      <c r="R693" t="str">
        <f ca="1"/>
        <v>Balance @ 12/31/20x4</v>
      </c>
      <c r="S693">
        <f ca="1"/>
        <v>3</v>
      </c>
      <c r="AB693" s="96">
        <v>7</v>
      </c>
      <c r="AC693" t="str">
        <v>Dividends Payable</v>
      </c>
      <c r="AD693" s="97">
        <v>0</v>
      </c>
    </row>
    <row r="694" spans="2:30" hidden="1">
      <c r="B694" s="96">
        <v>5</v>
      </c>
      <c r="C694" t="str">
        <v xml:space="preserve">  Total Current Liabilities</v>
      </c>
      <c r="D694" s="173">
        <v>0</v>
      </c>
      <c r="I694" s="96"/>
      <c r="K694" s="173"/>
      <c r="Q694">
        <f ca="1"/>
        <v>3</v>
      </c>
      <c r="R694" t="str">
        <f ca="1"/>
        <v>Additional Paid-in Capital</v>
      </c>
      <c r="S694" t="str">
        <f ca="1"/>
        <v/>
      </c>
      <c r="AB694" s="96">
        <v>5</v>
      </c>
      <c r="AC694" t="str">
        <v xml:space="preserve">  Total Current Liabilities</v>
      </c>
      <c r="AD694" s="97">
        <v>0</v>
      </c>
    </row>
    <row r="695" spans="2:30" hidden="1">
      <c r="B695" s="96" t="str">
        <v/>
      </c>
      <c r="C695" t="str">
        <v/>
      </c>
      <c r="D695" s="173" t="str">
        <v/>
      </c>
      <c r="I695" s="96"/>
      <c r="K695" s="173"/>
      <c r="Q695">
        <f ca="1"/>
        <v>5</v>
      </c>
      <c r="R695" t="str">
        <f ca="1"/>
        <v>Balance @ 12/31/20x3</v>
      </c>
      <c r="S695">
        <f ca="1"/>
        <v>0</v>
      </c>
      <c r="AB695" s="96" t="str">
        <v/>
      </c>
      <c r="AC695" t="str">
        <v/>
      </c>
      <c r="AD695" s="97" t="str">
        <v/>
      </c>
    </row>
    <row r="696" spans="2:30" hidden="1">
      <c r="B696" s="96">
        <v>4</v>
      </c>
      <c r="C696" t="str">
        <v xml:space="preserve"> Noncurrent Liabilities:</v>
      </c>
      <c r="D696" s="173" t="str">
        <v/>
      </c>
      <c r="I696" s="96"/>
      <c r="K696" s="173"/>
      <c r="Q696">
        <f ca="1"/>
        <v>5</v>
      </c>
      <c r="R696" t="str">
        <f ca="1"/>
        <v>Balance @ 12/31/20x4</v>
      </c>
      <c r="S696">
        <f ca="1"/>
        <v>0</v>
      </c>
      <c r="AB696" s="96">
        <v>4</v>
      </c>
      <c r="AC696" t="str">
        <v xml:space="preserve"> Noncurrent Liabilities:</v>
      </c>
      <c r="AD696" s="97" t="str">
        <v/>
      </c>
    </row>
    <row r="697" spans="2:30" ht="15.75" hidden="1" thickBot="1">
      <c r="B697" s="96">
        <v>6</v>
      </c>
      <c r="C697" t="str">
        <v>Notes Payable</v>
      </c>
      <c r="D697" s="173">
        <v>0</v>
      </c>
      <c r="I697" s="98"/>
      <c r="J697" s="283"/>
      <c r="K697" s="285"/>
      <c r="Q697">
        <f ca="1"/>
        <v>3</v>
      </c>
      <c r="R697" t="str">
        <f ca="1"/>
        <v>Retained Earnings</v>
      </c>
      <c r="S697" t="str">
        <f ca="1"/>
        <v/>
      </c>
      <c r="AB697" s="96">
        <v>6</v>
      </c>
      <c r="AC697" t="str">
        <v>Notes Payable</v>
      </c>
      <c r="AD697" s="97">
        <v>20</v>
      </c>
    </row>
    <row r="698" spans="2:30" hidden="1">
      <c r="B698" s="96">
        <v>5</v>
      </c>
      <c r="C698" t="str">
        <v xml:space="preserve">  Total Noncurrent Liabilities</v>
      </c>
      <c r="D698" s="173">
        <v>0</v>
      </c>
      <c r="K698" s="34"/>
      <c r="Q698">
        <f ca="1"/>
        <v>5</v>
      </c>
      <c r="R698" t="str">
        <f ca="1"/>
        <v>Balance @ 12/31/20x3</v>
      </c>
      <c r="S698">
        <f ca="1"/>
        <v>0</v>
      </c>
      <c r="AB698" s="96">
        <v>5</v>
      </c>
      <c r="AC698" t="str">
        <v xml:space="preserve">  Total Noncurrent Liabilities</v>
      </c>
      <c r="AD698" s="97">
        <v>20</v>
      </c>
    </row>
    <row r="699" spans="2:30" hidden="1">
      <c r="B699" s="96" t="str">
        <v/>
      </c>
      <c r="C699" t="str">
        <v/>
      </c>
      <c r="D699" s="173" t="str">
        <v/>
      </c>
      <c r="K699" s="34"/>
      <c r="Q699">
        <f ca="1"/>
        <v>7</v>
      </c>
      <c r="R699" t="str">
        <f ca="1"/>
        <v>Declared Dividends</v>
      </c>
      <c r="S699">
        <f ca="1"/>
        <v>-0.05</v>
      </c>
      <c r="AB699" s="96" t="str">
        <v/>
      </c>
      <c r="AC699" t="str">
        <v/>
      </c>
      <c r="AD699" s="97" t="str">
        <v/>
      </c>
    </row>
    <row r="700" spans="2:30" hidden="1">
      <c r="B700" s="96">
        <v>3</v>
      </c>
      <c r="C700" t="str">
        <v>Total Liabilities</v>
      </c>
      <c r="D700" s="173">
        <v>0</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1.93</v>
      </c>
      <c r="AB700" s="96">
        <v>3</v>
      </c>
      <c r="AC700" t="str">
        <v>Total Liabilities</v>
      </c>
      <c r="AD700" s="97">
        <v>20</v>
      </c>
    </row>
    <row r="701" spans="2:30" hidden="1">
      <c r="B701" s="96"/>
      <c r="D701" s="173"/>
      <c r="K701" s="34"/>
      <c r="Q701">
        <f ca="1"/>
        <v>5</v>
      </c>
      <c r="R701" t="str">
        <f ca="1"/>
        <v>Balance @ 12/31/20x4</v>
      </c>
      <c r="S701">
        <f ca="1"/>
        <v>1.88</v>
      </c>
      <c r="AB701" s="96"/>
      <c r="AD701" s="97"/>
    </row>
    <row r="702" spans="2:30" hidden="1">
      <c r="B702" s="96"/>
      <c r="D702" s="173"/>
      <c r="K702" s="34"/>
      <c r="Q702">
        <f ca="1"/>
        <v>2</v>
      </c>
      <c r="R702" t="str">
        <f ca="1"/>
        <v>Total Shareholders' Equity @ 12/31/20x4</v>
      </c>
      <c r="S702">
        <f ca="1"/>
        <v>4.88</v>
      </c>
      <c r="AB702" s="96"/>
      <c r="AD702" s="97"/>
    </row>
    <row r="703" spans="2:30" ht="15.75" hidden="1" thickBot="1">
      <c r="B703" s="96"/>
      <c r="D703" s="173"/>
      <c r="I703" s="5" t="s">
        <v>46</v>
      </c>
      <c r="K703" s="34"/>
      <c r="Q703" t="str">
        <f ca="1"/>
        <v/>
      </c>
      <c r="R703" t="str">
        <f ca="1"/>
        <v/>
      </c>
      <c r="S703" t="str">
        <f ca="1"/>
        <v/>
      </c>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7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1.93</v>
      </c>
      <c r="AB714" s="96"/>
      <c r="AD714" s="97"/>
    </row>
    <row r="715" spans="2:30" hidden="1">
      <c r="B715" s="96"/>
      <c r="D715" s="173"/>
      <c r="K715" s="34"/>
      <c r="AB715" s="96"/>
      <c r="AD715" s="97"/>
    </row>
    <row r="716" spans="2:30" hidden="1">
      <c r="B716" s="96"/>
      <c r="D716" s="173"/>
      <c r="K716" s="34"/>
      <c r="AB716" s="96"/>
      <c r="AD716" s="97"/>
    </row>
    <row r="717" spans="2:30" ht="15.75" hidden="1" thickBot="1">
      <c r="B717" s="98"/>
      <c r="C717" s="283"/>
      <c r="D717" s="285"/>
      <c r="K717" s="34"/>
      <c r="AB717" s="98"/>
      <c r="AC717" s="283"/>
      <c r="AD717" s="99"/>
    </row>
    <row r="718" spans="2:30" hidden="1">
      <c r="I718" t="s">
        <v>305</v>
      </c>
      <c r="K718" s="34"/>
    </row>
    <row r="719" spans="2:30" hidden="1">
      <c r="I719" s="517" cm="1">
        <f t="array" aca="1" ref="I719:K732"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Sales</v>
      </c>
      <c r="K721" s="34">
        <f ca="1"/>
        <v>25</v>
      </c>
    </row>
    <row r="722" spans="2:30" hidden="1">
      <c r="I722">
        <f ca="1"/>
        <v>5</v>
      </c>
      <c r="J722" t="str">
        <f ca="1"/>
        <v xml:space="preserve">  Total Revenues</v>
      </c>
      <c r="K722" s="34">
        <f ca="1"/>
        <v>25</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Cost of Goods Sold</v>
      </c>
      <c r="K726" s="34">
        <f ca="1"/>
        <v>18</v>
      </c>
    </row>
    <row r="727" spans="2:30" hidden="1">
      <c r="I727">
        <f ca="1"/>
        <v>7</v>
      </c>
      <c r="J727" t="str">
        <f ca="1"/>
        <v>Interest Expense</v>
      </c>
      <c r="K727" s="34">
        <f ca="1"/>
        <v>1.87</v>
      </c>
      <c r="Q727" s="5" t="s">
        <v>306</v>
      </c>
    </row>
    <row r="728" spans="2:30" hidden="1">
      <c r="B728" s="5" t="s">
        <v>307</v>
      </c>
      <c r="I728">
        <f ca="1"/>
        <v>7</v>
      </c>
      <c r="J728" t="str">
        <f ca="1"/>
        <v>Depreciation Expense</v>
      </c>
      <c r="K728" s="34">
        <f ca="1"/>
        <v>0.2</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12/31/20x3</v>
      </c>
      <c r="S728">
        <f ca="1"/>
        <v>0</v>
      </c>
      <c r="X728" s="5"/>
      <c r="AB728" s="5" t="s">
        <v>307</v>
      </c>
    </row>
    <row r="729" spans="2:30" ht="15.75" hidden="1" thickBot="1">
      <c r="B729" s="517" cm="1">
        <f t="array" ref="B729:D729">IF(OR($F$101,$V$106),_xlfn.ANCHORARRAY(B553),{"","",""})</f>
        <v>2</v>
      </c>
      <c r="C729" t="str">
        <v>Equities</v>
      </c>
      <c r="D729" t="str">
        <v/>
      </c>
      <c r="I729">
        <f ca="1"/>
        <v>7</v>
      </c>
      <c r="J729" t="str">
        <f ca="1"/>
        <v>Salaries &amp; Wages Expense</v>
      </c>
      <c r="K729" s="34">
        <f ca="1"/>
        <v>3</v>
      </c>
      <c r="Q729" t="str">
        <f ca="1"/>
        <v/>
      </c>
      <c r="R729" t="str">
        <f ca="1"/>
        <v/>
      </c>
      <c r="S729" t="str">
        <f ca="1"/>
        <v/>
      </c>
      <c r="AB729" s="517" cm="1">
        <f t="array" ref="AB729:AD729">IF(OR($F$106,$AG$111),_xlfn.ANCHORARRAY(AB553),{"","",""})</f>
        <v>2</v>
      </c>
      <c r="AC729" t="str">
        <v>Equities</v>
      </c>
      <c r="AD729" t="str">
        <v/>
      </c>
    </row>
    <row r="730" spans="2:30" hidden="1">
      <c r="B730" s="518" cm="1">
        <f t="array" ref="B730:D731">IF(AND($V$106,C208&lt;&gt;""),_xlfn._xlws.FILTER(B208:D217,C208:C217&lt;&gt;""),{"","",""})</f>
        <v>6</v>
      </c>
      <c r="C730" s="365" t="str">
        <v>Common Stock</v>
      </c>
      <c r="D730" s="381">
        <v>0</v>
      </c>
      <c r="I730">
        <f ca="1"/>
        <v>5</v>
      </c>
      <c r="J730" t="str">
        <f ca="1"/>
        <v xml:space="preserve">  Total Expenses</v>
      </c>
      <c r="K730" s="34">
        <f ca="1"/>
        <v>23.07</v>
      </c>
      <c r="Q730">
        <f ca="1"/>
        <v>3</v>
      </c>
      <c r="R730" t="str">
        <f ca="1"/>
        <v>Preferred Stock</v>
      </c>
      <c r="S730" t="str">
        <f ca="1"/>
        <v/>
      </c>
      <c r="AB730" s="518" cm="1">
        <f t="array" ref="AB730:AD731">IF(AND($AG$110,$AC$208&lt;&gt;""),_xlfn._xlws.FILTER(AB208:AD217,AC208:AC217&lt;&gt;""),{"","",""})</f>
        <v>6</v>
      </c>
      <c r="AC730" s="365" t="str">
        <v>Common Stock</v>
      </c>
      <c r="AD730" s="174">
        <v>3</v>
      </c>
    </row>
    <row r="731" spans="2:30" hidden="1">
      <c r="B731" s="96">
        <v>7</v>
      </c>
      <c r="C731" t="str">
        <v>Retained Earnings</v>
      </c>
      <c r="D731" s="173">
        <v>0</v>
      </c>
      <c r="I731" t="str">
        <f ca="1"/>
        <v/>
      </c>
      <c r="J731" t="str">
        <f ca="1"/>
        <v/>
      </c>
      <c r="K731" s="34" t="str">
        <f ca="1"/>
        <v/>
      </c>
      <c r="Q731">
        <f ca="1"/>
        <v>5</v>
      </c>
      <c r="R731" t="str">
        <f ca="1"/>
        <v>Balance @ 12/31/20x3</v>
      </c>
      <c r="S731">
        <f ca="1"/>
        <v>0</v>
      </c>
      <c r="AB731" s="96">
        <v>7</v>
      </c>
      <c r="AC731" t="str">
        <v>Retained Earnings</v>
      </c>
      <c r="AD731" s="97">
        <v>1.88</v>
      </c>
    </row>
    <row r="732" spans="2:30" hidden="1">
      <c r="B732" s="96"/>
      <c r="D732" s="173"/>
      <c r="I732">
        <f ca="1"/>
        <v>3</v>
      </c>
      <c r="J732" t="str">
        <f ca="1"/>
        <v>Net Income</v>
      </c>
      <c r="K732" s="34">
        <f ca="1"/>
        <v>1.93</v>
      </c>
      <c r="Q732">
        <f ca="1"/>
        <v>5</v>
      </c>
      <c r="R732" t="str">
        <f ca="1"/>
        <v>Balance @ 12/31/20x4</v>
      </c>
      <c r="S732">
        <f ca="1"/>
        <v>0</v>
      </c>
      <c r="AB732" s="96"/>
      <c r="AD732" s="97"/>
    </row>
    <row r="733" spans="2:30" hidden="1">
      <c r="B733" s="96"/>
      <c r="D733" s="173"/>
      <c r="K733" s="34"/>
      <c r="Q733" t="str">
        <f ca="1"/>
        <v/>
      </c>
      <c r="R733" t="str">
        <f ca="1"/>
        <v/>
      </c>
      <c r="S733" t="str">
        <f ca="1"/>
        <v/>
      </c>
      <c r="AB733" s="96"/>
      <c r="AD733" s="97"/>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12/31/20x3</v>
      </c>
      <c r="S735">
        <f ca="1"/>
        <v>0</v>
      </c>
      <c r="AB735" s="96"/>
      <c r="AD735" s="97"/>
    </row>
    <row r="736" spans="2:30" hidden="1">
      <c r="B736" s="96"/>
      <c r="D736" s="173"/>
      <c r="K736" s="34"/>
      <c r="Q736">
        <f ca="1"/>
        <v>7</v>
      </c>
      <c r="R736" t="str">
        <f ca="1"/>
        <v>Issued common stock</v>
      </c>
      <c r="S736">
        <f ca="1"/>
        <v>3</v>
      </c>
      <c r="AB736" s="96"/>
      <c r="AD736" s="97"/>
    </row>
    <row r="737" spans="2:30" hidden="1">
      <c r="B737" s="96"/>
      <c r="D737" s="173"/>
      <c r="K737" s="34"/>
      <c r="Q737">
        <f ca="1"/>
        <v>5</v>
      </c>
      <c r="R737" t="str">
        <f ca="1"/>
        <v>Balance @ 12/31/20x4</v>
      </c>
      <c r="S737">
        <f ca="1"/>
        <v>3</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5.75" hidden="1" thickBot="1">
      <c r="B740" s="520" cm="1">
        <f t="array" ref="B740:D740">IF(AND($V$106,C208&lt;&gt;""),B557:D557,{"","",""})</f>
        <v>3</v>
      </c>
      <c r="C740" s="283" t="str">
        <v>Total Equities</v>
      </c>
      <c r="D740" s="285">
        <v>0</v>
      </c>
      <c r="K740" s="34"/>
      <c r="Q740">
        <f ca="1"/>
        <v>5</v>
      </c>
      <c r="R740" t="str">
        <f ca="1"/>
        <v>Balance @ 12/31/20x3</v>
      </c>
      <c r="S740">
        <f ca="1"/>
        <v>0</v>
      </c>
      <c r="AB740" s="520" cm="1">
        <f t="array" ref="AB740:AD740">IF(AC730&lt;&gt;"",AB557:AD557,{"","",""})</f>
        <v>3</v>
      </c>
      <c r="AC740" s="283" t="str">
        <v>Total Equities</v>
      </c>
      <c r="AD740" s="99">
        <v>4.88</v>
      </c>
    </row>
    <row r="741" spans="2:30" hidden="1">
      <c r="B741" s="517"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7" cm="1">
        <f t="array" ref="AB741:AD741">IF(AE558,AB558:AD558,{"","",""})</f>
        <v>3</v>
      </c>
      <c r="AC741" t="str">
        <v>Total Liabilities and Equities</v>
      </c>
      <c r="AD741">
        <v>24.88</v>
      </c>
    </row>
    <row r="742" spans="2:30" hidden="1">
      <c r="K742" s="34"/>
      <c r="Q742" t="str">
        <f ca="1"/>
        <v/>
      </c>
      <c r="R742" t="str">
        <f ca="1"/>
        <v/>
      </c>
      <c r="S742" t="str">
        <f ca="1"/>
        <v/>
      </c>
    </row>
    <row r="743" spans="2:30" hidden="1">
      <c r="K743" s="34"/>
      <c r="Q743">
        <f ca="1"/>
        <v>3</v>
      </c>
      <c r="R743" t="str">
        <f ca="1"/>
        <v>Retained Earnings</v>
      </c>
      <c r="S743" t="str">
        <f ca="1"/>
        <v/>
      </c>
    </row>
    <row r="744" spans="2:30" hidden="1">
      <c r="B744" cm="1">
        <f t="array" ref="B744:D752">_xlfn.VSTACK(_xlfn.ANCHORARRAY(B729),{"","",""},_xlfn.ANCHORARRAY(B730),{"","",""},_xlfn.ANCHORARRAY(B740),{"","",""},_xlfn.ANCHORARRAY(B741),{"","",""})</f>
        <v>2</v>
      </c>
      <c r="C744" t="str">
        <v>Equities</v>
      </c>
      <c r="D744" t="str">
        <v/>
      </c>
      <c r="K744" s="34"/>
      <c r="Q744">
        <f ca="1"/>
        <v>5</v>
      </c>
      <c r="R744" t="str">
        <f ca="1"/>
        <v>Balance @ 12/31/20x3</v>
      </c>
      <c r="S744">
        <f ca="1"/>
        <v>0</v>
      </c>
      <c r="AB744" cm="1">
        <f t="array" ref="AB744:AD752">_xlfn.VSTACK(_xlfn.ANCHORARRAY(AB729),{"","",""},_xlfn.ANCHORARRAY(AB730),{"","",""},_xlfn.ANCHORARRAY(AB740),{"","",""},_xlfn.ANCHORARRAY(AB741),{"","",""})</f>
        <v>2</v>
      </c>
      <c r="AC744" t="str">
        <v>Equities</v>
      </c>
      <c r="AD744" t="str">
        <v/>
      </c>
    </row>
    <row r="745" spans="2:30" hidden="1">
      <c r="B745" t="str">
        <v/>
      </c>
      <c r="C745" t="str">
        <v/>
      </c>
      <c r="D745" t="str">
        <v/>
      </c>
      <c r="K745" s="34"/>
      <c r="Q745">
        <f ca="1"/>
        <v>7</v>
      </c>
      <c r="R745" t="str">
        <f ca="1"/>
        <v>Declared Dividends</v>
      </c>
      <c r="S745">
        <f ca="1"/>
        <v>-0.05</v>
      </c>
      <c r="AB745" t="str">
        <v/>
      </c>
      <c r="AC745" t="str">
        <v/>
      </c>
      <c r="AD745" t="str">
        <v/>
      </c>
    </row>
    <row r="746" spans="2:30" hidden="1">
      <c r="B746">
        <v>6</v>
      </c>
      <c r="C746" t="str">
        <v>Common Stock</v>
      </c>
      <c r="D746">
        <v>0</v>
      </c>
      <c r="K746" s="34"/>
      <c r="Q746">
        <f ca="1"/>
        <v>7</v>
      </c>
      <c r="R746" t="str">
        <f ca="1"/>
        <v>Net Income (Loss)</v>
      </c>
      <c r="S746">
        <f ca="1"/>
        <v>1.93</v>
      </c>
      <c r="AB746">
        <v>6</v>
      </c>
      <c r="AC746" t="str">
        <v>Common Stock</v>
      </c>
      <c r="AD746">
        <v>3</v>
      </c>
    </row>
    <row r="747" spans="2:30" hidden="1">
      <c r="B747">
        <v>7</v>
      </c>
      <c r="C747" t="str">
        <v>Retained Earnings</v>
      </c>
      <c r="D747">
        <v>0</v>
      </c>
      <c r="K747" s="34"/>
      <c r="Q747">
        <f ca="1"/>
        <v>5</v>
      </c>
      <c r="R747" t="str">
        <f ca="1"/>
        <v>Balance @ 12/31/20x4</v>
      </c>
      <c r="S747">
        <f ca="1"/>
        <v>1.88</v>
      </c>
      <c r="AB747">
        <v>7</v>
      </c>
      <c r="AC747" t="str">
        <v>Retained Earnings</v>
      </c>
      <c r="AD747">
        <v>1.88</v>
      </c>
    </row>
    <row r="748" spans="2:30" hidden="1">
      <c r="B748" t="str">
        <v/>
      </c>
      <c r="C748" t="str">
        <v/>
      </c>
      <c r="D748" t="str">
        <v/>
      </c>
      <c r="K748" s="34"/>
      <c r="Q748" t="str">
        <f ca="1"/>
        <v/>
      </c>
      <c r="R748" t="str">
        <f ca="1"/>
        <v/>
      </c>
      <c r="S748" t="str">
        <f ca="1"/>
        <v/>
      </c>
      <c r="AB748" t="str">
        <v/>
      </c>
      <c r="AC748" t="str">
        <v/>
      </c>
      <c r="AD748" t="str">
        <v/>
      </c>
    </row>
    <row r="749" spans="2:30" hidden="1">
      <c r="B749">
        <v>3</v>
      </c>
      <c r="C749" t="str">
        <v>Total Equities</v>
      </c>
      <c r="D749">
        <v>0</v>
      </c>
      <c r="Q749">
        <f ca="1"/>
        <v>2</v>
      </c>
      <c r="R749" t="str">
        <f ca="1"/>
        <v>Total Shareholders' Equity @ 12/31/20x4</v>
      </c>
      <c r="S749">
        <f ca="1"/>
        <v>4.88</v>
      </c>
      <c r="AB749">
        <v>3</v>
      </c>
      <c r="AC749" t="str">
        <v>Total Equities</v>
      </c>
      <c r="AD749">
        <v>4.88</v>
      </c>
    </row>
    <row r="750" spans="2:30" hidden="1">
      <c r="B750" t="str">
        <v/>
      </c>
      <c r="C750" t="str">
        <v/>
      </c>
      <c r="D750" t="str">
        <v/>
      </c>
      <c r="Q750" t="str">
        <f ca="1"/>
        <v/>
      </c>
      <c r="R750" t="str">
        <f ca="1"/>
        <v/>
      </c>
      <c r="S750" t="str">
        <f ca="1"/>
        <v/>
      </c>
      <c r="AB750" t="str">
        <v/>
      </c>
      <c r="AC750" t="str">
        <v/>
      </c>
      <c r="AD750" t="str">
        <v/>
      </c>
    </row>
    <row r="751" spans="2:30" hidden="1">
      <c r="B751">
        <v>3</v>
      </c>
      <c r="C751" t="str">
        <v>Total Liabilities and Equities</v>
      </c>
      <c r="D751">
        <v>0</v>
      </c>
      <c r="AB751">
        <v>3</v>
      </c>
      <c r="AC751" t="str">
        <v>Total Liabilities and Equities</v>
      </c>
      <c r="AD751">
        <v>24.88</v>
      </c>
    </row>
    <row r="752" spans="2:30" hidden="1">
      <c r="B752" t="str">
        <v/>
      </c>
      <c r="C752" t="str">
        <v/>
      </c>
      <c r="D752" t="str">
        <v/>
      </c>
      <c r="AB752" t="str">
        <v/>
      </c>
      <c r="AC752" t="str">
        <v/>
      </c>
      <c r="AD752" t="str">
        <v/>
      </c>
    </row>
    <row r="753" spans="9:11" hidden="1"/>
    <row r="754" spans="9:11" hidden="1"/>
    <row r="755" spans="9:11" hidden="1"/>
    <row r="756" spans="9:11" hidden="1"/>
    <row r="757" spans="9:11" hidden="1"/>
    <row r="758" spans="9:11" hidden="1"/>
    <row r="759" spans="9:11" hidden="1"/>
    <row r="760" spans="9:11" hidden="1"/>
    <row r="761" spans="9:11" hidden="1">
      <c r="K761" s="34"/>
    </row>
    <row r="762" spans="9:11" hidden="1">
      <c r="K762" s="34"/>
    </row>
    <row r="763" spans="9:11" hidden="1">
      <c r="I763" t="s">
        <v>308</v>
      </c>
      <c r="K763" s="34"/>
    </row>
    <row r="764" spans="9:11" hidden="1">
      <c r="I764" s="517" cm="1">
        <f t="array" aca="1" ref="I764:K779" ca="1">_xlfn.VSTACK(_xlfn.ANCHORARRAY(I649),{"","",""},_xlfn.ANCHORARRAY(I664),{"","",""},_xlfn.ANCHORARRAY(I689),{"","",""},_xlfn.ANCHORARRAY(I714))</f>
        <v>2</v>
      </c>
      <c r="J764" t="str">
        <f ca="1"/>
        <v>Revenues</v>
      </c>
      <c r="K764" s="34" t="str">
        <f ca="1"/>
        <v/>
      </c>
    </row>
    <row r="765" spans="9:11" hidden="1">
      <c r="I765" t="str">
        <f ca="1"/>
        <v/>
      </c>
      <c r="J765" t="str">
        <f ca="1"/>
        <v/>
      </c>
      <c r="K765" s="34" t="str">
        <f ca="1"/>
        <v/>
      </c>
    </row>
    <row r="766" spans="9:11" hidden="1">
      <c r="I766">
        <f ca="1"/>
        <v>6</v>
      </c>
      <c r="J766" t="str">
        <f ca="1"/>
        <v>Sales</v>
      </c>
      <c r="K766" s="34">
        <f ca="1"/>
        <v>25</v>
      </c>
    </row>
    <row r="767" spans="9:11" hidden="1">
      <c r="I767">
        <f ca="1"/>
        <v>5</v>
      </c>
      <c r="J767" t="str">
        <f ca="1"/>
        <v xml:space="preserve">  Total Revenues</v>
      </c>
      <c r="K767" s="34">
        <f ca="1"/>
        <v>25</v>
      </c>
    </row>
    <row r="768" spans="9:11"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Cost of Goods Sold</v>
      </c>
      <c r="K771" s="34">
        <f ca="1"/>
        <v>18</v>
      </c>
    </row>
    <row r="772" spans="9:19" hidden="1">
      <c r="I772">
        <f ca="1"/>
        <v>7</v>
      </c>
      <c r="J772" t="str">
        <f ca="1"/>
        <v>Interest Expense</v>
      </c>
      <c r="K772" s="34">
        <f ca="1"/>
        <v>1.87</v>
      </c>
    </row>
    <row r="773" spans="9:19" hidden="1">
      <c r="I773">
        <f ca="1"/>
        <v>7</v>
      </c>
      <c r="J773" t="str">
        <f ca="1"/>
        <v>Depreciation Expense</v>
      </c>
      <c r="K773" s="34">
        <f ca="1"/>
        <v>0.2</v>
      </c>
    </row>
    <row r="774" spans="9:19" hidden="1">
      <c r="I774">
        <f ca="1"/>
        <v>7</v>
      </c>
      <c r="J774" t="str">
        <f ca="1"/>
        <v>Salaries &amp; Wages Expense</v>
      </c>
      <c r="K774" s="34">
        <f ca="1"/>
        <v>3</v>
      </c>
    </row>
    <row r="775" spans="9:19" hidden="1">
      <c r="I775">
        <f ca="1"/>
        <v>5</v>
      </c>
      <c r="J775" t="str">
        <f ca="1"/>
        <v xml:space="preserve">  Total Expenses</v>
      </c>
      <c r="K775" s="34">
        <f ca="1"/>
        <v>23.07</v>
      </c>
    </row>
    <row r="776" spans="9:19" hidden="1">
      <c r="I776" t="str">
        <f ca="1"/>
        <v/>
      </c>
      <c r="J776" t="str">
        <f ca="1"/>
        <v/>
      </c>
      <c r="K776" s="34" t="str">
        <f ca="1"/>
        <v/>
      </c>
    </row>
    <row r="777" spans="9:19" hidden="1">
      <c r="I777" t="str">
        <f ca="1"/>
        <v/>
      </c>
      <c r="J777" t="str">
        <f ca="1"/>
        <v/>
      </c>
      <c r="K777" s="34" t="str">
        <f ca="1"/>
        <v/>
      </c>
      <c r="Q777" s="5" t="s">
        <v>309</v>
      </c>
    </row>
    <row r="778" spans="9:19" hidden="1">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0</v>
      </c>
    </row>
    <row r="779" spans="9:19" hidden="1">
      <c r="I779">
        <f ca="1"/>
        <v>3</v>
      </c>
      <c r="J779" t="str">
        <f ca="1"/>
        <v>Net Income</v>
      </c>
      <c r="K779" s="34">
        <f ca="1"/>
        <v>1.93</v>
      </c>
      <c r="Q779" t="str">
        <f ca="1"/>
        <v/>
      </c>
      <c r="R779" t="str">
        <f ca="1"/>
        <v/>
      </c>
      <c r="S779" t="str">
        <f ca="1"/>
        <v/>
      </c>
    </row>
    <row r="780" spans="9:19" hidden="1">
      <c r="K780" s="34"/>
      <c r="Q780">
        <f ca="1"/>
        <v>3</v>
      </c>
      <c r="R780" t="str">
        <f ca="1"/>
        <v>Preferred Stock</v>
      </c>
      <c r="S780" t="str">
        <f ca="1"/>
        <v/>
      </c>
    </row>
    <row r="781" spans="9:19" hidden="1">
      <c r="K781" s="34"/>
      <c r="Q781">
        <f ca="1"/>
        <v>5</v>
      </c>
      <c r="R781" t="str">
        <f ca="1"/>
        <v>Balance @ 12/31/20x3</v>
      </c>
      <c r="S781">
        <f ca="1"/>
        <v>0</v>
      </c>
    </row>
    <row r="782" spans="9:19" hidden="1">
      <c r="K782" s="34"/>
      <c r="Q782">
        <f ca="1"/>
        <v>5</v>
      </c>
      <c r="R782" t="str">
        <f ca="1"/>
        <v>Balance @ 12/31/20x4</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12/31/20x3</v>
      </c>
      <c r="S785">
        <f ca="1"/>
        <v>0</v>
      </c>
    </row>
    <row r="786" spans="9:20" hidden="1">
      <c r="K786" s="34"/>
      <c r="Q786">
        <f ca="1"/>
        <v>7</v>
      </c>
      <c r="R786" t="str">
        <f ca="1"/>
        <v>Issued common stock</v>
      </c>
      <c r="S786">
        <f ca="1"/>
        <v>3</v>
      </c>
    </row>
    <row r="787" spans="9:20" hidden="1">
      <c r="K787" s="34"/>
      <c r="Q787">
        <f ca="1"/>
        <v>5</v>
      </c>
      <c r="R787" t="str">
        <f ca="1"/>
        <v>Balance @ 12/31/20x4</v>
      </c>
      <c r="S787">
        <f ca="1"/>
        <v>3</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12/31/20x3</v>
      </c>
      <c r="S790">
        <f ca="1"/>
        <v>0</v>
      </c>
    </row>
    <row r="791" spans="9:20" hidden="1">
      <c r="K791" s="34"/>
      <c r="Q791">
        <f ca="1"/>
        <v>5</v>
      </c>
      <c r="R791" t="str">
        <f ca="1"/>
        <v>Balance @ 12/31/20x4</v>
      </c>
      <c r="S791">
        <f ca="1"/>
        <v>0</v>
      </c>
    </row>
    <row r="792" spans="9:20" hidden="1">
      <c r="K792" s="34"/>
      <c r="Q792" t="str">
        <f ca="1"/>
        <v/>
      </c>
      <c r="R792" t="str">
        <f ca="1"/>
        <v/>
      </c>
      <c r="S792" t="str">
        <f ca="1"/>
        <v/>
      </c>
    </row>
    <row r="793" spans="9:20" hidden="1">
      <c r="K793" s="34"/>
      <c r="Q793">
        <f ca="1"/>
        <v>3</v>
      </c>
      <c r="R793" t="str">
        <f ca="1"/>
        <v>Retained Earnings</v>
      </c>
      <c r="S793" t="str">
        <f ca="1"/>
        <v/>
      </c>
    </row>
    <row r="794" spans="9:20" hidden="1">
      <c r="K794" s="34"/>
      <c r="Q794">
        <f ca="1"/>
        <v>5</v>
      </c>
      <c r="R794" t="str">
        <f ca="1"/>
        <v>Balance @ 12/31/20x3</v>
      </c>
      <c r="S794">
        <f ca="1"/>
        <v>0</v>
      </c>
    </row>
    <row r="795" spans="9:20" hidden="1">
      <c r="K795" s="34"/>
      <c r="Q795">
        <f ca="1"/>
        <v>7</v>
      </c>
      <c r="R795" t="str">
        <f ca="1"/>
        <v>Declared Dividends</v>
      </c>
      <c r="S795">
        <f ca="1"/>
        <v>-0.05</v>
      </c>
    </row>
    <row r="796" spans="9:20" hidden="1">
      <c r="Q796">
        <f ca="1"/>
        <v>7</v>
      </c>
      <c r="R796" t="str">
        <f ca="1"/>
        <v>Net Income (Loss)</v>
      </c>
      <c r="S796">
        <f ca="1"/>
        <v>1.93</v>
      </c>
    </row>
    <row r="797" spans="9:20" hidden="1">
      <c r="Q797">
        <f ca="1"/>
        <v>5</v>
      </c>
      <c r="R797" t="str">
        <f ca="1"/>
        <v>Balance @ 12/31/20x4</v>
      </c>
      <c r="S797">
        <f ca="1"/>
        <v>1.88</v>
      </c>
    </row>
    <row r="798" spans="9:20" hidden="1">
      <c r="I798" t="s">
        <v>310</v>
      </c>
      <c r="Q798" t="str">
        <f ca="1"/>
        <v/>
      </c>
      <c r="R798" t="str">
        <f ca="1"/>
        <v/>
      </c>
      <c r="S798" t="str">
        <f ca="1"/>
        <v/>
      </c>
    </row>
    <row r="799" spans="9:20" hidden="1">
      <c r="I799" s="517" cm="1">
        <f t="array" aca="1" ref="I799:K814"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c r="I800" t="str">
        <f ca="1"/>
        <v/>
      </c>
      <c r="J800" t="str">
        <f ca="1"/>
        <v/>
      </c>
      <c r="K800" t="str">
        <f ca="1"/>
        <v/>
      </c>
      <c r="Q800">
        <f ca="1"/>
        <v>5</v>
      </c>
      <c r="R800" t="str">
        <f ca="1"/>
        <v>Balance @ 12/31/20x3</v>
      </c>
      <c r="S800">
        <f ca="1"/>
        <v>0</v>
      </c>
      <c r="T800" s="192"/>
    </row>
    <row r="801" spans="9:22" hidden="1">
      <c r="I801">
        <f ca="1"/>
        <v>6</v>
      </c>
      <c r="J801" t="str">
        <f ca="1"/>
        <v>Sales</v>
      </c>
      <c r="K801">
        <f ca="1"/>
        <v>25</v>
      </c>
      <c r="Q801">
        <f ca="1"/>
        <v>5</v>
      </c>
      <c r="R801" t="str">
        <f ca="1"/>
        <v>Balance @ 12/31/20x4</v>
      </c>
      <c r="S801">
        <f ca="1"/>
        <v>0</v>
      </c>
      <c r="T801" s="192"/>
    </row>
    <row r="802" spans="9:22" hidden="1">
      <c r="I802">
        <f ca="1"/>
        <v>5</v>
      </c>
      <c r="J802" t="str">
        <f ca="1"/>
        <v xml:space="preserve">  Total Revenues</v>
      </c>
      <c r="K802">
        <f ca="1"/>
        <v>25</v>
      </c>
      <c r="Q802" t="str">
        <f ca="1"/>
        <v/>
      </c>
      <c r="R802" t="str">
        <f ca="1"/>
        <v/>
      </c>
      <c r="S802" t="str">
        <f ca="1"/>
        <v/>
      </c>
      <c r="T802" s="192"/>
    </row>
    <row r="803" spans="9:22" hidden="1">
      <c r="I803" t="str">
        <f ca="1"/>
        <v/>
      </c>
      <c r="J803" t="str">
        <f ca="1"/>
        <v/>
      </c>
      <c r="K803" t="str">
        <f ca="1"/>
        <v/>
      </c>
      <c r="Q803">
        <f ca="1"/>
        <v>3</v>
      </c>
      <c r="R803" t="str">
        <f ca="1"/>
        <v>Treasury Stock</v>
      </c>
      <c r="S803" t="str">
        <f ca="1"/>
        <v/>
      </c>
      <c r="T803" s="192"/>
    </row>
    <row r="804" spans="9:22" hidden="1">
      <c r="I804">
        <f ca="1"/>
        <v>2</v>
      </c>
      <c r="J804" t="str">
        <f ca="1"/>
        <v>Expenses</v>
      </c>
      <c r="K804" t="str">
        <f ca="1"/>
        <v/>
      </c>
      <c r="Q804">
        <f ca="1"/>
        <v>5</v>
      </c>
      <c r="R804" t="str">
        <f ca="1"/>
        <v>Balance @ 12/31/20x3</v>
      </c>
      <c r="S804">
        <f ca="1"/>
        <v>0</v>
      </c>
      <c r="T804" s="192"/>
    </row>
    <row r="805" spans="9:22" hidden="1">
      <c r="I805" t="str">
        <f ca="1"/>
        <v/>
      </c>
      <c r="J805" t="str">
        <f ca="1"/>
        <v/>
      </c>
      <c r="K805" t="str">
        <f ca="1"/>
        <v/>
      </c>
      <c r="Q805">
        <f ca="1"/>
        <v>5</v>
      </c>
      <c r="R805" t="str">
        <f ca="1"/>
        <v>Balance @ 12/31/20x4</v>
      </c>
      <c r="S805">
        <f ca="1"/>
        <v>0</v>
      </c>
      <c r="T805" s="192"/>
    </row>
    <row r="806" spans="9:22" hidden="1">
      <c r="I806">
        <f ca="1"/>
        <v>6</v>
      </c>
      <c r="J806" t="str">
        <f ca="1"/>
        <v>Cost of Goods Sold</v>
      </c>
      <c r="K806">
        <f ca="1"/>
        <v>18</v>
      </c>
      <c r="Q806" t="str">
        <f ca="1"/>
        <v/>
      </c>
      <c r="R806" t="str">
        <f ca="1"/>
        <v/>
      </c>
      <c r="S806" t="str">
        <f ca="1"/>
        <v/>
      </c>
      <c r="T806" s="192"/>
    </row>
    <row r="807" spans="9:22" hidden="1">
      <c r="I807">
        <f ca="1"/>
        <v>7</v>
      </c>
      <c r="J807" t="str">
        <f ca="1"/>
        <v>Interest Expense</v>
      </c>
      <c r="K807">
        <f ca="1"/>
        <v>1.87</v>
      </c>
      <c r="Q807">
        <f ca="1"/>
        <v>2</v>
      </c>
      <c r="R807" t="str">
        <f ca="1"/>
        <v>Total Shareholders' Equity @ 12/31/20x4</v>
      </c>
      <c r="S807">
        <f ca="1"/>
        <v>4.88</v>
      </c>
      <c r="T807" s="192"/>
    </row>
    <row r="808" spans="9:22" hidden="1">
      <c r="I808">
        <f ca="1"/>
        <v>7</v>
      </c>
      <c r="J808" t="str">
        <f ca="1"/>
        <v>Depreciation Expense</v>
      </c>
      <c r="K808">
        <f ca="1"/>
        <v>0.2</v>
      </c>
      <c r="Q808" t="str">
        <f ca="1"/>
        <v/>
      </c>
      <c r="R808" t="str">
        <f ca="1"/>
        <v/>
      </c>
      <c r="S808" t="str">
        <f ca="1"/>
        <v/>
      </c>
      <c r="T808" s="192"/>
    </row>
    <row r="809" spans="9:22" hidden="1">
      <c r="I809">
        <f ca="1"/>
        <v>7</v>
      </c>
      <c r="J809" t="str">
        <f ca="1"/>
        <v>Salaries &amp; Wages Expense</v>
      </c>
      <c r="K809">
        <f ca="1"/>
        <v>3</v>
      </c>
      <c r="T809" s="192" t="e" cm="1">
        <f t="array" ref="T809">#REF!</f>
        <v>#REF!</v>
      </c>
      <c r="U809" s="192"/>
    </row>
    <row r="810" spans="9:22" hidden="1">
      <c r="I810">
        <f ca="1"/>
        <v>5</v>
      </c>
      <c r="J810" t="str">
        <f ca="1"/>
        <v xml:space="preserve">  Total Expenses</v>
      </c>
      <c r="K810">
        <f ca="1"/>
        <v>23.07</v>
      </c>
      <c r="T810" s="192"/>
    </row>
    <row r="811" spans="9:22" hidden="1">
      <c r="I811" t="str">
        <f ca="1"/>
        <v/>
      </c>
      <c r="J811" t="str">
        <f ca="1"/>
        <v/>
      </c>
      <c r="K811" t="str">
        <f ca="1"/>
        <v/>
      </c>
      <c r="T811" s="192" t="str" cm="1">
        <f t="array" ref="T811:V811">IFERROR(_xlfn._xlws.FILTER(#REF!,#REF!&lt;&gt;""),{"","",""})</f>
        <v/>
      </c>
      <c r="U811" t="str">
        <v/>
      </c>
      <c r="V811" t="str">
        <v/>
      </c>
    </row>
    <row r="812" spans="9:22" hidden="1">
      <c r="I812" t="str">
        <f ca="1"/>
        <v/>
      </c>
      <c r="J812" t="str">
        <f ca="1"/>
        <v/>
      </c>
      <c r="K812" t="str">
        <f ca="1"/>
        <v/>
      </c>
      <c r="T812" s="192"/>
    </row>
    <row r="813" spans="9:22" hidden="1">
      <c r="I813" t="str">
        <f ca="1"/>
        <v/>
      </c>
      <c r="J813" t="str">
        <f ca="1"/>
        <v/>
      </c>
      <c r="K813" t="str">
        <f ca="1"/>
        <v/>
      </c>
      <c r="T813" s="192"/>
    </row>
    <row r="814" spans="9:22" hidden="1">
      <c r="I814">
        <f ca="1"/>
        <v>3</v>
      </c>
      <c r="J814" t="str">
        <f ca="1"/>
        <v>Net Income</v>
      </c>
      <c r="K814">
        <f ca="1"/>
        <v>1.93</v>
      </c>
    </row>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311</v>
      </c>
    </row>
    <row r="839" spans="9:11" hidden="1">
      <c r="I839" s="517" cm="1">
        <f t="array" aca="1" ref="I839:K856"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Sales</v>
      </c>
      <c r="K841">
        <f ca="1"/>
        <v>25</v>
      </c>
    </row>
    <row r="842" spans="9:11" hidden="1">
      <c r="I842">
        <f ca="1"/>
        <v>5</v>
      </c>
      <c r="J842" t="str">
        <f ca="1"/>
        <v xml:space="preserve">  Total Revenues</v>
      </c>
      <c r="K842">
        <f ca="1"/>
        <v>25</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Cost of Goods Sold</v>
      </c>
      <c r="K846">
        <f ca="1"/>
        <v>18</v>
      </c>
    </row>
    <row r="847" spans="9:11" hidden="1">
      <c r="I847">
        <f ca="1"/>
        <v>7</v>
      </c>
      <c r="J847" t="str">
        <f ca="1"/>
        <v>Interest Expense</v>
      </c>
      <c r="K847">
        <f ca="1"/>
        <v>1.87</v>
      </c>
    </row>
    <row r="848" spans="9:11" hidden="1">
      <c r="I848">
        <f ca="1"/>
        <v>7</v>
      </c>
      <c r="J848" t="str">
        <f ca="1"/>
        <v>Depreciation Expense</v>
      </c>
      <c r="K848">
        <f ca="1"/>
        <v>0.2</v>
      </c>
    </row>
    <row r="849" spans="9:11" hidden="1">
      <c r="I849">
        <f ca="1"/>
        <v>7</v>
      </c>
      <c r="J849" t="str">
        <f ca="1"/>
        <v>Salaries &amp; Wages Expense</v>
      </c>
      <c r="K849">
        <f ca="1"/>
        <v>3</v>
      </c>
    </row>
    <row r="850" spans="9:11" hidden="1">
      <c r="I850">
        <f ca="1"/>
        <v>5</v>
      </c>
      <c r="J850" t="str">
        <f ca="1"/>
        <v xml:space="preserve">  Total Expenses</v>
      </c>
      <c r="K850">
        <f ca="1"/>
        <v>23.07</v>
      </c>
    </row>
    <row r="851" spans="9:11" hidden="1" collapsed="1">
      <c r="I851" t="str">
        <f ca="1"/>
        <v/>
      </c>
      <c r="J851" t="str">
        <f ca="1"/>
        <v/>
      </c>
      <c r="K851" t="str">
        <f ca="1"/>
        <v/>
      </c>
    </row>
    <row r="852" spans="9:11" hidden="1">
      <c r="I852" t="str">
        <f ca="1"/>
        <v/>
      </c>
      <c r="J852" t="str">
        <f ca="1"/>
        <v/>
      </c>
      <c r="K852" t="str">
        <f ca="1"/>
        <v/>
      </c>
    </row>
    <row r="853" spans="9:11" hidden="1">
      <c r="I853" t="str">
        <f ca="1"/>
        <v/>
      </c>
      <c r="J853" t="str">
        <f ca="1"/>
        <v/>
      </c>
      <c r="K853" t="str">
        <f ca="1"/>
        <v/>
      </c>
    </row>
    <row r="854" spans="9:11" hidden="1">
      <c r="I854" t="str">
        <f ca="1"/>
        <v/>
      </c>
      <c r="J854" t="str">
        <f ca="1"/>
        <v/>
      </c>
      <c r="K854" t="str">
        <f ca="1"/>
        <v/>
      </c>
    </row>
    <row r="855" spans="9:11" hidden="1">
      <c r="I855" t="str">
        <f ca="1"/>
        <v/>
      </c>
      <c r="J855" t="str">
        <f ca="1"/>
        <v/>
      </c>
      <c r="K855" t="str">
        <f ca="1"/>
        <v/>
      </c>
    </row>
    <row r="856" spans="9:11" hidden="1">
      <c r="I856">
        <f ca="1"/>
        <v>3</v>
      </c>
      <c r="J856" t="str">
        <f ca="1"/>
        <v>Net Income</v>
      </c>
      <c r="K856">
        <f ca="1"/>
        <v>1.93</v>
      </c>
    </row>
    <row r="857" spans="9:11" hidden="1"/>
    <row r="858" spans="9:11" hidden="1"/>
    <row r="859" spans="9:11" hidden="1"/>
    <row r="860" spans="9:11" hidden="1"/>
    <row r="861" spans="9:11" hidden="1"/>
    <row r="862" spans="9:11" hidden="1"/>
    <row r="863" spans="9:11" hidden="1"/>
    <row r="864" spans="9:11"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3.25">
      <c r="C1" s="363" t="str">
        <f>Entity</f>
        <v>Miloslav's Magazines</v>
      </c>
    </row>
    <row r="2" spans="2:3">
      <c r="C2" s="362" t="str">
        <f>Units</f>
        <v>Dollars in Thousands</v>
      </c>
    </row>
    <row r="4" spans="2:3">
      <c r="C4" s="456" t="s">
        <v>312</v>
      </c>
    </row>
    <row r="5" spans="2:3">
      <c r="B5" s="451" cm="1">
        <f t="array" ref="B5:C23">FSConstruction!B117:C135</f>
        <v>10</v>
      </c>
      <c r="C5" s="194" t="str">
        <v>BUSINESS OPERATIONS</v>
      </c>
    </row>
    <row r="6" spans="2:3">
      <c r="B6" s="451">
        <v>11</v>
      </c>
      <c r="C6" s="194" t="str">
        <v>Miloslav's Magazines (the 'Company', 'we', 'us', 'our') is a For-profit corporation whose activity is Retail.</v>
      </c>
    </row>
    <row r="7" spans="2:3" ht="30">
      <c r="B7" s="451">
        <v>10</v>
      </c>
      <c r="C7" s="194" t="str">
        <v xml:space="preserve">
SUMMARY OF SIGNIFICANT ACCOUNTING POLICIES</v>
      </c>
    </row>
    <row r="8" spans="2:3" ht="30">
      <c r="B8" s="451">
        <v>10</v>
      </c>
      <c r="C8" s="194" t="str">
        <v xml:space="preserve">
Basis of Presentation and Use of Estimates</v>
      </c>
    </row>
    <row r="9" spans="2:3" ht="7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c r="B10" s="451">
        <v>10</v>
      </c>
      <c r="C10" s="194" t="str">
        <v xml:space="preserve">
Cash</v>
      </c>
    </row>
    <row r="11" spans="2:3">
      <c r="B11" s="451">
        <v>11</v>
      </c>
      <c r="C11" s="194" t="str">
        <v>Cash includes demand deposits, money market accounts, …</v>
      </c>
    </row>
    <row r="12" spans="2:3" ht="30">
      <c r="B12" s="451">
        <v>10</v>
      </c>
      <c r="C12" s="194" t="str">
        <v xml:space="preserve">
Inventories</v>
      </c>
    </row>
    <row r="13" spans="2:3">
      <c r="B13" s="451">
        <v>11</v>
      </c>
      <c r="C13" s="194" t="str">
        <v>Our inventories are exclusively goods held for resale and stated on a First-in, first-out (FIFO) basis.</v>
      </c>
    </row>
    <row r="14" spans="2:3" ht="30">
      <c r="B14" s="451">
        <v>10</v>
      </c>
      <c r="C14" s="194" t="str">
        <v xml:space="preserve">
Property, Plant &amp; Equipment</v>
      </c>
    </row>
    <row r="15" spans="2:3">
      <c r="B15" s="451">
        <v>11</v>
      </c>
      <c r="C15" s="194" t="str">
        <v>The Company calculates depreciation expense on a straight-line basis.</v>
      </c>
    </row>
    <row r="16" spans="2:3" ht="30">
      <c r="B16" s="451">
        <v>10</v>
      </c>
      <c r="C16" s="194" t="str">
        <v xml:space="preserve">
Revenue Recognition</v>
      </c>
    </row>
    <row r="17" spans="2:3">
      <c r="B17" s="451">
        <v>11</v>
      </c>
      <c r="C17" s="194" t="str">
        <v>We recognize revenue in accordance with FASB ASC 606, "Revenue from Contracts with Customers"..</v>
      </c>
    </row>
    <row r="18" spans="2:3" ht="30">
      <c r="B18" s="451">
        <v>10</v>
      </c>
      <c r="C18" s="194" t="str">
        <v xml:space="preserve">
New Accounting Pronouncements </v>
      </c>
    </row>
    <row r="19" spans="2:3" ht="30">
      <c r="B19" s="451">
        <v>11</v>
      </c>
      <c r="C19" s="194" t="str">
        <v>In May 20x1, the FASB issued Accounting Standards Update (ASU) No. 20x1-zz, Title, which requires …. We will adopt this ASU on …</v>
      </c>
    </row>
    <row r="20" spans="2:3" ht="30">
      <c r="B20" s="451">
        <v>10</v>
      </c>
      <c r="C20" s="194" t="str">
        <v xml:space="preserve">
Contingent Liabilities and Commitments</v>
      </c>
    </row>
    <row r="21" spans="2:3" ht="30">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c r="B22" s="451">
        <v>10</v>
      </c>
      <c r="C22" s="194" t="str">
        <v xml:space="preserve">
Subsequent Events</v>
      </c>
    </row>
    <row r="23" spans="2:3" ht="30">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36"/>
  <sheetViews>
    <sheetView zoomScaleNormal="100" workbookViewId="0">
      <selection activeCell="A4" sqref="A4"/>
    </sheetView>
  </sheetViews>
  <sheetFormatPr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313</v>
      </c>
      <c r="C2" s="176"/>
      <c r="D2" s="177"/>
      <c r="E2" s="177"/>
      <c r="F2" s="177"/>
      <c r="G2" s="177"/>
      <c r="H2" s="177"/>
      <c r="I2" s="177"/>
      <c r="J2" s="177"/>
      <c r="K2" s="177"/>
      <c r="L2" s="177"/>
      <c r="M2" s="177"/>
      <c r="N2" s="177"/>
    </row>
    <row r="3" spans="2:14" ht="15.75" thickBot="1">
      <c r="D3" s="178" t="s">
        <v>314</v>
      </c>
    </row>
    <row r="4" spans="2:14" ht="15.75" thickBot="1">
      <c r="C4" s="179" t="s">
        <v>48</v>
      </c>
      <c r="D4" s="180"/>
      <c r="F4" s="181"/>
      <c r="H4" s="683"/>
      <c r="I4" s="683"/>
      <c r="J4" s="683"/>
      <c r="K4" s="683"/>
      <c r="L4" s="683"/>
      <c r="M4" s="683"/>
    </row>
    <row r="5" spans="2:14" ht="15.75" thickBot="1">
      <c r="H5" s="683"/>
      <c r="I5" s="683"/>
      <c r="J5" s="683"/>
      <c r="K5" s="683"/>
      <c r="L5" s="683"/>
      <c r="M5" s="683"/>
    </row>
    <row r="6" spans="2:14" ht="15.75" thickBot="1">
      <c r="C6" s="711" t="s">
        <v>315</v>
      </c>
      <c r="D6" s="712"/>
      <c r="E6" s="713"/>
      <c r="H6" s="683"/>
      <c r="I6" s="683"/>
      <c r="J6" s="683"/>
      <c r="K6" s="683"/>
      <c r="L6" s="683"/>
      <c r="M6" s="683"/>
    </row>
    <row r="7" spans="2:14" ht="14.85" customHeight="1">
      <c r="C7" s="714" t="str" cm="1">
        <f t="array" ref="C7">INDEX(ProblemData!D78:AN79,2,D4+1)</f>
        <v>Transaction Info</v>
      </c>
      <c r="D7" s="715"/>
      <c r="E7" s="716"/>
      <c r="H7" s="683"/>
      <c r="I7" s="683"/>
      <c r="J7" s="683"/>
      <c r="K7" s="683"/>
      <c r="L7" s="683"/>
      <c r="M7" s="683"/>
    </row>
    <row r="8" spans="2:14">
      <c r="C8" s="717"/>
      <c r="D8" s="718"/>
      <c r="E8" s="719"/>
      <c r="H8" s="683"/>
      <c r="I8" s="683"/>
      <c r="J8" s="683"/>
      <c r="K8" s="683"/>
      <c r="L8" s="683"/>
      <c r="M8" s="683"/>
    </row>
    <row r="9" spans="2:14">
      <c r="C9" s="717"/>
      <c r="D9" s="718"/>
      <c r="E9" s="719"/>
      <c r="H9" s="683"/>
      <c r="I9" s="683"/>
      <c r="J9" s="683"/>
      <c r="K9" s="683"/>
      <c r="L9" s="683"/>
      <c r="M9" s="683"/>
    </row>
    <row r="10" spans="2:14">
      <c r="C10" s="717"/>
      <c r="D10" s="718"/>
      <c r="E10" s="719"/>
      <c r="H10" s="683"/>
      <c r="I10" s="683"/>
      <c r="J10" s="683"/>
      <c r="K10" s="683"/>
      <c r="L10" s="683"/>
      <c r="M10" s="683"/>
    </row>
    <row r="11" spans="2:14" ht="15.75" thickBot="1">
      <c r="C11" s="720"/>
      <c r="D11" s="721"/>
      <c r="E11" s="722"/>
    </row>
    <row r="13" spans="2:14">
      <c r="B13" s="176" t="s">
        <v>316</v>
      </c>
      <c r="C13" s="176"/>
      <c r="D13" s="177"/>
      <c r="E13" s="177"/>
      <c r="F13" s="177"/>
      <c r="G13" s="177"/>
      <c r="H13" s="177"/>
      <c r="I13" s="177"/>
      <c r="J13" s="177"/>
      <c r="K13" s="177"/>
      <c r="L13" s="177"/>
      <c r="M13" s="177"/>
      <c r="N13" s="177"/>
    </row>
    <row r="14" spans="2:14" ht="15.75" hidden="1" outlineLevel="1" thickBot="1"/>
    <row r="15" spans="2:14" hidden="1" outlineLevel="1">
      <c r="C15" s="723" t="s">
        <v>317</v>
      </c>
      <c r="D15" s="725"/>
    </row>
    <row r="16" spans="2:14" ht="15.75" hidden="1" outlineLevel="1" thickBot="1">
      <c r="C16" s="724"/>
      <c r="D16" s="726"/>
    </row>
    <row r="17" spans="2:14" ht="15.75" hidden="1" outlineLevel="1" thickBot="1">
      <c r="E17" s="1"/>
      <c r="I17" s="39" t="str">
        <f>_xlfn.IFNA(MATCH($D$4,ProblemData!E78:$AM$78,0),"")</f>
        <v/>
      </c>
    </row>
    <row r="18" spans="2:14" ht="15.75" hidden="1" outlineLevel="1" thickBot="1">
      <c r="C18" s="727" t="s">
        <v>318</v>
      </c>
      <c r="D18" s="728"/>
      <c r="E18" s="729"/>
      <c r="I18" s="39" t="str" cm="1">
        <f t="array" ref="I18">IFERROR(D15&amp;INDEX(ProblemData!$E$78:$AM$83,3,I17),"")</f>
        <v/>
      </c>
    </row>
    <row r="19" spans="2:14" hidden="1" outlineLevel="1">
      <c r="C19" s="714" t="str">
        <f>IF(ISBLANK(D15),"",_xlfn.XLOOKUP(I18,MD_RecognitionFeedback[Student&amp;Answer],MD_RecognitionFeedback[Feedback],""))</f>
        <v/>
      </c>
      <c r="D19" s="715"/>
      <c r="E19" s="716"/>
      <c r="H19" s="1"/>
    </row>
    <row r="20" spans="2:14" hidden="1" outlineLevel="1">
      <c r="B20" s="1"/>
      <c r="C20" s="717"/>
      <c r="D20" s="718"/>
      <c r="E20" s="719"/>
      <c r="F20" s="181"/>
    </row>
    <row r="21" spans="2:14" ht="15" hidden="1" customHeight="1" outlineLevel="1">
      <c r="B21" s="1"/>
      <c r="C21" s="717" t="str" cm="1">
        <f t="array" ref="C21">IF(NOT(ISBLANK(D15)),INDEX(ProblemData!$E$78:$AM$83,4,I17),"")</f>
        <v/>
      </c>
      <c r="D21" s="718"/>
      <c r="E21" s="719"/>
    </row>
    <row r="22" spans="2:14" ht="15" hidden="1" customHeight="1" outlineLevel="1">
      <c r="B22" s="1"/>
      <c r="C22" s="717"/>
      <c r="D22" s="718"/>
      <c r="E22" s="719"/>
    </row>
    <row r="23" spans="2:14" ht="15" hidden="1" customHeight="1" outlineLevel="1">
      <c r="B23" s="1"/>
      <c r="C23" s="717"/>
      <c r="D23" s="718"/>
      <c r="E23" s="719"/>
    </row>
    <row r="24" spans="2:14" ht="18.75" hidden="1" outlineLevel="1">
      <c r="B24" s="1"/>
      <c r="C24" s="717"/>
      <c r="D24" s="718"/>
      <c r="E24" s="719"/>
      <c r="G24" s="183"/>
      <c r="H24" s="184"/>
    </row>
    <row r="25" spans="2:14" ht="15.75" hidden="1" outlineLevel="1" thickBot="1">
      <c r="B25" s="1"/>
      <c r="C25" s="720"/>
      <c r="D25" s="721"/>
      <c r="E25" s="722"/>
    </row>
    <row r="26" spans="2:14" ht="15.75" hidden="1" outlineLevel="1" thickBot="1">
      <c r="B26" s="1"/>
      <c r="C26" s="182"/>
      <c r="D26" s="182"/>
      <c r="E26" s="182"/>
    </row>
    <row r="27" spans="2:14" hidden="1" outlineLevel="1">
      <c r="B27" s="1"/>
      <c r="C27" s="730" t="s">
        <v>319</v>
      </c>
      <c r="D27" s="731"/>
      <c r="E27" s="732"/>
    </row>
    <row r="28" spans="2:14" ht="14.1" hidden="1" customHeight="1" outlineLevel="1">
      <c r="B28" s="1"/>
      <c r="C28" s="733"/>
      <c r="D28" s="734"/>
      <c r="E28" s="735"/>
    </row>
    <row r="29" spans="2:14" ht="20.85" hidden="1" customHeight="1" outlineLevel="1">
      <c r="B29" s="1"/>
      <c r="C29" s="733"/>
      <c r="D29" s="734"/>
      <c r="E29" s="735"/>
    </row>
    <row r="30" spans="2:14" ht="20.85" hidden="1" customHeight="1" outlineLevel="1" thickBot="1">
      <c r="B30" s="1"/>
      <c r="C30" s="736"/>
      <c r="D30" s="737"/>
      <c r="E30" s="738"/>
    </row>
    <row r="31" spans="2:14" collapsed="1"/>
    <row r="32" spans="2:14">
      <c r="B32" s="176" t="s">
        <v>320</v>
      </c>
      <c r="C32" s="176"/>
      <c r="D32" s="177"/>
      <c r="E32" s="177"/>
      <c r="F32" s="177"/>
      <c r="G32" s="177"/>
      <c r="H32" s="177"/>
      <c r="I32" s="177"/>
      <c r="J32" s="177"/>
      <c r="K32" s="177"/>
      <c r="L32" s="177"/>
      <c r="M32" s="177"/>
      <c r="N32" s="177"/>
    </row>
    <row r="33" spans="3:9" hidden="1" outlineLevel="1"/>
    <row r="34" spans="3:9" hidden="1" outlineLevel="1">
      <c r="C34" s="739" t="s">
        <v>321</v>
      </c>
      <c r="D34" s="739"/>
      <c r="E34" s="739"/>
    </row>
    <row r="35" spans="3:9" ht="15.75" hidden="1" outlineLevel="1" thickBot="1"/>
    <row r="36" spans="3:9" ht="15.75" hidden="1" outlineLevel="1" thickBot="1">
      <c r="C36" s="740" t="s">
        <v>322</v>
      </c>
      <c r="D36" s="741"/>
      <c r="E36" s="742"/>
      <c r="G36" s="708" t="s">
        <v>323</v>
      </c>
      <c r="H36" s="709"/>
      <c r="I36" s="710"/>
    </row>
    <row r="37" spans="3:9" ht="15.75" hidden="1" outlineLevel="1" thickBot="1">
      <c r="C37" s="431" t="s">
        <v>37</v>
      </c>
      <c r="D37" s="432" t="s">
        <v>38</v>
      </c>
      <c r="E37" s="185" t="s">
        <v>39</v>
      </c>
      <c r="G37" s="702" t="s">
        <v>324</v>
      </c>
      <c r="H37" s="703"/>
      <c r="I37" s="704"/>
    </row>
    <row r="38" spans="3:9" hidden="1" outlineLevel="1">
      <c r="C38" s="425"/>
      <c r="D38" s="428"/>
      <c r="E38" s="186"/>
      <c r="G38" s="705" t="s">
        <v>325</v>
      </c>
      <c r="H38" s="706"/>
      <c r="I38" s="707"/>
    </row>
    <row r="39" spans="3:9" ht="15.75" hidden="1" outlineLevel="1" thickBot="1">
      <c r="C39" s="426"/>
      <c r="D39" s="429"/>
      <c r="E39" s="187"/>
      <c r="G39" s="743" t="s">
        <v>326</v>
      </c>
      <c r="H39" s="744"/>
      <c r="I39" s="745"/>
    </row>
    <row r="40" spans="3:9" hidden="1" outlineLevel="1">
      <c r="C40" s="426"/>
      <c r="D40" s="429"/>
      <c r="E40" s="187"/>
    </row>
    <row r="41" spans="3:9" ht="15.75" hidden="1" outlineLevel="1" thickBot="1">
      <c r="C41" s="426"/>
      <c r="D41" s="429"/>
      <c r="E41" s="187"/>
    </row>
    <row r="42" spans="3:9" ht="15.75" hidden="1" outlineLevel="1" thickBot="1">
      <c r="C42" s="426"/>
      <c r="D42" s="429"/>
      <c r="E42" s="187"/>
      <c r="G42" s="746" t="s">
        <v>327</v>
      </c>
      <c r="H42" s="747"/>
      <c r="I42" s="748"/>
    </row>
    <row r="43" spans="3:9" hidden="1" outlineLevel="1">
      <c r="C43" s="426"/>
      <c r="D43" s="429"/>
      <c r="E43" s="187"/>
      <c r="G43" s="702" t="s">
        <v>328</v>
      </c>
      <c r="H43" s="703"/>
      <c r="I43" s="704"/>
    </row>
    <row r="44" spans="3:9" hidden="1" outlineLevel="1">
      <c r="C44" s="426"/>
      <c r="D44" s="429"/>
      <c r="E44" s="187"/>
      <c r="G44" s="705" t="s">
        <v>329</v>
      </c>
      <c r="H44" s="706"/>
      <c r="I44" s="707"/>
    </row>
    <row r="45" spans="3:9" ht="15.75" hidden="1" outlineLevel="1" thickBot="1">
      <c r="C45" s="427"/>
      <c r="D45" s="430"/>
      <c r="E45" s="187"/>
      <c r="G45" s="743" t="s">
        <v>326</v>
      </c>
      <c r="H45" s="744"/>
      <c r="I45" s="745"/>
    </row>
    <row r="46" spans="3:9" ht="15.75" hidden="1" outlineLevel="1" thickBot="1">
      <c r="C46" s="188">
        <f>SUM(C38:C45)</f>
        <v>0</v>
      </c>
      <c r="D46" s="189">
        <f>SUM(D38:D45)</f>
        <v>0</v>
      </c>
      <c r="E46" s="190">
        <f>C46-D46</f>
        <v>0</v>
      </c>
    </row>
    <row r="47" spans="3:9" ht="15.75" hidden="1" outlineLevel="1" thickBot="1"/>
    <row r="48" spans="3:9" ht="19.350000000000001" hidden="1" customHeight="1" outlineLevel="1">
      <c r="C48" s="723" t="s">
        <v>330</v>
      </c>
      <c r="D48" s="725"/>
    </row>
    <row r="49" spans="2:19" ht="19.350000000000001" hidden="1" customHeight="1" outlineLevel="1" thickBot="1">
      <c r="C49" s="724"/>
      <c r="D49" s="726"/>
    </row>
    <row r="50" spans="2:19" ht="19.350000000000001" hidden="1" customHeight="1" outlineLevel="1" thickBot="1">
      <c r="C50" s="191"/>
      <c r="D50" s="28"/>
    </row>
    <row r="51" spans="2:19" ht="19.350000000000001" hidden="1" customHeight="1" outlineLevel="1">
      <c r="C51" s="730" t="str" cm="1">
        <f t="array" ref="C51">_xlfn.IFS(AND(E46=0,D48="YES"),MasterData!C405,AND(E46&lt;&gt;0,D48="YES"),MasterData!C406,OR(D48="",D48="NO"),"")</f>
        <v/>
      </c>
      <c r="D51" s="749"/>
      <c r="E51" s="750"/>
      <c r="G51" s="39"/>
    </row>
    <row r="52" spans="2:19" ht="19.350000000000001" hidden="1" customHeight="1" outlineLevel="1">
      <c r="C52" s="751"/>
      <c r="D52" s="752"/>
      <c r="E52" s="753"/>
      <c r="G52" s="39"/>
    </row>
    <row r="53" spans="2:19" ht="19.350000000000001" hidden="1" customHeight="1" outlineLevel="1">
      <c r="C53" s="751"/>
      <c r="D53" s="752"/>
      <c r="E53" s="753"/>
    </row>
    <row r="54" spans="2:19" ht="19.350000000000001" hidden="1" customHeight="1" outlineLevel="1">
      <c r="C54" s="751"/>
      <c r="D54" s="752"/>
      <c r="E54" s="753"/>
    </row>
    <row r="55" spans="2:19" ht="19.350000000000001" hidden="1" customHeight="1" outlineLevel="1">
      <c r="C55" s="751"/>
      <c r="D55" s="752"/>
      <c r="E55" s="753"/>
    </row>
    <row r="56" spans="2:19" ht="19.350000000000001" hidden="1" customHeight="1" outlineLevel="1" thickBot="1">
      <c r="C56" s="754"/>
      <c r="D56" s="755"/>
      <c r="E56" s="756"/>
    </row>
    <row r="57" spans="2:19" collapsed="1"/>
    <row r="58" spans="2:19">
      <c r="B58" s="176" t="s">
        <v>331</v>
      </c>
      <c r="C58" s="176"/>
      <c r="D58" s="176"/>
      <c r="E58" s="177"/>
      <c r="F58" s="177"/>
      <c r="G58" s="177"/>
      <c r="H58" s="177"/>
      <c r="I58" s="177"/>
      <c r="J58" s="177"/>
      <c r="K58" s="177"/>
      <c r="L58" s="177"/>
      <c r="M58" s="177"/>
      <c r="N58" s="177"/>
    </row>
    <row r="59" spans="2:19" ht="15.75" hidden="1" outlineLevel="1" thickBot="1">
      <c r="H59" t="s">
        <v>332</v>
      </c>
      <c r="I59" s="192"/>
      <c r="J59" s="192"/>
      <c r="K59" s="192"/>
      <c r="L59" s="192"/>
    </row>
    <row r="60" spans="2:19" ht="15.75" hidden="1" outlineLevel="1" thickBot="1">
      <c r="C60" t="s">
        <v>333</v>
      </c>
      <c r="D60" s="193"/>
      <c r="G60" s="403" t="s">
        <v>334</v>
      </c>
      <c r="L60" s="192"/>
      <c r="Q60" s="192"/>
      <c r="R60" s="192"/>
      <c r="S60" s="192"/>
    </row>
    <row r="61" spans="2:19" ht="14.85" hidden="1" customHeight="1" outlineLevel="1">
      <c r="C61" t="s">
        <v>335</v>
      </c>
      <c r="D61" s="757"/>
      <c r="E61" s="758"/>
      <c r="L61" s="192"/>
      <c r="Q61" s="39" t="str">
        <f>"MD_Equity"&amp;D60&amp;"[Reasons]"</f>
        <v>MD_Equity[Reasons]</v>
      </c>
      <c r="R61" s="192"/>
      <c r="S61" s="192"/>
    </row>
    <row r="62" spans="2:19" hidden="1" outlineLevel="1">
      <c r="D62" s="759"/>
      <c r="E62" s="760"/>
      <c r="L62" s="192"/>
      <c r="Q62" s="39" t="b">
        <f ca="1">ISNUMBER(MATCH(D61,INDIRECT(Q61),0))</f>
        <v>0</v>
      </c>
      <c r="R62" s="192"/>
      <c r="S62" s="192"/>
    </row>
    <row r="63" spans="2:19" ht="15.75" hidden="1" outlineLevel="1" thickBot="1">
      <c r="D63" s="761"/>
      <c r="E63" s="762"/>
      <c r="L63" s="192"/>
      <c r="Q63" s="192"/>
      <c r="R63" s="192"/>
      <c r="S63" s="192"/>
    </row>
    <row r="64" spans="2:19" hidden="1" outlineLevel="1">
      <c r="C64" t="s">
        <v>336</v>
      </c>
      <c r="D64" s="765" t="str" cm="1">
        <f t="array" ref="D64">_xlfn.IFNA(_xlfn.IFS(ISBLANK(D60),"",D60="Increased",_xlfn.XLOOKUP(D61,MD_EquityIncreased[Reasons],MD_EquityIncreased[Response]),D60="Decreased",_xlfn.XLOOKUP(D61,MD_EquityDecreased[Reasons],MD_EquityDecreased[Response])),"")</f>
        <v/>
      </c>
      <c r="E64" s="766"/>
      <c r="L64" s="192"/>
      <c r="Q64" s="192"/>
      <c r="R64" s="192"/>
      <c r="S64" s="192"/>
    </row>
    <row r="65" spans="2:19" ht="15.75" hidden="1" outlineLevel="1" thickBot="1">
      <c r="D65" s="767"/>
      <c r="E65" s="768"/>
      <c r="L65" s="192"/>
      <c r="Q65" s="192"/>
      <c r="R65" s="192"/>
      <c r="S65" s="192"/>
    </row>
    <row r="66" spans="2:19" collapsed="1">
      <c r="E66" s="194"/>
      <c r="I66" s="192"/>
      <c r="J66" s="192"/>
      <c r="K66" s="192"/>
      <c r="L66" s="192"/>
    </row>
    <row r="67" spans="2:19">
      <c r="B67" s="176" t="s">
        <v>337</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338</v>
      </c>
      <c r="D69" s="196" t="s">
        <v>339</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63" t="s">
        <v>340</v>
      </c>
      <c r="D72" s="764"/>
      <c r="E72" s="795"/>
    </row>
    <row r="73" spans="2:19" ht="16.350000000000001" hidden="1" customHeight="1" outlineLevel="1">
      <c r="C73" s="717" t="str" cm="1">
        <f t="array" aca="1" ref="C73" ca="1">IFERROR(_xlfn.XLOOKUP(D70,INDIRECT(I74),INDIRECT(I75)),"")</f>
        <v/>
      </c>
      <c r="D73" s="718"/>
      <c r="E73" s="753"/>
    </row>
    <row r="74" spans="2:19" ht="16.350000000000001" hidden="1" customHeight="1" outlineLevel="1">
      <c r="C74" s="717"/>
      <c r="D74" s="718"/>
      <c r="E74" s="753"/>
      <c r="I74" s="39" t="str">
        <f>"MD_"&amp;C70&amp;"[Account Name]"</f>
        <v>MD_[Account Name]</v>
      </c>
    </row>
    <row r="75" spans="2:19" ht="16.350000000000001" hidden="1" customHeight="1" outlineLevel="1">
      <c r="C75" s="717"/>
      <c r="D75" s="718"/>
      <c r="E75" s="753"/>
      <c r="I75" s="39" t="str">
        <f>"MD_"&amp;C70&amp;"[Definition]"</f>
        <v>MD_[Definition]</v>
      </c>
    </row>
    <row r="76" spans="2:19" ht="16.350000000000001" hidden="1" customHeight="1" outlineLevel="1">
      <c r="C76" s="717"/>
      <c r="D76" s="718"/>
      <c r="E76" s="753"/>
      <c r="I76" s="39" t="e" cm="1">
        <f t="array" aca="1" ref="I76" ca="1">_xlfn.IFNA(_xlfn.XLOOKUP(D70,INDIRECT(I74),INDIRECT(I75)),"Not Found")</f>
        <v>#REF!</v>
      </c>
    </row>
    <row r="77" spans="2:19" ht="16.350000000000001" hidden="1" customHeight="1" outlineLevel="1" thickBot="1">
      <c r="C77" s="720"/>
      <c r="D77" s="721"/>
      <c r="E77" s="756"/>
    </row>
    <row r="78" spans="2:19" ht="16.350000000000001" customHeight="1" collapsed="1">
      <c r="C78" s="182"/>
      <c r="D78" s="182"/>
    </row>
    <row r="79" spans="2:19">
      <c r="B79" s="176" t="s">
        <v>341</v>
      </c>
      <c r="C79" s="176"/>
      <c r="D79" s="176"/>
      <c r="E79" s="177"/>
      <c r="F79" s="177"/>
      <c r="G79" s="177"/>
      <c r="H79" s="177"/>
      <c r="I79" s="177"/>
      <c r="J79" s="177"/>
      <c r="K79" s="177"/>
      <c r="L79" s="177"/>
      <c r="M79" s="177"/>
      <c r="N79" s="177"/>
    </row>
    <row r="80" spans="2:19" ht="15.75" hidden="1" outlineLevel="1" thickBot="1"/>
    <row r="81" spans="3:12" ht="16.5" hidden="1" customHeight="1" outlineLevel="1">
      <c r="C81" s="200" t="s">
        <v>37</v>
      </c>
      <c r="D81" s="201"/>
      <c r="E81" s="202"/>
      <c r="F81" s="39"/>
    </row>
    <row r="82" spans="3:12" ht="14.85" hidden="1" customHeight="1" outlineLevel="1">
      <c r="C82" s="203" t="s">
        <v>342</v>
      </c>
      <c r="D82" s="204" t="s">
        <v>106</v>
      </c>
      <c r="E82" s="205" t="s">
        <v>343</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344</v>
      </c>
    </row>
    <row r="90" spans="3:12" ht="15.75" hidden="1" outlineLevel="1" thickBot="1">
      <c r="C90" s="209"/>
      <c r="D90" s="210">
        <f t="shared" si="0"/>
        <v>0</v>
      </c>
      <c r="E90" s="211"/>
    </row>
    <row r="91" spans="3:12" ht="15.75" hidden="1" outlineLevel="1" thickBot="1"/>
    <row r="92" spans="3:12" hidden="1" outlineLevel="1">
      <c r="C92" s="769" t="s">
        <v>38</v>
      </c>
      <c r="D92" s="770"/>
      <c r="E92" s="771"/>
      <c r="F92" s="39"/>
    </row>
    <row r="93" spans="3:12" hidden="1" outlineLevel="1">
      <c r="C93" s="203" t="s">
        <v>342</v>
      </c>
      <c r="D93" s="204" t="s">
        <v>106</v>
      </c>
      <c r="E93" s="205" t="s">
        <v>343</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7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72" t="s">
        <v>39</v>
      </c>
      <c r="D103" s="773"/>
      <c r="E103" s="774"/>
      <c r="F103" s="39"/>
    </row>
    <row r="104" spans="3:6" ht="17.850000000000001" hidden="1" customHeight="1" outlineLevel="1">
      <c r="C104" s="203" t="s">
        <v>342</v>
      </c>
      <c r="D104" s="204" t="s">
        <v>106</v>
      </c>
      <c r="E104" s="205" t="s">
        <v>343</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345</v>
      </c>
      <c r="D113" s="216">
        <f>SUM(D105:D112)</f>
        <v>0</v>
      </c>
    </row>
    <row r="114" spans="3:5" ht="17.850000000000001" hidden="1" customHeight="1" outlineLevel="1">
      <c r="C114" t="s">
        <v>346</v>
      </c>
      <c r="D114" s="216">
        <f>E46</f>
        <v>0</v>
      </c>
    </row>
    <row r="115" spans="3:5" ht="17.850000000000001" hidden="1" customHeight="1" outlineLevel="1" thickBot="1">
      <c r="C115" t="s">
        <v>347</v>
      </c>
      <c r="D115" s="217">
        <f>D114-D113</f>
        <v>0</v>
      </c>
    </row>
    <row r="116" spans="3:5" ht="17.850000000000001" hidden="1" customHeight="1" outlineLevel="1" thickTop="1" thickBot="1"/>
    <row r="117" spans="3:5" ht="17.850000000000001" hidden="1" customHeight="1" outlineLevel="1">
      <c r="C117" s="723" t="s">
        <v>348</v>
      </c>
      <c r="D117" s="775"/>
    </row>
    <row r="118" spans="3:5" ht="17.850000000000001" hidden="1" customHeight="1" outlineLevel="1" thickBot="1">
      <c r="C118" s="724"/>
      <c r="D118" s="776"/>
    </row>
    <row r="119" spans="3:5" ht="17.850000000000001" hidden="1" customHeight="1" outlineLevel="1" thickBot="1">
      <c r="C119" s="39">
        <f>COUNTIF(C105:C112,"Retained Earnings")</f>
        <v>0</v>
      </c>
    </row>
    <row r="120" spans="3:5" ht="17.850000000000001" hidden="1" customHeight="1" outlineLevel="1">
      <c r="C120" s="780" t="s">
        <v>349</v>
      </c>
      <c r="D120" s="781"/>
      <c r="E120" s="782"/>
    </row>
    <row r="121" spans="3:5" ht="17.850000000000001" hidden="1" customHeight="1" outlineLevel="1">
      <c r="C121" s="783"/>
      <c r="D121" s="784"/>
      <c r="E121" s="785"/>
    </row>
    <row r="122" spans="3:5" ht="17.850000000000001" hidden="1" customHeight="1" outlineLevel="1">
      <c r="C122" s="783"/>
      <c r="D122" s="784"/>
      <c r="E122" s="785"/>
    </row>
    <row r="123" spans="3:5" ht="17.850000000000001" hidden="1" customHeight="1" outlineLevel="1">
      <c r="C123" s="783"/>
      <c r="D123" s="784"/>
      <c r="E123" s="785"/>
    </row>
    <row r="124" spans="3:5" ht="17.850000000000001" hidden="1" customHeight="1" outlineLevel="1">
      <c r="C124" s="783"/>
      <c r="D124" s="784"/>
      <c r="E124" s="785"/>
    </row>
    <row r="125" spans="3:5" ht="17.850000000000001" hidden="1" customHeight="1" outlineLevel="1" thickBot="1">
      <c r="C125" s="777"/>
      <c r="D125" s="778"/>
      <c r="E125" s="779"/>
    </row>
    <row r="126" spans="3:5" ht="17.850000000000001" hidden="1" customHeight="1" outlineLevel="1" thickBot="1"/>
    <row r="127" spans="3:5" ht="17.850000000000001" hidden="1" customHeight="1" outlineLevel="1">
      <c r="C127" s="723" t="s">
        <v>350</v>
      </c>
      <c r="D127" s="725"/>
    </row>
    <row r="128" spans="3:5" ht="17.850000000000001" hidden="1" customHeight="1" outlineLevel="1" thickBot="1">
      <c r="C128" s="724"/>
      <c r="D128" s="726"/>
    </row>
    <row r="129" spans="2:14" ht="17.850000000000001" hidden="1" customHeight="1" outlineLevel="1" thickBot="1"/>
    <row r="130" spans="2:14" ht="33.6" hidden="1" customHeight="1" outlineLevel="1">
      <c r="C130" s="780" t="s">
        <v>351</v>
      </c>
      <c r="D130" s="781"/>
      <c r="E130" s="782"/>
    </row>
    <row r="131" spans="2:14" ht="43.35" hidden="1" customHeight="1" outlineLevel="1">
      <c r="C131" s="783" t="s">
        <v>352</v>
      </c>
      <c r="D131" s="784"/>
      <c r="E131" s="785"/>
    </row>
    <row r="132" spans="2:14" ht="54" hidden="1" customHeight="1" outlineLevel="1">
      <c r="C132" s="783" t="s">
        <v>353</v>
      </c>
      <c r="D132" s="784"/>
      <c r="E132" s="785"/>
    </row>
    <row r="133" spans="2:14" ht="57" hidden="1" customHeight="1" outlineLevel="1" thickBot="1">
      <c r="C133" s="777" t="s">
        <v>354</v>
      </c>
      <c r="D133" s="778"/>
      <c r="E133" s="779"/>
    </row>
    <row r="134" spans="2:14" ht="17.850000000000001" customHeight="1" collapsed="1"/>
    <row r="135" spans="2:14">
      <c r="B135" s="176" t="s">
        <v>355</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356</v>
      </c>
      <c r="D137" s="219" t="s">
        <v>357</v>
      </c>
      <c r="E137" s="219" t="s">
        <v>358</v>
      </c>
      <c r="F137" s="219" t="s">
        <v>359</v>
      </c>
      <c r="G137" s="220" t="s">
        <v>360</v>
      </c>
      <c r="I137" s="221" t="s">
        <v>361</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7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75" hidden="1" outlineLevel="1" thickBot="1">
      <c r="B152" s="437" t="str" cm="1">
        <f t="array" aca="1" ref="B152" ca="1">_xlfn.IFS(C152="","",AND(C152&lt;&gt;"",$J152),"OK",AND(C152&lt;&gt;"",NOT($J152)),"?")</f>
        <v/>
      </c>
      <c r="C152" s="434"/>
      <c r="D152" s="417"/>
      <c r="E152" s="418"/>
      <c r="F152" s="419"/>
      <c r="G152" s="420"/>
      <c r="I152" s="439" t="s">
        <v>362</v>
      </c>
      <c r="J152" s="39" t="str" cm="1">
        <f t="array" aca="1" ref="J152" ca="1">_xlfn.IFNA(_xlfn.IFS(K152="----","",K152&lt;&gt;"----",ISNUMBER(MATCH(K152,MasterData!$AI$494:$AI$509,0))),"FALSE")</f>
        <v/>
      </c>
      <c r="K152" s="39" t="str">
        <f t="shared" si="2"/>
        <v>----</v>
      </c>
      <c r="L152" s="192"/>
      <c r="M152" s="39" t="str">
        <f t="shared" si="3"/>
        <v>Used</v>
      </c>
      <c r="N152" s="39"/>
    </row>
    <row r="153" spans="2:36" ht="15.7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7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c r="C155" s="236"/>
      <c r="D155" s="237" t="s">
        <v>363</v>
      </c>
      <c r="E155" s="237" t="s">
        <v>364</v>
      </c>
      <c r="F155" s="237" t="s">
        <v>365</v>
      </c>
      <c r="G155" s="238" t="s">
        <v>366</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367</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c r="C157" s="243" t="s">
        <v>368</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c r="C158" s="236" t="s">
        <v>347</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c r="C161" s="249" t="s">
        <v>369</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c r="B164" s="192"/>
      <c r="C164" s="255" t="s">
        <v>370</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c r="B166" s="192"/>
      <c r="C166" s="255" t="s">
        <v>371</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36"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row r="425" spans="3:7">
      <c r="C425" t="str">
        <f ca="1"/>
        <v/>
      </c>
      <c r="D425" t="str">
        <f ca="1"/>
        <v/>
      </c>
      <c r="E425" t="str">
        <f ca="1"/>
        <v/>
      </c>
      <c r="F425" t="str">
        <f ca="1"/>
        <v/>
      </c>
      <c r="G425" t="str">
        <f ca="1"/>
        <v/>
      </c>
    </row>
    <row r="426" spans="3:7">
      <c r="C426" t="str">
        <f ca="1"/>
        <v/>
      </c>
      <c r="D426" t="str">
        <f ca="1"/>
        <v/>
      </c>
      <c r="E426" t="str">
        <f ca="1"/>
        <v/>
      </c>
      <c r="F426" t="str">
        <f ca="1"/>
        <v/>
      </c>
      <c r="G426" t="str">
        <f ca="1"/>
        <v/>
      </c>
    </row>
    <row r="427" spans="3:7">
      <c r="C427" t="str">
        <f ca="1"/>
        <v/>
      </c>
      <c r="D427" t="str">
        <f ca="1"/>
        <v/>
      </c>
      <c r="E427" t="str">
        <f ca="1"/>
        <v/>
      </c>
      <c r="F427" t="str">
        <f ca="1"/>
        <v/>
      </c>
      <c r="G427" t="str">
        <f ca="1"/>
        <v/>
      </c>
    </row>
    <row r="428" spans="3:7">
      <c r="C428" t="str">
        <f ca="1"/>
        <v/>
      </c>
      <c r="D428" t="str">
        <f ca="1"/>
        <v/>
      </c>
      <c r="E428" t="str">
        <f ca="1"/>
        <v/>
      </c>
      <c r="F428" t="str">
        <f ca="1"/>
        <v/>
      </c>
      <c r="G428" t="str">
        <f ca="1"/>
        <v/>
      </c>
    </row>
    <row r="429" spans="3:7">
      <c r="C429" t="str">
        <f ca="1"/>
        <v/>
      </c>
      <c r="D429" t="str">
        <f ca="1"/>
        <v/>
      </c>
      <c r="E429" t="str">
        <f ca="1"/>
        <v/>
      </c>
      <c r="F429" t="str">
        <f ca="1"/>
        <v/>
      </c>
      <c r="G429" t="str">
        <f ca="1"/>
        <v/>
      </c>
    </row>
    <row r="430" spans="3:7">
      <c r="C430" t="str">
        <f ca="1"/>
        <v/>
      </c>
      <c r="D430" t="str">
        <f ca="1"/>
        <v/>
      </c>
      <c r="E430" t="str">
        <f ca="1"/>
        <v/>
      </c>
      <c r="F430" t="str">
        <f ca="1"/>
        <v/>
      </c>
      <c r="G430" t="str">
        <f ca="1"/>
        <v/>
      </c>
    </row>
    <row r="431" spans="3:7">
      <c r="C431" t="str">
        <f ca="1"/>
        <v/>
      </c>
      <c r="D431" t="str">
        <f ca="1"/>
        <v/>
      </c>
      <c r="E431" t="str">
        <f ca="1"/>
        <v/>
      </c>
      <c r="F431" t="str">
        <f ca="1"/>
        <v/>
      </c>
      <c r="G431" t="str">
        <f ca="1"/>
        <v/>
      </c>
    </row>
    <row r="432" spans="3:7">
      <c r="C432" t="str">
        <f ca="1"/>
        <v/>
      </c>
      <c r="D432" t="str">
        <f ca="1"/>
        <v/>
      </c>
      <c r="E432" t="str">
        <f ca="1"/>
        <v/>
      </c>
      <c r="F432" t="str">
        <f ca="1"/>
        <v/>
      </c>
      <c r="G432" t="str">
        <f ca="1"/>
        <v/>
      </c>
    </row>
    <row r="433" spans="3:7">
      <c r="C433" t="str">
        <f ca="1"/>
        <v/>
      </c>
      <c r="D433" t="str">
        <f ca="1"/>
        <v/>
      </c>
      <c r="E433" t="str">
        <f ca="1"/>
        <v/>
      </c>
      <c r="F433" t="str">
        <f ca="1"/>
        <v/>
      </c>
      <c r="G433" t="str">
        <f ca="1"/>
        <v/>
      </c>
    </row>
    <row r="434" spans="3:7">
      <c r="C434" t="str">
        <f ca="1"/>
        <v/>
      </c>
      <c r="D434" t="str">
        <f ca="1"/>
        <v/>
      </c>
      <c r="E434" t="str">
        <f ca="1"/>
        <v/>
      </c>
      <c r="F434" t="str">
        <f ca="1"/>
        <v/>
      </c>
      <c r="G434" t="str">
        <f ca="1"/>
        <v/>
      </c>
    </row>
    <row r="435" spans="3:7">
      <c r="C435" t="str">
        <f ca="1"/>
        <v/>
      </c>
      <c r="D435" t="str">
        <f ca="1"/>
        <v/>
      </c>
      <c r="E435" t="str">
        <f ca="1"/>
        <v/>
      </c>
      <c r="F435" t="str">
        <f ca="1"/>
        <v/>
      </c>
      <c r="G435" t="str">
        <f ca="1"/>
        <v/>
      </c>
    </row>
    <row r="436" spans="3:7">
      <c r="C436" t="str">
        <f ca="1"/>
        <v/>
      </c>
      <c r="D436" t="str">
        <f ca="1"/>
        <v/>
      </c>
      <c r="E436" t="str">
        <f ca="1"/>
        <v/>
      </c>
      <c r="F436" t="str">
        <f ca="1"/>
        <v/>
      </c>
      <c r="G436" t="str">
        <f ca="1"/>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25" zoomScaleNormal="100" workbookViewId="0">
      <selection activeCell="F20" sqref="F20"/>
    </sheetView>
  </sheetViews>
  <sheetFormatPr defaultRowHeight="1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372</v>
      </c>
      <c r="D3" s="261"/>
      <c r="I3" s="262">
        <v>1</v>
      </c>
      <c r="J3" s="5" t="s">
        <v>373</v>
      </c>
      <c r="N3" s="192"/>
      <c r="O3" s="192"/>
      <c r="P3" s="35" t="s">
        <v>374</v>
      </c>
      <c r="AG3" s="5"/>
    </row>
    <row r="4" spans="2:34" ht="15.75" thickBot="1">
      <c r="C4" t="s">
        <v>375</v>
      </c>
      <c r="D4" s="263" t="s">
        <v>62</v>
      </c>
      <c r="I4" s="5" t="s">
        <v>376</v>
      </c>
      <c r="N4" s="192"/>
      <c r="O4" s="192"/>
      <c r="P4" s="39" t="str">
        <f ca="1">IF(ABS(Q132)&lt;0.00001,"Closing Entry Balances","Closing Entry Doesn't Balance")</f>
        <v>Closing Entry Balances</v>
      </c>
      <c r="V4" s="269" t="s">
        <v>377</v>
      </c>
      <c r="W4" s="568" t="str">
        <f>"Cash"</f>
        <v>Cash</v>
      </c>
      <c r="X4" s="568"/>
      <c r="Y4" s="269" t="s">
        <v>377</v>
      </c>
      <c r="AC4" s="590"/>
      <c r="AD4" s="590"/>
      <c r="AE4" s="591"/>
      <c r="AG4" s="5" t="s">
        <v>378</v>
      </c>
    </row>
    <row r="5" spans="2:34" ht="15.75" thickTop="1">
      <c r="C5" t="s">
        <v>379</v>
      </c>
      <c r="D5" s="263" t="s">
        <v>68</v>
      </c>
      <c r="I5" s="264" t="s">
        <v>356</v>
      </c>
      <c r="J5" s="265" t="s">
        <v>357</v>
      </c>
      <c r="K5" s="265" t="s">
        <v>358</v>
      </c>
      <c r="L5" s="265" t="s">
        <v>359</v>
      </c>
      <c r="M5" s="266" t="s">
        <v>360</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106</v>
      </c>
      <c r="R5" s="40" t="s">
        <v>380</v>
      </c>
      <c r="V5" s="272" t="str">
        <f>BegDate</f>
        <v>12/31/20x3</v>
      </c>
      <c r="W5" s="273">
        <f ca="1">IF(W108="Debit",ABS(X108),0)</f>
        <v>0</v>
      </c>
      <c r="X5" s="274">
        <f ca="1">IF(W108="Credit",ABS(X108),0)</f>
        <v>0</v>
      </c>
      <c r="Y5" s="272" t="str">
        <f>BegDate</f>
        <v>12/31/20x3</v>
      </c>
      <c r="AC5" s="590" t="s">
        <v>381</v>
      </c>
      <c r="AD5" s="590" t="s">
        <v>382</v>
      </c>
      <c r="AE5" s="591" t="s">
        <v>383</v>
      </c>
      <c r="AG5" s="40" t="s">
        <v>48</v>
      </c>
      <c r="AH5" s="40" t="s">
        <v>384</v>
      </c>
    </row>
    <row r="6" spans="2:34">
      <c r="H6" s="286" t="str" cm="1">
        <f t="array" aca="1" ref="H6" ca="1">_xlfn.IFS(I6="","",AND(I6&lt;&gt;"",N101),"OK",AND(I6&lt;&gt;"",NOT(N101)),"?")</f>
        <v>OK</v>
      </c>
      <c r="I6" s="96" t="str" cm="1">
        <f t="array" aca="1" ref="I6:M7" ca="1">IF(I3&lt;&gt;"",_xlfn._xlws.FILTER(Journal[Accnt Type]:Journal[Cr Amt],Journal[Transaction '#]=$I$3,"No Entry Found"),"")</f>
        <v>Asset</v>
      </c>
      <c r="J6" t="str">
        <f ca="1"/>
        <v>Cash</v>
      </c>
      <c r="K6">
        <f ca="1"/>
        <v>0</v>
      </c>
      <c r="L6" s="34">
        <f ca="1"/>
        <v>3</v>
      </c>
      <c r="M6" s="173">
        <f ca="1"/>
        <v>0</v>
      </c>
      <c r="N6" s="192"/>
      <c r="O6" s="192"/>
      <c r="Q6" s="34">
        <f>_xlfn.XLOOKUP(P6,P101:P130,Q101:Q130,0)</f>
        <v>0</v>
      </c>
      <c r="R6" s="251" t="str" cm="1">
        <f t="array" ref="R6">IF(P6&lt;&gt;"",_xlfn.XLOOKUP(P6,P101:P130,R101:R130&amp;"s",""),"")</f>
        <v/>
      </c>
      <c r="U6" cm="1">
        <f t="array" ref="U6:U8">_xlfn._xlws.FILTER(Journal[Cash Flow],Journal[Debit Account]=W4,"")</f>
        <v>0</v>
      </c>
      <c r="V6" s="272" cm="1">
        <f t="array" ref="V6:V8">_xlfn._xlws.FILTER(Journal[Transaction '#],Journal[Debit Account]=W4,"")</f>
        <v>1</v>
      </c>
      <c r="W6" s="275" cm="1">
        <f t="array" ref="W6:W8">_xlfn._xlws.FILTER(Journal[Dr Amt],Journal[Debit Account]=W4,0)</f>
        <v>3</v>
      </c>
      <c r="X6" s="34" cm="1">
        <f t="array" ref="X6:X10">_xlfn._xlws.FILTER(Journal[Cr Amt],Journal[Credit Account]=W4,0)</f>
        <v>1</v>
      </c>
      <c r="Y6" s="272" cm="1">
        <f t="array" ref="Y6:Y10">_xlfn._xlws.FILTER(Journal[Transaction '#],Journal[Credit Account]=W4,"")</f>
        <v>3</v>
      </c>
      <c r="Z6" cm="1">
        <f t="array" ref="Z6:Z10">_xlfn._xlws.FILTER(Journal[Cash Flow],Journal[Credit Account]=W4,"")</f>
        <v>0</v>
      </c>
      <c r="AC6" s="1" cm="1">
        <f t="array" ref="AC6">IFERROR(_xlfn._xlws.FILTER(JournalAnswer[Transaction '#],JournalAnswer[Cash Flow]="Investing"),"")</f>
        <v>3</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8</v>
      </c>
      <c r="AG6" s="1" cm="1">
        <f t="array" aca="1" ref="AG6:AG10" ca="1">_xlfn.VSTACK(_xlfn.ANCHORARRAY(AC6),_xlfn.ANCHORARRAY(AD6),_xlfn.ANCHORARRAY(AE6))</f>
        <v>3</v>
      </c>
      <c r="AH6" s="545" t="b">
        <v>0</v>
      </c>
    </row>
    <row r="7" spans="2:34" ht="14.25" customHeight="1" thickBot="1">
      <c r="B7" s="269" t="s">
        <v>377</v>
      </c>
      <c r="C7" s="270" t="str">
        <f>D5</f>
        <v>Inventories</v>
      </c>
      <c r="D7" s="270"/>
      <c r="E7" s="269" t="s">
        <v>377</v>
      </c>
      <c r="H7" s="286" t="str" cm="1">
        <f t="array" aca="1" ref="H7" ca="1">_xlfn.IFS(I7="","",AND(I7&lt;&gt;"",N102),"OK",AND(I7&lt;&gt;"",NOT(N102)),"?")</f>
        <v>OK</v>
      </c>
      <c r="I7" s="96" t="str">
        <f ca="1"/>
        <v>Equity</v>
      </c>
      <c r="J7">
        <f ca="1"/>
        <v>0</v>
      </c>
      <c r="K7" t="str">
        <f ca="1"/>
        <v>Common Stock</v>
      </c>
      <c r="L7" s="34">
        <f ca="1"/>
        <v>0</v>
      </c>
      <c r="M7" s="268">
        <f ca="1"/>
        <v>3</v>
      </c>
      <c r="N7" s="192"/>
      <c r="O7" s="192"/>
      <c r="Q7" s="34">
        <f t="shared" ref="Q7:Q50" si="0">_xlfn.XLOOKUP(P7,P102:P131,Q102:Q131,0)</f>
        <v>0</v>
      </c>
      <c r="R7" s="251" t="str" cm="1">
        <f t="array" ref="R7">IF(P7&lt;&gt;"",_xlfn.XLOOKUP(P7,P102:P131,R102:R131&amp;"s",""),"")</f>
        <v/>
      </c>
      <c r="U7">
        <v>0</v>
      </c>
      <c r="V7" s="272">
        <v>2</v>
      </c>
      <c r="W7" s="275">
        <v>20</v>
      </c>
      <c r="X7" s="34">
        <v>20</v>
      </c>
      <c r="Y7" s="272">
        <v>4</v>
      </c>
      <c r="Z7">
        <v>0</v>
      </c>
      <c r="AC7" s="1"/>
      <c r="AD7" s="1">
        <v>2</v>
      </c>
      <c r="AE7" s="1"/>
      <c r="AG7" s="1">
        <f ca="1"/>
        <v>1</v>
      </c>
      <c r="AH7" s="545" t="b">
        <v>0</v>
      </c>
    </row>
    <row r="8" spans="2:34" ht="15.75" thickTop="1">
      <c r="B8" s="272" t="str">
        <f>BegDate</f>
        <v>12/31/20x3</v>
      </c>
      <c r="C8" s="273">
        <f ca="1">IF(C108="Debit",ABS(D108),0)</f>
        <v>0</v>
      </c>
      <c r="D8" s="274">
        <f ca="1">IF(C108="Credit",ABS(D108),0)</f>
        <v>0</v>
      </c>
      <c r="E8" s="272" t="str">
        <f>BegDate</f>
        <v>12/31/20x3</v>
      </c>
      <c r="H8" s="286" t="str" cm="1">
        <f t="array" aca="1" ref="H8" ca="1">_xlfn.IFS(I8="","",AND(I8&lt;&gt;"",N103),"OK",AND(I8&lt;&gt;"",NOT(N103)),"?")</f>
        <v/>
      </c>
      <c r="I8" s="96"/>
      <c r="L8" s="276"/>
      <c r="M8" s="277"/>
      <c r="N8" s="192"/>
      <c r="O8" s="192"/>
      <c r="Q8" s="34">
        <f t="shared" si="0"/>
        <v>0</v>
      </c>
      <c r="R8" s="251" t="str" cm="1">
        <f t="array" ref="R8">IF(P8&lt;&gt;"",_xlfn.XLOOKUP(P8,P103:P132,R103:R132&amp;"s",""),"")</f>
        <v/>
      </c>
      <c r="U8">
        <v>0</v>
      </c>
      <c r="V8" s="272">
        <v>6</v>
      </c>
      <c r="W8" s="275">
        <v>20.5</v>
      </c>
      <c r="X8" s="34">
        <v>3</v>
      </c>
      <c r="Y8" s="272">
        <v>7</v>
      </c>
      <c r="Z8">
        <v>0</v>
      </c>
      <c r="AC8" s="1"/>
      <c r="AD8" s="1">
        <v>9</v>
      </c>
      <c r="AE8" s="1"/>
      <c r="AG8" s="1">
        <f ca="1"/>
        <v>2</v>
      </c>
      <c r="AH8" s="545" t="b">
        <v>0</v>
      </c>
    </row>
    <row r="9" spans="2:34">
      <c r="B9" s="272" cm="1">
        <f t="array" ref="B9">_xlfn._xlws.FILTER(Journal[Transaction '#],Journal[Debit Account]=D5,"")</f>
        <v>4</v>
      </c>
      <c r="C9" s="275" cm="1">
        <f t="array" ref="C9">_xlfn._xlws.FILTER(Journal[Dr Amt],Journal[Debit Account]=D5,0)</f>
        <v>20</v>
      </c>
      <c r="D9" s="34" cm="1">
        <f t="array" ref="D9">_xlfn._xlws.FILTER(Journal[Cr Amt],Journal[Credit Account]=D5,0)</f>
        <v>18</v>
      </c>
      <c r="E9" s="272" cm="1">
        <f t="array" ref="E9">_xlfn._xlws.FILTER(Journal[Transaction '#],Journal[Credit Account]=D5,"")</f>
        <v>12</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v>0.05</v>
      </c>
      <c r="Y9" s="272">
        <v>9</v>
      </c>
      <c r="Z9">
        <v>0</v>
      </c>
      <c r="AC9" s="1"/>
      <c r="AD9" s="1"/>
      <c r="AE9" s="1"/>
      <c r="AG9" s="1">
        <f ca="1"/>
        <v>9</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v>1.87</v>
      </c>
      <c r="Y10" s="272">
        <v>11</v>
      </c>
      <c r="Z10">
        <v>0</v>
      </c>
      <c r="AC10" s="1"/>
      <c r="AD10" s="1"/>
      <c r="AE10" s="1"/>
      <c r="AG10" s="1">
        <f ca="1"/>
        <v>8</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17.579999999999998</v>
      </c>
      <c r="X18" s="282">
        <f ca="1">MAX(SUM(X5:X17)-SUM(W5:W17),0)</f>
        <v>0</v>
      </c>
      <c r="Y18" s="272" t="str">
        <f>EndDate</f>
        <v>12/31/20x4</v>
      </c>
      <c r="AC18" s="1"/>
      <c r="AD18" s="1"/>
      <c r="AE18" s="1"/>
      <c r="AG18" s="1"/>
      <c r="AH18" s="545" t="b">
        <v>0</v>
      </c>
    </row>
    <row r="19" spans="2:34" ht="15.7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253</v>
      </c>
      <c r="AH20" s="545" t="b">
        <v>0</v>
      </c>
    </row>
    <row r="21" spans="2:34" ht="16.5" thickTop="1" thickBot="1">
      <c r="B21" s="272" t="str">
        <f>EndDate</f>
        <v>12/31/20x4</v>
      </c>
      <c r="C21" s="281">
        <f ca="1">MAX(SUM(C8:C20)-SUM(D8:D20),0)</f>
        <v>2</v>
      </c>
      <c r="D21" s="282">
        <f ca="1">MAX(SUM(D8:D20)-SUM(C8:C20),0)</f>
        <v>0</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385</v>
      </c>
      <c r="W21" s="567">
        <f>SUMIF(U6:U17,"Operating",W6:W17)-SUMIF(Z6:Z17,"Operating",X6:X17)</f>
        <v>0</v>
      </c>
      <c r="AH21" s="545" t="b">
        <v>0</v>
      </c>
    </row>
    <row r="22" spans="2:34" ht="15.7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381</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382</v>
      </c>
      <c r="W23" s="567">
        <f>SUMIF(U6:U17,"Financing",W6:W17)-SUMIF(Z6:Z17,"Financing",X6:X17)</f>
        <v>0</v>
      </c>
      <c r="AH23" s="545" t="b">
        <v>0</v>
      </c>
    </row>
    <row r="24" spans="2:34">
      <c r="C24" s="261" t="s">
        <v>386</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c r="C25" t="s">
        <v>375</v>
      </c>
      <c r="D25" s="263" t="s">
        <v>70</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379</v>
      </c>
      <c r="D26" s="263" t="s">
        <v>71</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75" thickBot="1">
      <c r="B28" s="269" t="s">
        <v>377</v>
      </c>
      <c r="C28" s="270" t="str">
        <f>D26</f>
        <v>Sales</v>
      </c>
      <c r="D28" s="270"/>
      <c r="E28" s="269" t="s">
        <v>377</v>
      </c>
      <c r="N28" s="192"/>
      <c r="O28" s="286"/>
      <c r="Q28" s="34">
        <f t="shared" si="0"/>
        <v>0</v>
      </c>
      <c r="R28" s="251" t="str" cm="1">
        <f t="array" ref="R28">IF(P28&lt;&gt;"",_xlfn.XLOOKUP(P28,P123:P152,R123:R152&amp;"s",""),"")</f>
        <v/>
      </c>
      <c r="AH28" s="545" t="b">
        <v>0</v>
      </c>
    </row>
    <row r="29" spans="2:34" ht="15.75" thickTop="1">
      <c r="B29" s="272" cm="1">
        <f t="array" ref="B29">_xlfn._xlws.FILTER(Journal[Transaction '#],Journal[Debit Account]=D26,"")</f>
        <v>14</v>
      </c>
      <c r="C29" s="275" cm="1">
        <f t="array" ref="C29">_xlfn._xlws.FILTER(Journal[Dr Amt],Journal[Debit Account]=D26,0)</f>
        <v>25</v>
      </c>
      <c r="D29" s="34" cm="1">
        <f t="array" ref="D29">_xlfn._xlws.FILTER(Journal[Cr Amt],Journal[Credit Account]=D26,0)</f>
        <v>25</v>
      </c>
      <c r="E29" s="272" cm="1">
        <f t="array" ref="E29">_xlfn._xlws.FILTER(Journal[Transaction '#],Journal[Credit Account]=D26,"")</f>
        <v>5</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75" thickBot="1">
      <c r="B37" s="278"/>
      <c r="C37" s="279"/>
      <c r="D37" s="280"/>
      <c r="E37" s="278"/>
      <c r="N37" s="192"/>
      <c r="O37" s="192"/>
      <c r="Q37" s="34">
        <f t="shared" si="0"/>
        <v>0</v>
      </c>
      <c r="R37" s="251" t="str" cm="1">
        <f t="array" ref="R37">IF(P37&lt;&gt;"",_xlfn.XLOOKUP(P37,P132:P161,R132:R161&amp;"s",""),"")</f>
        <v/>
      </c>
    </row>
    <row r="38" spans="2:18" ht="16.5"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7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356</v>
      </c>
      <c r="J100" s="265" t="s">
        <v>357</v>
      </c>
      <c r="K100" s="265" t="s">
        <v>358</v>
      </c>
      <c r="L100" s="265" t="s">
        <v>359</v>
      </c>
      <c r="M100" s="266" t="s">
        <v>360</v>
      </c>
      <c r="P100" s="40" t="s">
        <v>43</v>
      </c>
      <c r="Q100" s="40" t="s">
        <v>387</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Cash</v>
      </c>
      <c r="K101" t="str" cm="1">
        <f t="array" aca="1" ref="K101" ca="1">_xlfn.IFS(OR(K6=0,K6=""),"",OR(K6&lt;&gt;"",K6&gt;0),K6)</f>
        <v/>
      </c>
      <c r="L101" s="34" cm="1">
        <f t="array" aca="1" ref="L101" ca="1">_xlfn.IFS(OR(L6=0,L6=""),"",OR(L6&lt;&gt;"",L6&gt;0),L6)</f>
        <v>3</v>
      </c>
      <c r="M101" s="173" t="str" cm="1">
        <f t="array" aca="1" ref="M101" ca="1">_xlfn.IFS(OR(M6=0,M6=""),"",OR(M6&lt;&gt;"",M6&gt;0),M6)</f>
        <v/>
      </c>
      <c r="N101" t="b" cm="1">
        <f t="array" aca="1" ref="N101" ca="1">_xlfn.IFNA(_xlfn.IFS(O101="----","",O101&lt;&gt;"----",ISNUMBER(MATCH(O101,$O$123:$O$142,0))),"FALSE")</f>
        <v>1</v>
      </c>
      <c r="O101" t="str">
        <f ca="1">_xlfn.TEXTJOIN("-",FALSE,I101:M101)</f>
        <v>Asset-Cash--3-</v>
      </c>
      <c r="P101" t="str" cm="1">
        <f t="array" ref="P101">_xlfn._xlws.FILTER(MD_Revenue[Account Name],MD_Revenue[Used]=1,"")</f>
        <v>Sales</v>
      </c>
      <c r="Q101" s="289">
        <f>SUMIF(Journal[Credit Account],P101,Journal[Cr Amt])-SUMIF(Journal[Debit Account],P101,Journal[Dr Amt])</f>
        <v>0</v>
      </c>
      <c r="R101" s="1" t="s">
        <v>388</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aca="1" ref="I102" ca="1">_xlfn.IFS(OR(I7=0,I7=""),"",OR(I7&lt;&gt;"",I7&gt;0),I7)</f>
        <v>Equity</v>
      </c>
      <c r="J102" t="str" cm="1">
        <f t="array" aca="1" ref="J102" ca="1">_xlfn.IFS(OR(J7=0,J7=""),"",OR(J7&lt;&gt;"",J7&gt;0),J7)</f>
        <v/>
      </c>
      <c r="K102" t="str" cm="1">
        <f t="array" aca="1" ref="K102" ca="1">_xlfn.IFS(OR(K7=0,K7=""),"",OR(K7&lt;&gt;"",K7&gt;0),K7)</f>
        <v>Common Stock</v>
      </c>
      <c r="L102" s="34" t="str" cm="1">
        <f t="array" aca="1" ref="L102" ca="1">_xlfn.IFS(OR(L7=0,L7=""),"",OR(L7&lt;&gt;"",L7&gt;0),L7)</f>
        <v/>
      </c>
      <c r="M102" s="268" cm="1">
        <f t="array" aca="1" ref="M102" ca="1">_xlfn.IFS(OR(M7=0,M7=""),"",OR(M7&lt;&gt;"",M7&gt;0),M7)</f>
        <v>3</v>
      </c>
      <c r="N102" t="b" cm="1">
        <f t="array" aca="1" ref="N102" ca="1">_xlfn.IFNA(_xlfn.IFS(O102="----","",O102&lt;&gt;"----",ISNUMBER(MATCH(O102,$O$123:$O$142,0))),"FALSE")</f>
        <v>1</v>
      </c>
      <c r="O102" t="str">
        <f t="shared" ref="O102:O120" ca="1" si="1">_xlfn.TEXTJOIN("-",FALSE,I102:M102)</f>
        <v>Equity--Common Stock--3</v>
      </c>
      <c r="Q102" s="289">
        <f>SUMIF(Journal[Credit Account],P102,Journal[Cr Amt])-SUMIF(Journal[Debit Account],P102,Journal[Dr Amt])</f>
        <v>0</v>
      </c>
      <c r="R102" s="1" t="s">
        <v>388</v>
      </c>
      <c r="W102" t="str">
        <f>"MD_"&amp;X25</f>
        <v>MD_</v>
      </c>
    </row>
    <row r="103" spans="2: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388</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388</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389</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389</v>
      </c>
      <c r="W108" t="str">
        <f ca="1">_xlfn.XLOOKUP("Cash",$W$109:$W$133,$Y$109:$Y$133)</f>
        <v>Debit</v>
      </c>
      <c r="X108">
        <f ca="1">_xlfn.XLOOKUP("Cash",$W$109:$W$133,$X$109:$X$133)</f>
        <v>0</v>
      </c>
    </row>
    <row r="109" spans="2:25">
      <c r="B109">
        <f ca="1">COUNTIF(_xlfn.ANCHORARRAY(C109),D5)</f>
        <v>1</v>
      </c>
      <c r="C109" t="str" cm="1">
        <f t="array" aca="1" ref="C109:C113"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Depreciation Expense</v>
      </c>
      <c r="Q109" s="289">
        <f>SUMIF(Journal[Debit Account],P109,Journal[Dr Amt])-SUMIF(Journal[Credit Account],P109,Journal[Cr Amt])</f>
        <v>0</v>
      </c>
      <c r="R109" s="1" t="s">
        <v>389</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Salaries &amp; Wages Expense</v>
      </c>
      <c r="Q110" s="289">
        <f>SUMIF(Journal[Debit Account],P110,Journal[Dr Amt])-SUMIF(Journal[Credit Account],P110,Journal[Cr Amt])</f>
        <v>0</v>
      </c>
      <c r="R110" s="1" t="s">
        <v>389</v>
      </c>
      <c r="W110" t="str">
        <f ca="1"/>
        <v>Accounts Receivable</v>
      </c>
      <c r="X110">
        <f ca="1"/>
        <v>0</v>
      </c>
      <c r="Y110" t="str">
        <f ca="1"/>
        <v>Debit</v>
      </c>
    </row>
    <row r="111" spans="2: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389</v>
      </c>
      <c r="W111" t="str">
        <f ca="1"/>
        <v>Inventories</v>
      </c>
      <c r="X111">
        <f ca="1"/>
        <v>0</v>
      </c>
      <c r="Y111" t="str">
        <f ca="1"/>
        <v>Debit</v>
      </c>
    </row>
    <row r="112" spans="2:25">
      <c r="C112" t="str">
        <f ca="1"/>
        <v>Property, Plant &amp; Equipment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389</v>
      </c>
      <c r="W112" t="str">
        <f ca="1"/>
        <v>Property, Plant &amp; Equipment</v>
      </c>
      <c r="X112">
        <f ca="1"/>
        <v>0</v>
      </c>
      <c r="Y112" t="str">
        <f ca="1"/>
        <v>Debit</v>
      </c>
    </row>
    <row r="113" spans="3:25">
      <c r="C113" t="str">
        <f ca="1"/>
        <v>Accumulated Depreciation</v>
      </c>
      <c r="D113">
        <f ca="1"/>
        <v>0</v>
      </c>
      <c r="E113" t="str">
        <f ca="1"/>
        <v>Credit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389</v>
      </c>
      <c r="W113" t="str">
        <f ca="1"/>
        <v>Accumulated Depreciation</v>
      </c>
      <c r="X113">
        <f ca="1"/>
        <v>0</v>
      </c>
      <c r="Y113" t="str">
        <f ca="1"/>
        <v>Credit</v>
      </c>
    </row>
    <row r="114" spans="3: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389</v>
      </c>
      <c r="X114">
        <f ca="1"/>
        <v>0</v>
      </c>
      <c r="Y114" t="str">
        <f ca="1"/>
        <v/>
      </c>
    </row>
    <row r="115" spans="3: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389</v>
      </c>
      <c r="X115">
        <f ca="1"/>
        <v>0</v>
      </c>
      <c r="Y115" t="str">
        <f ca="1"/>
        <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389</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388</v>
      </c>
      <c r="X119">
        <f ca="1"/>
        <v>0</v>
      </c>
      <c r="Y119" t="str">
        <f ca="1"/>
        <v/>
      </c>
    </row>
    <row r="120" spans="3:25" ht="15.7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388</v>
      </c>
      <c r="X120">
        <f ca="1"/>
        <v>0</v>
      </c>
      <c r="Y120" t="str">
        <f ca="1"/>
        <v/>
      </c>
    </row>
    <row r="121" spans="3:25" ht="15.75" thickBot="1">
      <c r="D121">
        <f ca="1"/>
        <v>0</v>
      </c>
      <c r="E121" t="str">
        <f ca="1"/>
        <v/>
      </c>
      <c r="Q121" s="289">
        <f>SUMIF(Journal[Credit Account],P121,Journal[Cr Amt])-SUMIF(Journal[Debit Account],P121,Journal[Dr Amt])</f>
        <v>0</v>
      </c>
      <c r="R121" s="1" t="s">
        <v>388</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388</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Cash</v>
      </c>
      <c r="K123" t="str">
        <f ca="1"/>
        <v/>
      </c>
      <c r="L123" s="34">
        <f ca="1"/>
        <v>3</v>
      </c>
      <c r="M123" s="173" t="str">
        <f ca="1"/>
        <v/>
      </c>
      <c r="O123" t="str">
        <f t="shared" ref="O123:O142" ca="1" si="2">_xlfn.TEXTJOIN("-",FALSE,I123:M123)</f>
        <v>Asset-Cash--3-</v>
      </c>
      <c r="Q123" s="289">
        <f>SUMIF(Journal[Credit Account],P123,Journal[Cr Amt])-SUMIF(Journal[Debit Account],P123,Journal[Dr Amt])</f>
        <v>0</v>
      </c>
      <c r="R123" s="1" t="s">
        <v>388</v>
      </c>
      <c r="X123">
        <f ca="1"/>
        <v>0</v>
      </c>
      <c r="Y123" t="str">
        <f ca="1"/>
        <v/>
      </c>
    </row>
    <row r="124" spans="3:25">
      <c r="D124">
        <f ca="1"/>
        <v>0</v>
      </c>
      <c r="E124" t="str">
        <f ca="1"/>
        <v/>
      </c>
      <c r="I124" s="96" t="str">
        <f ca="1"/>
        <v>Equity</v>
      </c>
      <c r="J124" t="str">
        <f ca="1"/>
        <v/>
      </c>
      <c r="K124" t="str">
        <f ca="1"/>
        <v>Common Stock</v>
      </c>
      <c r="L124" s="34" t="str">
        <f ca="1"/>
        <v/>
      </c>
      <c r="M124" s="268">
        <f ca="1"/>
        <v>3</v>
      </c>
      <c r="O124" t="str">
        <f t="shared" ca="1" si="2"/>
        <v>Equity--Common Stock--3</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389</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389</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389</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389</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389</v>
      </c>
      <c r="X130">
        <f ca="1"/>
        <v>0</v>
      </c>
      <c r="Y130" t="str">
        <f ca="1"/>
        <v/>
      </c>
    </row>
    <row r="131" spans="2:25">
      <c r="I131" s="96"/>
      <c r="L131" s="271"/>
      <c r="M131" s="173"/>
      <c r="O131" t="str">
        <f t="shared" si="2"/>
        <v>----</v>
      </c>
    </row>
    <row r="132" spans="2:25">
      <c r="I132" s="96"/>
      <c r="L132" s="271"/>
      <c r="M132" s="268"/>
      <c r="O132" t="str">
        <f t="shared" si="2"/>
        <v>----</v>
      </c>
      <c r="P132" t="s">
        <v>390</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7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391</v>
      </c>
      <c r="N1" s="570" t="s">
        <v>392</v>
      </c>
      <c r="O1" s="570"/>
      <c r="AA1" s="335"/>
      <c r="AB1" s="335"/>
      <c r="AC1" s="335"/>
      <c r="AD1" s="335"/>
      <c r="AF1" s="335"/>
      <c r="AG1" s="335"/>
      <c r="AH1" s="335"/>
      <c r="AI1" s="335"/>
    </row>
    <row r="2" spans="2:90" ht="15.75" thickBot="1">
      <c r="B2" s="129"/>
      <c r="C2" s="130" t="s">
        <v>393</v>
      </c>
      <c r="D2" s="130"/>
      <c r="E2" s="621"/>
      <c r="J2" s="624"/>
      <c r="K2" s="130" t="s">
        <v>394</v>
      </c>
      <c r="L2" s="130"/>
      <c r="N2" s="120" t="s">
        <v>395</v>
      </c>
      <c r="O2" s="120" t="s">
        <v>396</v>
      </c>
      <c r="W2" s="335" t="s">
        <v>397</v>
      </c>
      <c r="AA2" s="335"/>
      <c r="AB2" s="335"/>
      <c r="AC2" s="335"/>
      <c r="AD2" s="335"/>
      <c r="AE2" s="339"/>
      <c r="AF2" s="335"/>
      <c r="AG2" s="335"/>
      <c r="AH2" s="335"/>
      <c r="AI2" s="335"/>
    </row>
    <row r="3" spans="2:90" ht="15.75" thickBot="1">
      <c r="B3" s="131"/>
      <c r="C3" s="132" t="s">
        <v>398</v>
      </c>
      <c r="D3" s="132" t="s">
        <v>399</v>
      </c>
      <c r="E3" s="621"/>
      <c r="J3" s="621"/>
      <c r="K3" s="132" t="s">
        <v>398</v>
      </c>
      <c r="L3" s="132" t="s">
        <v>399</v>
      </c>
      <c r="N3" s="123" t="str" cm="1">
        <f t="array" ref="N3:O4">IF(BE118&lt;&gt;"",_xlfn.UNIQUE(_xlfn.VSTACK(BE118:BF118,_xlfn.ANCHORARRAY(BH118),_xlfn.ANCHORARRAY(BL118))),_xlfn.UNIQUE(_xlfn.VSTACK(_xlfn.ANCHORARRAY(BH118),_xlfn.ANCHORARRAY(BL118))))</f>
        <v>Cash</v>
      </c>
      <c r="O3" s="123">
        <v>17.579999999999998</v>
      </c>
      <c r="AA3" s="335"/>
      <c r="AB3" s="335"/>
      <c r="AC3" s="335"/>
      <c r="AD3" s="335"/>
      <c r="AF3" s="335"/>
      <c r="AG3" s="335"/>
      <c r="AH3" s="335"/>
      <c r="AI3" s="335"/>
    </row>
    <row r="4" spans="2:90" ht="18.75">
      <c r="B4" s="348" t="s">
        <v>400</v>
      </c>
      <c r="C4" s="346">
        <f>_xlfn.IFNA(IF(_xlfn.XLOOKUP(B4,BegBalanceSheet_Assets[Account],BegBalanceSheet_Assets[IncreasedBy])="Debit",_xlfn.XLOOKUP(B4,BegBalanceSheet_Assets[Account],BegBalanceSheet_Assets[Amount]),0),0)</f>
        <v>0</v>
      </c>
      <c r="D4" s="333"/>
      <c r="K4" s="347">
        <f>IF(AC4&gt;0,AC4,0)</f>
        <v>17.579999999999998</v>
      </c>
      <c r="L4" s="331">
        <f>IF(AD4&gt;0,AD4,0)</f>
        <v>0</v>
      </c>
      <c r="N4" s="123" t="str">
        <v/>
      </c>
      <c r="O4" s="123" t="str">
        <v/>
      </c>
      <c r="P4" s="120"/>
      <c r="Q4" s="627"/>
      <c r="R4" s="628"/>
      <c r="S4" s="120"/>
      <c r="AA4" s="335">
        <f>SUMIF(Journal[Debit Account],B4,Journal[Dr Amt])</f>
        <v>43.5</v>
      </c>
      <c r="AB4" s="344">
        <f>SUMIF(Journal[Credit Account],B4,Journal[Cr Amt])</f>
        <v>25.92</v>
      </c>
      <c r="AC4" s="339">
        <f>C4-D4+AA4-AB4</f>
        <v>17.579999999999998</v>
      </c>
      <c r="AD4" s="339">
        <f>D4-C4+AB4-AA4</f>
        <v>-17.579999999999998</v>
      </c>
      <c r="AF4" s="335"/>
      <c r="AG4" s="335"/>
      <c r="AH4" s="335"/>
      <c r="AI4" s="335"/>
    </row>
    <row r="5" spans="2:90" ht="15.75" thickBot="1">
      <c r="F5" s="130" t="s">
        <v>401</v>
      </c>
      <c r="G5" s="130"/>
      <c r="H5" s="130"/>
      <c r="I5" s="130"/>
      <c r="K5" s="627"/>
      <c r="L5" s="628"/>
      <c r="O5" s="123"/>
      <c r="P5" s="120"/>
      <c r="Q5" s="627"/>
      <c r="R5" s="628"/>
      <c r="S5" s="120"/>
      <c r="AA5" s="335"/>
      <c r="AB5" s="344"/>
      <c r="AC5" s="339"/>
      <c r="AD5" s="339"/>
      <c r="AF5" s="335"/>
      <c r="AG5" s="335"/>
      <c r="AH5" s="335"/>
      <c r="AI5" s="335"/>
    </row>
    <row r="6" spans="2:90" ht="15.75" hidden="1" outlineLevel="1" thickBot="1">
      <c r="F6" s="133" t="s">
        <v>402</v>
      </c>
      <c r="G6" s="132" t="s">
        <v>398</v>
      </c>
      <c r="H6" s="132" t="s">
        <v>399</v>
      </c>
      <c r="I6" s="133" t="s">
        <v>402</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403</v>
      </c>
      <c r="AB9" s="335" t="s">
        <v>404</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405</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405</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205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205</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75" thickBot="1">
      <c r="F15" s="130" t="s">
        <v>406</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c r="B16" s="120"/>
      <c r="C16" s="123"/>
      <c r="F16" s="133" t="s">
        <v>402</v>
      </c>
      <c r="G16" s="132" t="s">
        <v>398</v>
      </c>
      <c r="H16" s="132" t="s">
        <v>399</v>
      </c>
      <c r="I16" s="133" t="s">
        <v>402</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405</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405</v>
      </c>
      <c r="K22" s="622"/>
      <c r="L22" s="623"/>
      <c r="M22" s="623"/>
      <c r="N22" s="622"/>
      <c r="P22" s="622"/>
      <c r="Q22" s="623"/>
      <c r="R22" s="623"/>
      <c r="S22" s="622"/>
      <c r="AA22" s="335"/>
      <c r="AB22" s="335"/>
      <c r="AC22" s="335"/>
      <c r="AD22" s="335"/>
      <c r="AF22" s="335"/>
      <c r="AG22" s="335"/>
      <c r="AH22" s="335"/>
      <c r="AI22" s="335"/>
    </row>
    <row r="23" spans="2:35" collapsed="1">
      <c r="B23" s="120"/>
      <c r="C23" s="123"/>
      <c r="F23" s="326" t="s">
        <v>206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206</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c r="B25" s="120"/>
      <c r="C25" s="123"/>
      <c r="F25" s="130" t="s">
        <v>155</v>
      </c>
      <c r="G25" s="130"/>
      <c r="H25" s="130"/>
      <c r="I25" s="130"/>
      <c r="K25" s="622"/>
      <c r="L25" s="623"/>
      <c r="M25" s="623"/>
      <c r="N25" s="622"/>
      <c r="P25" s="622"/>
      <c r="Q25" s="623"/>
      <c r="R25" s="623"/>
      <c r="S25" s="622"/>
      <c r="AA25" s="335"/>
      <c r="AB25" s="335"/>
      <c r="AC25" s="335"/>
      <c r="AD25" s="335"/>
      <c r="AF25" s="335"/>
      <c r="AG25" s="335"/>
      <c r="AH25" s="335"/>
      <c r="AI25" s="335"/>
    </row>
    <row r="26" spans="2:35" ht="15.75" thickBot="1">
      <c r="B26" s="120"/>
      <c r="C26" s="123"/>
      <c r="F26" s="133" t="s">
        <v>318</v>
      </c>
      <c r="G26" s="132" t="s">
        <v>398</v>
      </c>
      <c r="H26" s="132" t="s">
        <v>399</v>
      </c>
      <c r="I26" s="133" t="s">
        <v>318</v>
      </c>
      <c r="K26" s="622"/>
      <c r="L26" s="623"/>
      <c r="M26" s="623"/>
      <c r="N26" s="622"/>
      <c r="P26" s="622"/>
      <c r="Q26" s="623"/>
      <c r="R26" s="623"/>
      <c r="S26" s="622"/>
      <c r="AA26" s="335"/>
      <c r="AB26" s="335"/>
      <c r="AC26" s="335"/>
      <c r="AD26" s="335"/>
      <c r="AF26" s="335"/>
      <c r="AG26" s="335"/>
      <c r="AH26" s="335"/>
      <c r="AI26" s="335"/>
    </row>
    <row r="27" spans="2:35">
      <c r="B27" s="120"/>
      <c r="C27" s="123"/>
      <c r="F27" s="647" t="s">
        <v>266</v>
      </c>
      <c r="G27" s="610"/>
      <c r="H27" s="611"/>
      <c r="I27" s="647" t="s">
        <v>407</v>
      </c>
      <c r="K27" s="622"/>
      <c r="L27" s="623"/>
      <c r="M27" s="623"/>
      <c r="N27" s="622"/>
      <c r="P27" s="622"/>
      <c r="Q27" s="623"/>
      <c r="R27" s="623"/>
      <c r="S27" s="622"/>
      <c r="AA27" s="335"/>
      <c r="AB27" s="335"/>
      <c r="AC27" s="335"/>
      <c r="AD27" s="335"/>
    </row>
    <row r="28" spans="2:35" hidden="1" outlineLevel="1">
      <c r="B28" s="120"/>
      <c r="C28" s="123"/>
      <c r="F28" s="594"/>
      <c r="G28" s="152" t="s">
        <v>154</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408</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405</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405</v>
      </c>
      <c r="K49" s="622"/>
      <c r="L49" s="623"/>
      <c r="M49" s="623"/>
      <c r="N49" s="622"/>
      <c r="P49" s="622"/>
      <c r="Q49" s="623"/>
      <c r="R49" s="623"/>
      <c r="S49" s="622"/>
      <c r="AA49" s="335"/>
      <c r="AB49" s="335"/>
      <c r="AC49" s="335"/>
      <c r="AD49" s="335"/>
    </row>
    <row r="50" spans="1:53" collapsed="1">
      <c r="B50" s="120"/>
      <c r="F50" s="326" t="s">
        <v>204</v>
      </c>
      <c r="G50" s="608"/>
      <c r="H50" s="609"/>
      <c r="I50" s="326" t="s">
        <v>204</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405</v>
      </c>
      <c r="G53" s="334">
        <f ca="1">IF((K53-L53)-(C53-D53)-SUM(G54:G56)+SUM(H54:H56)&gt;0,(K53-L53)-(C53-D53)-SUM(G54:G56)+SUM(H54:H56),0)</f>
        <v>4.5</v>
      </c>
      <c r="H53" s="330">
        <f ca="1">IF((K53-L53)-(C53-D53)-SUM(G54:G56)+SUM(H54:H56)&lt;0,-((K53-L53)-(C53-D53)-SUM(G54:G56)+SUM(H54:H56)),0)</f>
        <v>0</v>
      </c>
      <c r="I53" s="593" t="s">
        <v>405</v>
      </c>
      <c r="J53" s="153"/>
      <c r="K53" s="138">
        <f ca="1">IF(AC59&gt;0,AC59,0)</f>
        <v>4.5</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38</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0</v>
      </c>
      <c r="D57" s="136">
        <f ca="1">_xlfn.IFNA(_xlfn.XLOOKUP(B57,$AF$59:$AF$139,$AO$59:$AO$139,0),"")</f>
        <v>0</v>
      </c>
      <c r="F57" s="593" t="s">
        <v>405</v>
      </c>
      <c r="G57" s="334">
        <f ca="1">IF((K57-L57)-(C57-D57)-SUM(G58:G60)+SUM(H58:H60)&gt;0,(K57-L57)-(C57-D57)-SUM(G58:G60)+SUM(H58:H60),0)</f>
        <v>2</v>
      </c>
      <c r="H57" s="330">
        <f ca="1">IF((K57-L57)-(C57-D57)-SUM(G58:G60)+SUM(H58:H60)&lt;0,-((K57-L57)-(C57-D57)-SUM(G58:G60)+SUM(H58:H60)),0)</f>
        <v>0</v>
      </c>
      <c r="I57" s="593" t="s">
        <v>405</v>
      </c>
      <c r="J57" s="153"/>
      <c r="K57" s="135">
        <f ca="1">IF(AC63&gt;0,AC63,0)</f>
        <v>2</v>
      </c>
      <c r="L57" s="136">
        <f ca="1">IF(AD63&gt;0,AD63,0)</f>
        <v>0</v>
      </c>
      <c r="P57" s="123" t="b">
        <f ca="1">NOT(B57="")</f>
        <v>1</v>
      </c>
      <c r="Q57" s="626"/>
      <c r="R57" s="626"/>
      <c r="AE57" s="335" t="str">
        <f>"AC28:AC"&amp;AE55</f>
        <v>AC28:AC38</v>
      </c>
      <c r="AF57" s="335"/>
    </row>
    <row r="58" spans="1:53" ht="15.7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69">_xlfn.VSTACK("Assets",_xlfn._xlws.FILTER(MD_Asset[Account Name],(MD_Asset[Used]=1)*(MD_Asset[Abbr]&lt;&gt;"CSH"),""),"Liabilities",_xlfn._xlws.FILTER(MD_Liability[Account Name],MD_Liability[Used]=1,""),"Equities",_xlfn._xlws.FILTER(MD_Equity[Account Name],MD_Equity[Used]=1))</f>
        <v>Assets</v>
      </c>
      <c r="AK58" s="341"/>
      <c r="AL58" s="341"/>
      <c r="AN58" s="119" t="s">
        <v>409</v>
      </c>
      <c r="AO58" s="119" t="s">
        <v>410</v>
      </c>
      <c r="AQ58" s="119" t="s">
        <v>411</v>
      </c>
      <c r="AT58" s="119" t="s">
        <v>412</v>
      </c>
      <c r="AX58" s="119" t="s">
        <v>413</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25</v>
      </c>
      <c r="AB59" s="344">
        <f ca="1">SUMIF(Journal[Credit Account],B53,Journal[Cr Amt])</f>
        <v>20.5</v>
      </c>
      <c r="AC59" s="339">
        <f ca="1">C53-D53+AA59-AB59</f>
        <v>4.5</v>
      </c>
      <c r="AD59" s="339">
        <f ca="1">D53-C53+AB59-AA59</f>
        <v>-4.5</v>
      </c>
      <c r="AE59" s="335" cm="1">
        <f t="array" aca="1" ref="AE59:AE6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Property, Plant &amp; Equipment</v>
      </c>
      <c r="C61" s="135">
        <f ca="1">_xlfn.IFNA(_xlfn.XLOOKUP(B61,$AF$59:$AF$139,$AN$59:$AN$139,0),0)</f>
        <v>0</v>
      </c>
      <c r="D61" s="136">
        <f ca="1">_xlfn.IFNA(_xlfn.XLOOKUP(B61,$AF$59:$AF$139,$AO$59:$AO$139,0),"")</f>
        <v>0</v>
      </c>
      <c r="F61" s="593" t="s">
        <v>405</v>
      </c>
      <c r="G61" s="334">
        <f ca="1">IF((K61-L61)-(C61-D61)-SUM(G62:G64)+SUM(H62:H64)&gt;0,(K61-L61)-(C61-D61)-SUM(G62:G64)+SUM(H62:H64),0)</f>
        <v>1</v>
      </c>
      <c r="H61" s="330">
        <f ca="1">IF((K61-L61)-(C61-D61)-SUM(G62:G64)+SUM(H62:H64)&lt;0,-((K61-L61)-(C61-D61)-SUM(G62:G64)+SUM(H62:H64)),0)</f>
        <v>0</v>
      </c>
      <c r="I61" s="593" t="s">
        <v>405</v>
      </c>
      <c r="J61" s="153"/>
      <c r="K61" s="135">
        <f ca="1">IF(AC67&gt;0,AC67,0)</f>
        <v>1</v>
      </c>
      <c r="L61" s="136">
        <f ca="1">IF(AD67&gt;0,AD67,0)</f>
        <v>0</v>
      </c>
      <c r="P61" s="123" t="b">
        <f ca="1">NOT(B61="")</f>
        <v>1</v>
      </c>
      <c r="Q61" s="626"/>
      <c r="R61" s="626"/>
      <c r="W61" s="340">
        <f ca="1">IF(B53&lt;&gt;"",1,0)</f>
        <v>1</v>
      </c>
      <c r="X61" s="340"/>
      <c r="Y61" s="340"/>
      <c r="Z61" s="340"/>
      <c r="AA61" s="344"/>
      <c r="AB61" s="344"/>
      <c r="AC61" s="339"/>
      <c r="AD61" s="339"/>
      <c r="AE61" s="335">
        <f ca="1"/>
        <v>9</v>
      </c>
      <c r="AF61" s="121" t="str">
        <v>Property, Plant &amp; Equipment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Accumulated Depreciation</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Credit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AccDepr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20</v>
      </c>
      <c r="AB63" s="344">
        <f ca="1">SUMIF(Journal[Credit Account],B57,Journal[Cr Amt])</f>
        <v>18</v>
      </c>
      <c r="AC63" s="339">
        <f ca="1">C57-D57+AA63-AB63</f>
        <v>2</v>
      </c>
      <c r="AD63" s="339">
        <f ca="1">D57-C57+AB63-AA63</f>
        <v>-2</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Accumulated Depreciation</v>
      </c>
      <c r="C65" s="135">
        <f ca="1">_xlfn.IFNA(_xlfn.XLOOKUP(B65,$AF$59:$AF$139,$AN$59:$AN$139,0),0)</f>
        <v>0</v>
      </c>
      <c r="D65" s="136">
        <f ca="1">_xlfn.IFNA(_xlfn.XLOOKUP(B65,$AF$59:$AF$139,$AO$59:$AO$139,0),"")</f>
        <v>0</v>
      </c>
      <c r="F65" s="593" t="s">
        <v>405</v>
      </c>
      <c r="G65" s="334">
        <f ca="1">IF((K65-L65)-(C65-D65)-SUM(G66:G68)+SUM(H66:H68)&gt;0,(K65-L65)-(C65-D65)-SUM(G66:G68)+SUM(H66:H68),0)</f>
        <v>0</v>
      </c>
      <c r="H65" s="330">
        <f ca="1">IF((K65-L65)-(C65-D65)-SUM(G66:G68)+SUM(H66:H68)&lt;0,-((K65-L65)-(C65-D65)-SUM(G66:G68)+SUM(H66:H68)),0)</f>
        <v>0.2</v>
      </c>
      <c r="I65" s="593" t="s">
        <v>405</v>
      </c>
      <c r="J65" s="153"/>
      <c r="K65" s="135">
        <f ca="1">IF(AC71&gt;0,AC71,0)</f>
        <v>0</v>
      </c>
      <c r="L65" s="136">
        <f ca="1">IF(AD71&gt;0,AD71,0)</f>
        <v>0.2</v>
      </c>
      <c r="P65" s="123" t="b">
        <f ca="1">NOT(B65="")</f>
        <v>1</v>
      </c>
      <c r="Q65" s="626"/>
      <c r="R65" s="626"/>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Notes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NP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1</v>
      </c>
      <c r="AB67" s="344">
        <f ca="1">SUMIF(Journal[Credit Account],B61,Journal[Cr Amt])</f>
        <v>0</v>
      </c>
      <c r="AC67" s="339">
        <f ca="1">C61-D61+AA67-AB67</f>
        <v>1</v>
      </c>
      <c r="AD67" s="339">
        <f ca="1">D61-C61+AB67-AA67</f>
        <v>-1</v>
      </c>
      <c r="AE67" s="335">
        <f ca="1"/>
        <v>33</v>
      </c>
      <c r="AF67" s="121" t="str">
        <v>Equities</v>
      </c>
      <c r="AG67" s="119" t="str" cm="1">
        <f t="array" ref="AG67">_xlfn.IFNA(_xlfn.IFS(ISNUMBER(MATCH(AF67,MD_Asset[Account Name],0)),"Assets",ISNUMBER(MATCH(AF67,MD_Liability[Account Name],0)),"Liabilities",ISNUMBER(MATCH(AF67,MD_Equity[Account Name],0)),"Equities"),"")</f>
        <v/>
      </c>
      <c r="AH67" s="119" t="str">
        <f t="shared" si="1"/>
        <v/>
      </c>
      <c r="AI67" s="119" t="str">
        <f t="shared" si="2"/>
        <v/>
      </c>
      <c r="AJ67" s="119" t="str">
        <f t="shared" si="3"/>
        <v/>
      </c>
      <c r="AK67" s="119" t="str" cm="1">
        <f t="array" aca="1" ref="AK67" ca="1">IFERROR(_xlfn.XLOOKUP(AF67,INDIRECT(AI67),INDIRECT(AJ67),""),"")</f>
        <v/>
      </c>
      <c r="AL67" s="119" t="str">
        <f t="shared" si="4"/>
        <v/>
      </c>
      <c r="AM67" s="119" t="str" cm="1">
        <f t="array" aca="1" ref="AM67" ca="1">IF(AG67&lt;&gt;"",_xlfn.XLOOKUP(AF67,INDIRECT(AI67),INDIRECT(AL67)),"")</f>
        <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
      </c>
      <c r="AQ67" s="119" t="str" cm="1">
        <f t="array" aca="1" ref="AQ67" ca="1">IF(AP67&lt;&gt;"",_xlfn.XLOOKUP(AF67,INDIRECT(AI67),INDIRECT(AP67),""),"")</f>
        <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Common Stock</v>
      </c>
      <c r="AG68" s="119" t="str" cm="1">
        <f t="array" ref="AG68">_xlfn.IFNA(_xlfn.IFS(ISNUMBER(MATCH(AF68,MD_Asset[Account Name],0)),"Assets",ISNUMBER(MATCH(AF68,MD_Liability[Account Name],0)),"Liabilities",ISNUMBER(MATCH(AF68,MD_Equity[Account Name],0)),"Equities"),"")</f>
        <v>Equities</v>
      </c>
      <c r="AH68" s="119" t="str">
        <f t="shared" si="1"/>
        <v>BegBalanceSheet_Equities</v>
      </c>
      <c r="AI68" s="119" t="str">
        <f t="shared" si="2"/>
        <v>BegBalanceSheet_Equities[Account]</v>
      </c>
      <c r="AJ68" s="119" t="str">
        <f t="shared" si="3"/>
        <v>BegBalanceSheet_Equities[IncreasedBy]</v>
      </c>
      <c r="AK68" s="119" t="str" cm="1">
        <f t="array" aca="1" ref="AK68" ca="1">IFERROR(_xlfn.XLOOKUP(AF68,INDIRECT(AI68),INDIRECT(AJ68),""),"")</f>
        <v>Credit</v>
      </c>
      <c r="AL68" s="119" t="str">
        <f t="shared" si="4"/>
        <v>BegBalanceSheet_Equities[Amount]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BegBalanceSheet_Equities[Abbr]</v>
      </c>
      <c r="AQ68" s="119" t="str" cm="1">
        <f t="array" aca="1" ref="AQ68" ca="1">IF(AP68&lt;&gt;"",_xlfn.XLOOKUP(AF68,INDIRECT(AI68),INDIRECT(AP68),""),"")</f>
        <v>CS</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Liabilities</v>
      </c>
      <c r="C69" s="135">
        <f ca="1">_xlfn.IFNA(_xlfn.XLOOKUP(B69,$AF$59:$AF$139,$AN$59:$AN$139,0),0)</f>
        <v>0</v>
      </c>
      <c r="D69" s="136">
        <f ca="1">_xlfn.IFNA(_xlfn.XLOOKUP(B69,$AF$59:$AF$139,$AO$59:$AO$139,0),"")</f>
        <v>0</v>
      </c>
      <c r="F69" s="593" t="s">
        <v>405</v>
      </c>
      <c r="G69" s="334">
        <f ca="1">IF((K69-L69)-(C69-D69)-SUM(G70:G72)+SUM(H70:H72)&gt;0,(K69-L69)-(C69-D69)-SUM(G70:G72)+SUM(H70:H72),0)</f>
        <v>0</v>
      </c>
      <c r="H69" s="330">
        <f ca="1">IF((K69-L69)-(C69-D69)-SUM(G70:G72)+SUM(H70:H72)&lt;0,-((K69-L69)-(C69-D69)-SUM(G70:G72)+SUM(H70:H72)),0)</f>
        <v>0</v>
      </c>
      <c r="I69" s="593" t="s">
        <v>405</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Retained Earnings</v>
      </c>
      <c r="AG69" s="119" t="str" cm="1">
        <f t="array" ref="AG69">_xlfn.IFNA(_xlfn.IFS(ISNUMBER(MATCH(AF69,MD_Asset[Account Name],0)),"Assets",ISNUMBER(MATCH(AF69,MD_Liability[Account Name],0)),"Liabilities",ISNUMBER(MATCH(AF69,MD_Equity[Account Name],0)),"Equities"),"")</f>
        <v>Equities</v>
      </c>
      <c r="AH69" s="119" t="str">
        <f t="shared" si="1"/>
        <v>BegBalanceSheet_Equities</v>
      </c>
      <c r="AI69" s="119" t="str">
        <f t="shared" si="2"/>
        <v>BegBalanceSheet_Equities[Account]</v>
      </c>
      <c r="AJ69" s="119" t="str">
        <f t="shared" si="3"/>
        <v>BegBalanceSheet_Equities[IncreasedBy]</v>
      </c>
      <c r="AK69" s="119" t="str" cm="1">
        <f t="array" aca="1" ref="AK69" ca="1">IFERROR(_xlfn.XLOOKUP(AF69,INDIRECT(AI69),INDIRECT(AJ69),""),"")</f>
        <v>Credit</v>
      </c>
      <c r="AL69" s="119" t="str">
        <f t="shared" si="4"/>
        <v>BegBalanceSheet_Equities[Amount]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BegBalanceSheet_Equities[Abbr]</v>
      </c>
      <c r="AQ69" s="119" t="str" cm="1">
        <f t="array" aca="1" ref="AQ69" ca="1">IF(AP69&lt;&gt;"",_xlfn.XLOOKUP(AF69,INDIRECT(AI69),INDIRECT(AP69),""),"")</f>
        <v>RE</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F70" s="121"/>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0.2</v>
      </c>
      <c r="AC71" s="339">
        <f ca="1">C65-D65+AA71-AB71</f>
        <v>-0.2</v>
      </c>
      <c r="AD71" s="339">
        <f ca="1">D65-C65+AB71-AA71</f>
        <v>0.2</v>
      </c>
      <c r="AF71" s="121"/>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414</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Interest Payable</v>
      </c>
      <c r="C73" s="135">
        <f ca="1">_xlfn.IFNA(_xlfn.XLOOKUP(B73,$AF$59:$AF$139,$AN$59:$AN$139,0),0)</f>
        <v>0</v>
      </c>
      <c r="D73" s="136">
        <f ca="1">_xlfn.IFNA(_xlfn.XLOOKUP(B73,$AF$59:$AF$139,$AO$59:$AO$139,0),"")</f>
        <v>0</v>
      </c>
      <c r="F73" s="593" t="s">
        <v>405</v>
      </c>
      <c r="G73" s="334">
        <f ca="1">IF((K73-L73)-(C73-D73)-SUM(G74:G76)+SUM(H74:H76)&gt;0,(K73-L73)-(C73-D73)-SUM(G74:G76)+SUM(H74:H76),0)</f>
        <v>0</v>
      </c>
      <c r="H73" s="330">
        <f ca="1">IF((K73-L73)-(C73-D73)-SUM(G74:G76)+SUM(H74:H76)&lt;0,-((K73-L73)-(C73-D73)-SUM(G74:G76)+SUM(H74:H76)),0)</f>
        <v>0</v>
      </c>
      <c r="I73" s="593" t="s">
        <v>405</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415</v>
      </c>
      <c r="BE73" s="570"/>
      <c r="BF73" s="570"/>
      <c r="BG73" s="570"/>
      <c r="BQ73" s="119" t="s">
        <v>416</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403</v>
      </c>
      <c r="BE74" s="570"/>
      <c r="BF74" s="570" t="s">
        <v>404</v>
      </c>
      <c r="BG74" s="570"/>
      <c r="BH74" s="571" t="s">
        <v>417</v>
      </c>
      <c r="BI74" s="572"/>
      <c r="BJ74" s="572"/>
      <c r="BK74" s="573"/>
      <c r="BL74" s="571" t="s">
        <v>418</v>
      </c>
      <c r="BM74" s="572"/>
      <c r="BN74" s="572"/>
      <c r="BO74" s="573"/>
      <c r="BQ74" s="614" t="s">
        <v>403</v>
      </c>
      <c r="BR74" s="615"/>
      <c r="BS74" s="615"/>
      <c r="BT74" s="615"/>
      <c r="BU74" s="615"/>
      <c r="BV74" s="615"/>
      <c r="BW74" s="615"/>
      <c r="BX74" s="616"/>
      <c r="BZ74" s="614" t="s">
        <v>404</v>
      </c>
      <c r="CA74" s="615"/>
      <c r="CB74" s="615"/>
      <c r="CC74" s="615"/>
      <c r="CD74" s="615"/>
      <c r="CE74" s="615"/>
      <c r="CF74" s="615"/>
      <c r="CG74" s="616"/>
    </row>
    <row r="75" spans="1:85" ht="15.7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419</v>
      </c>
      <c r="BE75" s="341" t="s">
        <v>420</v>
      </c>
      <c r="BF75" s="326" t="s">
        <v>420</v>
      </c>
      <c r="BG75" s="341" t="s">
        <v>419</v>
      </c>
      <c r="BH75" s="582" t="s">
        <v>421</v>
      </c>
      <c r="BI75" s="583" t="s">
        <v>422</v>
      </c>
      <c r="BJ75" s="583" t="s">
        <v>419</v>
      </c>
      <c r="BK75" s="584" t="s">
        <v>423</v>
      </c>
      <c r="BL75" s="582" t="s">
        <v>421</v>
      </c>
      <c r="BM75" s="583" t="s">
        <v>422</v>
      </c>
      <c r="BN75" s="583" t="s">
        <v>419</v>
      </c>
      <c r="BO75" s="584" t="s">
        <v>423</v>
      </c>
      <c r="BP75" s="335"/>
      <c r="BQ75" s="617" t="s">
        <v>419</v>
      </c>
      <c r="BR75" s="618" t="s">
        <v>420</v>
      </c>
      <c r="BS75" s="343"/>
      <c r="BT75" s="619" t="s">
        <v>419</v>
      </c>
      <c r="BU75" s="618" t="s">
        <v>420</v>
      </c>
      <c r="BV75" s="343"/>
      <c r="BW75" s="619" t="s">
        <v>419</v>
      </c>
      <c r="BX75" s="620" t="s">
        <v>420</v>
      </c>
      <c r="BZ75" s="617" t="s">
        <v>420</v>
      </c>
      <c r="CA75" s="618" t="s">
        <v>419</v>
      </c>
      <c r="CB75" s="343"/>
      <c r="CC75" s="619" t="s">
        <v>420</v>
      </c>
      <c r="CD75" s="618" t="s">
        <v>419</v>
      </c>
      <c r="CE75" s="343"/>
      <c r="CF75" s="619" t="s">
        <v>420</v>
      </c>
      <c r="CG75" s="620" t="s">
        <v>419</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Dividends Payable</v>
      </c>
      <c r="C77" s="135">
        <f ca="1">_xlfn.IFNA(_xlfn.XLOOKUP(B77,$AF$59:$AF$139,$AN$59:$AN$139,0),0)</f>
        <v>0</v>
      </c>
      <c r="D77" s="136">
        <f ca="1">_xlfn.IFNA(_xlfn.XLOOKUP(B77,$AF$59:$AF$139,$AO$59:$AO$139,0),"")</f>
        <v>0</v>
      </c>
      <c r="F77" s="593" t="s">
        <v>405</v>
      </c>
      <c r="G77" s="334">
        <f ca="1">IF((K77-L77)-(C77-D77)-SUM(G78:G80)+SUM(H78:H80)&gt;0,(K77-L77)-(C77-D77)-SUM(G78:G80)+SUM(H78:H80),0)</f>
        <v>0</v>
      </c>
      <c r="H77" s="330">
        <f ca="1">IF((K77-L77)-(C77-D77)-SUM(G78:G80)+SUM(H78:H80)&lt;0,-((K77-L77)-(C77-D77)-SUM(G78:G80)+SUM(H78:H80)),0)</f>
        <v>0</v>
      </c>
      <c r="I77" s="593" t="s">
        <v>405</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1.87</v>
      </c>
      <c r="AB79" s="344">
        <f ca="1">SUMIF(Journal[Credit Account],B73,Journal[Cr Amt])</f>
        <v>1.87</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Notes Payable</v>
      </c>
      <c r="C81" s="135">
        <f ca="1">_xlfn.IFNA(_xlfn.XLOOKUP(B81,$AF$59:$AF$139,$AN$59:$AN$139,0),0)</f>
        <v>0</v>
      </c>
      <c r="D81" s="136">
        <f ca="1">_xlfn.IFNA(_xlfn.XLOOKUP(B81,$AF$59:$AF$139,$AO$59:$AO$139,0),"")</f>
        <v>0</v>
      </c>
      <c r="F81" s="593" t="s">
        <v>405</v>
      </c>
      <c r="G81" s="334">
        <f ca="1">IF((K81-L81)-(C81-D81)-SUM(G82:G84)+SUM(H82:H84)&gt;0,(K81-L81)-(C81-D81)-SUM(G82:G84)+SUM(H82:H84),0)</f>
        <v>0</v>
      </c>
      <c r="H81" s="330">
        <f ca="1">IF((K81-L81)-(C81-D81)-SUM(G82:G84)+SUM(H82:H84)&lt;0,-((K81-L81)-(C81-D81)-SUM(G82:G84)+SUM(H82:H84)),0)</f>
        <v>20</v>
      </c>
      <c r="I81" s="593" t="s">
        <v>405</v>
      </c>
      <c r="J81" s="153"/>
      <c r="K81" s="135">
        <f ca="1">IF(AC87&gt;0,AC87,0)</f>
        <v>0</v>
      </c>
      <c r="L81" s="136">
        <f ca="1">IF(AD87&gt;0,AD87,0)</f>
        <v>20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0.05</v>
      </c>
      <c r="AB83" s="344">
        <f ca="1">SUMIF(Journal[Credit Account],B77,Journal[Cr Amt])</f>
        <v>0.05</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Equities</v>
      </c>
      <c r="C85" s="135">
        <f ca="1">_xlfn.IFNA(_xlfn.XLOOKUP(B85,$AF$59:$AF$139,$AN$59:$AN$139,0),0)</f>
        <v>0</v>
      </c>
      <c r="D85" s="136">
        <f ca="1">_xlfn.IFNA(_xlfn.XLOOKUP(B85,$AF$59:$AF$139,$AO$59:$AO$139,0),"")</f>
        <v>0</v>
      </c>
      <c r="F85" s="593" t="s">
        <v>405</v>
      </c>
      <c r="G85" s="334">
        <f ca="1">IF((K85-L85)-(C85-D85)-SUM(G86:G88)+SUM(H86:H88)&gt;0,(K85-L85)-(C85-D85)-SUM(G86:G88)+SUM(H86:H88),0)</f>
        <v>0</v>
      </c>
      <c r="H85" s="330">
        <f ca="1">IF((K85-L85)-(C85-D85)-SUM(G86:G88)+SUM(H86:H88)&lt;0,-((K85-L85)-(C85-D85)-SUM(G86:G88)+SUM(H86:H88)),0)</f>
        <v>0</v>
      </c>
      <c r="I85" s="593" t="s">
        <v>405</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20</v>
      </c>
      <c r="AC87" s="339">
        <f ca="1">C81-D81+AA87-AB87</f>
        <v>-20</v>
      </c>
      <c r="AD87" s="339">
        <f ca="1">D81-C81+AB87-AA87</f>
        <v>20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Common Stock</v>
      </c>
      <c r="C89" s="135">
        <f ca="1">_xlfn.IFNA(_xlfn.XLOOKUP(B89,$AF$59:$AF$139,$AN$59:$AN$139,0),0)</f>
        <v>0</v>
      </c>
      <c r="D89" s="136">
        <f ca="1">_xlfn.IFNA(_xlfn.XLOOKUP(B89,$AF$59:$AF$139,$AO$59:$AO$139,0),"")</f>
        <v>0</v>
      </c>
      <c r="F89" s="593" t="s">
        <v>405</v>
      </c>
      <c r="G89" s="334">
        <f ca="1">IF((K89-L89)-(C89-D89)-SUM(G90:G92)+SUM(H90:H92)&gt;0,(K89-L89)-(C89-D89)-SUM(G90:G92)+SUM(H90:H92),0)</f>
        <v>0</v>
      </c>
      <c r="H89" s="330">
        <f ca="1">IF((K89-L89)-(C89-D89)-SUM(G90:G92)+SUM(H90:H92)&lt;0,-((K89-L89)-(C89-D89)-SUM(G90:G92)+SUM(H90:H92)),0)</f>
        <v>3</v>
      </c>
      <c r="I89" s="593" t="s">
        <v>405</v>
      </c>
      <c r="J89" s="153"/>
      <c r="K89" s="135">
        <f ca="1">IF(AC95&gt;0,AC95,0)</f>
        <v>0</v>
      </c>
      <c r="L89" s="136">
        <f ca="1">IF(AD95&gt;0,AD95,0)</f>
        <v>3</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Retained Earnings</v>
      </c>
      <c r="C93" s="135">
        <f ca="1">_xlfn.IFNA(_xlfn.XLOOKUP(B93,$AF$59:$AF$139,$AN$59:$AN$139,0),0)</f>
        <v>0</v>
      </c>
      <c r="D93" s="136">
        <f ca="1">_xlfn.IFNA(_xlfn.XLOOKUP(B93,$AF$59:$AF$139,$AO$59:$AO$139,0),"")</f>
        <v>0</v>
      </c>
      <c r="F93" s="593" t="s">
        <v>405</v>
      </c>
      <c r="G93" s="334">
        <f ca="1">IF((K93-L93)-(C93-D93)-SUM(G94:G96)+SUM(H94:H96)&gt;0,(K93-L93)-(C93-D93)-SUM(G94:G96)+SUM(H94:H96),0)</f>
        <v>0</v>
      </c>
      <c r="H93" s="330">
        <f ca="1">IF((K93-L93)-(C93-D93)-SUM(G94:G96)+SUM(H94:H96)&lt;0,-((K93-L93)-(C93-D93)-SUM(G94:G96)+SUM(H94:H96)),0)</f>
        <v>1.88</v>
      </c>
      <c r="I93" s="593" t="s">
        <v>405</v>
      </c>
      <c r="J93" s="153"/>
      <c r="K93" s="135">
        <f ca="1">IF(AC99&gt;0,AC99,0)</f>
        <v>0</v>
      </c>
      <c r="L93" s="136">
        <f ca="1">IF(AD99&gt;0,AD99,0)</f>
        <v>1.88</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3</v>
      </c>
      <c r="AC95" s="339">
        <f ca="1">C89-D89+AA95-AB95</f>
        <v>-3</v>
      </c>
      <c r="AD95" s="339">
        <f ca="1">D89-C89+AB95-AA95</f>
        <v>3</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
      </c>
      <c r="C97" s="135">
        <f ca="1">_xlfn.IFNA(_xlfn.XLOOKUP(B97,$AF$59:$AF$139,$AN$59:$AN$139,0),0)</f>
        <v>0</v>
      </c>
      <c r="D97" s="136">
        <f ca="1">_xlfn.IFNA(_xlfn.XLOOKUP(B97,$AF$59:$AF$139,$AO$59:$AO$139,0),"")</f>
        <v>0</v>
      </c>
      <c r="F97" s="593" t="s">
        <v>405</v>
      </c>
      <c r="G97" s="334">
        <f ca="1">IF((K97-L97)-(C97-D97)-SUM(G98:G100)+SUM(H98:H100)&gt;0,(K97-L97)-(C97-D97)-SUM(G98:G100)+SUM(H98:H100),0)</f>
        <v>0</v>
      </c>
      <c r="H97" s="330">
        <f ca="1">IF((K97-L97)-(C97-D97)-SUM(G98:G100)+SUM(H98:H100)&lt;0,-((K97-L97)-(C97-D97)-SUM(G98:G100)+SUM(H98:H100)),0)</f>
        <v>0</v>
      </c>
      <c r="I97" s="593" t="s">
        <v>405</v>
      </c>
      <c r="J97" s="153"/>
      <c r="K97" s="135">
        <f ca="1">IF(AC103&gt;0,AC103,0)</f>
        <v>0</v>
      </c>
      <c r="L97" s="136">
        <f ca="1">IF(AD103&gt;0,AD103,0)</f>
        <v>0</v>
      </c>
      <c r="N97" s="632"/>
      <c r="P97" s="123" t="b">
        <f ca="1">NOT(B97="")</f>
        <v>0</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0</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0</v>
      </c>
      <c r="Q99" s="623"/>
      <c r="R99" s="623"/>
      <c r="S99" s="622"/>
      <c r="W99" s="340">
        <f ca="1">IF(B93&lt;&gt;"",1,0)</f>
        <v>1</v>
      </c>
      <c r="X99" s="340"/>
      <c r="Y99" s="340"/>
      <c r="Z99" s="340"/>
      <c r="AA99" s="344">
        <f ca="1">SUMIF(Journal[Debit Account],B93,Journal[Dr Amt])</f>
        <v>0.05</v>
      </c>
      <c r="AB99" s="344">
        <f ca="1">SUMIF(Journal[Credit Account],B93,Journal[Cr Amt])</f>
        <v>1.93</v>
      </c>
      <c r="AC99" s="339">
        <f ca="1">C93-D93+AA99-AB99</f>
        <v>-1.88</v>
      </c>
      <c r="AD99" s="339">
        <f ca="1">D93-C93+AB99-AA99</f>
        <v>1.88</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0</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
      </c>
      <c r="C101" s="135">
        <f ca="1">_xlfn.IFNA(_xlfn.XLOOKUP(B101,$AF$59:$AF$139,$AN$59:$AN$139,0),0)</f>
        <v>0</v>
      </c>
      <c r="D101" s="136">
        <f ca="1">_xlfn.IFNA(_xlfn.XLOOKUP(B101,$AF$59:$AF$139,$AO$59:$AO$139,0),"")</f>
        <v>0</v>
      </c>
      <c r="F101" s="593" t="s">
        <v>405</v>
      </c>
      <c r="G101" s="334">
        <f ca="1">IF((K101-L101)-(C101-D101)-SUM(G102:G104)+SUM(H102:H104)&gt;0,(K101-L101)-(C101-D101)-SUM(G102:G104)+SUM(H102:H104),0)</f>
        <v>0</v>
      </c>
      <c r="H101" s="330">
        <f ca="1">IF((K101-L101)-(C101-D101)-SUM(G102:G104)+SUM(H102:H104)&lt;0,-((K101-L101)-(C101-D101)-SUM(G102:G104)+SUM(H102:H104)),0)</f>
        <v>0</v>
      </c>
      <c r="I101" s="593" t="s">
        <v>405</v>
      </c>
      <c r="J101" s="153"/>
      <c r="K101" s="135">
        <f ca="1">IF(AC107&gt;0,AC107,0)</f>
        <v>0</v>
      </c>
      <c r="L101" s="136">
        <f ca="1">IF(AD107&gt;0,AD107,0)</f>
        <v>0</v>
      </c>
      <c r="P101" s="123" t="b">
        <f ca="1">NOT(B101="")</f>
        <v>0</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0</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0</v>
      </c>
      <c r="Q103" s="623"/>
      <c r="R103" s="623"/>
      <c r="S103" s="622"/>
      <c r="W103" s="340">
        <f ca="1">IF(B97&lt;&gt;"",1,0)</f>
        <v>0</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0</v>
      </c>
      <c r="Q104" s="623"/>
      <c r="R104" s="623"/>
      <c r="S104" s="622"/>
      <c r="W104" s="340">
        <f ca="1">IF(B97&lt;&gt;"",1,0)</f>
        <v>0</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
      </c>
      <c r="C105" s="135">
        <f ca="1">_xlfn.IFNA(_xlfn.XLOOKUP(B105,$AF$59:$AF$139,$AN$59:$AN$139,0),0)</f>
        <v>0</v>
      </c>
      <c r="D105" s="136">
        <f ca="1">_xlfn.IFNA(_xlfn.XLOOKUP(B105,$AF$59:$AF$139,$AO$59:$AO$139,0),"")</f>
        <v>0</v>
      </c>
      <c r="F105" s="593" t="s">
        <v>405</v>
      </c>
      <c r="G105" s="334">
        <f ca="1">IF((K105-L105)-(C105-D105)-SUM(G106:G108)+SUM(H106:H108)&gt;0,(K105-L105)-(C105-D105)-SUM(G106:G108)+SUM(H106:H108),0)</f>
        <v>0</v>
      </c>
      <c r="H105" s="330">
        <f ca="1">IF((K105-L105)-(C105-D105)-SUM(G106:G108)+SUM(H106:H108)&lt;0,-((K105-L105)-(C105-D105)-SUM(G106:G108)+SUM(H106:H108)),0)</f>
        <v>0</v>
      </c>
      <c r="I105" s="593" t="s">
        <v>405</v>
      </c>
      <c r="J105" s="153"/>
      <c r="K105" s="135">
        <f ca="1">IF(AC111&gt;0,AC111,0)</f>
        <v>0</v>
      </c>
      <c r="L105" s="136">
        <f ca="1">IF(AD111&gt;0,AD111,0)</f>
        <v>0</v>
      </c>
      <c r="P105" s="123" t="b">
        <f ca="1">NOT(B105="")</f>
        <v>0</v>
      </c>
      <c r="Q105" s="626"/>
      <c r="R105" s="626"/>
      <c r="W105" s="340">
        <f ca="1">IF(B97&lt;&gt;"",1,0)</f>
        <v>0</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0</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0</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0</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405</v>
      </c>
      <c r="G109" s="334">
        <f ca="1">IF((K109-L109)-(C109-D109)-SUM(G110:G112)+SUM(H110:H112)&gt;0,(K109-L109)-(C109-D109)-SUM(G110:G112)+SUM(H110:H112),0)</f>
        <v>0</v>
      </c>
      <c r="H109" s="330">
        <f ca="1">IF((K109-L109)-(C109-D109)-SUM(G110:G112)+SUM(H110:H112)&lt;0,-((K109-L109)-(C109-D109)-SUM(G110:G112)+SUM(H110:H112)),0)</f>
        <v>0</v>
      </c>
      <c r="I109" s="593" t="s">
        <v>405</v>
      </c>
      <c r="J109" s="153"/>
      <c r="K109" s="135">
        <f ca="1">IF(AC115&gt;0,AC115,0)</f>
        <v>0</v>
      </c>
      <c r="L109" s="136">
        <f ca="1">IF(AD115&gt;0,AD115,0)</f>
        <v>0</v>
      </c>
      <c r="P109" s="123" t="b">
        <f ca="1">NOT(B109="")</f>
        <v>0</v>
      </c>
      <c r="Q109" s="626"/>
      <c r="R109" s="626"/>
      <c r="W109" s="340">
        <f ca="1">IF(B101&lt;&gt;"",1,0)</f>
        <v>0</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0</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405</v>
      </c>
      <c r="G113" s="334">
        <f ca="1">IF((K113-L113)-(C113-D113)-SUM(G114:G116)+SUM(H114:H116)&gt;0,(K113-L113)-(C113-D113)-SUM(G114:G116)+SUM(H114:H116),0)</f>
        <v>0</v>
      </c>
      <c r="H113" s="330">
        <f ca="1">IF((K113-L113)-(C113-D113)-SUM(G114:G116)+SUM(H114:H116)&lt;0,-((K113-L113)-(C113-D113)-SUM(G114:G116)+SUM(H114:H116)),0)</f>
        <v>0</v>
      </c>
      <c r="I113" s="593" t="s">
        <v>405</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17.579999999999998</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405</v>
      </c>
      <c r="G117" s="334">
        <f ca="1">IF((K117-L117)-(C117-D117)-SUM(G118:G120)+SUM(H118:H120)&gt;0,(K117-L117)-(C117-D117)-SUM(G118:G120)+SUM(H118:H120),0)</f>
        <v>0</v>
      </c>
      <c r="H117" s="330">
        <f ca="1">IF((K117-L117)-(C117-D117)-SUM(G118:G120)+SUM(H118:H120)&lt;0,-((K117-L117)-(C117-D117)-SUM(G118:G120)+SUM(H118:H120)),0)</f>
        <v>0</v>
      </c>
      <c r="I117" s="593" t="s">
        <v>405</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17.579999999999998</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405</v>
      </c>
      <c r="G121" s="334">
        <f ca="1">IF((K121-L121)-(C121-D121)-SUM(G122:G124)+SUM(H122:H124)&gt;0,(K121-L121)-(C121-D121)-SUM(G122:G124)+SUM(H122:H124),0)</f>
        <v>0</v>
      </c>
      <c r="H121" s="330">
        <f ca="1">IF((K121-L121)-(C121-D121)-SUM(G122:G124)+SUM(H122:H124)&lt;0,-((K121-L121)-(C121-D121)-SUM(G122:G124)+SUM(H122:H124)),0)</f>
        <v>0</v>
      </c>
      <c r="I121" s="593" t="s">
        <v>405</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405</v>
      </c>
      <c r="G125" s="334">
        <f ca="1">IF((K125-L125)-(C125-D125)-SUM(G126:G128)+SUM(H126:H128)&gt;0,(K125-L125)-(C125-D125)-SUM(G126:G128)+SUM(H126:H128),0)</f>
        <v>0</v>
      </c>
      <c r="H125" s="330">
        <f ca="1">IF((K125-L125)-(C125-D125)-SUM(G126:G128)+SUM(H126:H128)&lt;0,-((K125-L125)-(C125-D125)-SUM(G126:G128)+SUM(H126:H128)),0)</f>
        <v>0</v>
      </c>
      <c r="I125" s="593" t="s">
        <v>405</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405</v>
      </c>
      <c r="G129" s="334">
        <f ca="1">IF((K129-L129)-(C129-D129)-SUM(G130:G132)+SUM(H130:H132)&gt;0,(K129-L129)-(C129-D129)-SUM(G130:G132)+SUM(H130:H132),0)</f>
        <v>0</v>
      </c>
      <c r="H129" s="330">
        <f ca="1">IF((K129-L129)-(C129-D129)-SUM(G130:G132)+SUM(H130:H132)&lt;0,-((K129-L129)-(C129-D129)-SUM(G130:G132)+SUM(H130:H132)),0)</f>
        <v>0</v>
      </c>
      <c r="I129" s="593" t="s">
        <v>405</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405</v>
      </c>
      <c r="G133" s="334">
        <f ca="1">IF((K133-L133)-(C133-D133)-SUM(G134:G136)+SUM(H134:H136)&gt;0,(K133-L133)-(C133-D133)-SUM(G134:G136)+SUM(H134:H136),0)</f>
        <v>0</v>
      </c>
      <c r="H133" s="330">
        <f ca="1">IF((K133-L133)-(C133-D133)-SUM(G134:G136)+SUM(H134:H136)&lt;0,-((K133-L133)-(C133-D133)-SUM(G134:G136)+SUM(H134:H136)),0)</f>
        <v>0</v>
      </c>
      <c r="I133" s="593" t="s">
        <v>405</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405</v>
      </c>
      <c r="G137" s="334">
        <f ca="1">IF((K137-L137)-(C137-D137)-SUM(G138:G140)+SUM(H138:H140)&gt;0,(K137-L137)-(C137-D137)-SUM(G138:G140)+SUM(H138:H140),0)</f>
        <v>0</v>
      </c>
      <c r="H137" s="330">
        <f ca="1">IF((K137-L137)-(C137-D137)-SUM(G138:G140)+SUM(H138:H140)&lt;0,-((K137-L137)-(C137-D137)-SUM(G138:G140)+SUM(H138:H140)),0)</f>
        <v>0</v>
      </c>
      <c r="I137" s="593" t="s">
        <v>405</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405</v>
      </c>
      <c r="G141" s="334">
        <f ca="1">IF((K141-L141)-(C141-D141)-SUM(G142:G144)+SUM(H142:H144)&gt;0,(K141-L141)-(C141-D141)-SUM(G142:G144)+SUM(H142:H144),0)</f>
        <v>0</v>
      </c>
      <c r="H141" s="330">
        <f ca="1">IF((K141-L141)-(C141-D141)-SUM(G142:G144)+SUM(H142:H144)&lt;0,-((K141-L141)-(C141-D141)-SUM(G142:G144)+SUM(H142:H144)),0)</f>
        <v>0</v>
      </c>
      <c r="I141" s="593" t="s">
        <v>405</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405</v>
      </c>
      <c r="G145" s="334">
        <f ca="1">IF((K145-L145)-(C145-D145)-SUM(G146:G148)+SUM(H146:H148)&gt;0,(K145-L145)-(C145-D145)-SUM(G146:G148)+SUM(H146:H148),0)</f>
        <v>0</v>
      </c>
      <c r="H145" s="330">
        <f ca="1">IF((K145-L145)-(C145-D145)-SUM(G146:G148)+SUM(H146:H148)&lt;0,-((K145-L145)-(C145-D145)-SUM(G146:G148)+SUM(H146:H148)),0)</f>
        <v>0</v>
      </c>
      <c r="I145" s="593" t="s">
        <v>405</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405</v>
      </c>
      <c r="G149" s="334">
        <f ca="1">IF((K149-L149)-(C149-D149)-SUM(G150:G152)+SUM(H150:H152)&gt;0,(K149-L149)-(C149-D149)-SUM(G150:G152)+SUM(H150:H152),0)</f>
        <v>0</v>
      </c>
      <c r="H149" s="330">
        <f ca="1">IF((K149-L149)-(C149-D149)-SUM(G150:G152)+SUM(H150:H152)&lt;0,-((K149-L149)-(C149-D149)-SUM(G150:G152)+SUM(H150:H152)),0)</f>
        <v>0</v>
      </c>
      <c r="I149" s="593" t="s">
        <v>405</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405</v>
      </c>
      <c r="G153" s="334">
        <f ca="1">IF((K153-L153)-(C153-D153)-SUM(G154:G156)+SUM(H154:H156)&gt;0,(K153-L153)-(C153-D153)-SUM(G154:G156)+SUM(H154:H156),0)</f>
        <v>0</v>
      </c>
      <c r="H153" s="330">
        <f ca="1">IF((K153-L153)-(C153-D153)-SUM(G154:G156)+SUM(H154:H156)&lt;0,-((K153-L153)-(C153-D153)-SUM(G154:G156)+SUM(H154:H156)),0)</f>
        <v>0</v>
      </c>
      <c r="I153" s="593" t="s">
        <v>405</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405</v>
      </c>
      <c r="G157" s="334">
        <f ca="1">IF((K157-L157)-(C157-D157)-SUM(G158:G160)+SUM(H158:H160)&gt;0,(K157-L157)-(C157-D157)-SUM(G158:G160)+SUM(H158:H160),0)</f>
        <v>0</v>
      </c>
      <c r="H157" s="330">
        <f ca="1">IF((K157-L157)-(C157-D157)-SUM(G158:G160)+SUM(H158:H160)&lt;0,-((K157-L157)-(C157-D157)-SUM(G158:G160)+SUM(H158:H160)),0)</f>
        <v>0</v>
      </c>
      <c r="I157" s="593" t="s">
        <v>405</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405</v>
      </c>
      <c r="G161" s="334">
        <f ca="1">IF((K161-L161)-(C161-D161)-SUM(G162:G164)+SUM(H162:H164)&gt;0,(K161-L161)-(C161-D161)-SUM(G162:G164)+SUM(H162:H164),0)</f>
        <v>0</v>
      </c>
      <c r="H161" s="330">
        <f ca="1">IF((K161-L161)-(C161-D161)-SUM(G162:G164)+SUM(H162:H164)&lt;0,-((K161-L161)-(C161-D161)-SUM(G162:G164)+SUM(H162:H164)),0)</f>
        <v>0</v>
      </c>
      <c r="I161" s="593" t="s">
        <v>405</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405</v>
      </c>
      <c r="G165" s="334">
        <f ca="1">IF((K165-L165)-(C165-D165)-SUM(G166:G168)+SUM(H166:H168)&gt;0,(K165-L165)-(C165-D165)-SUM(G166:G168)+SUM(H166:H168),0)</f>
        <v>0</v>
      </c>
      <c r="H165" s="330">
        <f ca="1">IF((K165-L165)-(C165-D165)-SUM(G166:G168)+SUM(H166:H168)&lt;0,-((K165-L165)-(C165-D165)-SUM(G166:G168)+SUM(H166:H168)),0)</f>
        <v>0</v>
      </c>
      <c r="I165" s="593" t="s">
        <v>405</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405</v>
      </c>
      <c r="G169" s="334">
        <f ca="1">IF((K169-L169)-(C169-D169)-SUM(G170:G172)+SUM(H170:H172)&gt;0,(K169-L169)-(C169-D169)-SUM(G170:G172)+SUM(H170:H172),0)</f>
        <v>0</v>
      </c>
      <c r="H169" s="330">
        <f ca="1">IF((K169-L169)-(C169-D169)-SUM(G170:G172)+SUM(H170:H172)&lt;0,-((K169-L169)-(C169-D169)-SUM(G170:G172)+SUM(H170:H172)),0)</f>
        <v>0</v>
      </c>
      <c r="I169" s="593" t="s">
        <v>405</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405</v>
      </c>
      <c r="G173" s="334">
        <f ca="1">IF((K173-L173)-(C173-D173)-SUM(G174:G176)+SUM(H174:H176)&gt;0,(K173-L173)-(C173-D173)-SUM(G174:G176)+SUM(H174:H176),0)</f>
        <v>0</v>
      </c>
      <c r="H173" s="330">
        <f ca="1">IF((K173-L173)-(C173-D173)-SUM(G174:G176)+SUM(H174:H176)&lt;0,-((K173-L173)-(C173-D173)-SUM(G174:G176)+SUM(H174:H176)),0)</f>
        <v>0</v>
      </c>
      <c r="I173" s="593" t="s">
        <v>405</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405</v>
      </c>
      <c r="G177" s="334">
        <f ca="1">IF((K177-L177)-(C177-D177)-SUM(G178:G180)+SUM(H178:H180)&gt;0,(K177-L177)-(C177-D177)-SUM(G178:G180)+SUM(H178:H180),0)</f>
        <v>0</v>
      </c>
      <c r="H177" s="330">
        <f ca="1">IF((K177-L177)-(C177-D177)-SUM(G178:G180)+SUM(H178:H180)&lt;0,-((K177-L177)-(C177-D177)-SUM(G178:G180)+SUM(H178:H180)),0)</f>
        <v>0</v>
      </c>
      <c r="I177" s="593" t="s">
        <v>405</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405</v>
      </c>
      <c r="G181" s="334">
        <f ca="1">IF((K181-L181)-(C181-D181)-SUM(G182:G184)+SUM(H182:H184)&gt;0,(K181-L181)-(C181-D181)-SUM(G182:G184)+SUM(H182:H184),0)</f>
        <v>0</v>
      </c>
      <c r="H181" s="330">
        <f ca="1">IF((K181-L181)-(C181-D181)-SUM(G182:G184)+SUM(H182:H184)&lt;0,-((K181-L181)-(C181-D181)-SUM(G182:G184)+SUM(H182:H184)),0)</f>
        <v>0</v>
      </c>
      <c r="I181" s="593" t="s">
        <v>405</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405</v>
      </c>
      <c r="G185" s="334">
        <f ca="1">IF((K185-L185)-(C185-D185)-SUM(G186:G188)+SUM(H186:H188)&gt;0,(K185-L185)-(C185-D185)-SUM(G186:G188)+SUM(H186:H188),0)</f>
        <v>0</v>
      </c>
      <c r="H185" s="330">
        <f ca="1">IF((K185-L185)-(C185-D185)-SUM(G186:G188)+SUM(H186:H188)&lt;0,-((K185-L185)-(C185-D185)-SUM(G186:G188)+SUM(H186:H188)),0)</f>
        <v>0</v>
      </c>
      <c r="I185" s="593" t="s">
        <v>405</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405</v>
      </c>
      <c r="G189" s="334">
        <f ca="1">IF((K189-L189)-(C189-D189)-SUM(G190:G192)+SUM(H190:H192)&gt;0,(K189-L189)-(C189-D189)-SUM(G190:G192)+SUM(H190:H192),0)</f>
        <v>0</v>
      </c>
      <c r="H189" s="330">
        <f ca="1">IF((K189-L189)-(C189-D189)-SUM(G190:G192)+SUM(H190:H192)&lt;0,-((K189-L189)-(C189-D189)-SUM(G190:G192)+SUM(H190:H192)),0)</f>
        <v>0</v>
      </c>
      <c r="I189" s="593" t="s">
        <v>405</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405</v>
      </c>
      <c r="G193" s="334">
        <f ca="1">IF((K193-L193)-(C193-D193)-SUM(G194:G196)+SUM(H194:H196)&gt;0,(K193-L193)-(C193-D193)-SUM(G194:G196)+SUM(H194:H196),0)</f>
        <v>0</v>
      </c>
      <c r="H193" s="330">
        <f ca="1">IF((K193-L193)-(C193-D193)-SUM(G194:G196)+SUM(H194:H196)&lt;0,-((K193-L193)-(C193-D193)-SUM(G194:G196)+SUM(H194:H196)),0)</f>
        <v>0</v>
      </c>
      <c r="I193" s="593" t="s">
        <v>405</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405</v>
      </c>
      <c r="G197" s="334">
        <f ca="1">IF((K197-L197)-(C197-D197)-SUM(G198:G200)+SUM(H198:H200)&gt;0,(K197-L197)-(C197-D197)-SUM(G198:G200)+SUM(H198:H200),0)</f>
        <v>0</v>
      </c>
      <c r="H197" s="330">
        <f ca="1">IF((K197-L197)-(C197-D197)-SUM(G198:G200)+SUM(H198:H200)&lt;0,-((K197-L197)-(C197-D197)-SUM(G198:G200)+SUM(H198:H200)),0)</f>
        <v>0</v>
      </c>
      <c r="I197" s="593" t="s">
        <v>405</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405</v>
      </c>
      <c r="G201" s="334">
        <f ca="1">IF((K201-L201)-(C201-D201)-SUM(G202:G204)+SUM(H202:H204)&gt;0,(K201-L201)-(C201-D201)-SUM(G202:G204)+SUM(H202:H204),0)</f>
        <v>0</v>
      </c>
      <c r="H201" s="330">
        <f ca="1">IF((K201-L201)-(C201-D201)-SUM(G202:G204)+SUM(H202:H204)&lt;0,-((K201-L201)-(C201-D201)-SUM(G202:G204)+SUM(H202:H204)),0)</f>
        <v>0</v>
      </c>
      <c r="I201" s="593" t="s">
        <v>405</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405</v>
      </c>
      <c r="G205" s="334">
        <f ca="1">IF((K205-L205)-(C205-D205)-SUM(G206:G208)+SUM(H206:H208)&gt;0,(K205-L205)-(C205-D205)-SUM(G206:G208)+SUM(H206:H208),0)</f>
        <v>0</v>
      </c>
      <c r="H205" s="330">
        <f ca="1">IF((K205-L205)-(C205-D205)-SUM(G206:G208)+SUM(H206:H208)&lt;0,-((K205-L205)-(C205-D205)-SUM(G206:G208)+SUM(H206:H208)),0)</f>
        <v>0</v>
      </c>
      <c r="I205" s="593" t="s">
        <v>405</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405</v>
      </c>
      <c r="G209" s="334">
        <f ca="1">IF((K209-L209)-(C209-D209)-SUM(G210:G212)+SUM(H210:H212)&gt;0,(K209-L209)-(C209-D209)-SUM(G210:G212)+SUM(H210:H212),0)</f>
        <v>0</v>
      </c>
      <c r="H209" s="330">
        <f ca="1">IF((K209-L209)-(C209-D209)-SUM(G210:G212)+SUM(H210:H212)&lt;0,-((K209-L209)-(C209-D209)-SUM(G210:G212)+SUM(H210:H212)),0)</f>
        <v>0</v>
      </c>
      <c r="I209" s="593" t="s">
        <v>405</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405</v>
      </c>
      <c r="G213" s="334">
        <f ca="1">IF((K213-L213)-(C213-D213)-SUM(G214:G216)+SUM(H214:H216)&gt;0,(K213-L213)-(C213-D213)-SUM(G214:G216)+SUM(H214:H216),0)</f>
        <v>0</v>
      </c>
      <c r="H213" s="330">
        <f ca="1">IF((K213-L213)-(C213-D213)-SUM(G214:G216)+SUM(H214:H216)&lt;0,-((K213-L213)-(C213-D213)-SUM(G214:G216)+SUM(H214:H216)),0)</f>
        <v>0</v>
      </c>
      <c r="I213" s="593" t="s">
        <v>405</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405</v>
      </c>
      <c r="G217" s="334">
        <f ca="1">IF((K217-L217)-(C217-D217)-SUM(G218:G220)+SUM(H218:H220)&gt;0,(K217-L217)-(C217-D217)-SUM(G218:G220)+SUM(H218:H220),0)</f>
        <v>0</v>
      </c>
      <c r="H217" s="330">
        <f ca="1">IF((K217-L217)-(C217-D217)-SUM(G218:G220)+SUM(H218:H220)&lt;0,-((K217-L217)-(C217-D217)-SUM(G218:G220)+SUM(H218:H220)),0)</f>
        <v>0</v>
      </c>
      <c r="I217" s="593" t="s">
        <v>405</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405</v>
      </c>
      <c r="G221" s="334">
        <f ca="1">IF((K221-L221)-(C221-D221)-SUM(G222:G224)+SUM(H222:H224)&gt;0,(K221-L221)-(C221-D221)-SUM(G222:G224)+SUM(H222:H224),0)</f>
        <v>0</v>
      </c>
      <c r="H221" s="330">
        <f ca="1">IF((K221-L221)-(C221-D221)-SUM(G222:G224)+SUM(H222:H224)&lt;0,-((K221-L221)-(C221-D221)-SUM(G222:G224)+SUM(H222:H224)),0)</f>
        <v>0</v>
      </c>
      <c r="I221" s="593" t="s">
        <v>405</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405</v>
      </c>
      <c r="G225" s="334">
        <f ca="1">IF((K225-L225)-(C225-D225)-SUM(G226:G228)+SUM(H226:H228)&gt;0,(K225-L225)-(C225-D225)-SUM(G226:G228)+SUM(H226:H228),0)</f>
        <v>0</v>
      </c>
      <c r="H225" s="330">
        <f ca="1">IF((K225-L225)-(C225-D225)-SUM(G226:G228)+SUM(H226:H228)&lt;0,-((K225-L225)-(C225-D225)-SUM(G226:G228)+SUM(H226:H228)),0)</f>
        <v>0</v>
      </c>
      <c r="I225" s="593" t="s">
        <v>405</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405</v>
      </c>
      <c r="G229" s="334">
        <f ca="1">IF((K229-L229)-(C229-D229)-SUM(G230:G232)+SUM(H230:H232)&gt;0,(K229-L229)-(C229-D229)-SUM(G230:G232)+SUM(H230:H232),0)</f>
        <v>0</v>
      </c>
      <c r="H229" s="330">
        <f ca="1">IF((K229-L229)-(C229-D229)-SUM(G230:G232)+SUM(H230:H232)&lt;0,-((K229-L229)-(C229-D229)-SUM(G230:G232)+SUM(H230:H232)),0)</f>
        <v>0</v>
      </c>
      <c r="I229" s="593" t="s">
        <v>405</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405</v>
      </c>
      <c r="G233" s="334">
        <f ca="1">IF((K233-L233)-(C233-D233)-SUM(G234:G236)+SUM(H234:H236)&gt;0,(K233-L233)-(C233-D233)-SUM(G234:G236)+SUM(H234:H236),0)</f>
        <v>0</v>
      </c>
      <c r="H233" s="330">
        <f ca="1">IF((K233-L233)-(C233-D233)-SUM(G234:G236)+SUM(H234:H236)&lt;0,-((K233-L233)-(C233-D233)-SUM(G234:G236)+SUM(H234:H236)),0)</f>
        <v>0</v>
      </c>
      <c r="I233" s="593" t="s">
        <v>405</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405</v>
      </c>
      <c r="G237" s="334">
        <f ca="1">IF((K237-L237)-(C237-D237)-SUM(G238:G240)+SUM(H238:H240)&gt;0,(K237-L237)-(C237-D237)-SUM(G238:G240)+SUM(H238:H240),0)</f>
        <v>0</v>
      </c>
      <c r="H237" s="330">
        <f ca="1">IF((K237-L237)-(C237-D237)-SUM(G238:G240)+SUM(H238:H240)&lt;0,-((K237-L237)-(C237-D237)-SUM(G238:G240)+SUM(H238:H240)),0)</f>
        <v>0</v>
      </c>
      <c r="I237" s="593" t="s">
        <v>405</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G49" sqref="G49"/>
    </sheetView>
  </sheetViews>
  <sheetFormatPr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c r="B1" s="17" t="s">
        <v>424</v>
      </c>
      <c r="C1" s="18"/>
      <c r="D1" s="18"/>
      <c r="E1" s="18"/>
      <c r="F1" s="18"/>
      <c r="G1" s="18"/>
      <c r="H1" s="18"/>
      <c r="I1" s="18"/>
      <c r="J1" s="18"/>
      <c r="K1" s="18"/>
      <c r="L1" s="18"/>
      <c r="M1" s="18"/>
      <c r="N1" s="18"/>
    </row>
    <row r="2" spans="2:14" ht="15.75" outlineLevel="1" thickBot="1"/>
    <row r="3" spans="2:14" ht="15.75" outlineLevel="1" thickBot="1">
      <c r="D3" s="264" t="s">
        <v>82</v>
      </c>
      <c r="E3" s="507" t="s">
        <v>425</v>
      </c>
    </row>
    <row r="4" spans="2:14" ht="15.75" outlineLevel="1" thickBot="1">
      <c r="D4" s="508" t="s">
        <v>426</v>
      </c>
      <c r="E4" s="648" t="b">
        <v>1</v>
      </c>
    </row>
    <row r="5" spans="2:14" outlineLevel="1">
      <c r="D5" s="508" t="s">
        <v>427</v>
      </c>
      <c r="E5" s="648" t="b">
        <v>0</v>
      </c>
    </row>
    <row r="6" spans="2:14" outlineLevel="1">
      <c r="D6" s="500" t="s">
        <v>85</v>
      </c>
      <c r="E6" s="649" t="b">
        <v>0</v>
      </c>
    </row>
    <row r="7" spans="2:14" outlineLevel="1">
      <c r="D7" s="500" t="s">
        <v>86</v>
      </c>
      <c r="E7" s="649" t="b">
        <v>0</v>
      </c>
    </row>
    <row r="8" spans="2:14" outlineLevel="1">
      <c r="D8" s="500" t="s">
        <v>87</v>
      </c>
      <c r="E8" s="649" t="b">
        <v>0</v>
      </c>
    </row>
    <row r="9" spans="2:14" ht="15.75" outlineLevel="1" thickBot="1">
      <c r="D9" s="509" t="s">
        <v>92</v>
      </c>
      <c r="E9" s="650" t="b">
        <v>0</v>
      </c>
    </row>
    <row r="10" spans="2:14" outlineLevel="1">
      <c r="D10" s="500" t="s">
        <v>108</v>
      </c>
      <c r="E10" s="649" t="b">
        <v>1</v>
      </c>
    </row>
    <row r="11" spans="2:14" outlineLevel="1">
      <c r="D11" s="501" t="s">
        <v>88</v>
      </c>
      <c r="E11" s="649" t="b">
        <v>1</v>
      </c>
    </row>
    <row r="12" spans="2:14" outlineLevel="1">
      <c r="D12" s="500" t="s">
        <v>163</v>
      </c>
      <c r="E12" s="649" t="b">
        <v>0</v>
      </c>
    </row>
    <row r="13" spans="2:14" outlineLevel="1">
      <c r="D13" s="501" t="s">
        <v>89</v>
      </c>
      <c r="E13" s="649" t="b">
        <v>1</v>
      </c>
    </row>
    <row r="14" spans="2:14" outlineLevel="1">
      <c r="D14" s="501" t="s">
        <v>90</v>
      </c>
      <c r="E14" s="649" t="b">
        <v>0</v>
      </c>
    </row>
    <row r="15" spans="2:14" outlineLevel="1">
      <c r="D15" s="501" t="s">
        <v>155</v>
      </c>
      <c r="E15" s="649" t="b">
        <v>0</v>
      </c>
    </row>
    <row r="16" spans="2:14" outlineLevel="1">
      <c r="D16" s="501" t="s">
        <v>128</v>
      </c>
      <c r="E16" s="649" t="b">
        <v>0</v>
      </c>
    </row>
    <row r="17" spans="4:8" ht="15.75" outlineLevel="1" thickBot="1">
      <c r="D17" s="502" t="s">
        <v>91</v>
      </c>
      <c r="E17" s="650" t="b">
        <v>1</v>
      </c>
      <c r="F17" s="267"/>
      <c r="G17" s="309"/>
    </row>
    <row r="18" spans="4:8" outlineLevel="1">
      <c r="D18" s="267"/>
      <c r="E18" s="267"/>
      <c r="F18" s="267"/>
      <c r="G18" s="309"/>
    </row>
    <row r="19" spans="4:8" outlineLevel="1">
      <c r="D19" s="499" t="s">
        <v>428</v>
      </c>
      <c r="E19" s="499" t="s">
        <v>429</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58" t="s">
        <v>430</v>
      </c>
      <c r="E26" s="658"/>
      <c r="F26" s="658"/>
      <c r="G26" s="658"/>
    </row>
    <row r="27" spans="4:8" outlineLevel="1">
      <c r="D27" s="311">
        <v>1</v>
      </c>
      <c r="E27" s="796" t="s">
        <v>431</v>
      </c>
      <c r="F27" s="797"/>
      <c r="G27" s="798"/>
      <c r="H27" s="538">
        <v>1</v>
      </c>
    </row>
    <row r="28" spans="4:8" outlineLevel="1">
      <c r="D28" s="312">
        <v>2</v>
      </c>
      <c r="E28" s="796" t="s">
        <v>432</v>
      </c>
      <c r="F28" s="797"/>
      <c r="G28" s="798"/>
      <c r="H28" s="538">
        <v>1</v>
      </c>
    </row>
    <row r="29" spans="4:8" outlineLevel="1">
      <c r="D29" s="311">
        <v>3</v>
      </c>
      <c r="E29" s="796" t="s">
        <v>433</v>
      </c>
      <c r="F29" s="797"/>
      <c r="G29" s="798"/>
      <c r="H29" s="538">
        <v>1</v>
      </c>
    </row>
    <row r="30" spans="4:8" outlineLevel="1">
      <c r="D30" s="312">
        <v>4</v>
      </c>
      <c r="E30" s="796" t="s">
        <v>434</v>
      </c>
      <c r="F30" s="797"/>
      <c r="G30" s="798"/>
      <c r="H30" s="538">
        <v>1</v>
      </c>
    </row>
    <row r="31" spans="4:8" outlineLevel="1">
      <c r="D31" s="311">
        <v>5</v>
      </c>
      <c r="E31" s="796" t="s">
        <v>435</v>
      </c>
      <c r="F31" s="797"/>
      <c r="G31" s="798"/>
      <c r="H31" s="538">
        <v>1</v>
      </c>
    </row>
    <row r="32" spans="4:8" outlineLevel="1">
      <c r="D32" s="40"/>
      <c r="E32" s="314"/>
      <c r="F32" s="314"/>
    </row>
    <row r="33" spans="4:6" outlineLevel="1">
      <c r="D33" s="658" t="s">
        <v>436</v>
      </c>
      <c r="E33" s="658"/>
      <c r="F33" s="658"/>
    </row>
    <row r="34" spans="4:6" outlineLevel="1">
      <c r="D34" s="399" t="s">
        <v>82</v>
      </c>
      <c r="E34" s="399" t="s">
        <v>437</v>
      </c>
      <c r="F34" s="399" t="s">
        <v>438</v>
      </c>
    </row>
    <row r="35" spans="4:6" outlineLevel="1">
      <c r="D35" s="315" t="s">
        <v>35</v>
      </c>
      <c r="E35" s="651" t="s">
        <v>439</v>
      </c>
      <c r="F35" s="652" t="s">
        <v>440</v>
      </c>
    </row>
    <row r="36" spans="4:6" outlineLevel="1">
      <c r="D36" s="315" t="s">
        <v>312</v>
      </c>
      <c r="E36" s="651" t="s">
        <v>441</v>
      </c>
      <c r="F36" s="652" t="s">
        <v>440</v>
      </c>
    </row>
    <row r="37" spans="4:6" outlineLevel="1">
      <c r="D37" s="315" t="s">
        <v>108</v>
      </c>
      <c r="E37" s="651" t="s">
        <v>442</v>
      </c>
      <c r="F37" s="652" t="s">
        <v>443</v>
      </c>
    </row>
    <row r="38" spans="4:6" outlineLevel="1">
      <c r="D38" s="315" t="s">
        <v>444</v>
      </c>
      <c r="E38" s="651" t="s">
        <v>445</v>
      </c>
      <c r="F38" s="652" t="s">
        <v>443</v>
      </c>
    </row>
    <row r="39" spans="4:6" outlineLevel="1">
      <c r="D39" s="315" t="s">
        <v>446</v>
      </c>
      <c r="E39" s="651" t="s">
        <v>445</v>
      </c>
      <c r="F39" s="652" t="s">
        <v>443</v>
      </c>
    </row>
    <row r="40" spans="4:6" outlineLevel="1">
      <c r="D40" s="315" t="s">
        <v>91</v>
      </c>
      <c r="E40" s="651" t="s">
        <v>442</v>
      </c>
      <c r="F40" s="652" t="s">
        <v>443</v>
      </c>
    </row>
    <row r="41" spans="4:6" outlineLevel="1">
      <c r="D41" s="315" t="s">
        <v>88</v>
      </c>
      <c r="E41" s="651" t="s">
        <v>442</v>
      </c>
      <c r="F41" s="652" t="s">
        <v>443</v>
      </c>
    </row>
    <row r="42" spans="4:6" outlineLevel="1">
      <c r="D42" s="315" t="s">
        <v>163</v>
      </c>
      <c r="E42" s="651" t="s">
        <v>442</v>
      </c>
      <c r="F42" s="652" t="s">
        <v>447</v>
      </c>
    </row>
    <row r="43" spans="4:6" outlineLevel="1">
      <c r="D43" s="315" t="s">
        <v>180</v>
      </c>
      <c r="E43" s="651" t="s">
        <v>442</v>
      </c>
      <c r="F43" s="652" t="s">
        <v>443</v>
      </c>
    </row>
    <row r="44" spans="4:6" outlineLevel="1">
      <c r="D44" s="315" t="s">
        <v>448</v>
      </c>
      <c r="E44" s="651" t="s">
        <v>445</v>
      </c>
      <c r="F44" s="652" t="s">
        <v>447</v>
      </c>
    </row>
    <row r="45" spans="4:6" outlineLevel="1">
      <c r="D45" s="315" t="s">
        <v>449</v>
      </c>
      <c r="E45" s="651" t="s">
        <v>442</v>
      </c>
      <c r="F45" s="652" t="s">
        <v>447</v>
      </c>
    </row>
    <row r="46" spans="4:6" outlineLevel="1">
      <c r="D46" s="315" t="s">
        <v>450</v>
      </c>
      <c r="E46" s="651" t="s">
        <v>451</v>
      </c>
      <c r="F46" s="652" t="s">
        <v>447</v>
      </c>
    </row>
    <row r="47" spans="4:6" outlineLevel="1">
      <c r="D47" s="315" t="s">
        <v>452</v>
      </c>
      <c r="E47" s="651" t="s">
        <v>442</v>
      </c>
      <c r="F47" s="652" t="s">
        <v>447</v>
      </c>
    </row>
    <row r="48" spans="4:6" outlineLevel="1">
      <c r="D48" s="315" t="s">
        <v>453</v>
      </c>
      <c r="E48" s="651" t="s">
        <v>442</v>
      </c>
      <c r="F48" s="652" t="s">
        <v>447</v>
      </c>
    </row>
    <row r="49" spans="2:14" outlineLevel="1">
      <c r="D49" s="315" t="s">
        <v>454</v>
      </c>
      <c r="E49" s="651" t="s">
        <v>442</v>
      </c>
      <c r="F49" s="652" t="s">
        <v>447</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25">
      <c r="B58" s="17" t="s">
        <v>455</v>
      </c>
      <c r="C58" s="18"/>
      <c r="D58" s="18"/>
      <c r="E58" s="18"/>
      <c r="F58" s="18"/>
      <c r="G58" s="18"/>
      <c r="H58" s="18"/>
      <c r="I58" s="18"/>
      <c r="J58" s="18"/>
      <c r="K58" s="18"/>
      <c r="L58" s="18"/>
      <c r="M58" s="18"/>
      <c r="N58" s="18"/>
    </row>
    <row r="59" spans="2:14" hidden="1" outlineLevel="1"/>
    <row r="60" spans="2:14" hidden="1" outlineLevel="1">
      <c r="D60" s="463" t="s">
        <v>455</v>
      </c>
      <c r="E60" s="463"/>
    </row>
    <row r="61" spans="2:14" hidden="1" outlineLevel="1">
      <c r="D61" s="406" t="s">
        <v>2</v>
      </c>
      <c r="E61" s="653" t="s">
        <v>456</v>
      </c>
    </row>
    <row r="62" spans="2:14" hidden="1" outlineLevel="1">
      <c r="D62" s="315" t="s">
        <v>457</v>
      </c>
      <c r="E62" s="653" t="str">
        <f>_xlfn.IFNA(_xlfn.XLOOKUP(Entity,Entities[Name],Entities[Type]),"")</f>
        <v>For-profit corporation</v>
      </c>
    </row>
    <row r="63" spans="2:14" hidden="1" outlineLevel="1">
      <c r="D63" s="406" t="s">
        <v>458</v>
      </c>
      <c r="E63" s="653" t="str">
        <f>_xlfn.IFNA(_xlfn.XLOOKUP(Entity,Entities[Name],Entities[Activity]),"")</f>
        <v>Retail</v>
      </c>
    </row>
    <row r="64" spans="2:14" hidden="1" outlineLevel="1">
      <c r="D64" s="315" t="s">
        <v>459</v>
      </c>
      <c r="E64" s="653" t="str">
        <f>_xlfn.IFNA(_xlfn.XLOOKUP(Entity,Entities[Name],Entities[Begin Date]),"")</f>
        <v>12/31/20x3</v>
      </c>
    </row>
    <row r="65" spans="2:41" hidden="1" outlineLevel="1">
      <c r="D65" s="406" t="s">
        <v>460</v>
      </c>
      <c r="E65" s="653" t="str">
        <f>_xlfn.IFNA(_xlfn.XLOOKUP(Entity,Entities[Name],Entities[End Date]),"")</f>
        <v>12/31/20x4</v>
      </c>
    </row>
    <row r="66" spans="2:41" hidden="1" outlineLevel="1">
      <c r="D66" s="406" t="s">
        <v>461</v>
      </c>
      <c r="E66" s="653" t="str">
        <f>_xlfn.IFNA(_xlfn.XLOOKUP(Entity,Entities[Name],Entities[IssueDate]),"")</f>
        <v>3/31/20x5</v>
      </c>
    </row>
    <row r="67" spans="2:41" hidden="1" outlineLevel="1">
      <c r="D67" s="315" t="s">
        <v>92</v>
      </c>
      <c r="E67" s="653" t="str">
        <f>_xlfn.IFNA(_xlfn.XLOOKUP(Entity,Entities[Name],Entities[Period]),"")</f>
        <v>Year</v>
      </c>
    </row>
    <row r="68" spans="2:41" hidden="1" outlineLevel="1">
      <c r="D68" s="406" t="s">
        <v>85</v>
      </c>
      <c r="E68" s="653" t="str">
        <f>_xlfn.IFNA(_xlfn.XLOOKUP(Entity,Entities[Name],Entities[Units]),"")</f>
        <v>Dollars in Thousands</v>
      </c>
    </row>
    <row r="69" spans="2:41" hidden="1" outlineLevel="1">
      <c r="D69" s="315" t="s">
        <v>462</v>
      </c>
      <c r="E69" s="654">
        <f>_xlfn.IFNA(_xlfn.XLOOKUP(Entity,Entities[Name],Entities[OutstandingCommon]),"")</f>
        <v>0</v>
      </c>
    </row>
    <row r="70" spans="2:41" hidden="1" outlineLevel="1">
      <c r="D70" s="406" t="s">
        <v>463</v>
      </c>
      <c r="E70" s="655">
        <f>_xlfn.IFNA(_xlfn.XLOOKUP(Entity,Entities[Name],Entities[Par]),"")</f>
        <v>0</v>
      </c>
    </row>
    <row r="71" spans="2:41" hidden="1" outlineLevel="1">
      <c r="D71" s="315" t="s">
        <v>464</v>
      </c>
      <c r="E71" s="654">
        <f>_xlfn.IFNA(_xlfn.XLOOKUP(Entity,Entities[Name],Entities[Treasury Stock]),"")</f>
        <v>0</v>
      </c>
    </row>
    <row r="72" spans="2:41" hidden="1" outlineLevel="1">
      <c r="D72" s="315" t="s">
        <v>465</v>
      </c>
      <c r="E72" s="653" t="str">
        <f>_xlfn.IFNA(_xlfn.XLOOKUP(Entity,Entities[Name],Entities[DeprMethod]),"")</f>
        <v>Straight-line</v>
      </c>
    </row>
    <row r="73" spans="2:41" hidden="1" outlineLevel="1">
      <c r="D73" s="315" t="s">
        <v>466</v>
      </c>
      <c r="E73" s="653" t="str">
        <f>_xlfn.IFNA(_xlfn.XLOOKUP(Entity,Entities[Name],Entities[InventoryMethod]),"")</f>
        <v>First-in, first-out (FIFO)</v>
      </c>
    </row>
    <row r="74" spans="2:41" hidden="1" outlineLevel="1">
      <c r="D74" s="406" t="s">
        <v>467</v>
      </c>
      <c r="E74" s="653" t="str">
        <f>_xlfn.IFNA(_xlfn.XLOOKUP(Entity,Entities[Name],Entities[RevRec]),"")</f>
        <v>in accordance with FASB ASC 606, "Revenue from Contracts with Customers".</v>
      </c>
    </row>
    <row r="75" spans="2:41" collapsed="1"/>
    <row r="76" spans="2:41" ht="17.25">
      <c r="B76" s="17" t="s">
        <v>468</v>
      </c>
      <c r="C76" s="18"/>
      <c r="D76" s="18"/>
      <c r="E76" s="18"/>
      <c r="F76" s="18"/>
      <c r="G76" s="18"/>
      <c r="H76" s="18"/>
      <c r="I76" s="18"/>
      <c r="J76" s="18"/>
      <c r="K76" s="18"/>
      <c r="L76" s="18"/>
      <c r="M76" s="18"/>
      <c r="N76" s="18"/>
    </row>
    <row r="77" spans="2:41" ht="15.75" hidden="1" outlineLevel="1" thickBot="1">
      <c r="D77" s="5"/>
    </row>
    <row r="78" spans="2:41" s="6" customFormat="1" hidden="1" outlineLevel="1">
      <c r="C78" s="12"/>
      <c r="D78" s="112" t="s">
        <v>469</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470</v>
      </c>
      <c r="AO78"/>
    </row>
    <row r="79" spans="2:41" s="13" customFormat="1" ht="163.35" hidden="1" customHeight="1" outlineLevel="1">
      <c r="C79" s="28"/>
      <c r="D79" s="31" t="s">
        <v>471</v>
      </c>
      <c r="E79" s="634" t="s">
        <v>472</v>
      </c>
      <c r="F79" s="634" t="s">
        <v>473</v>
      </c>
      <c r="G79" s="634" t="s">
        <v>474</v>
      </c>
      <c r="H79" s="634" t="s">
        <v>475</v>
      </c>
      <c r="I79" s="634" t="s">
        <v>476</v>
      </c>
      <c r="J79" s="634" t="s">
        <v>477</v>
      </c>
      <c r="K79" s="634" t="s">
        <v>478</v>
      </c>
      <c r="L79" s="634" t="s">
        <v>479</v>
      </c>
      <c r="M79" s="634" t="s">
        <v>480</v>
      </c>
      <c r="N79" s="634" t="s">
        <v>481</v>
      </c>
      <c r="O79" s="634" t="s">
        <v>482</v>
      </c>
      <c r="P79" s="634" t="s">
        <v>483</v>
      </c>
      <c r="Q79" s="634" t="s">
        <v>484</v>
      </c>
      <c r="R79" s="634" t="s">
        <v>485</v>
      </c>
      <c r="S79" s="634"/>
      <c r="T79" s="634"/>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c r="C80" s="28"/>
      <c r="D80" s="32" t="s">
        <v>486</v>
      </c>
      <c r="E80" s="635" t="s">
        <v>487</v>
      </c>
      <c r="F80" s="635" t="s">
        <v>487</v>
      </c>
      <c r="G80" s="635" t="s">
        <v>487</v>
      </c>
      <c r="H80" s="635" t="s">
        <v>487</v>
      </c>
      <c r="I80" s="635" t="s">
        <v>487</v>
      </c>
      <c r="J80" s="635" t="s">
        <v>487</v>
      </c>
      <c r="K80" s="635" t="s">
        <v>487</v>
      </c>
      <c r="L80" s="635" t="s">
        <v>487</v>
      </c>
      <c r="M80" s="635" t="s">
        <v>487</v>
      </c>
      <c r="N80" s="635" t="s">
        <v>487</v>
      </c>
      <c r="O80" s="635" t="s">
        <v>487</v>
      </c>
      <c r="P80" s="635" t="s">
        <v>487</v>
      </c>
      <c r="Q80" s="635" t="s">
        <v>487</v>
      </c>
      <c r="R80" s="635" t="s">
        <v>487</v>
      </c>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hidden="1" outlineLevel="1">
      <c r="C81" s="28"/>
      <c r="D81" s="32" t="s">
        <v>488</v>
      </c>
      <c r="E81" s="635" t="s">
        <v>489</v>
      </c>
      <c r="F81" s="635" t="s">
        <v>490</v>
      </c>
      <c r="G81" s="635" t="s">
        <v>491</v>
      </c>
      <c r="H81" s="635" t="s">
        <v>491</v>
      </c>
      <c r="I81" s="635" t="s">
        <v>492</v>
      </c>
      <c r="J81" s="635" t="s">
        <v>493</v>
      </c>
      <c r="K81" s="635" t="s">
        <v>494</v>
      </c>
      <c r="L81" s="635" t="s">
        <v>495</v>
      </c>
      <c r="M81" s="635" t="s">
        <v>496</v>
      </c>
      <c r="N81" s="635" t="s">
        <v>497</v>
      </c>
      <c r="O81" s="635" t="s">
        <v>496</v>
      </c>
      <c r="P81" s="635" t="s">
        <v>498</v>
      </c>
      <c r="Q81" s="635" t="s">
        <v>499</v>
      </c>
      <c r="R81" s="635" t="s">
        <v>500</v>
      </c>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c r="C82" s="28"/>
      <c r="D82" s="71" t="s">
        <v>501</v>
      </c>
      <c r="E82" s="636" t="s">
        <v>382</v>
      </c>
      <c r="F82" s="636" t="s">
        <v>382</v>
      </c>
      <c r="G82" s="636" t="s">
        <v>381</v>
      </c>
      <c r="H82" s="636" t="s">
        <v>385</v>
      </c>
      <c r="I82" s="636" t="s">
        <v>502</v>
      </c>
      <c r="J82" s="636" t="s">
        <v>385</v>
      </c>
      <c r="K82" s="636" t="s">
        <v>385</v>
      </c>
      <c r="L82" s="636" t="s">
        <v>503</v>
      </c>
      <c r="M82" s="636" t="s">
        <v>382</v>
      </c>
      <c r="N82" s="636" t="s">
        <v>502</v>
      </c>
      <c r="O82" s="636" t="s">
        <v>385</v>
      </c>
      <c r="P82" s="636" t="s">
        <v>502</v>
      </c>
      <c r="Q82" s="636" t="s">
        <v>383</v>
      </c>
      <c r="R82" s="636" t="s">
        <v>502</v>
      </c>
      <c r="S82" s="636"/>
      <c r="T82" s="636"/>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c r="A83"/>
      <c r="D83" s="109" t="s">
        <v>504</v>
      </c>
      <c r="E83" s="637" t="s">
        <v>122</v>
      </c>
      <c r="F83" s="637" t="s">
        <v>505</v>
      </c>
      <c r="G83" s="637" t="s">
        <v>506</v>
      </c>
      <c r="H83" s="637" t="s">
        <v>507</v>
      </c>
      <c r="I83" s="637"/>
      <c r="J83" s="637" t="s">
        <v>508</v>
      </c>
      <c r="K83" s="637" t="s">
        <v>509</v>
      </c>
      <c r="L83" s="637" t="s">
        <v>123</v>
      </c>
      <c r="M83" s="637" t="s">
        <v>510</v>
      </c>
      <c r="N83" s="637"/>
      <c r="O83" s="637" t="s">
        <v>511</v>
      </c>
      <c r="P83" s="637"/>
      <c r="Q83" s="637" t="s">
        <v>512</v>
      </c>
      <c r="R83" s="637" t="s">
        <v>513</v>
      </c>
      <c r="S83" s="637"/>
      <c r="T83" s="637"/>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c r="A84"/>
      <c r="D84" s="565" t="s">
        <v>514</v>
      </c>
      <c r="E84" s="638" t="s">
        <v>515</v>
      </c>
      <c r="F84" s="638" t="s">
        <v>516</v>
      </c>
      <c r="G84" s="638" t="s">
        <v>517</v>
      </c>
      <c r="H84" s="638" t="s">
        <v>518</v>
      </c>
      <c r="I84" s="638" t="s">
        <v>332</v>
      </c>
      <c r="J84" s="638" t="s">
        <v>519</v>
      </c>
      <c r="K84" s="638" t="s">
        <v>520</v>
      </c>
      <c r="L84" s="638" t="s">
        <v>521</v>
      </c>
      <c r="M84" s="638" t="s">
        <v>522</v>
      </c>
      <c r="N84" s="638" t="s">
        <v>332</v>
      </c>
      <c r="O84" s="638" t="s">
        <v>523</v>
      </c>
      <c r="P84" s="638" t="s">
        <v>332</v>
      </c>
      <c r="Q84" s="638" t="s">
        <v>524</v>
      </c>
      <c r="R84" s="638" t="s">
        <v>525</v>
      </c>
      <c r="S84" s="638"/>
      <c r="T84" s="638"/>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c r="A85"/>
      <c r="B85" s="111" t="s">
        <v>57</v>
      </c>
      <c r="C85" s="111" t="s">
        <v>470</v>
      </c>
      <c r="D85" s="110" t="s">
        <v>526</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
      </c>
      <c r="T85" s="304" t="str">
        <f t="shared" si="0"/>
        <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527</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338</v>
      </c>
      <c r="E87" s="72" t="s">
        <v>62</v>
      </c>
      <c r="F87" s="72" t="s">
        <v>62</v>
      </c>
      <c r="G87" s="72" t="s">
        <v>62</v>
      </c>
      <c r="H87" s="72" t="s">
        <v>62</v>
      </c>
      <c r="I87" s="72" t="s">
        <v>62</v>
      </c>
      <c r="J87" s="72" t="s">
        <v>62</v>
      </c>
      <c r="K87" s="72" t="s">
        <v>72</v>
      </c>
      <c r="L87" s="72" t="s">
        <v>63</v>
      </c>
      <c r="M87" s="72" t="s">
        <v>65</v>
      </c>
      <c r="N87" s="72" t="s">
        <v>72</v>
      </c>
      <c r="O87" s="72" t="s">
        <v>65</v>
      </c>
      <c r="P87" s="72" t="s">
        <v>72</v>
      </c>
      <c r="Q87" s="72" t="s">
        <v>72</v>
      </c>
      <c r="R87" s="72" t="s">
        <v>70</v>
      </c>
      <c r="S87" s="72"/>
      <c r="T87" s="72"/>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c r="B88" s="640">
        <v>1</v>
      </c>
      <c r="C88" s="640">
        <v>1.2</v>
      </c>
      <c r="D88" s="646" t="s">
        <v>339</v>
      </c>
      <c r="E88" s="33" t="s">
        <v>58</v>
      </c>
      <c r="F88" s="33" t="s">
        <v>58</v>
      </c>
      <c r="G88" s="33" t="s">
        <v>67</v>
      </c>
      <c r="H88" s="33" t="s">
        <v>68</v>
      </c>
      <c r="I88" s="33" t="s">
        <v>69</v>
      </c>
      <c r="J88" s="33" t="s">
        <v>58</v>
      </c>
      <c r="K88" s="33" t="s">
        <v>73</v>
      </c>
      <c r="L88" s="33" t="s">
        <v>74</v>
      </c>
      <c r="M88" s="33" t="s">
        <v>75</v>
      </c>
      <c r="N88" s="33" t="s">
        <v>76</v>
      </c>
      <c r="O88" s="33" t="s">
        <v>77</v>
      </c>
      <c r="P88" s="33" t="s">
        <v>78</v>
      </c>
      <c r="Q88" s="33" t="s">
        <v>79</v>
      </c>
      <c r="R88" s="33" t="s">
        <v>71</v>
      </c>
      <c r="S88" s="33"/>
      <c r="T88" s="33"/>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528</v>
      </c>
      <c r="E89" s="33" t="s">
        <v>389</v>
      </c>
      <c r="F89" s="33" t="s">
        <v>389</v>
      </c>
      <c r="G89" s="33" t="s">
        <v>389</v>
      </c>
      <c r="H89" s="33" t="s">
        <v>389</v>
      </c>
      <c r="I89" s="33" t="s">
        <v>389</v>
      </c>
      <c r="J89" s="33" t="s">
        <v>389</v>
      </c>
      <c r="K89" s="33" t="s">
        <v>389</v>
      </c>
      <c r="L89" s="33" t="s">
        <v>389</v>
      </c>
      <c r="M89" s="33" t="s">
        <v>389</v>
      </c>
      <c r="N89" s="33" t="s">
        <v>389</v>
      </c>
      <c r="O89" s="33" t="s">
        <v>389</v>
      </c>
      <c r="P89" s="33" t="s">
        <v>389</v>
      </c>
      <c r="Q89" s="33" t="s">
        <v>389</v>
      </c>
      <c r="R89" s="33" t="s">
        <v>389</v>
      </c>
      <c r="S89" s="33"/>
      <c r="T89" s="33"/>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c r="B90" s="640">
        <v>1</v>
      </c>
      <c r="C90" s="640">
        <v>1.4</v>
      </c>
      <c r="D90" s="646" t="s">
        <v>106</v>
      </c>
      <c r="E90" s="33">
        <v>3</v>
      </c>
      <c r="F90" s="33">
        <v>20</v>
      </c>
      <c r="G90" s="33">
        <v>1</v>
      </c>
      <c r="H90" s="33">
        <v>20</v>
      </c>
      <c r="I90" s="33">
        <v>25</v>
      </c>
      <c r="J90" s="33">
        <v>20.5</v>
      </c>
      <c r="K90" s="33">
        <v>3</v>
      </c>
      <c r="L90" s="33">
        <v>0.05</v>
      </c>
      <c r="M90" s="33">
        <v>0.05</v>
      </c>
      <c r="N90" s="33">
        <v>1.87</v>
      </c>
      <c r="O90" s="33">
        <v>1.87</v>
      </c>
      <c r="P90" s="33">
        <v>18</v>
      </c>
      <c r="Q90" s="33">
        <v>0.2</v>
      </c>
      <c r="R90" s="33">
        <v>25</v>
      </c>
      <c r="S90" s="33"/>
      <c r="T90" s="33"/>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c r="B91" s="640">
        <v>2</v>
      </c>
      <c r="C91" s="640">
        <v>2.1</v>
      </c>
      <c r="D91" s="644" t="s">
        <v>338</v>
      </c>
      <c r="E91" s="642" t="s">
        <v>63</v>
      </c>
      <c r="F91" s="642" t="s">
        <v>65</v>
      </c>
      <c r="G91" s="642" t="s">
        <v>62</v>
      </c>
      <c r="H91" s="642" t="s">
        <v>62</v>
      </c>
      <c r="I91" s="642" t="s">
        <v>70</v>
      </c>
      <c r="J91" s="642" t="s">
        <v>62</v>
      </c>
      <c r="K91" s="642" t="s">
        <v>62</v>
      </c>
      <c r="L91" s="642" t="s">
        <v>65</v>
      </c>
      <c r="M91" s="642" t="s">
        <v>62</v>
      </c>
      <c r="N91" s="642" t="s">
        <v>65</v>
      </c>
      <c r="O91" s="642" t="s">
        <v>62</v>
      </c>
      <c r="P91" s="642" t="s">
        <v>62</v>
      </c>
      <c r="Q91" s="642" t="s">
        <v>62</v>
      </c>
      <c r="R91" s="642" t="s">
        <v>72</v>
      </c>
      <c r="S91" s="642"/>
      <c r="T91" s="642"/>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339</v>
      </c>
      <c r="E92" s="642" t="s">
        <v>64</v>
      </c>
      <c r="F92" s="642" t="s">
        <v>66</v>
      </c>
      <c r="G92" s="642" t="s">
        <v>58</v>
      </c>
      <c r="H92" s="642" t="s">
        <v>58</v>
      </c>
      <c r="I92" s="642" t="s">
        <v>71</v>
      </c>
      <c r="J92" s="642" t="s">
        <v>69</v>
      </c>
      <c r="K92" s="642" t="s">
        <v>58</v>
      </c>
      <c r="L92" s="642" t="s">
        <v>75</v>
      </c>
      <c r="M92" s="642" t="s">
        <v>58</v>
      </c>
      <c r="N92" s="642" t="s">
        <v>77</v>
      </c>
      <c r="O92" s="642" t="s">
        <v>58</v>
      </c>
      <c r="P92" s="642" t="s">
        <v>68</v>
      </c>
      <c r="Q92" s="642" t="s">
        <v>80</v>
      </c>
      <c r="R92" s="642" t="s">
        <v>78</v>
      </c>
      <c r="S92" s="642"/>
      <c r="T92" s="642"/>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528</v>
      </c>
      <c r="E93" s="642" t="s">
        <v>388</v>
      </c>
      <c r="F93" s="642" t="s">
        <v>388</v>
      </c>
      <c r="G93" s="642" t="s">
        <v>388</v>
      </c>
      <c r="H93" s="642" t="s">
        <v>388</v>
      </c>
      <c r="I93" s="642" t="s">
        <v>388</v>
      </c>
      <c r="J93" s="642" t="s">
        <v>388</v>
      </c>
      <c r="K93" s="642" t="s">
        <v>388</v>
      </c>
      <c r="L93" s="642" t="s">
        <v>388</v>
      </c>
      <c r="M93" s="642" t="s">
        <v>388</v>
      </c>
      <c r="N93" s="642" t="s">
        <v>388</v>
      </c>
      <c r="O93" s="642" t="s">
        <v>388</v>
      </c>
      <c r="P93" s="642" t="s">
        <v>388</v>
      </c>
      <c r="Q93" s="642" t="s">
        <v>388</v>
      </c>
      <c r="R93" s="642" t="s">
        <v>388</v>
      </c>
      <c r="S93" s="642"/>
      <c r="T93" s="642"/>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106</v>
      </c>
      <c r="E94" s="642">
        <v>3</v>
      </c>
      <c r="F94" s="642">
        <v>20</v>
      </c>
      <c r="G94" s="642">
        <v>1</v>
      </c>
      <c r="H94" s="642">
        <v>20</v>
      </c>
      <c r="I94" s="642">
        <v>25</v>
      </c>
      <c r="J94" s="642">
        <v>20.5</v>
      </c>
      <c r="K94" s="642">
        <v>3</v>
      </c>
      <c r="L94" s="642">
        <v>0.05</v>
      </c>
      <c r="M94" s="642">
        <v>0.05</v>
      </c>
      <c r="N94" s="642">
        <v>1.87</v>
      </c>
      <c r="O94" s="642">
        <v>1.87</v>
      </c>
      <c r="P94" s="642">
        <v>18</v>
      </c>
      <c r="Q94" s="642">
        <v>0.2</v>
      </c>
      <c r="R94" s="642">
        <v>18</v>
      </c>
      <c r="S94" s="642"/>
      <c r="T94" s="642"/>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c r="B95" s="640">
        <v>3</v>
      </c>
      <c r="C95" s="640">
        <v>3.1</v>
      </c>
      <c r="D95" s="645" t="s">
        <v>338</v>
      </c>
      <c r="E95" s="33"/>
      <c r="F95" s="33"/>
      <c r="G95" s="33"/>
      <c r="H95" s="33"/>
      <c r="I95" s="33"/>
      <c r="J95" s="33"/>
      <c r="K95" s="33"/>
      <c r="L95" s="33"/>
      <c r="M95" s="33"/>
      <c r="N95" s="33"/>
      <c r="O95" s="33"/>
      <c r="P95" s="33"/>
      <c r="Q95" s="33"/>
      <c r="R95" s="33" t="s">
        <v>72</v>
      </c>
      <c r="S95" s="33"/>
      <c r="T95" s="33"/>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c r="B96" s="640">
        <v>3</v>
      </c>
      <c r="C96" s="640">
        <v>3.2</v>
      </c>
      <c r="D96" s="646" t="s">
        <v>339</v>
      </c>
      <c r="E96" s="33"/>
      <c r="F96" s="33"/>
      <c r="G96" s="33"/>
      <c r="H96" s="33"/>
      <c r="I96" s="33"/>
      <c r="J96" s="33"/>
      <c r="K96" s="33"/>
      <c r="L96" s="33"/>
      <c r="M96" s="33"/>
      <c r="N96" s="33"/>
      <c r="O96" s="33"/>
      <c r="P96" s="33"/>
      <c r="Q96" s="33"/>
      <c r="R96" s="33" t="s">
        <v>73</v>
      </c>
      <c r="S96" s="33"/>
      <c r="T96" s="33"/>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c r="B97" s="640">
        <v>3</v>
      </c>
      <c r="C97" s="640">
        <v>3.3</v>
      </c>
      <c r="D97" s="646" t="s">
        <v>528</v>
      </c>
      <c r="E97" s="33"/>
      <c r="F97" s="33"/>
      <c r="G97" s="33"/>
      <c r="H97" s="33"/>
      <c r="I97" s="33"/>
      <c r="J97" s="33"/>
      <c r="K97" s="33"/>
      <c r="L97" s="33"/>
      <c r="M97" s="33"/>
      <c r="N97" s="33"/>
      <c r="O97" s="33"/>
      <c r="P97" s="33"/>
      <c r="Q97" s="33"/>
      <c r="R97" s="33" t="s">
        <v>388</v>
      </c>
      <c r="S97" s="33"/>
      <c r="T97" s="33"/>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c r="B98" s="640">
        <v>3</v>
      </c>
      <c r="C98" s="640">
        <v>3.4</v>
      </c>
      <c r="D98" s="646" t="s">
        <v>106</v>
      </c>
      <c r="E98" s="33"/>
      <c r="F98" s="33"/>
      <c r="G98" s="33"/>
      <c r="H98" s="33"/>
      <c r="I98" s="33"/>
      <c r="J98" s="33"/>
      <c r="K98" s="33"/>
      <c r="L98" s="33"/>
      <c r="M98" s="33"/>
      <c r="N98" s="33"/>
      <c r="O98" s="33"/>
      <c r="P98" s="33"/>
      <c r="Q98" s="33"/>
      <c r="R98" s="33">
        <v>3</v>
      </c>
      <c r="S98" s="33"/>
      <c r="T98" s="33"/>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338</v>
      </c>
      <c r="E99" s="642"/>
      <c r="F99" s="642"/>
      <c r="G99" s="642"/>
      <c r="H99" s="642"/>
      <c r="I99" s="642"/>
      <c r="J99" s="642"/>
      <c r="K99" s="642"/>
      <c r="L99" s="642"/>
      <c r="M99" s="642"/>
      <c r="N99" s="642"/>
      <c r="O99" s="642"/>
      <c r="P99" s="642"/>
      <c r="Q99" s="642"/>
      <c r="R99" s="642" t="s">
        <v>72</v>
      </c>
      <c r="S99" s="642"/>
      <c r="T99" s="642"/>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339</v>
      </c>
      <c r="E100" s="642"/>
      <c r="F100" s="642"/>
      <c r="G100" s="642"/>
      <c r="H100" s="642"/>
      <c r="I100" s="642"/>
      <c r="J100" s="642"/>
      <c r="K100" s="642"/>
      <c r="L100" s="642"/>
      <c r="M100" s="642"/>
      <c r="N100" s="642"/>
      <c r="O100" s="642"/>
      <c r="P100" s="642"/>
      <c r="Q100" s="642"/>
      <c r="R100" s="642" t="s">
        <v>76</v>
      </c>
      <c r="S100" s="642"/>
      <c r="T100" s="642"/>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528</v>
      </c>
      <c r="E101" s="642"/>
      <c r="F101" s="642"/>
      <c r="G101" s="642"/>
      <c r="H101" s="642"/>
      <c r="I101" s="642"/>
      <c r="J101" s="642"/>
      <c r="K101" s="642"/>
      <c r="L101" s="642"/>
      <c r="M101" s="642"/>
      <c r="N101" s="642"/>
      <c r="O101" s="642"/>
      <c r="P101" s="642"/>
      <c r="Q101" s="642"/>
      <c r="R101" s="642" t="s">
        <v>388</v>
      </c>
      <c r="S101" s="642"/>
      <c r="T101" s="642"/>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106</v>
      </c>
      <c r="E102" s="642"/>
      <c r="F102" s="642"/>
      <c r="G102" s="642"/>
      <c r="H102" s="642"/>
      <c r="I102" s="642"/>
      <c r="J102" s="642"/>
      <c r="K102" s="642"/>
      <c r="L102" s="642"/>
      <c r="M102" s="642"/>
      <c r="N102" s="642"/>
      <c r="O102" s="642"/>
      <c r="P102" s="642"/>
      <c r="Q102" s="642"/>
      <c r="R102" s="642">
        <v>1.87</v>
      </c>
      <c r="S102" s="642"/>
      <c r="T102" s="642"/>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338</v>
      </c>
      <c r="E103" s="33"/>
      <c r="F103" s="33"/>
      <c r="G103" s="33"/>
      <c r="H103" s="33"/>
      <c r="I103" s="33"/>
      <c r="J103" s="33"/>
      <c r="K103" s="33"/>
      <c r="L103" s="33"/>
      <c r="M103" s="33"/>
      <c r="N103" s="33"/>
      <c r="O103" s="33"/>
      <c r="P103" s="33"/>
      <c r="Q103" s="33"/>
      <c r="R103" s="33" t="s">
        <v>72</v>
      </c>
      <c r="S103" s="33"/>
      <c r="T103" s="33"/>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339</v>
      </c>
      <c r="E104" s="33"/>
      <c r="F104" s="33"/>
      <c r="G104" s="33"/>
      <c r="H104" s="33"/>
      <c r="I104" s="33"/>
      <c r="J104" s="33"/>
      <c r="K104" s="33"/>
      <c r="L104" s="33"/>
      <c r="M104" s="33"/>
      <c r="N104" s="33"/>
      <c r="O104" s="33"/>
      <c r="P104" s="33"/>
      <c r="Q104" s="33"/>
      <c r="R104" s="33" t="s">
        <v>79</v>
      </c>
      <c r="S104" s="33"/>
      <c r="T104" s="33"/>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528</v>
      </c>
      <c r="E105" s="33"/>
      <c r="F105" s="33"/>
      <c r="G105" s="33"/>
      <c r="H105" s="33"/>
      <c r="I105" s="33"/>
      <c r="J105" s="33"/>
      <c r="K105" s="33"/>
      <c r="L105" s="33"/>
      <c r="M105" s="33"/>
      <c r="N105" s="33"/>
      <c r="O105" s="33"/>
      <c r="P105" s="33"/>
      <c r="Q105" s="33"/>
      <c r="R105" s="33" t="s">
        <v>388</v>
      </c>
      <c r="S105" s="33"/>
      <c r="T105" s="33"/>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106</v>
      </c>
      <c r="E106" s="33"/>
      <c r="F106" s="33"/>
      <c r="G106" s="33"/>
      <c r="H106" s="33"/>
      <c r="I106" s="33"/>
      <c r="J106" s="33"/>
      <c r="K106" s="33"/>
      <c r="L106" s="33"/>
      <c r="M106" s="33"/>
      <c r="N106" s="33"/>
      <c r="O106" s="33"/>
      <c r="P106" s="33"/>
      <c r="Q106" s="33"/>
      <c r="R106" s="33">
        <v>0.2</v>
      </c>
      <c r="S106" s="33"/>
      <c r="T106" s="33"/>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338</v>
      </c>
      <c r="E107" s="642"/>
      <c r="F107" s="642"/>
      <c r="G107" s="642"/>
      <c r="H107" s="642"/>
      <c r="I107" s="642"/>
      <c r="J107" s="642"/>
      <c r="K107" s="642"/>
      <c r="L107" s="642"/>
      <c r="M107" s="642"/>
      <c r="N107" s="642"/>
      <c r="O107" s="642"/>
      <c r="P107" s="642"/>
      <c r="Q107" s="642"/>
      <c r="R107" s="642" t="s">
        <v>63</v>
      </c>
      <c r="S107" s="642"/>
      <c r="T107" s="642"/>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339</v>
      </c>
      <c r="E108" s="642"/>
      <c r="F108" s="642"/>
      <c r="G108" s="642"/>
      <c r="H108" s="642"/>
      <c r="I108" s="642"/>
      <c r="J108" s="642"/>
      <c r="K108" s="642"/>
      <c r="L108" s="642"/>
      <c r="M108" s="642"/>
      <c r="N108" s="642"/>
      <c r="O108" s="642"/>
      <c r="P108" s="642"/>
      <c r="Q108" s="642"/>
      <c r="R108" s="642" t="s">
        <v>74</v>
      </c>
      <c r="S108" s="642"/>
      <c r="T108" s="642"/>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528</v>
      </c>
      <c r="E109" s="642"/>
      <c r="F109" s="642"/>
      <c r="G109" s="642"/>
      <c r="H109" s="642"/>
      <c r="I109" s="642"/>
      <c r="J109" s="642"/>
      <c r="K109" s="642"/>
      <c r="L109" s="642"/>
      <c r="M109" s="642"/>
      <c r="N109" s="642"/>
      <c r="O109" s="642"/>
      <c r="P109" s="642"/>
      <c r="Q109" s="642"/>
      <c r="R109" s="642" t="s">
        <v>388</v>
      </c>
      <c r="S109" s="642"/>
      <c r="T109" s="642"/>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106</v>
      </c>
      <c r="E110" s="642"/>
      <c r="F110" s="642"/>
      <c r="G110" s="642"/>
      <c r="H110" s="642"/>
      <c r="I110" s="642"/>
      <c r="J110" s="642"/>
      <c r="K110" s="642"/>
      <c r="L110" s="642"/>
      <c r="M110" s="642"/>
      <c r="N110" s="642"/>
      <c r="O110" s="642"/>
      <c r="P110" s="642"/>
      <c r="Q110" s="642"/>
      <c r="R110" s="642">
        <v>1.93</v>
      </c>
      <c r="S110" s="642"/>
      <c r="T110" s="642"/>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338</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339</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528</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106</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338</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339</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528</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106</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338</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339</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528</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106</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338</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339</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528</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106</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338</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339</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528</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106</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338</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339</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528</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106</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338</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339</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528</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106</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338</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339</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528</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106</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338</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339</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528</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106</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c r="B151" s="409" t="s">
        <v>529</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c r="C154" s="28"/>
      <c r="D154" s="462"/>
      <c r="E154" s="463" t="s">
        <v>37</v>
      </c>
      <c r="F154" s="463"/>
      <c r="G154" s="463"/>
      <c r="H154" s="463"/>
      <c r="I154" s="463"/>
      <c r="J154" s="464"/>
      <c r="K154" s="28" t="s">
        <v>530</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c r="C155" s="28"/>
      <c r="D155" s="412" t="s">
        <v>531</v>
      </c>
      <c r="E155" s="118" t="s">
        <v>532</v>
      </c>
      <c r="F155" s="117" t="s">
        <v>106</v>
      </c>
      <c r="G155" s="117" t="s">
        <v>533</v>
      </c>
      <c r="H155" s="117" t="s">
        <v>534</v>
      </c>
      <c r="I155" s="117" t="s">
        <v>535</v>
      </c>
      <c r="J155" s="117" t="s">
        <v>411</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0">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Property, Plant &amp; Equipment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Property, Plant &amp; Equipment</v>
      </c>
      <c r="D159" s="411"/>
      <c r="E159" t="str">
        <f t="shared" si="3"/>
        <v>Property, Plant &amp; Equipment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NC</v>
      </c>
      <c r="J159" s="28" t="str">
        <f>IF(BegBalanceSheet_Assets[[#This Row],[Account]]="","",_xlfn.XLOOKUP(BegBalanceSheet_Assets[[#This Row],[Account]],MD_Asset[Account Name],MD_Asset[Abbr]))</f>
        <v>PPE</v>
      </c>
      <c r="K159" s="28" t="str">
        <v>Accumulated Depreciation</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Accumulated Depreciation</v>
      </c>
      <c r="D160" s="411"/>
      <c r="E160" t="str">
        <f t="shared" si="3"/>
        <v>Accumulated Depreciation</v>
      </c>
      <c r="F160" s="165"/>
      <c r="G160" s="28" t="str">
        <f>IF(BegBalanceSheet_Assets[[#This Row],[Account]]="","",_xlfn.XLOOKUP(BegBalanceSheet_Assets[[#This Row],[Account]],MD_Asset[Account Name],MD_Asset[IncreasedBy]))</f>
        <v>Credit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AccDepr</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c r="C181" s="28"/>
      <c r="E181" s="463" t="s">
        <v>38</v>
      </c>
      <c r="F181" s="463"/>
      <c r="G181" s="463"/>
      <c r="H181" s="463"/>
      <c r="I181" s="463"/>
      <c r="J181" s="464"/>
      <c r="K181" s="28" t="s">
        <v>536</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c r="C182" s="28"/>
      <c r="D182" s="412" t="s">
        <v>537</v>
      </c>
      <c r="E182" s="118" t="s">
        <v>532</v>
      </c>
      <c r="F182" s="117" t="s">
        <v>106</v>
      </c>
      <c r="G182" s="117" t="s">
        <v>533</v>
      </c>
      <c r="H182" s="117" t="s">
        <v>534</v>
      </c>
      <c r="I182" s="117" t="s">
        <v>535</v>
      </c>
      <c r="J182" s="117" t="s">
        <v>411</v>
      </c>
      <c r="K182" s="28" t="str" cm="1">
        <f t="array" ref="K182:K184">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5">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Notes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Notes Payable</v>
      </c>
      <c r="D185" s="411"/>
      <c r="E185" t="str">
        <f t="shared" si="4"/>
        <v>Notes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NP</v>
      </c>
      <c r="K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c r="D186" s="411"/>
      <c r="E186" t="str">
        <f t="shared" si="4"/>
        <v/>
      </c>
      <c r="F186" s="165"/>
      <c r="G186" s="28" t="str">
        <f>IF(BegBalanceSheet_Liabilities[[#This Row],[Account]]="","",_xlfn.XLOOKUP(BegBalanceSheet_Liabilities[[#This Row],[Account]],MD_Liability[Account Name],MD_Liability[IncreasedBy]))</f>
        <v/>
      </c>
      <c r="H186" s="28">
        <v>4</v>
      </c>
      <c r="I186" s="28" t="str">
        <f>IF(BegBalanceSheet_Liabilities[[#This Row],[Account]]="","",_xlfn.XLOOKUP(BegBalanceSheet_Liabilities[[#This Row],[Account]],MD_Liability[Account Name],MD_Liability[C/NC]))</f>
        <v/>
      </c>
      <c r="J186" s="28" t="str">
        <f>IF(BegBalanceSheet_Liabilities[[#This Row],[Account]]="","",_xlfn.XLOOKUP(BegBalanceSheet_Liabilities[[#This Row],[Account]],MD_Liability[Account Name],MD_Liability[Abbr]))</f>
        <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c r="C209" s="28"/>
      <c r="D209" s="412" t="s">
        <v>538</v>
      </c>
      <c r="E209" s="118" t="s">
        <v>532</v>
      </c>
      <c r="F209" s="117" t="s">
        <v>106</v>
      </c>
      <c r="G209" s="117" t="s">
        <v>533</v>
      </c>
      <c r="H209" s="117" t="s">
        <v>534</v>
      </c>
      <c r="I209" s="117" t="s">
        <v>411</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539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540</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6</v>
      </c>
      <c r="S238" s="80">
        <f t="shared" si="6"/>
        <v>0</v>
      </c>
      <c r="T238" s="80">
        <f t="shared" si="6"/>
        <v>0</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541</v>
      </c>
      <c r="E239" s="80" t="str">
        <f>IF(E82="","",IF(E82=MasterData!$C$200,"",E82))</f>
        <v>Financing</v>
      </c>
      <c r="F239" s="80" t="str">
        <f>IF(F82="","",IF(F82=MasterData!$C$200,"",F82))</f>
        <v>Financing</v>
      </c>
      <c r="G239" s="80" t="str">
        <f>IF(G82="","",IF(G82=MasterData!$C$200,"",G82))</f>
        <v>Investing</v>
      </c>
      <c r="H239" s="80" t="str">
        <f>IF(H82="","",IF(H82=MasterData!$C$200,"",H82))</f>
        <v>Operating</v>
      </c>
      <c r="I239" s="80" t="str">
        <f>IF(I82="","",IF(I82=MasterData!$C$200,"",I82))</f>
        <v/>
      </c>
      <c r="J239" s="80" t="str">
        <f>IF(J82="","",IF(J82=MasterData!$C$200,"",J82))</f>
        <v>Operating</v>
      </c>
      <c r="K239" s="80" t="str">
        <f>IF(K82="","",IF(K82=MasterData!$C$200,"",K82))</f>
        <v>Operating</v>
      </c>
      <c r="L239" s="80" t="str">
        <f>IF(L82="","",IF(L82=MasterData!$C$200,"",L82))</f>
        <v>Noncash_Financing</v>
      </c>
      <c r="M239" s="80" t="str">
        <f>IF(M82="","",IF(M82=MasterData!$C$200,"",M82))</f>
        <v>Financing</v>
      </c>
      <c r="N239" s="80" t="str">
        <f>IF(N82="","",IF(N82=MasterData!$C$200,"",N82))</f>
        <v/>
      </c>
      <c r="O239" s="80" t="str">
        <f>IF(O82="","",IF(O82=MasterData!$C$200,"",O82))</f>
        <v>Operating</v>
      </c>
      <c r="P239" s="80" t="str">
        <f>IF(P82="","",IF(P82=MasterData!$C$200,"",P82))</f>
        <v/>
      </c>
      <c r="Q239" s="80" t="str">
        <f>IF(Q82="","",IF(Q82=MasterData!$C$200,"",Q82))</f>
        <v>Other</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542</v>
      </c>
      <c r="E240" s="80" t="str">
        <f t="shared" ref="E240:AM240" ca="1" si="8">IF(IFERROR(VLOOKUP(E83,INDIRECT(E82&amp;"[#All]"),3,FALSE),"")=0,"",IFERROR(VLOOKUP(E83,INDIRECT(E82&amp;"[#All]"),3,FALSE),""))</f>
        <v>ICS</v>
      </c>
      <c r="F240" s="80" t="str">
        <f t="shared" ca="1" si="8"/>
        <v>IN</v>
      </c>
      <c r="G240" s="80" t="str">
        <f t="shared" ca="1" si="8"/>
        <v>PPPE</v>
      </c>
      <c r="H240" s="80" t="str">
        <f t="shared" ca="1" si="8"/>
        <v>PdS</v>
      </c>
      <c r="I240" s="80" t="str">
        <f t="shared" ca="1" si="8"/>
        <v/>
      </c>
      <c r="J240" s="80" t="str">
        <f t="shared" ca="1" si="8"/>
        <v>ColC</v>
      </c>
      <c r="K240" s="80" t="str">
        <f t="shared" ca="1" si="8"/>
        <v>PdSW</v>
      </c>
      <c r="L240" s="80" t="str">
        <f t="shared" ca="1" si="8"/>
        <v>DD</v>
      </c>
      <c r="M240" s="80" t="str">
        <f t="shared" ca="1" si="8"/>
        <v>PD</v>
      </c>
      <c r="N240" s="80" t="str">
        <f t="shared" ca="1" si="8"/>
        <v/>
      </c>
      <c r="O240" s="80" t="str">
        <f t="shared" ca="1" si="8"/>
        <v>PdInt</v>
      </c>
      <c r="P240" s="80" t="str">
        <f t="shared" ca="1" si="8"/>
        <v/>
      </c>
      <c r="Q240" s="80" t="str">
        <f t="shared" ca="1" si="8"/>
        <v>RecDeprExp</v>
      </c>
      <c r="R240" s="80" t="str">
        <f t="shared" ca="1" si="8"/>
        <v>CL</v>
      </c>
      <c r="S240" s="80" t="str">
        <f t="shared" ca="1" si="8"/>
        <v/>
      </c>
      <c r="T240" s="80" t="str">
        <f t="shared" ca="1" si="8"/>
        <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543</v>
      </c>
      <c r="E241" s="79">
        <f>COUNTA(E79:AH79)</f>
        <v>14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544</v>
      </c>
      <c r="E242" s="79" t="str">
        <f>_xlfn.CONCAT(E87:AM146)&amp;_xlfn.CONCAT(D156:D177)&amp;_xlfn.CONCAT(D183:D204)&amp;_xlfn.CONCAT(D210:D231)</f>
        <v>AssetAssetAssetAssetAssetAssetExpenseEquityLiabilityExpenseLiabilityExpenseExpenseRevenueCashCashProperty, Plant &amp; EquipmentInventoriesAccounts ReceivableCashSalaries &amp; Wages ExpenseRetained EarningsDividends PayableInterest ExpenseInterest PayableCost of Goods SoldDepreciation ExpenseSalesDebitDebitDebitDebitDebitDebitDebitDebitDebitDebitDebitDebitDebitDebit3201202520.530.050.051.871.87180.225EquityLiabilityAssetAssetRevenueAssetAssetLiabilityAssetLiabilityAssetAssetAssetExpenseCommon StockNotes PayableCashCashSalesAccounts ReceivableCashDividends PayableCashInterest PayableCashInventoriesAccumulated DepreciationCost of Goods SoldCreditCreditCreditCreditCreditCreditCreditCreditCreditCreditCreditCreditCreditCredit3201202520.530.050.051.871.87180.218ExpenseSalaries &amp; Wages ExpenseCredit3ExpenseInterest ExpenseCredit1.87ExpenseDepreciation ExpenseCredit0.2EquityRetained EarningsCredit1.93</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545</v>
      </c>
      <c r="E243" t="str">
        <f>_xlfn.CONCAT(E239:AM239)</f>
        <v>FinancingFinancingInvestingOperatingOperatingOperatingNoncash_FinancingFinancingOperatingOther</v>
      </c>
    </row>
    <row r="244" spans="3:40" ht="15.75" hidden="1" outlineLevel="1" thickBot="1"/>
    <row r="245" spans="3:40" ht="15.75" hidden="1" outlineLevel="1" thickBot="1">
      <c r="D245" s="81" t="s">
        <v>48</v>
      </c>
      <c r="E245" s="82" t="s">
        <v>546</v>
      </c>
      <c r="F245" s="82" t="s">
        <v>547</v>
      </c>
      <c r="G245" s="82" t="s">
        <v>548</v>
      </c>
      <c r="H245" s="82" t="s">
        <v>549</v>
      </c>
      <c r="I245" s="82" t="s">
        <v>550</v>
      </c>
      <c r="J245" s="82" t="s">
        <v>551</v>
      </c>
      <c r="K245" s="82" t="s">
        <v>552</v>
      </c>
      <c r="L245" s="82" t="s">
        <v>553</v>
      </c>
      <c r="M245" s="82" t="s">
        <v>554</v>
      </c>
      <c r="N245" s="82" t="s">
        <v>555</v>
      </c>
      <c r="O245" s="82" t="s">
        <v>556</v>
      </c>
      <c r="P245" s="82" t="s">
        <v>557</v>
      </c>
      <c r="Q245" s="82" t="s">
        <v>558</v>
      </c>
      <c r="R245" s="82" t="s">
        <v>559</v>
      </c>
      <c r="S245" s="82" t="s">
        <v>560</v>
      </c>
      <c r="T245" s="83" t="s">
        <v>561</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6</v>
      </c>
      <c r="F259" s="79">
        <f t="shared" si="9"/>
        <v>1</v>
      </c>
      <c r="G259" s="79">
        <f>IF(SUM($F259:F259)=$E259,0,1)</f>
        <v>1</v>
      </c>
      <c r="H259" s="79">
        <f>IF(SUM($F259:G259)=$E259,0,1)</f>
        <v>1</v>
      </c>
      <c r="I259" s="79">
        <f>IF(SUM($F259:H259)=$E259,0,1)</f>
        <v>1</v>
      </c>
      <c r="J259" s="79">
        <f>IF(SUM($F259:I259)=$E259,0,1)</f>
        <v>1</v>
      </c>
      <c r="K259" s="79">
        <f>IF(SUM($F259:J259)=$E259,0,1)</f>
        <v>1</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0</v>
      </c>
      <c r="F260" s="79">
        <f t="shared" si="9"/>
        <v>0</v>
      </c>
      <c r="G260" s="79">
        <f>IF(SUM($F260:F260)=$E260,0,1)</f>
        <v>0</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0</v>
      </c>
      <c r="F261" s="79">
        <f t="shared" si="9"/>
        <v>0</v>
      </c>
      <c r="G261" s="79">
        <f>IF(SUM($F261:F261)=$E261,0,1)</f>
        <v>0</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75" hidden="1" outlineLevel="1" thickBot="1"/>
    <row r="284" spans="4:20" ht="15.75" hidden="1" outlineLevel="1" thickBot="1">
      <c r="D284" s="84" t="s">
        <v>48</v>
      </c>
      <c r="E284" s="85" t="s">
        <v>57</v>
      </c>
      <c r="F284" s="85" t="s">
        <v>562</v>
      </c>
      <c r="G284" s="86" t="s">
        <v>563</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1</v>
      </c>
      <c r="G482" s="77">
        <f t="shared" si="18"/>
        <v>14</v>
      </c>
    </row>
    <row r="483" spans="4:7" hidden="1" outlineLevel="1">
      <c r="D483" s="77">
        <f t="shared" si="17"/>
        <v>14</v>
      </c>
      <c r="E483" s="77">
        <v>4</v>
      </c>
      <c r="F483" s="78" cm="1">
        <f t="array" ref="F483">INDEX($D$245:$T$280,MATCH(D483,$D$245:$D$280,0),E483+2)</f>
        <v>1</v>
      </c>
      <c r="G483" s="77">
        <f t="shared" si="18"/>
        <v>14</v>
      </c>
    </row>
    <row r="484" spans="4:7" hidden="1" outlineLevel="1">
      <c r="D484" s="77">
        <f t="shared" si="17"/>
        <v>14</v>
      </c>
      <c r="E484" s="77">
        <v>5</v>
      </c>
      <c r="F484" s="78" cm="1">
        <f t="array" ref="F484">INDEX($D$245:$T$280,MATCH(D484,$D$245:$D$280,0),E484+2)</f>
        <v>1</v>
      </c>
      <c r="G484" s="77">
        <f t="shared" si="18"/>
        <v>14</v>
      </c>
    </row>
    <row r="485" spans="4:7" hidden="1" outlineLevel="1">
      <c r="D485" s="77">
        <f t="shared" si="17"/>
        <v>14</v>
      </c>
      <c r="E485" s="77">
        <v>6</v>
      </c>
      <c r="F485" s="78" cm="1">
        <f t="array" ref="F485">INDEX($D$245:$T$280,MATCH(D485,$D$245:$D$280,0),E485+2)</f>
        <v>1</v>
      </c>
      <c r="G485" s="77">
        <f t="shared" si="18"/>
        <v>14</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0</v>
      </c>
      <c r="G495" s="77">
        <f t="shared" si="18"/>
        <v>0</v>
      </c>
    </row>
    <row r="496" spans="4:7" hidden="1" outlineLevel="1">
      <c r="D496" s="77">
        <f t="shared" si="17"/>
        <v>15</v>
      </c>
      <c r="E496" s="77">
        <v>2</v>
      </c>
      <c r="F496" s="78" cm="1">
        <f t="array" ref="F496">INDEX($D$245:$T$280,MATCH(D496,$D$245:$D$280,0),E496+2)</f>
        <v>0</v>
      </c>
      <c r="G496" s="77">
        <f t="shared" si="18"/>
        <v>0</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0</v>
      </c>
      <c r="G510" s="77">
        <f t="shared" si="18"/>
        <v>0</v>
      </c>
    </row>
    <row r="511" spans="4:7" hidden="1" outlineLevel="1">
      <c r="D511" s="77">
        <f t="shared" ref="D511:D574" si="19">D496+1</f>
        <v>16</v>
      </c>
      <c r="E511" s="77">
        <v>2</v>
      </c>
      <c r="F511" s="78" cm="1">
        <f t="array" ref="F511">INDEX($D$245:$T$280,MATCH(D511,$D$245:$D$280,0),E511+2)</f>
        <v>0</v>
      </c>
      <c r="G511" s="77">
        <f t="shared" si="18"/>
        <v>0</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0</v>
      </c>
      <c r="G525" s="77">
        <f t="shared" si="18"/>
        <v>0</v>
      </c>
    </row>
    <row r="526" spans="4:7" hidden="1" outlineLevel="1">
      <c r="D526" s="77">
        <f t="shared" si="19"/>
        <v>17</v>
      </c>
      <c r="E526" s="77">
        <v>2</v>
      </c>
      <c r="F526" s="78" cm="1">
        <f t="array" ref="F526">INDEX($D$245:$T$280,MATCH(D526,$D$245:$D$280,0),E526+2)</f>
        <v>0</v>
      </c>
      <c r="G526" s="77">
        <f t="shared" si="18"/>
        <v>0</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0</v>
      </c>
      <c r="G540" s="77">
        <f t="shared" si="18"/>
        <v>0</v>
      </c>
    </row>
    <row r="541" spans="4:7" hidden="1" outlineLevel="1">
      <c r="D541" s="77">
        <f t="shared" si="19"/>
        <v>18</v>
      </c>
      <c r="E541" s="77">
        <v>2</v>
      </c>
      <c r="F541" s="78" cm="1">
        <f t="array" ref="F541">INDEX($D$245:$T$280,MATCH(D541,$D$245:$D$280,0),E541+2)</f>
        <v>0</v>
      </c>
      <c r="G541" s="77">
        <f t="shared" ref="G541:G604" si="20">IF(F541&gt;0,D541,0)</f>
        <v>0</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75" hidden="1" outlineLevel="1" thickBot="1"/>
    <row r="812" spans="4:7" ht="15.75" hidden="1" outlineLevel="1" thickBot="1">
      <c r="D812" s="81" t="s">
        <v>48</v>
      </c>
      <c r="E812" s="5" t="s">
        <v>564</v>
      </c>
      <c r="F812" t="s">
        <v>565</v>
      </c>
    </row>
    <row r="813" spans="4:7" hidden="1" outlineLevel="1">
      <c r="D813" s="80">
        <v>1</v>
      </c>
      <c r="E813" s="1">
        <f t="shared" ref="E813:E847" si="29">IF(E246&gt;0,D813,0)</f>
        <v>1</v>
      </c>
      <c r="F813" cm="1">
        <f t="array" ref="F813:F826">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0</v>
      </c>
    </row>
    <row r="828" spans="4:6" hidden="1" outlineLevel="1">
      <c r="D828" s="79">
        <v>16</v>
      </c>
      <c r="E828" s="1">
        <f t="shared" si="29"/>
        <v>0</v>
      </c>
    </row>
    <row r="829" spans="4:6" hidden="1" outlineLevel="1">
      <c r="D829" s="79">
        <v>17</v>
      </c>
      <c r="E829" s="1">
        <f t="shared" si="29"/>
        <v>0</v>
      </c>
    </row>
    <row r="830" spans="4:6" hidden="1" outlineLevel="1">
      <c r="D830" s="79">
        <v>18</v>
      </c>
      <c r="E830" s="1">
        <f t="shared" si="29"/>
        <v>0</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566</v>
      </c>
    </row>
    <row r="852" spans="4:5" hidden="1" outlineLevel="1">
      <c r="D852" t="s">
        <v>567</v>
      </c>
      <c r="E852">
        <f>COUNTA(E79:AM79)</f>
        <v>14</v>
      </c>
    </row>
    <row r="853" spans="4:5" hidden="1" outlineLevel="1"/>
    <row r="854" spans="4:5" hidden="1" outlineLevel="1">
      <c r="E854" cm="1">
        <f t="array" ref="E854:E867">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row r="869" spans="5:5" hidden="1" outlineLevel="1"/>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c r="A1" s="378" t="str">
        <f>Entity</f>
        <v>Miloslav's Magazines</v>
      </c>
    </row>
    <row r="2" spans="1:73">
      <c r="A2" t="s">
        <v>568</v>
      </c>
      <c r="D2" s="192"/>
      <c r="E2" s="192"/>
      <c r="F2" s="192"/>
      <c r="G2" s="192"/>
      <c r="I2" s="192"/>
      <c r="J2" s="192"/>
      <c r="K2" s="192"/>
      <c r="L2" s="192"/>
      <c r="M2" s="192"/>
      <c r="N2" s="192"/>
      <c r="O2" s="192"/>
      <c r="P2" s="192"/>
      <c r="Q2" s="192"/>
      <c r="AE2" s="386" t="s">
        <v>89</v>
      </c>
      <c r="AF2" s="170"/>
      <c r="AG2" s="170"/>
      <c r="AH2" s="170"/>
      <c r="AI2" s="170"/>
      <c r="AJ2" s="170"/>
      <c r="AK2" s="170"/>
      <c r="AL2" s="170"/>
      <c r="AM2" s="170"/>
      <c r="AN2" s="192"/>
      <c r="AP2" s="386" t="s">
        <v>90</v>
      </c>
      <c r="AR2" s="170"/>
      <c r="BB2" s="170"/>
      <c r="BC2" s="170"/>
      <c r="BM2" s="170"/>
      <c r="BN2" s="170"/>
    </row>
    <row r="3" spans="1:73">
      <c r="B3" s="372" t="str">
        <f>"Balance Sheet"</f>
        <v>Balance Sheet</v>
      </c>
      <c r="D3" s="192"/>
      <c r="E3" s="192"/>
      <c r="F3" s="192"/>
      <c r="G3" s="192"/>
      <c r="H3" s="372" t="s">
        <v>88</v>
      </c>
      <c r="J3" s="192"/>
      <c r="K3" s="192"/>
      <c r="L3" s="192"/>
      <c r="M3" s="192"/>
      <c r="N3" s="192"/>
      <c r="O3" s="192"/>
      <c r="P3" s="192"/>
      <c r="Q3" s="192"/>
      <c r="S3" s="372" t="s">
        <v>163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155</v>
      </c>
      <c r="BB6" s="386"/>
      <c r="BC6" s="170"/>
      <c r="BL6" s="192" t="str">
        <f>Units</f>
        <v>Dollars in Thousands</v>
      </c>
      <c r="BN6" s="192"/>
      <c r="BO6" s="192"/>
      <c r="BP6" s="192"/>
    </row>
    <row r="7" spans="1:73">
      <c r="I7" s="374"/>
      <c r="J7" s="170"/>
      <c r="K7" s="170"/>
      <c r="AE7" t="s">
        <v>569</v>
      </c>
      <c r="AF7">
        <f ca="1">COUNTIF(StChsSE[AmtJournal],"&lt;&gt;0")</f>
        <v>4</v>
      </c>
      <c r="AG7">
        <f ca="1">COUNTIF(StChsSE[AmtAnswer],"&lt;&gt;0")</f>
        <v>4</v>
      </c>
      <c r="AH7">
        <f>COUNTIF(StChsSE[AmtFSBuilder],"&lt;&gt;0")</f>
        <v>1</v>
      </c>
      <c r="AP7" s="372" t="s">
        <v>161</v>
      </c>
      <c r="AQ7" s="374"/>
      <c r="AR7" s="170"/>
      <c r="AT7"/>
      <c r="AU7"/>
      <c r="AV7"/>
      <c r="AW7"/>
      <c r="AX7"/>
      <c r="AY7"/>
      <c r="AZ7"/>
      <c r="BA7" s="192">
        <v>3</v>
      </c>
      <c r="BB7" t="s">
        <v>266</v>
      </c>
      <c r="BE7" s="349">
        <f ca="1">L54</f>
        <v>1.93</v>
      </c>
      <c r="BF7" s="349">
        <f ca="1">M54</f>
        <v>1.93</v>
      </c>
      <c r="BG7" s="349">
        <f>N54</f>
        <v>0</v>
      </c>
      <c r="BH7" s="349"/>
      <c r="BI7" s="349"/>
      <c r="BJ7" s="349"/>
      <c r="BK7" s="349"/>
      <c r="BL7" s="5" t="s">
        <v>37</v>
      </c>
    </row>
    <row r="8" spans="1:73">
      <c r="B8" s="5" t="s">
        <v>37</v>
      </c>
      <c r="H8" s="5" t="s">
        <v>43</v>
      </c>
      <c r="L8" s="316"/>
      <c r="M8" s="316"/>
      <c r="N8" s="316"/>
      <c r="O8" s="316"/>
      <c r="P8" s="316"/>
      <c r="Q8" s="316"/>
      <c r="S8" s="372" t="s">
        <v>570</v>
      </c>
      <c r="AE8" s="1" t="s">
        <v>82</v>
      </c>
      <c r="AF8" s="1" t="s">
        <v>571</v>
      </c>
      <c r="AG8" s="1" t="s">
        <v>572</v>
      </c>
      <c r="AH8" s="1" t="s">
        <v>573</v>
      </c>
      <c r="AP8" s="379" t="s">
        <v>574</v>
      </c>
      <c r="AQ8" s="379" t="s">
        <v>532</v>
      </c>
      <c r="AR8" s="379" t="s">
        <v>575</v>
      </c>
      <c r="AS8" s="466" t="s">
        <v>576</v>
      </c>
      <c r="AT8" s="379" t="s">
        <v>571</v>
      </c>
      <c r="AU8" s="379" t="s">
        <v>572</v>
      </c>
      <c r="AV8" s="379" t="s">
        <v>573</v>
      </c>
      <c r="AW8" s="379" t="s">
        <v>577</v>
      </c>
      <c r="AX8" s="379" t="s">
        <v>578</v>
      </c>
      <c r="AY8" s="379" t="s">
        <v>579</v>
      </c>
      <c r="AZ8"/>
      <c r="BA8" s="389" t="s">
        <v>580</v>
      </c>
      <c r="BL8" s="5" t="s">
        <v>164</v>
      </c>
    </row>
    <row r="9" spans="1:73">
      <c r="B9" s="5" t="s">
        <v>164</v>
      </c>
      <c r="G9" s="1"/>
      <c r="H9" s="379" t="s">
        <v>574</v>
      </c>
      <c r="I9" s="379" t="s">
        <v>532</v>
      </c>
      <c r="J9" s="379" t="s">
        <v>575</v>
      </c>
      <c r="K9" s="466" t="s">
        <v>576</v>
      </c>
      <c r="L9" s="379" t="s">
        <v>571</v>
      </c>
      <c r="M9" s="379" t="s">
        <v>572</v>
      </c>
      <c r="N9" s="379" t="s">
        <v>573</v>
      </c>
      <c r="O9" s="379" t="s">
        <v>577</v>
      </c>
      <c r="P9" s="379" t="s">
        <v>578</v>
      </c>
      <c r="Q9" s="379" t="s">
        <v>579</v>
      </c>
      <c r="S9" s="379" t="s">
        <v>574</v>
      </c>
      <c r="T9" s="379" t="s">
        <v>532</v>
      </c>
      <c r="U9" s="379" t="s">
        <v>575</v>
      </c>
      <c r="V9" s="466" t="s">
        <v>576</v>
      </c>
      <c r="W9" s="379" t="s">
        <v>571</v>
      </c>
      <c r="X9" s="379" t="s">
        <v>572</v>
      </c>
      <c r="Y9" s="379" t="s">
        <v>573</v>
      </c>
      <c r="Z9" s="379" t="s">
        <v>577</v>
      </c>
      <c r="AA9" s="379" t="s">
        <v>578</v>
      </c>
      <c r="AB9" s="379" t="s">
        <v>579</v>
      </c>
      <c r="AE9" t="s">
        <v>581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582</v>
      </c>
      <c r="AR9" s="370">
        <f ca="1">IF(MAX(CFS_CFO[[#This Row],[AmtJournal]],CFS_CFO[[#This Row],[AmtAnswer]],CFS_CFO[[#This Row],[AmtFSBuilder]])&gt;0,1,0)</f>
        <v>1</v>
      </c>
      <c r="AS9" s="370">
        <f ca="1">CFS_CFO[[#This Row],[Used]]</f>
        <v>1</v>
      </c>
      <c r="AT9" s="351">
        <f ca="1">SUMIFS(Journal[Dr Amt],Journal[ref1],"ColC",Journal[Debit Account],"Cash")</f>
        <v>20.5</v>
      </c>
      <c r="AU9" s="351">
        <f ca="1">SUMIFS(JournalAnswer[Dr Amt],JournalAnswer[ref1],"ColC",JournalAnswer[Debit Account],"Cash")</f>
        <v>20.5</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574</v>
      </c>
      <c r="BM9" s="379" t="s">
        <v>532</v>
      </c>
      <c r="BN9" s="379" t="s">
        <v>575</v>
      </c>
      <c r="BO9" s="466" t="s">
        <v>576</v>
      </c>
      <c r="BP9" s="379" t="s">
        <v>571</v>
      </c>
      <c r="BQ9" s="379" t="s">
        <v>572</v>
      </c>
      <c r="BR9" s="379" t="s">
        <v>573</v>
      </c>
      <c r="BS9" s="470" t="s">
        <v>577</v>
      </c>
      <c r="BT9" s="470" t="s">
        <v>578</v>
      </c>
      <c r="BU9" s="470" t="s">
        <v>579</v>
      </c>
    </row>
    <row r="10" spans="1:73">
      <c r="B10" s="1" t="s">
        <v>574</v>
      </c>
      <c r="C10" s="1" t="s">
        <v>532</v>
      </c>
      <c r="D10" s="1" t="s">
        <v>575</v>
      </c>
      <c r="E10" s="1" t="s">
        <v>576</v>
      </c>
      <c r="F10" s="1" t="s">
        <v>420</v>
      </c>
      <c r="G10" s="370"/>
      <c r="H10" s="192" cm="1">
        <f t="array" ref="H10">_xlfn.IFS(AND(IS_Revenues[[#This Row],[Used]]=1,IS_Revenues[[#This Row],[Order]]=1),6,AND(IS_Revenues[[#This Row],[Used]]=1,IS_Revenues[[#This Row],[Order]]&gt;1),7,IS_Revenues[[#This Row],[Used]]=0,8)</f>
        <v>6</v>
      </c>
      <c r="I10" t="s">
        <v>71</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25</v>
      </c>
      <c r="M10" s="367">
        <f ca="1">ROUND(SUMIFS(JournalAnswer[Cr Amt],JournalAnswer[Credit Account],I10,JournalAnswer[ref1],"&lt;&gt;CL"),2)</f>
        <v>25</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583</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t="e" cm="1">
        <f t="array" ref="Y10">ROUND(IF(OCI[[#This Row],[Account]]&lt;&gt;"",_xlfn._xlws.FILTER(FSBuilder[Amount],(FSBuilder[Account or Explanation]=OCI[[#This Row],[Account]])*(FSBuilder[Statement])="Statement of Comprehensive Income",0),0),2)</f>
        <v>#VALUE!</v>
      </c>
      <c r="Z10" s="368">
        <f ca="1">OCI[[#This Row],[Used]]*(OCI[[#This Row],[AmtJournal]]&lt;&gt;0)</f>
        <v>0</v>
      </c>
      <c r="AA10" s="368">
        <f ca="1">OCI[[#This Row],[Used]]*(OCI[[#This Row],[AmtAnswer]]&lt;&gt;0)</f>
        <v>0</v>
      </c>
      <c r="AB10" s="368" t="e">
        <f ca="1">OCI[[#This Row],[Used]]*(OCI[[#This Row],[AmtFSBuilder]]&lt;&gt;0)</f>
        <v>#VALUE!</v>
      </c>
      <c r="AE10" t="s">
        <v>122</v>
      </c>
      <c r="AF10" s="34">
        <f ca="1">ROUND(SUMIFS(Journal[Cr Amt],Journal[ref1],"ICS",Journal[Credit Account],"Common Stock"),2)</f>
        <v>3</v>
      </c>
      <c r="AG10" s="34">
        <f ca="1">ROUND(SUMIFS(JournalAnswer[Cr Amt],JournalAnswer[ref1],"ICS",JournalAnswer[Credit Account],"Common Stock"),2)</f>
        <v>3</v>
      </c>
      <c r="AH10" s="34" cm="1">
        <f t="array" ref="AH10">ROUND(_xlfn._xlws.FILTER(FSBuilder[Amount],(FSBuilder[Statement]=$AE$2)*(FSBuilder[Account or Explanation]=StChsSE[[#This Row],[Item]]),0),2)</f>
        <v>0</v>
      </c>
      <c r="AP10" s="192">
        <v>7</v>
      </c>
      <c r="AQ10" t="s">
        <v>584</v>
      </c>
      <c r="AR10" s="370">
        <f ca="1">IF(ABS(CFS_CFO[[#This Row],[AmtJournal]])&gt;0,1,0)</f>
        <v>1</v>
      </c>
      <c r="AS10" s="370">
        <f ca="1">IF(CFS_CFO[[#This Row],[Used]]&gt;0,CFS_CFO[[#This Row],[Used]]+AR9,0)</f>
        <v>2</v>
      </c>
      <c r="AT10" s="366">
        <f ca="1">-SUMIFS(Journal[Cr Amt],Journal[ref1],"PdS",Journal[Credit Account],"Cash")</f>
        <v>-20</v>
      </c>
      <c r="AU10" s="366">
        <f ca="1">-SUMIFS(JournalAnswer[Cr Amt],JournalAnswer[ref1],"PdS",JournalAnswer[Credit Account],"Cash")</f>
        <v>-20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574</v>
      </c>
      <c r="BB10" s="379" t="s">
        <v>532</v>
      </c>
      <c r="BC10" s="379" t="s">
        <v>575</v>
      </c>
      <c r="BD10" s="466" t="s">
        <v>576</v>
      </c>
      <c r="BE10" s="379" t="s">
        <v>571</v>
      </c>
      <c r="BF10" s="379" t="s">
        <v>572</v>
      </c>
      <c r="BG10" s="379" t="s">
        <v>573</v>
      </c>
      <c r="BH10" s="470" t="s">
        <v>577</v>
      </c>
      <c r="BI10" s="470" t="s">
        <v>578</v>
      </c>
      <c r="BJ10" s="470" t="s">
        <v>579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17.579999999999998</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17.579999999999998</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58</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585</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244</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586</v>
      </c>
      <c r="AR11" s="370">
        <f ca="1">IF(ABS(CFS_CFO[[#This Row],[AmtJournal]])&gt;0,1,0)</f>
        <v>1</v>
      </c>
      <c r="AS11" s="370">
        <f ca="1">IF(CFS_CFO[[#This Row],[Used]]=1,CFS_CFO[[#This Row],[Used]]+SUM(AR9:AR10),0)</f>
        <v>3</v>
      </c>
      <c r="AT11" s="366">
        <f ca="1">-SUMIFS(Journal[Cr Amt],Journal[ref1],"PdSW",Journal[Credit Account],"Cash")</f>
        <v>-3</v>
      </c>
      <c r="AU11" s="366">
        <f ca="1">-SUMIFS(JournalAnswer[Cr Amt],JournalAnswer[ref1],"PdSW",JournalAnswer[Credit Account],"Cash")</f>
        <v>-3</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587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4.5</v>
      </c>
      <c r="BQ11" s="368">
        <f>_xlfn.IFNA((_xlfn.XLOOKUP(ECurrAssets[[#This Row],[Account]],BegBalanceSheet_Assets[Account],BegBalanceSheet_Assets[Amount]))+SUMIF(JournalAnswer[Debit Account],ECurrAssets[[#This Row],[Account]],JournalAnswer[Dr Amt])-SUMIF(JournalAnswer[Credit Account],ECurrAssets[[#This Row],[Account]],JournalAnswer[Cr Amt]),0)</f>
        <v>4.5</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69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588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123</v>
      </c>
      <c r="AF12" s="34">
        <f ca="1">ROUND(-SUMIFS(Journal[Dr Amt],Journal[ref1],"DD",Journal[Debit Account],"Retained Earnings"),2)</f>
        <v>-0.05</v>
      </c>
      <c r="AG12" s="34">
        <f ca="1">-ROUND(SUMIFS(JournalAnswer[Dr Amt],JournalAnswer[ref1],"DD",JournalAnswer[Debit Account],"Retained Earnings"),2)</f>
        <v>-0.05</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589</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592</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124</v>
      </c>
      <c r="AF13" s="34">
        <f ca="1">ROUND(L54,2)</f>
        <v>1.93</v>
      </c>
      <c r="AG13" s="34">
        <f ca="1">ROUND(M54,2)</f>
        <v>1.93</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593</v>
      </c>
      <c r="AR13" s="370">
        <f ca="1">IF(ABS(CFS_CFO[[#This Row],[AmtJournal]])&gt;0,1,0)</f>
        <v>1</v>
      </c>
      <c r="AS13" s="370">
        <f ca="1">IF(CFS_CFO[[#This Row],[Used]]=1,CFS_CFO[[#This Row],[Used]]+SUM(AR9:AR12),0)</f>
        <v>4</v>
      </c>
      <c r="AT13" s="366">
        <f ca="1">-SUMIFS(Journal[Cr Amt],Journal[ref1],"PdInt",Journal[Credit Account],"Cash")</f>
        <v>-1.87</v>
      </c>
      <c r="AU13" s="366">
        <f ca="1">-SUMIFS(JournalAnswer[Cr Amt],JournalAnswer[ref1],"PdInt",JournalAnswer[Credit Account],"Cash")</f>
        <v>-1.87</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594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595</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596</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8</v>
      </c>
      <c r="AQ14" t="s">
        <v>597</v>
      </c>
      <c r="AR14" s="370">
        <f ca="1">IF(ABS(CFS_CFO[[#This Row],[AmtJournal]])&gt;0,1,0)</f>
        <v>0</v>
      </c>
      <c r="AS14" s="370">
        <f ca="1">IF(CFS_CFO[[#This Row],[Used]]=1,CFS_CFO[[#This Row],[Used]]+SUM(AR9:AR13),0)</f>
        <v>0</v>
      </c>
      <c r="AT14" s="366">
        <f ca="1">-SUMIFS(Journal[Cr Amt],Journal[ref1],"PdPPd",Journal[Credit Account],"Cash")</f>
        <v>0</v>
      </c>
      <c r="AU14" s="366">
        <f ca="1">-SUMIFS(JournalAnswer[Cr Amt],JournalAnswer[ref1],"PdPPd",JournalAnswer[Credit Account],"Cash")</f>
        <v>0</v>
      </c>
      <c r="AV14" s="366" cm="1">
        <f t="array" ref="AV14">IF(CFS_CFO[[#This Row],[Account]]&lt;&gt;"",_xlfn._xlws.FILTER(FSBuilder[Amount],(FSBuilder[Account or Explanation]=CFS_CFO[[#This Row],[Account]])*(FSBuilder[Statement]="Cash Flow Statement"),0),"")</f>
        <v>0</v>
      </c>
      <c r="AW14" s="370">
        <f ca="1">IF(CFS_CFO[[#This Row],[AmtJournal]]&lt;&gt;0,1,0)</f>
        <v>0</v>
      </c>
      <c r="AX14" s="370">
        <f ca="1">IF(CFS_CFO[[#This Row],[AmtAnswer]]&lt;&gt;0,1,0)</f>
        <v>0</v>
      </c>
      <c r="AY14" s="370">
        <f>IF(CFS_CFO[[#This Row],[AmtFSBuilder]]&lt;&gt;0,1,0)</f>
        <v>0</v>
      </c>
      <c r="AZ14"/>
      <c r="BA14" s="192">
        <f>IF(NI_CFO_Recon_Gains[[#This Row],[Used]]=1,7,8)</f>
        <v>8</v>
      </c>
      <c r="BB14" t="s">
        <v>598</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2</v>
      </c>
      <c r="BQ14" s="368">
        <f>_xlfn.IFNA((_xlfn.XLOOKUP(ECurrAssets[[#This Row],[Account]],BegBalanceSheet_Assets[Account],BegBalanceSheet_Assets[Amount]))+SUMIF(JournalAnswer[Debit Account],ECurrAssets[[#This Row],[Account]],JournalAnswer[Dr Amt])-SUMIF(JournalAnswer[Credit Account],ECurrAssets[[#This Row],[Account]],JournalAnswer[Cr Amt]),0)</f>
        <v>2</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68</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281</v>
      </c>
      <c r="J15" s="391"/>
      <c r="K15" s="370"/>
      <c r="L15" s="367">
        <f ca="1">ROUND(SUBTOTAL(9,L10:L14),2)</f>
        <v>25</v>
      </c>
      <c r="M15" s="367">
        <f ca="1">ROUND(SUBTOTAL(9,M10:M14),2)</f>
        <v>25</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599</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600</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601</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602</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603</v>
      </c>
      <c r="AF16" s="34">
        <f ca="1">ROUND(W23,2)</f>
        <v>0</v>
      </c>
      <c r="AG16" s="34">
        <f ca="1">ROUND(X23,2)</f>
        <v>0</v>
      </c>
      <c r="AH16" s="34" cm="1">
        <f t="array" ref="AH16">ROUND(_xlfn._xlws.FILTER(FSBuilder[Amount],(FSBuilder[Statement]=$AE$2)*(FSBuilder[Account or Explanation]=StChsSE[[#This Row],[Item]]),0),2)</f>
        <v>0</v>
      </c>
      <c r="AP16" s="192">
        <v>3</v>
      </c>
      <c r="AQ16" s="181" t="s">
        <v>604</v>
      </c>
      <c r="AR16" s="370"/>
      <c r="AS16" s="370"/>
      <c r="AT16" s="351">
        <f ca="1">ROUND(SUBTOTAL(9,AT9:AT15),2)</f>
        <v>-4.37</v>
      </c>
      <c r="AU16" s="351">
        <f t="shared" ref="AU16:AV16" ca="1" si="2">ROUND(SUBTOTAL(9,AU9:AU15),2)</f>
        <v>-4.37</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605</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240</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606</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574</v>
      </c>
      <c r="I18" s="379" t="s">
        <v>532</v>
      </c>
      <c r="J18" s="379" t="s">
        <v>575</v>
      </c>
      <c r="K18" s="466" t="s">
        <v>576</v>
      </c>
      <c r="L18" s="379" t="s">
        <v>571</v>
      </c>
      <c r="M18" s="379" t="s">
        <v>572</v>
      </c>
      <c r="N18" s="379" t="s">
        <v>573</v>
      </c>
      <c r="O18" s="470" t="s">
        <v>577</v>
      </c>
      <c r="P18" s="470" t="s">
        <v>578</v>
      </c>
      <c r="Q18" s="470" t="s">
        <v>579</v>
      </c>
      <c r="T18"/>
      <c r="W18" s="368"/>
      <c r="X18" s="339"/>
      <c r="Y18" s="339" t="str" cm="1">
        <f t="array" ref="Y18">IF(OCI[[#This Row],[Account]]&lt;&gt;"",_xlfn._xlws.FILTER(FSBuilder[Amount],FSBuilder[Account or Explanation]=OCI[[#This Row],[Account]],0),"")</f>
        <v/>
      </c>
      <c r="Z18" s="368"/>
      <c r="AA18" s="368"/>
      <c r="AB18" s="368"/>
      <c r="AE18" t="s">
        <v>245</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607</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78</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18</v>
      </c>
      <c r="M19" s="367">
        <f ca="1">ROUND(SUMIFS(JournalAnswer[Dr Amt],JournalAnswer[Debit Account],I19,JournalAnswer[ref1],"&lt;&gt;CL"),2)</f>
        <v>18</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241</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574</v>
      </c>
      <c r="AQ19" s="379" t="s">
        <v>532</v>
      </c>
      <c r="AR19" s="379" t="s">
        <v>575</v>
      </c>
      <c r="AS19" s="466" t="s">
        <v>576</v>
      </c>
      <c r="AT19" s="379" t="s">
        <v>571</v>
      </c>
      <c r="AU19" s="379" t="s">
        <v>572</v>
      </c>
      <c r="AV19" s="379" t="s">
        <v>573</v>
      </c>
      <c r="AW19" s="379" t="s">
        <v>577</v>
      </c>
      <c r="AX19" s="379" t="s">
        <v>578</v>
      </c>
      <c r="AY19" s="379" t="s">
        <v>579</v>
      </c>
      <c r="AZ19"/>
      <c r="BA19" s="379" t="s">
        <v>574</v>
      </c>
      <c r="BB19" s="379" t="s">
        <v>532</v>
      </c>
      <c r="BC19" s="379" t="s">
        <v>575</v>
      </c>
      <c r="BD19" s="466" t="s">
        <v>576</v>
      </c>
      <c r="BE19" s="379" t="s">
        <v>571</v>
      </c>
      <c r="BF19" s="379" t="s">
        <v>572</v>
      </c>
      <c r="BG19" s="379" t="s">
        <v>573</v>
      </c>
      <c r="BH19" s="470" t="s">
        <v>577</v>
      </c>
      <c r="BI19" s="470" t="s">
        <v>578</v>
      </c>
      <c r="BJ19" s="470" t="s">
        <v>579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608</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246</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609</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610</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288</v>
      </c>
      <c r="BN20" s="370"/>
      <c r="BO20" s="370"/>
      <c r="BP20" s="367">
        <f>SUBTOTAL(9,BP10:BP19)</f>
        <v>24.08</v>
      </c>
      <c r="BQ20" s="367">
        <f>SUBTOTAL(9,BQ10:BQ19)</f>
        <v>24.08</v>
      </c>
      <c r="BR20" s="367">
        <f>SUBTOTAL(9,BR10:BR19)</f>
        <v>0</v>
      </c>
      <c r="BS20" s="392"/>
      <c r="BT20" s="392"/>
      <c r="BU20" s="392"/>
    </row>
    <row r="21" spans="2:73">
      <c r="B21" s="192">
        <v>5</v>
      </c>
      <c r="C21" t="s">
        <v>288</v>
      </c>
      <c r="D21" s="370"/>
      <c r="E21" s="370"/>
      <c r="F21" s="367">
        <f>ROUND(SUBTOTAL(9,F11:F20),2)</f>
        <v>0</v>
      </c>
      <c r="G21" s="367"/>
      <c r="H21" s="192" cm="1">
        <f t="array" ref="H21">_xlfn.IFS(AND(IS_Expenses[[#This Row],[Used]]=1,IS_Expenses[[#This Row],[Order]]=1),6,AND(IS_Expenses[[#This Row],[Used]]=1,IS_Expenses[[#This Row],[Order]]&gt;1),7,IS_Expenses[[#This Row],[Used]]=0,8)</f>
        <v>8</v>
      </c>
      <c r="I21" t="s">
        <v>611</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612</v>
      </c>
      <c r="W21" s="380">
        <f ca="1">ROUND(L54+SUM(OCI[AmtJournal]),2)</f>
        <v>1.93</v>
      </c>
      <c r="X21" s="380">
        <f ca="1">ROUND(M54+SUM(OCI[AmtAnswer]),2)</f>
        <v>1.93</v>
      </c>
      <c r="Y21" s="380" t="e">
        <f>ROUND(N54+SUM(OCI[AmtFSBuilder]),2)</f>
        <v>#VALUE!</v>
      </c>
      <c r="Z21" s="380"/>
      <c r="AA21" s="380"/>
      <c r="AB21" s="380"/>
      <c r="AF21" s="34"/>
      <c r="AG21" s="34"/>
      <c r="AH21" s="34"/>
      <c r="AP21" s="192" cm="1">
        <f t="array" aca="1" ref="AP21" ca="1">_xlfn.IFS(AND(CFS_CFI[[#This Row],[Used]]=1,CFS_CFI[[#This Row],[Order]]=1),6,AND(CFS_CFI[[#This Row],[Used]]=1,CFS_CFI[[#This Row],[Order]]&gt;1),7,CFS_CFI[[#This Row],[Used]]=0,8)</f>
        <v>8</v>
      </c>
      <c r="AQ21" t="s">
        <v>613</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614</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76</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1.87</v>
      </c>
      <c r="M22" s="368">
        <f ca="1">ROUND(SUMIFS(JournalAnswer[Dr Amt],JournalAnswer[Debit Account],I22,JournalAnswer[ref1],"&lt;&gt;CL"),2)</f>
        <v>1.87</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266</v>
      </c>
      <c r="W22" s="491">
        <f ca="1">ROUND(L54,2)</f>
        <v>1.93</v>
      </c>
      <c r="X22" s="491">
        <f t="shared" ref="X22:Y22" ca="1" si="3">ROUND(M54,2)</f>
        <v>1.93</v>
      </c>
      <c r="Y22" s="491">
        <f t="shared" si="3"/>
        <v>0</v>
      </c>
      <c r="AP22" s="192" cm="1">
        <f t="array" aca="1" ref="AP22" ca="1">_xlfn.IFS(AND(CFS_CFI[[#This Row],[Used]]=1,CFS_CFI[[#This Row],[Order]]=1),6,AND(CFS_CFI[[#This Row],[Used]]=1,CFS_CFI[[#This Row],[Order]]&gt;1),7,CFS_CFI[[#This Row],[Used]]=0,8)</f>
        <v>8</v>
      </c>
      <c r="AQ22" t="s">
        <v>615</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616</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186</v>
      </c>
      <c r="BN22" s="367"/>
      <c r="BO22" s="367"/>
      <c r="BP22" s="367"/>
    </row>
    <row r="23" spans="2:73">
      <c r="B23" s="5" t="s">
        <v>186</v>
      </c>
      <c r="D23" s="367"/>
      <c r="E23" s="367"/>
      <c r="F23" s="367"/>
      <c r="G23" s="369"/>
      <c r="H23" s="192" cm="1">
        <f t="array" ref="H23">_xlfn.IFS(AND(IS_Expenses[[#This Row],[Used]]=1,IS_Expenses[[#This Row],[Order]]=1),6,AND(IS_Expenses[[#This Row],[Used]]=1,IS_Expenses[[#This Row],[Order]]&gt;1),7,IS_Expenses[[#This Row],[Used]]=0,8)</f>
        <v>8</v>
      </c>
      <c r="I23" t="s">
        <v>617</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603</v>
      </c>
      <c r="U23" s="372"/>
      <c r="V23" s="372"/>
      <c r="W23" s="380">
        <f ca="1">ROUND(W21-W22,2)</f>
        <v>0</v>
      </c>
      <c r="X23" s="380">
        <f t="shared" ref="X23:Y23" ca="1" si="4">ROUND(X21-X22,2)</f>
        <v>0</v>
      </c>
      <c r="Y23" s="380" t="e">
        <f t="shared" si="4"/>
        <v>#VALUE!</v>
      </c>
      <c r="AE23" s="5" t="s">
        <v>618</v>
      </c>
      <c r="AP23" s="192" cm="1">
        <f t="array" aca="1" ref="AP23" ca="1">_xlfn.IFS(AND(CFS_CFI[[#This Row],[Used]]=1,CFS_CFI[[#This Row],[Order]]=1),6,AND(CFS_CFI[[#This Row],[Used]]=1,CFS_CFI[[#This Row],[Order]]&gt;1),7,CFS_CFI[[#This Row],[Used]]=0,8)</f>
        <v>8</v>
      </c>
      <c r="AQ23" t="s">
        <v>619</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620</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574</v>
      </c>
      <c r="BM23" s="379" t="s">
        <v>532</v>
      </c>
      <c r="BN23" s="379" t="s">
        <v>575</v>
      </c>
      <c r="BO23" s="466" t="s">
        <v>576</v>
      </c>
      <c r="BP23" s="379" t="s">
        <v>571</v>
      </c>
      <c r="BQ23" s="379" t="s">
        <v>572</v>
      </c>
      <c r="BR23" s="379" t="s">
        <v>573</v>
      </c>
      <c r="BS23" s="470" t="s">
        <v>577</v>
      </c>
      <c r="BT23" s="470" t="s">
        <v>578</v>
      </c>
      <c r="BU23" s="470" t="s">
        <v>579</v>
      </c>
    </row>
    <row r="24" spans="2:73">
      <c r="B24" s="1" t="s">
        <v>574</v>
      </c>
      <c r="C24" s="1" t="s">
        <v>532</v>
      </c>
      <c r="D24" s="369" t="s">
        <v>575</v>
      </c>
      <c r="E24" s="369" t="s">
        <v>576</v>
      </c>
      <c r="F24" s="369" t="s">
        <v>420</v>
      </c>
      <c r="G24" s="370"/>
      <c r="H24" s="192" cm="1">
        <f t="array" ref="H24">_xlfn.IFS(AND(IS_Expenses[[#This Row],[Used]]=1,IS_Expenses[[#This Row],[Order]]=1),6,AND(IS_Expenses[[#This Row],[Used]]=1,IS_Expenses[[#This Row],[Order]]&gt;1),7,IS_Expenses[[#This Row],[Used]]=0,8)</f>
        <v>7</v>
      </c>
      <c r="I24" t="s">
        <v>79</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0.2</v>
      </c>
      <c r="M24" s="368">
        <f ca="1">ROUND(SUMIFS(JournalAnswer[Dr Amt],JournalAnswer[Debit Account],I24,JournalAnswer[ref1],"&lt;&gt;CL"),2)</f>
        <v>0.2</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621</v>
      </c>
      <c r="AF24" t="b">
        <f>AND(D78=1,D81=1,D77=0,D79=0,D80=0,D82=0)</f>
        <v>1</v>
      </c>
      <c r="AP24" s="192" cm="1">
        <f t="array" aca="1" ref="AP24" ca="1">_xlfn.IFS(AND(CFS_CFI[[#This Row],[Used]]=1,CFS_CFI[[#This Row],[Order]]=1),6,AND(CFS_CFI[[#This Row],[Used]]=1,CFS_CFI[[#This Row],[Order]]&gt;1),7,CFS_CFI[[#This Row],[Used]]=0,8)</f>
        <v>8</v>
      </c>
      <c r="AQ24" t="s">
        <v>622</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623</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67</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8</v>
      </c>
      <c r="I25" t="s">
        <v>624</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625</v>
      </c>
      <c r="AF25" t="b">
        <f>AND(D78=1,D81=1,D77=0,D79=1,D80=0,D82=0)</f>
        <v>0</v>
      </c>
      <c r="AP25" s="192" cm="1">
        <f t="array" aca="1" ref="AP25" ca="1">_xlfn.IFS(AND(CFS_CFI[[#This Row],[Used]]=1,CFS_CFI[[#This Row],[Order]]=1),6,AND(CFS_CFI[[#This Row],[Used]]=1,CFS_CFI[[#This Row],[Order]]&gt;1),7,CFS_CFI[[#This Row],[Used]]=0,8)</f>
        <v>8</v>
      </c>
      <c r="AQ25" t="s">
        <v>626</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-0.2</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-0.2</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80</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627</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628</v>
      </c>
      <c r="AF26" t="b">
        <f>AND(D78=1,D81=1,D77=1,D79=1,D80=0,D82=0)</f>
        <v>0</v>
      </c>
      <c r="AP26" s="192" cm="1">
        <f t="array" aca="1" ref="AP26" ca="1">_xlfn.IFS(AND(CFS_CFI[[#This Row],[Used]]=1,CFS_CFI[[#This Row],[Order]]=1),6,AND(CFS_CFI[[#This Row],[Used]]=1,CFS_CFI[[#This Row],[Order]]&gt;1),7,CFS_CFI[[#This Row],[Used]]=0,8)</f>
        <v>6</v>
      </c>
      <c r="AQ26" t="s">
        <v>506</v>
      </c>
      <c r="AR26" s="370">
        <f ca="1">IF(ABS(CFS_CFI[[#This Row],[AmtJournal]])&gt;0,1,0)</f>
        <v>1</v>
      </c>
      <c r="AS26" s="370">
        <f ca="1">IF(CFS_CFI[[#This Row],[Used]]=1,CFS_CFI[[#This Row],[Used]]+SUM(AR20:AR25),0)</f>
        <v>1</v>
      </c>
      <c r="AT26" s="366">
        <f ca="1">-SUMIFS(Journal[Cr Amt],Journal[ref1],"PPPE",Journal[Credit Account],"Cash")</f>
        <v>-1</v>
      </c>
      <c r="AU26" s="366">
        <f ca="1">-SUMIFS(JournalAnswer[Cr Amt],JournalAnswer[ref1],"PPPE",JournalAnswer[Credit Account],"Cash")</f>
        <v>-1</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629</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73</v>
      </c>
      <c r="J27" s="370">
        <f>IF(ISNUMBER(_xlfn.XLOOKUP(IS_Expenses[[#This Row],[Account]],MD_Expense[Account Name],MD_Expense[Used])),_xlfn.XLOOKUP(IS_Expenses[[#This Row],[Account]],MD_Expense[Account Name],MD_Expense[Used]),0)</f>
        <v>1</v>
      </c>
      <c r="K27" s="370">
        <f>IF(IS_Expenses[[#This Row],[Used]]=1,IS_Expenses[[#This Row],[Used]]+SUM(J19:J27),0)</f>
        <v>5</v>
      </c>
      <c r="L27" s="368">
        <f ca="1">ROUND(SUMIFS(Journal[Dr Amt],Journal[Debit Account],I27,Journal[ref1],"&lt;&gt;CL"),2)</f>
        <v>3</v>
      </c>
      <c r="M27" s="368">
        <f ca="1">ROUND(SUMIFS(JournalAnswer[Dr Amt],JournalAnswer[Debit Account],I27,JournalAnswer[ref1],"&lt;&gt;CL"),2)</f>
        <v>3</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630</v>
      </c>
      <c r="AF27" t="b">
        <f>NOT(OR(AF24,AF25,AF26))</f>
        <v>0</v>
      </c>
      <c r="AP27" s="192" cm="1">
        <f t="array" aca="1" ref="AP27" ca="1">_xlfn.IFS(AND(CFS_CFI[[#This Row],[Used]]=1,CFS_CFI[[#This Row],[Order]]=1),6,AND(CFS_CFI[[#This Row],[Used]]=1,CFS_CFI[[#This Row],[Order]]&gt;1),7,CFS_CFI[[#This Row],[Used]]=0,8)</f>
        <v>8</v>
      </c>
      <c r="AQ27" t="s">
        <v>631</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632</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633</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634</v>
      </c>
      <c r="AF28" cm="1">
        <f t="array" ref="AF28">_xlfn.IFS(AF24,1,AF25,2,AF26,3,AF27,4)</f>
        <v>1</v>
      </c>
      <c r="AP28" s="192" cm="1">
        <f t="array" aca="1" ref="AP28" ca="1">_xlfn.IFS(AND(CFS_CFI[[#This Row],[Used]]=1,CFS_CFI[[#This Row],[Order]]=1),6,AND(CFS_CFI[[#This Row],[Used]]=1,CFS_CFI[[#This Row],[Order]]&gt;1),7,CFS_CFI[[#This Row],[Used]]=0,8)</f>
        <v>8</v>
      </c>
      <c r="AQ28" t="s">
        <v>635</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383</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636</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637</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638</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574</v>
      </c>
      <c r="BB29" s="379" t="s">
        <v>532</v>
      </c>
      <c r="BC29" s="379" t="s">
        <v>575</v>
      </c>
      <c r="BD29" s="466" t="s">
        <v>576</v>
      </c>
      <c r="BE29" s="379" t="s">
        <v>571</v>
      </c>
      <c r="BF29" s="379" t="s">
        <v>572</v>
      </c>
      <c r="BG29" s="379" t="s">
        <v>573</v>
      </c>
      <c r="BH29" s="470" t="s">
        <v>577</v>
      </c>
      <c r="BI29" s="470" t="s">
        <v>578</v>
      </c>
      <c r="BJ29" s="470" t="s">
        <v>579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639</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640</v>
      </c>
      <c r="AR30" s="370"/>
      <c r="AS30"/>
      <c r="AT30" s="351">
        <f ca="1">ROUND(SUBTOTAL(9,AT20:AT29),2)</f>
        <v>-1</v>
      </c>
      <c r="AU30" s="351">
        <f t="shared" ref="AU30:AV30" ca="1" si="6">ROUND(SUBTOTAL(9,AU20:AU29),2)</f>
        <v>-1</v>
      </c>
      <c r="AV30" s="351">
        <f t="shared" si="6"/>
        <v>0</v>
      </c>
      <c r="AW30" s="370"/>
      <c r="AX30" s="370"/>
      <c r="AY30" s="370"/>
      <c r="AZ30"/>
      <c r="BA30" s="192">
        <f ca="1">IF(NI_CFO_Recon_Other[[#This Row],[Used]]=1,7,8)</f>
        <v>7</v>
      </c>
      <c r="BB30" t="s">
        <v>641</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0.2</v>
      </c>
      <c r="BF30" s="473">
        <f ca="1">ROUND(SUMIFS(JournalAnswer[Cr Amt],JournalAnswer[Credit Account],"Accumulated Depreciation",JournalAnswer[ref1],"RecDeprExp")+SUMIFS(JournalAnswer[Cr Amt],JournalAnswer[Credit Account],"Accumulated Depreciation",JournalAnswer[ref1],"RecDeprAmortExp"),2)</f>
        <v>0.2</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642</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643</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644</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282</v>
      </c>
      <c r="J32" s="391"/>
      <c r="K32" s="391"/>
      <c r="L32" s="367">
        <f ca="1">ROUND(SUBTOTAL(9,L19:L31),2)</f>
        <v>23.07</v>
      </c>
      <c r="M32" s="367">
        <f ca="1">ROUND(SUBTOTAL(9,M19:M31),2)</f>
        <v>23.07</v>
      </c>
      <c r="N32" s="367">
        <f>ROUND(SUBTOTAL(9,N19:N31),2)</f>
        <v>0</v>
      </c>
      <c r="O32" s="370"/>
      <c r="P32" s="370"/>
      <c r="Q32" s="370"/>
      <c r="AP32" s="372" t="s">
        <v>645</v>
      </c>
      <c r="AQ32" s="181"/>
      <c r="AR32" s="351"/>
      <c r="AS32"/>
      <c r="AT32"/>
      <c r="AU32"/>
      <c r="AV32"/>
      <c r="AW32"/>
      <c r="AX32"/>
      <c r="AY32"/>
      <c r="AZ32"/>
      <c r="BA32" s="192">
        <f ca="1">IF(NI_CFO_Recon_Other[[#This Row],[Used]]=1,7,8)</f>
        <v>8</v>
      </c>
      <c r="BB32" t="s">
        <v>646</v>
      </c>
      <c r="BC32" s="350">
        <f ca="1">IF(ABS(NI_CFO_Recon_Other[[#This Row],[AmtJournal]])&gt;0,1,0)</f>
        <v>0</v>
      </c>
      <c r="BD32" s="350">
        <f ca="1">NI_CFO_Recon_Other[[#This Row],[Used]]+SUM(BC30:BC31)</f>
        <v>1</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647</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574</v>
      </c>
      <c r="AQ33" s="379" t="s">
        <v>532</v>
      </c>
      <c r="AR33" s="379" t="s">
        <v>575</v>
      </c>
      <c r="AS33" s="466" t="s">
        <v>576</v>
      </c>
      <c r="AT33" s="379" t="s">
        <v>571</v>
      </c>
      <c r="AU33" s="379" t="s">
        <v>572</v>
      </c>
      <c r="AV33" s="379" t="s">
        <v>573</v>
      </c>
      <c r="AW33" s="379" t="s">
        <v>577</v>
      </c>
      <c r="AX33" s="379" t="s">
        <v>578</v>
      </c>
      <c r="AY33" s="379" t="s">
        <v>579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122</v>
      </c>
      <c r="AR34" s="383">
        <f ca="1">IF(ABS(CFS_CFF[[#This Row],[AmtJournal]])&gt;0,1,0)</f>
        <v>1</v>
      </c>
      <c r="AS34" s="383">
        <f ca="1">CFS_CFF[[#This Row],[Used]]</f>
        <v>1</v>
      </c>
      <c r="AT34" s="351">
        <f ca="1">SUMIFS(Journal[Dr Amt],Journal[ref1],"ICS",Journal[Debit Account],"Cash")</f>
        <v>3</v>
      </c>
      <c r="AU34" s="351">
        <f ca="1">SUMIFS(JournalAnswer[Dr Amt],JournalAnswer[ref1],"ICS",JournalAnswer[Debit Account],"Cash")</f>
        <v>3</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291</v>
      </c>
      <c r="BN34" s="370">
        <v>1</v>
      </c>
      <c r="BO34" s="370"/>
      <c r="BP34" s="367">
        <f>SUBTOTAL(9,BP24:BP33)</f>
        <v>0.8</v>
      </c>
      <c r="BQ34" s="367">
        <f t="shared" ref="BQ34:BR34" si="7">SUBTOTAL(9,BQ24:BQ33)</f>
        <v>0.8</v>
      </c>
      <c r="BR34" s="367">
        <f t="shared" si="7"/>
        <v>0</v>
      </c>
      <c r="BS34" s="392"/>
      <c r="BT34" s="392"/>
      <c r="BU34" s="392"/>
    </row>
    <row r="35" spans="2:73">
      <c r="B35" s="192">
        <v>5</v>
      </c>
      <c r="C35" t="s">
        <v>291</v>
      </c>
      <c r="D35" s="370"/>
      <c r="E35" s="370"/>
      <c r="F35" s="367">
        <f>ROUND(SUBTOTAL(9,F25:F34),2)</f>
        <v>0</v>
      </c>
      <c r="G35" s="370"/>
      <c r="H35" s="379" t="s">
        <v>574</v>
      </c>
      <c r="I35" s="379" t="s">
        <v>532</v>
      </c>
      <c r="J35" s="379" t="s">
        <v>575</v>
      </c>
      <c r="K35" s="466" t="s">
        <v>576</v>
      </c>
      <c r="L35" s="379" t="s">
        <v>571</v>
      </c>
      <c r="M35" s="379" t="s">
        <v>572</v>
      </c>
      <c r="N35" s="379" t="s">
        <v>573</v>
      </c>
      <c r="O35" s="470" t="s">
        <v>577</v>
      </c>
      <c r="P35" s="470" t="s">
        <v>578</v>
      </c>
      <c r="Q35" s="470" t="s">
        <v>579</v>
      </c>
      <c r="AP35" s="192" cm="1">
        <f t="array" aca="1" ref="AP35" ca="1">_xlfn.IFS(AND(CFS_CFF[[#This Row],[Used]]=1,CFS_CFF[[#This Row],[Order]]=1),6,AND(CFS_CFF[[#This Row],[Used]]=1,CFS_CFF[[#This Row],[Order]]&gt;1),7,CFS_CFF[[#This Row],[Used]]=0,8)</f>
        <v>8</v>
      </c>
      <c r="AQ35" t="s">
        <v>581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256</v>
      </c>
      <c r="BN35" s="391"/>
      <c r="BO35" s="368"/>
      <c r="BP35" s="495">
        <f>BP20+BP34</f>
        <v>24.88</v>
      </c>
      <c r="BQ35" s="373">
        <f t="shared" ref="BQ35:BR35" si="8">BQ20+BQ34</f>
        <v>24.88</v>
      </c>
      <c r="BR35" s="373">
        <f t="shared" si="8"/>
        <v>0</v>
      </c>
      <c r="BS35" s="373"/>
      <c r="BT35" s="373"/>
      <c r="BU35" s="373"/>
    </row>
    <row r="36" spans="2:73">
      <c r="B36" s="192">
        <v>3</v>
      </c>
      <c r="C36" s="5" t="s">
        <v>256</v>
      </c>
      <c r="D36" s="391"/>
      <c r="E36" s="368"/>
      <c r="F36" s="373">
        <f>ROUND(F21+F35,2)</f>
        <v>0</v>
      </c>
      <c r="G36" s="316"/>
      <c r="H36" s="192" cm="1">
        <f t="array" ref="H36">_xlfn.IFS(AND(IS_Gains[[#This Row],[Used]]=1,IS_Gains[[#This Row],[Order]]=1),6,AND(IS_Gains[[#This Row],[Used]]=1,IS_Gains[[#This Row],[Order]]&gt;1),7,IS_Gains[[#This Row],[Used]]=0,8)</f>
        <v>8</v>
      </c>
      <c r="I36" t="s">
        <v>587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648</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649</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7</v>
      </c>
      <c r="AQ37" t="s">
        <v>505</v>
      </c>
      <c r="AR37" s="383">
        <f ca="1">IF(ABS(CFS_CFF[[#This Row],[AmtJournal]])&gt;0,1,0)</f>
        <v>1</v>
      </c>
      <c r="AS37" s="383">
        <f ca="1">IF(CFS_CFF[[#This Row],[Used]]=1,CFS_CFF[[#This Row],[Used]]+SUM(AR34:AR36),0)</f>
        <v>2</v>
      </c>
      <c r="AT37" s="366">
        <f ca="1">SUMIFS(Journal[Dr Amt],Journal[ref1],"IN",Journal[Debit Account],"Cash")</f>
        <v>20</v>
      </c>
      <c r="AU37" s="383">
        <f ca="1">SUMIFS(JournalAnswer[Dr Amt],JournalAnswer[ref1],"IN",JournalAnswer[Debit Account],"Cash")</f>
        <v>20</v>
      </c>
      <c r="AV37" s="366" cm="1">
        <f t="array" ref="AV37">IF(CFS_CFF[[#This Row],[Account]]&lt;&gt;"",_xlfn._xlws.FILTER(FSBuilder[Amount],(FSBuilder[Account or Explanation]=CFS_CFF[[#This Row],[Account]])*(FSBuilder[Statement]="Cash Flow Statement"),0),"")</f>
        <v>0</v>
      </c>
      <c r="AW37" s="383">
        <f ca="1">IF(CFS_CFF[[#This Row],[AmtJournal]]&lt;&gt;0,1,0)</f>
        <v>1</v>
      </c>
      <c r="AX37" s="383">
        <f ca="1">IF(CFS_CFF[[#This Row],[AmtAnswer]]&lt;&gt;0,1,0)</f>
        <v>1</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650</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574</v>
      </c>
      <c r="BB38" s="379" t="s">
        <v>532</v>
      </c>
      <c r="BC38" s="379" t="s">
        <v>575</v>
      </c>
      <c r="BD38" s="466" t="s">
        <v>576</v>
      </c>
      <c r="BE38" s="379" t="s">
        <v>571</v>
      </c>
      <c r="BF38" s="379" t="s">
        <v>572</v>
      </c>
      <c r="BG38" s="379" t="s">
        <v>573</v>
      </c>
      <c r="BH38" s="470" t="s">
        <v>577</v>
      </c>
      <c r="BI38" s="470" t="s">
        <v>578</v>
      </c>
      <c r="BJ38" s="470" t="s">
        <v>579</v>
      </c>
      <c r="BK38" s="216"/>
      <c r="BL38" s="5" t="s">
        <v>191</v>
      </c>
      <c r="BN38" s="316"/>
      <c r="BO38" s="316"/>
      <c r="BP38" s="316"/>
    </row>
    <row r="39" spans="2:73">
      <c r="B39" s="5" t="s">
        <v>191</v>
      </c>
      <c r="D39" s="316"/>
      <c r="E39" s="316"/>
      <c r="F39" s="316"/>
      <c r="G39" s="316"/>
      <c r="H39" s="192" cm="1">
        <f t="array" ref="H39">_xlfn.IFS(AND(IS_Gains[[#This Row],[Used]]=1,IS_Gains[[#This Row],[Order]]=1),6,AND(IS_Gains[[#This Row],[Used]]=1,IS_Gains[[#This Row],[Order]]&gt;1),7,IS_Gains[[#This Row],[Used]]=0,8)</f>
        <v>8</v>
      </c>
      <c r="I39" t="s">
        <v>598</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651</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69</v>
      </c>
      <c r="BC39" s="370">
        <f ca="1">IF(ABS(NI_CFO_Recon_Assets[[#This Row],[AmtJournal]])&gt;0,1,0)</f>
        <v>1</v>
      </c>
      <c r="BD39" s="216">
        <f ca="1">NI_CFO_Recon_Assets[[#This Row],[Used]]</f>
        <v>1</v>
      </c>
      <c r="BE39" s="216">
        <f ca="1">ROUND(SUMIFS(Journal[Cr Amt],Journal[Credit Account],$BB39,Journal[ref3],"TRUE")-SUMIFS(Journal[Dr Amt],Journal[Debit Account],$BB39,Journal[ref3],"TRUE"),2)</f>
        <v>-4.5</v>
      </c>
      <c r="BF39" s="216">
        <f ca="1">ROUND(SUMIFS(JournalAnswer[Cr Amt],JournalAnswer[Credit Account],BB39,JournalAnswer[ref3],"TRUE")-SUMIFS(JournalAnswer[Dr Amt],JournalAnswer[Debit Account],BB39,JournalAnswer[ref3],"TRUE"),2)</f>
        <v>-4.5</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574</v>
      </c>
      <c r="BM39" s="379" t="s">
        <v>532</v>
      </c>
      <c r="BN39" s="379" t="s">
        <v>575</v>
      </c>
      <c r="BO39" s="466" t="s">
        <v>576</v>
      </c>
      <c r="BP39" s="379" t="s">
        <v>571</v>
      </c>
      <c r="BQ39" s="379" t="s">
        <v>572</v>
      </c>
      <c r="BR39" s="379" t="s">
        <v>573</v>
      </c>
      <c r="BS39" s="470" t="s">
        <v>577</v>
      </c>
      <c r="BT39" s="470" t="s">
        <v>578</v>
      </c>
      <c r="BU39" s="470" t="s">
        <v>579</v>
      </c>
    </row>
    <row r="40" spans="2:73">
      <c r="B40" s="1" t="s">
        <v>574</v>
      </c>
      <c r="C40" s="1" t="s">
        <v>532</v>
      </c>
      <c r="D40" s="369" t="s">
        <v>575</v>
      </c>
      <c r="E40" s="369" t="s">
        <v>576</v>
      </c>
      <c r="F40" s="369" t="s">
        <v>420</v>
      </c>
      <c r="G40" s="316"/>
      <c r="H40" s="192" cm="1">
        <f t="array" ref="H40">_xlfn.IFS(AND(IS_Gains[[#This Row],[Used]]=1,IS_Gains[[#This Row],[Order]]=1),6,AND(IS_Gains[[#This Row],[Used]]=1,IS_Gains[[#This Row],[Order]]&gt;1),7,IS_Gains[[#This Row],[Used]]=0,8)</f>
        <v>8</v>
      </c>
      <c r="I40" t="s">
        <v>601</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652</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591</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c r="B41" s="192" cm="1">
        <f t="array" ref="B41">_xlfn.IFS(AND(BCurrLiabs[[#This Row],[Used]]=1,BCurrLiabs[[#This Row],[Order]]=1),6,AND(BCurrLiabs[[#This Row],[Used]]=1,BCurrLiabs[[#This Row],[Order]]&gt;1),7,BCurrLiabs[[#This Row],[Used]]=0,8)</f>
        <v>8</v>
      </c>
      <c r="C41" t="s">
        <v>653</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599</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68</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-2</v>
      </c>
      <c r="BF41" s="216">
        <f ca="1">ROUND(SUMIFS(JournalAnswer[Cr Amt],JournalAnswer[Credit Account],BB41,JournalAnswer[ref3],"TRUE")-SUMIFS(JournalAnswer[Dr Amt],JournalAnswer[Debit Account],BB41,JournalAnswer[ref3],"TRUE"),2)</f>
        <v>-2</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654</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284</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510</v>
      </c>
      <c r="AR42" s="383">
        <f ca="1">IF(ABS(CFS_CFF[[#This Row],[AmtJournal]])&gt;0,1,0)</f>
        <v>1</v>
      </c>
      <c r="AS42" s="383">
        <f ca="1">IF(CFS_CFF[[#This Row],[Used]]=1,CFS_CFF[[#This Row],[Used]]+SUM(AR34:AR41),0)</f>
        <v>3</v>
      </c>
      <c r="AT42" s="366">
        <f ca="1">-SUMIFS(Journal[Cr Amt],Journal[ref1],"PD",Journal[Credit Account],"Cash")</f>
        <v>-0.05</v>
      </c>
      <c r="AU42" s="383">
        <f ca="1">-SUMIFS(JournalAnswer[Cr Amt],JournalAnswer[ref1],"PD",JournalAnswer[Credit Account],"Cash")</f>
        <v>-0.05</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602</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c r="B43" s="192" cm="1">
        <f t="array" ref="B43">_xlfn.IFS(AND(BCurrLiabs[[#This Row],[Used]]=1,BCurrLiabs[[#This Row],[Order]]=1),6,AND(BCurrLiabs[[#This Row],[Used]]=1,BCurrLiabs[[#This Row],[Order]]&gt;1),7,BCurrLiabs[[#This Row],[Used]]=0,8)</f>
        <v>6</v>
      </c>
      <c r="C43" t="s">
        <v>77</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655</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605</v>
      </c>
      <c r="BC43" s="370">
        <f>IF(ABS(NI_CFO_Recon_Assets[[#This Row],[AmtJournal]])&gt;0,1,0)</f>
        <v>0</v>
      </c>
      <c r="BD43" s="216">
        <f ca="1">NI_CFO_Recon_Assets[[#This Row],[Used]]+SUM(BC39:BC42)</f>
        <v>2</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75</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656</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606</v>
      </c>
      <c r="BC44" s="370">
        <f>IF(ABS(NI_CFO_Recon_Assets[[#This Row],[AmtJournal]])&gt;0,1,0)</f>
        <v>0</v>
      </c>
      <c r="BD44" s="216">
        <f ca="1">NI_CFO_Recon_Assets[[#This Row],[Used]]+SUM(BC39:BC43)</f>
        <v>2</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657</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574</v>
      </c>
      <c r="I45" s="379" t="s">
        <v>532</v>
      </c>
      <c r="J45" s="379" t="s">
        <v>575</v>
      </c>
      <c r="K45" s="466" t="s">
        <v>576</v>
      </c>
      <c r="L45" s="379" t="s">
        <v>571</v>
      </c>
      <c r="M45" s="379" t="s">
        <v>572</v>
      </c>
      <c r="N45" s="379" t="s">
        <v>573</v>
      </c>
      <c r="O45" s="470" t="s">
        <v>577</v>
      </c>
      <c r="P45" s="470" t="s">
        <v>578</v>
      </c>
      <c r="Q45" s="470" t="s">
        <v>579</v>
      </c>
      <c r="W45"/>
      <c r="X45"/>
      <c r="Y45"/>
      <c r="Z45"/>
      <c r="AA45"/>
      <c r="AB45"/>
      <c r="AP45" s="192" cm="1">
        <f t="array" aca="1" ref="AP45" ca="1">_xlfn.IFS(AND(CFS_CFF[[#This Row],[Used]]=1,CFS_CFF[[#This Row],[Order]]=1),6,AND(CFS_CFF[[#This Row],[Used]]=1,CFS_CFF[[#This Row],[Order]]&gt;1),7,CFS_CFF[[#This Row],[Used]]=0,8)</f>
        <v>8</v>
      </c>
      <c r="AQ45" t="s">
        <v>658</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636</v>
      </c>
      <c r="BC45" s="370">
        <f>IF(ABS(NI_CFO_Recon_Assets[[#This Row],[AmtJournal]])&gt;0,1,0)</f>
        <v>0</v>
      </c>
      <c r="BD45" s="216">
        <f ca="1">NI_CFO_Recon_Assets[[#This Row],[Used]]+SUM(BC39:BC44)</f>
        <v>2</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659</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610</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596</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2</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660</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614</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661</v>
      </c>
      <c r="AR47" s="383"/>
      <c r="AT47" s="351">
        <f ca="1">ROUND(SUBTOTAL(9,AT34:AT46),2)</f>
        <v>22.95</v>
      </c>
      <c r="AU47" s="351">
        <f t="shared" ref="AU47:AV47" ca="1" si="11">ROUND(SUBTOTAL(9,AU34:AU46),2)</f>
        <v>22.95</v>
      </c>
      <c r="AV47" s="351">
        <f t="shared" si="11"/>
        <v>0</v>
      </c>
      <c r="AW47" s="383"/>
      <c r="AX47" s="383"/>
      <c r="AY47" s="383"/>
      <c r="AZ47"/>
      <c r="BA47" s="192">
        <f>IF(NI_CFO_Recon_Assets[[#This Row],[Used]]=1,7,8)</f>
        <v>8</v>
      </c>
      <c r="BC47" s="370">
        <f>IF(ABS(NI_CFO_Recon_Assets[[#This Row],[AmtJournal]])&gt;0,1,0)</f>
        <v>0</v>
      </c>
      <c r="BD47" s="216">
        <f ca="1">NI_CFO_Recon_Assets[[#This Row],[Used]]+SUM(BC39:BC46)</f>
        <v>2</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tr">
        <f t="shared" si="9"/>
        <v>Salaries &amp; Wages Payable</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c r="B48" s="192" cm="1">
        <f t="array" ref="B48">_xlfn.IFS(AND(BCurrLiabs[[#This Row],[Used]]=1,BCurrLiabs[[#This Row],[Order]]=1),6,AND(BCurrLiabs[[#This Row],[Used]]=1,BCurrLiabs[[#This Row],[Order]]&gt;1),7,BCurrLiabs[[#This Row],[Used]]=0,8)</f>
        <v>8</v>
      </c>
      <c r="C48" t="s">
        <v>662</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616</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2</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663</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620</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664</v>
      </c>
      <c r="AS49"/>
      <c r="AT49"/>
      <c r="AU49"/>
      <c r="AV49"/>
      <c r="AW49"/>
      <c r="AX49"/>
      <c r="AY49"/>
      <c r="AZ49"/>
      <c r="BA49" s="192">
        <f>IF(NI_CFO_Recon_Assets[[#This Row],[Used]]=1,7,8)</f>
        <v>8</v>
      </c>
      <c r="BC49" s="370">
        <f>IF(ABS(NI_CFO_Recon_Assets[[#This Row],[AmtJournal]])&gt;0,1,0)</f>
        <v>0</v>
      </c>
      <c r="BD49" s="216">
        <f ca="1">NI_CFO_Recon_Assets[[#This Row],[Used]]+SUM(BC39:BC48)</f>
        <v>2</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665</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623</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574</v>
      </c>
      <c r="AQ50" s="379" t="s">
        <v>532</v>
      </c>
      <c r="AR50" s="379" t="s">
        <v>575</v>
      </c>
      <c r="AS50" s="466" t="s">
        <v>576</v>
      </c>
      <c r="AT50" s="379" t="s">
        <v>571</v>
      </c>
      <c r="AU50" s="379" t="s">
        <v>572</v>
      </c>
      <c r="AV50" s="379" t="s">
        <v>573</v>
      </c>
      <c r="AW50" s="379" t="s">
        <v>577</v>
      </c>
      <c r="AX50" s="379" t="s">
        <v>578</v>
      </c>
      <c r="AY50" s="379" t="s">
        <v>579</v>
      </c>
      <c r="AZ50"/>
      <c r="BA50" s="192">
        <f>IF(NI_CFO_Recon_Assets[[#This Row],[Used]]=1,7,8)</f>
        <v>8</v>
      </c>
      <c r="BC50" s="370">
        <f>IF(ABS(NI_CFO_Recon_Assets[[#This Row],[AmtJournal]])&gt;0,1,0)</f>
        <v>0</v>
      </c>
      <c r="BD50" s="216">
        <f ca="1">NI_CFO_Recon_Assets[[#This Row],[Used]]+SUM(BC39:BC49)</f>
        <v>2</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265</v>
      </c>
      <c r="AR51" s="251">
        <f ca="1">IF(ABS(CFSummary[[#This Row],[AmtJournal]])&gt;0,1,0)</f>
        <v>1</v>
      </c>
      <c r="AS51" s="251"/>
      <c r="AT51" s="351">
        <f ca="1">ROUND(AT47+AT30+AT16,2)</f>
        <v>17.579999999999998</v>
      </c>
      <c r="AU51" s="351">
        <f t="shared" ref="AU51:AV51" ca="1" si="12">ROUND(AU47+AU30+AU16,2)</f>
        <v>17.579999999999998</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667</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285</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668</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17.579999999999998</v>
      </c>
      <c r="AU53" s="351">
        <f t="shared" ref="AU53:AV53" ca="1" si="14">ROUND(SUM(AU51:AU52),2)</f>
        <v>17.579999999999998</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669</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124</v>
      </c>
      <c r="K54" s="316"/>
      <c r="L54" s="373">
        <f ca="1">ROUND(L15-L32+L42-L52,2)</f>
        <v>1.93</v>
      </c>
      <c r="M54" s="373">
        <f t="shared" ref="M54:N54" ca="1" si="15">ROUND(M15-M32+M42-M52,2)</f>
        <v>1.93</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670</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128</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671</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574</v>
      </c>
      <c r="AQ56" s="379" t="s">
        <v>532</v>
      </c>
      <c r="AR56" s="379" t="s">
        <v>575</v>
      </c>
      <c r="AS56" s="466" t="s">
        <v>576</v>
      </c>
      <c r="AT56" s="379" t="s">
        <v>571</v>
      </c>
      <c r="AU56" s="379" t="s">
        <v>572</v>
      </c>
      <c r="AV56" s="379" t="s">
        <v>573</v>
      </c>
      <c r="AW56" s="379" t="s">
        <v>577</v>
      </c>
      <c r="AX56" s="379" t="s">
        <v>578</v>
      </c>
      <c r="AY56" s="379" t="s">
        <v>579</v>
      </c>
      <c r="AZ56"/>
      <c r="BA56" s="379" t="s">
        <v>574</v>
      </c>
      <c r="BB56" s="379" t="s">
        <v>532</v>
      </c>
      <c r="BC56" s="379" t="s">
        <v>575</v>
      </c>
      <c r="BD56" s="466" t="s">
        <v>576</v>
      </c>
      <c r="BE56" s="379" t="s">
        <v>571</v>
      </c>
      <c r="BF56" s="379" t="s">
        <v>572</v>
      </c>
      <c r="BG56" s="379" t="s">
        <v>573</v>
      </c>
      <c r="BH56" s="470" t="s">
        <v>577</v>
      </c>
      <c r="BI56" s="470" t="s">
        <v>578</v>
      </c>
      <c r="BJ56" s="470" t="s">
        <v>579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672</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653</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293</v>
      </c>
      <c r="BN57" s="370"/>
      <c r="BO57" s="370"/>
      <c r="BP57" s="367">
        <f>SUM(BP40:BP56)</f>
        <v>0</v>
      </c>
      <c r="BQ57" s="367">
        <f t="shared" ref="BQ57:BR57" si="16">SUM(BQ40:BQ56)</f>
        <v>0</v>
      </c>
      <c r="BR57" s="367">
        <f t="shared" si="16"/>
        <v>0</v>
      </c>
      <c r="BS57" s="392"/>
      <c r="BT57" s="392"/>
      <c r="BU57" s="392"/>
    </row>
    <row r="58" spans="2:73">
      <c r="B58" s="192">
        <v>5</v>
      </c>
      <c r="C58" t="s">
        <v>293</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673</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654</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8</v>
      </c>
      <c r="BB59" t="s">
        <v>77</v>
      </c>
      <c r="BC59" s="370">
        <f ca="1">IF(ABS(NI_CFO_Recon_Liabilities[[#This Row],[AmtJournal]])&gt;0,1,0)</f>
        <v>0</v>
      </c>
      <c r="BD59" s="216">
        <f ca="1">NI_CFO_Recon_Liabilities[[#This Row],[Used]]+SUM(BC57:BC58)</f>
        <v>0</v>
      </c>
      <c r="BE59" s="216">
        <f ca="1">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0</v>
      </c>
      <c r="BI59" s="392">
        <f ca="1">IF(ABS(NI_CFO_Recon_Liabilities[[#This Row],[AmtAnswer]])&gt;0,1,0)</f>
        <v>0</v>
      </c>
      <c r="BJ59" s="392">
        <f>IF(ABS(NI_CFO_Recon_Liabilities[[#This Row],[AmtFSBuilder]])&gt;0,1,0)</f>
        <v>0</v>
      </c>
      <c r="BK59" s="216"/>
      <c r="BL59" s="5" t="s">
        <v>208</v>
      </c>
      <c r="BN59" s="316"/>
      <c r="BO59" s="316"/>
      <c r="BP59" s="316"/>
    </row>
    <row r="60" spans="2:73">
      <c r="B60" s="5" t="s">
        <v>208</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657</v>
      </c>
      <c r="BC60" s="370">
        <f>IF(ABS(NI_CFO_Recon_Liabilities[[#This Row],[AmtJournal]])&gt;0,1,0)</f>
        <v>0</v>
      </c>
      <c r="BD60" s="216">
        <f ca="1">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574</v>
      </c>
      <c r="BM60" s="379" t="s">
        <v>532</v>
      </c>
      <c r="BN60" s="379" t="s">
        <v>575</v>
      </c>
      <c r="BO60" s="466" t="s">
        <v>576</v>
      </c>
      <c r="BP60" s="379" t="s">
        <v>571</v>
      </c>
      <c r="BQ60" s="379" t="s">
        <v>572</v>
      </c>
      <c r="BR60" s="379" t="s">
        <v>573</v>
      </c>
      <c r="BS60" s="470" t="s">
        <v>577</v>
      </c>
      <c r="BT60" s="470" t="s">
        <v>578</v>
      </c>
      <c r="BU60" s="470" t="s">
        <v>579</v>
      </c>
    </row>
    <row r="61" spans="2:73">
      <c r="B61" s="375" t="s">
        <v>574</v>
      </c>
      <c r="C61" s="313" t="s">
        <v>532</v>
      </c>
      <c r="D61" s="376" t="s">
        <v>575</v>
      </c>
      <c r="E61" s="377" t="s">
        <v>576</v>
      </c>
      <c r="F61" s="376" t="s">
        <v>420</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659</v>
      </c>
      <c r="BC61" s="370">
        <f>IF(ABS(NI_CFO_Recon_Liabilities[[#This Row],[AmtJournal]])&gt;0,1,0)</f>
        <v>0</v>
      </c>
      <c r="BD61" s="216">
        <f ca="1">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674</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675</v>
      </c>
      <c r="AR62" s="391">
        <f ca="1">COUNTIF(Noncash_IF[AmtJournal],"&gt;0")+COUNTIF(Noncash_IF[AmtAnswer],"&gt;0")</f>
        <v>0</v>
      </c>
      <c r="AS62"/>
      <c r="AT62"/>
      <c r="AU62"/>
      <c r="AV62"/>
      <c r="AW62"/>
      <c r="AX62"/>
      <c r="AY62"/>
      <c r="AZ62"/>
      <c r="BA62" s="192">
        <f>IF(NI_CFO_Recon_Liabilities[[#This Row],[Used]]=1,7,8)</f>
        <v>8</v>
      </c>
      <c r="BB62" t="s">
        <v>660</v>
      </c>
      <c r="BC62" s="370">
        <f>IF(ABS(NI_CFO_Recon_Liabilities[[#This Row],[AmtJournal]])&gt;0,1,0)</f>
        <v>0</v>
      </c>
      <c r="BD62" s="216">
        <f ca="1">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20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1</v>
      </c>
      <c r="BT62" s="392">
        <f>ENonCurrLiabs[[#This Row],[Used]]*(ENonCurrLiabs[[#This Row],[AmtAnswer]]&lt;&gt;0)</f>
        <v>1</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6</v>
      </c>
      <c r="C63" t="s">
        <v>66</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662</v>
      </c>
      <c r="BC63" s="370">
        <f>IF(ABS(NI_CFO_Recon_Liabilities[[#This Row],[AmtJournal]])&gt;0,1,0)</f>
        <v>0</v>
      </c>
      <c r="BD63" s="216">
        <f ca="1">NI_CFO_Recon_Liabilities[[#This Row],[Used]]+SUM(BC57:BC62)</f>
        <v>0</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663</v>
      </c>
      <c r="BC64" s="370">
        <f>IF(ABS(NI_CFO_Recon_Liabilities[[#This Row],[AmtJournal]])&gt;0,1,0)</f>
        <v>0</v>
      </c>
      <c r="BD64" s="216">
        <f ca="1">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677</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666</v>
      </c>
      <c r="BC65" s="370">
        <f>IF(ABS(NI_CFO_Recon_Liabilities[[#This Row],[AmtJournal]])&gt;0,1,0)</f>
        <v>0</v>
      </c>
      <c r="BD65" s="216">
        <f ca="1">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678</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667</v>
      </c>
      <c r="BC66" s="370">
        <f>IF(ABS(NI_CFO_Recon_Liabilities[[#This Row],[AmtJournal]])&gt;0,1,0)</f>
        <v>0</v>
      </c>
      <c r="BD66" s="216">
        <f ca="1">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679</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668</v>
      </c>
      <c r="BC67" s="370">
        <f>IF(ABS(NI_CFO_Recon_Liabilities[[#This Row],[AmtJournal]])&gt;0,1,0)</f>
        <v>0</v>
      </c>
      <c r="BD67" s="216">
        <f ca="1">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680</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669</v>
      </c>
      <c r="BC68" s="370">
        <f>IF(ABS(NI_CFO_Recon_Liabilities[[#This Row],[AmtJournal]])&gt;0,1,0)</f>
        <v>0</v>
      </c>
      <c r="BD68" s="216">
        <f ca="1">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681</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678</v>
      </c>
      <c r="BC69" s="370">
        <f>IF(ABS(NI_CFO_Recon_Liabilities[[#This Row],[AmtJournal]])&gt;0,1,0)</f>
        <v>0</v>
      </c>
      <c r="BD69" s="216">
        <f ca="1">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682</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295</v>
      </c>
      <c r="BN71" s="370"/>
      <c r="BO71" s="370"/>
      <c r="BP71" s="367">
        <f>SUM(BP61:BP70)</f>
        <v>20</v>
      </c>
      <c r="BQ71" s="367">
        <f t="shared" ref="BQ71:BR71" si="18">SUM(BQ61:BQ70)</f>
        <v>20</v>
      </c>
      <c r="BR71" s="367">
        <f t="shared" si="18"/>
        <v>0</v>
      </c>
      <c r="BS71" s="392"/>
      <c r="BT71" s="392"/>
      <c r="BU71" s="392"/>
    </row>
    <row r="72" spans="2:73">
      <c r="B72" s="192">
        <v>5</v>
      </c>
      <c r="C72" t="s">
        <v>295</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259</v>
      </c>
      <c r="BN72" s="391"/>
      <c r="BO72" s="391"/>
      <c r="BP72" s="494">
        <f>BP57+BP71</f>
        <v>20</v>
      </c>
      <c r="BQ72" s="367">
        <f t="shared" ref="BQ72:BR72" si="19">BQ57+BQ71</f>
        <v>20</v>
      </c>
      <c r="BR72" s="367">
        <f t="shared" si="19"/>
        <v>0</v>
      </c>
      <c r="BS72" s="495"/>
      <c r="BT72" s="495"/>
      <c r="BU72" s="495"/>
    </row>
    <row r="73" spans="2:73">
      <c r="B73" s="192">
        <v>3</v>
      </c>
      <c r="C73" s="5" t="s">
        <v>259</v>
      </c>
      <c r="D73" s="391"/>
      <c r="E73" s="391"/>
      <c r="F73" s="373">
        <f>ROUND(F58+F72,2)</f>
        <v>0</v>
      </c>
      <c r="G73" s="316"/>
      <c r="AS73"/>
      <c r="AT73"/>
      <c r="AU73"/>
      <c r="AV73"/>
      <c r="AW73"/>
      <c r="AX73"/>
      <c r="AY73"/>
      <c r="AZ73"/>
      <c r="BB73" s="181" t="s">
        <v>683</v>
      </c>
      <c r="BC73" s="370"/>
      <c r="BD73" s="216"/>
      <c r="BE73" s="390">
        <f ca="1">SUBTOTAL(9,BE7:BE72)</f>
        <v>-4.37</v>
      </c>
      <c r="BF73" s="390">
        <f ca="1">SUBTOTAL(9,BF7:BF72)</f>
        <v>-4.37</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684</v>
      </c>
      <c r="BD75" s="216"/>
      <c r="BE75" s="216"/>
      <c r="BF75" s="216"/>
      <c r="BG75" s="216"/>
      <c r="BH75" s="216"/>
      <c r="BI75" s="216"/>
      <c r="BJ75" s="216"/>
      <c r="BK75" s="216"/>
      <c r="BL75" s="379" t="s">
        <v>574</v>
      </c>
      <c r="BM75" s="379" t="s">
        <v>532</v>
      </c>
      <c r="BN75" s="379" t="s">
        <v>575</v>
      </c>
      <c r="BO75" s="466" t="s">
        <v>576</v>
      </c>
      <c r="BP75" s="379" t="s">
        <v>571</v>
      </c>
      <c r="BQ75" s="379" t="s">
        <v>572</v>
      </c>
      <c r="BR75" s="379" t="s">
        <v>573</v>
      </c>
      <c r="BS75" s="470" t="s">
        <v>577</v>
      </c>
      <c r="BT75" s="470" t="s">
        <v>578</v>
      </c>
      <c r="BU75" s="470" t="s">
        <v>579</v>
      </c>
    </row>
    <row r="76" spans="2:73">
      <c r="B76" s="375" t="s">
        <v>574</v>
      </c>
      <c r="C76" s="313" t="s">
        <v>532</v>
      </c>
      <c r="D76" s="376" t="s">
        <v>575</v>
      </c>
      <c r="E76" s="377" t="s">
        <v>576</v>
      </c>
      <c r="F76" s="376" t="s">
        <v>420</v>
      </c>
      <c r="G76" s="316"/>
      <c r="AS76"/>
      <c r="AT76"/>
      <c r="AU76"/>
      <c r="AV76"/>
      <c r="AW76"/>
      <c r="AX76"/>
      <c r="AY76"/>
      <c r="AZ76"/>
      <c r="BA76" s="379" t="s">
        <v>574</v>
      </c>
      <c r="BB76" s="379" t="s">
        <v>532</v>
      </c>
      <c r="BC76" s="379" t="s">
        <v>575</v>
      </c>
      <c r="BD76" s="466" t="s">
        <v>576</v>
      </c>
      <c r="BE76" s="379" t="s">
        <v>571</v>
      </c>
      <c r="BF76" s="379" t="s">
        <v>572</v>
      </c>
      <c r="BG76" s="379" t="s">
        <v>573</v>
      </c>
      <c r="BH76" s="470" t="s">
        <v>577</v>
      </c>
      <c r="BI76" s="470" t="s">
        <v>578</v>
      </c>
      <c r="BJ76" s="470" t="s">
        <v>579</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237</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685</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3</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3</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64</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686</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1.87</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243</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248</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154</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1.88</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1.88</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74</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574</v>
      </c>
      <c r="BB81" s="379" t="s">
        <v>532</v>
      </c>
      <c r="BC81" s="379" t="s">
        <v>575</v>
      </c>
      <c r="BD81" s="466" t="s">
        <v>576</v>
      </c>
      <c r="BE81" s="379" t="s">
        <v>571</v>
      </c>
      <c r="BF81" s="379" t="s">
        <v>572</v>
      </c>
      <c r="BG81" s="379" t="s">
        <v>573</v>
      </c>
      <c r="BH81" s="470" t="s">
        <v>577</v>
      </c>
      <c r="BI81" s="470" t="s">
        <v>578</v>
      </c>
      <c r="BJ81" s="470" t="s">
        <v>579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250</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641</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0.2</v>
      </c>
      <c r="BF82" s="34">
        <f ca="1">ROUND(SUMIFS(JournalAnswer[Cr Amt],JournalAnswer[Credit Account],"Accumulated Depreciation",JournalAnswer[ref1],"RecDeprExp")+SUMIFS(JournalAnswer[Cr Amt],JournalAnswer[Credit Account],"Accumulated Depreciation",JournalAnswer[ref1],"RecDeprAmortExp"),2)</f>
        <v>0.2</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687</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643</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260</v>
      </c>
      <c r="BN83" s="391">
        <v>1</v>
      </c>
      <c r="BO83" s="370"/>
      <c r="BP83" s="475">
        <f>ROUND(SUM(BP76:BP82),2)</f>
        <v>4.88</v>
      </c>
      <c r="BQ83" s="475">
        <f t="shared" ref="BQ83:BR83" si="21">ROUND(SUM(BQ76:BQ82),2)</f>
        <v>4.88</v>
      </c>
      <c r="BR83" s="475">
        <f t="shared" si="21"/>
        <v>0</v>
      </c>
      <c r="BS83" s="475"/>
      <c r="BT83" s="475"/>
      <c r="BU83" s="475"/>
    </row>
    <row r="84" spans="2:73">
      <c r="B84" s="192">
        <v>3</v>
      </c>
      <c r="C84" s="5" t="s">
        <v>260</v>
      </c>
      <c r="D84" s="391"/>
      <c r="E84" s="370"/>
      <c r="F84" s="475">
        <f>ROUND(SUBTOTAL(9,F77:F83),2)</f>
        <v>0</v>
      </c>
      <c r="AS84"/>
      <c r="AT84"/>
      <c r="AU84"/>
      <c r="AV84"/>
      <c r="AW84"/>
      <c r="AX84"/>
      <c r="AY84"/>
      <c r="AZ84"/>
      <c r="BA84" s="192">
        <f ca="1">IF(NI_CFO_Recon_Adjs[[#This Row],[Used]]=1,7,8)</f>
        <v>8</v>
      </c>
      <c r="BB84" s="3" t="s">
        <v>646</v>
      </c>
      <c r="BC84" s="391">
        <f ca="1">IF(ABS(NI_CFO_Recon_Adjs[[#This Row],[AmtJournal]])&gt;0,1,0)</f>
        <v>0</v>
      </c>
      <c r="BD84" s="392">
        <f ca="1">NI_CFO_Recon_Adjs[[#This Row],[Used]]+SUM(BC82:BC83)</f>
        <v>1</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688</v>
      </c>
      <c r="D85" s="391"/>
      <c r="E85" s="391"/>
      <c r="F85" s="475">
        <f>ROUND(F73+F84,2)</f>
        <v>0</v>
      </c>
      <c r="AS85"/>
      <c r="AT85"/>
      <c r="AU85"/>
      <c r="AV85"/>
      <c r="AW85"/>
      <c r="AX85"/>
      <c r="AY85"/>
      <c r="AZ85"/>
      <c r="BA85" s="192">
        <f>IF(NI_CFO_Recon_Adjs[[#This Row],[Used]]=1,7,8)</f>
        <v>8</v>
      </c>
      <c r="BB85" s="3" t="s">
        <v>587</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688</v>
      </c>
      <c r="BN85" s="391">
        <v>1</v>
      </c>
      <c r="BO85" s="391"/>
      <c r="BP85" s="475">
        <f>ROUND(BP72+BP83,2)</f>
        <v>24.88</v>
      </c>
      <c r="BQ85" s="475">
        <f t="shared" ref="BQ85:BR85" si="22">ROUND(BQ72+BQ83,2)</f>
        <v>24.88</v>
      </c>
      <c r="BR85" s="475">
        <f t="shared" si="22"/>
        <v>0</v>
      </c>
      <c r="BS85" s="475"/>
      <c r="BT85" s="475"/>
      <c r="BU85" s="475"/>
    </row>
    <row r="86" spans="2:73">
      <c r="AS86"/>
      <c r="AT86"/>
      <c r="AU86"/>
      <c r="AV86"/>
      <c r="AW86"/>
      <c r="AX86"/>
      <c r="AY86"/>
      <c r="AZ86"/>
      <c r="BA86" s="192">
        <f>IF(NI_CFO_Recon_Adjs[[#This Row],[Used]]=1,7,8)</f>
        <v>8</v>
      </c>
      <c r="BB86" s="3" t="s">
        <v>590</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689</v>
      </c>
      <c r="D87" s="5"/>
      <c r="I87" s="5" t="s">
        <v>690</v>
      </c>
      <c r="J87" s="5"/>
      <c r="AS87"/>
      <c r="AT87"/>
      <c r="AU87"/>
      <c r="AV87"/>
      <c r="AW87"/>
      <c r="AX87"/>
      <c r="AY87"/>
      <c r="AZ87"/>
      <c r="BA87" s="192">
        <f>IF(NI_CFO_Recon_Adjs[[#This Row],[Used]]=1,7,8)</f>
        <v>8</v>
      </c>
      <c r="BB87" s="3" t="s">
        <v>594</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9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598</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601</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Interest Expense</v>
      </c>
      <c r="AS90"/>
      <c r="AT90"/>
      <c r="AU90"/>
      <c r="AV90"/>
      <c r="AW90"/>
      <c r="AX90"/>
      <c r="AY90"/>
      <c r="AZ90"/>
      <c r="BA90" s="192">
        <f>IF(NI_CFO_Recon_Adjs[[#This Row],[Used]]=1,7,8)</f>
        <v>8</v>
      </c>
      <c r="BB90" s="3" t="s">
        <v>610</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Property, Plant &amp; Equipment</v>
      </c>
      <c r="I91" t="str">
        <v>Depreciation Expense</v>
      </c>
      <c r="AS91"/>
      <c r="AT91"/>
      <c r="AU91"/>
      <c r="AV91"/>
      <c r="AW91"/>
      <c r="AX91"/>
      <c r="AY91"/>
      <c r="AZ91"/>
      <c r="BA91" s="192">
        <f>IF(NI_CFO_Recon_Adjs[[#This Row],[Used]]=1,7,8)</f>
        <v>8</v>
      </c>
      <c r="BB91" s="3" t="s">
        <v>614</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Accumulated Depreciation</v>
      </c>
      <c r="I92" t="str">
        <v>Salaries &amp; Wages Expense</v>
      </c>
      <c r="AS92"/>
      <c r="AT92"/>
      <c r="AU92"/>
      <c r="AV92"/>
      <c r="AW92"/>
      <c r="AX92"/>
      <c r="AY92"/>
      <c r="AZ92"/>
      <c r="BA92" s="192">
        <f>IF(NI_CFO_Recon_Adjs[[#This Row],[Used]]=1,7,8)</f>
        <v>8</v>
      </c>
      <c r="BB92" s="3" t="s">
        <v>616</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Interest Payable</v>
      </c>
      <c r="I93" t="str">
        <v/>
      </c>
      <c r="AS93"/>
      <c r="AT93"/>
      <c r="AU93"/>
      <c r="AV93"/>
      <c r="AW93"/>
      <c r="AX93"/>
      <c r="AY93"/>
      <c r="AZ93"/>
      <c r="BA93" s="192">
        <f>IF(NI_CFO_Recon_Adjs[[#This Row],[Used]]=1,7,8)</f>
        <v>8</v>
      </c>
      <c r="BB93" s="3" t="s">
        <v>620</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Dividends Payable</v>
      </c>
      <c r="I94" t="str">
        <v/>
      </c>
      <c r="AS94"/>
      <c r="AT94"/>
      <c r="AU94"/>
      <c r="AV94"/>
      <c r="AW94"/>
      <c r="AX94"/>
      <c r="AY94"/>
      <c r="AZ94"/>
      <c r="BA94" s="192">
        <f>IF(NI_CFO_Recon_Adjs[[#This Row],[Used]]=1,7,8)</f>
        <v>8</v>
      </c>
      <c r="BB94" s="3" t="s">
        <v>623</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Notes Payable</v>
      </c>
      <c r="AS95"/>
      <c r="AT95"/>
      <c r="AU95"/>
      <c r="AV95"/>
      <c r="AW95"/>
      <c r="AX95"/>
      <c r="AY95"/>
      <c r="AZ95"/>
      <c r="BN95" s="368"/>
    </row>
    <row r="96" spans="2:73">
      <c r="C96" t="str">
        <v>Common Stock</v>
      </c>
      <c r="AS96"/>
      <c r="AT96"/>
      <c r="AU96"/>
      <c r="AV96"/>
      <c r="AW96"/>
      <c r="AX96"/>
      <c r="AY96"/>
      <c r="AZ96"/>
      <c r="BA96" s="372" t="s">
        <v>691</v>
      </c>
      <c r="BN96" s="368"/>
    </row>
    <row r="97" spans="3:66">
      <c r="C97" t="str">
        <v>Retained Earnings</v>
      </c>
      <c r="AS97"/>
      <c r="AT97"/>
      <c r="AU97"/>
      <c r="AV97"/>
      <c r="AW97"/>
      <c r="AX97"/>
      <c r="AY97"/>
      <c r="AZ97"/>
      <c r="BA97" s="379" t="s">
        <v>574</v>
      </c>
      <c r="BB97" s="379" t="s">
        <v>532</v>
      </c>
      <c r="BC97" s="379" t="s">
        <v>575</v>
      </c>
      <c r="BD97" s="466" t="s">
        <v>576</v>
      </c>
      <c r="BE97" s="379" t="s">
        <v>571</v>
      </c>
      <c r="BF97" s="379" t="s">
        <v>572</v>
      </c>
      <c r="BG97" s="379" t="s">
        <v>573</v>
      </c>
      <c r="BH97" s="470" t="s">
        <v>577</v>
      </c>
      <c r="BI97" s="470" t="s">
        <v>578</v>
      </c>
      <c r="BJ97" s="470" t="s">
        <v>579</v>
      </c>
      <c r="BN97" s="368"/>
    </row>
    <row r="98" spans="3:66">
      <c r="AS98"/>
      <c r="AT98"/>
      <c r="AU98"/>
      <c r="AV98"/>
      <c r="AW98"/>
      <c r="AX98"/>
      <c r="AY98"/>
      <c r="AZ98"/>
      <c r="BA98" s="192">
        <f ca="1">IF(NI_CFO_Recon_Chs_Ops[[#This Row],[Order]]=1,7,8)</f>
        <v>7</v>
      </c>
      <c r="BB98" s="3" t="s">
        <v>69</v>
      </c>
      <c r="BC98" s="391">
        <f ca="1">IF(ABS(NI_CFO_Recon_Chs_Ops[[#This Row],[AmtJournal]])&gt;0,1,0)</f>
        <v>1</v>
      </c>
      <c r="BD98" s="391">
        <f ca="1">NI_CFO_Recon_Chs_Ops[[#This Row],[Used]]</f>
        <v>1</v>
      </c>
      <c r="BE98" s="34">
        <f ca="1">ROUND(BE39,2)</f>
        <v>-4.5</v>
      </c>
      <c r="BF98" s="34">
        <f t="shared" ref="BF98:BG98" ca="1" si="23">ROUND(BF39,2)</f>
        <v>-4.5</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AS99"/>
      <c r="AT99"/>
      <c r="AU99"/>
      <c r="AV99"/>
      <c r="AW99"/>
      <c r="AX99"/>
      <c r="AY99"/>
      <c r="AZ99"/>
      <c r="BA99" s="192">
        <f ca="1">IF(NI_CFO_Recon_Chs_Ops[[#This Row],[Order]]=1,7,8)</f>
        <v>7</v>
      </c>
      <c r="BB99" s="3" t="s">
        <v>591</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AS100"/>
      <c r="AT100"/>
      <c r="AU100"/>
      <c r="AV100"/>
      <c r="AW100"/>
      <c r="AX100"/>
      <c r="AY100"/>
      <c r="AZ100"/>
      <c r="BA100" s="192">
        <f ca="1">IF(NI_CFO_Recon_Chs_Ops[[#This Row],[Order]]=1,7,8)</f>
        <v>8</v>
      </c>
      <c r="BB100" s="3" t="s">
        <v>68</v>
      </c>
      <c r="BC100" s="391">
        <f ca="1">IF(ABS(NI_CFO_Recon_Chs_Ops[[#This Row],[AmtJournal]])&gt;0,1,0)</f>
        <v>1</v>
      </c>
      <c r="BD100" s="391">
        <f ca="1">NI_CFO_Recon_Chs_Ops[[#This Row],[Used]]+SUM(BC98:BC99)</f>
        <v>2</v>
      </c>
      <c r="BE100" s="34">
        <f t="shared" ca="1" si="24"/>
        <v>-2</v>
      </c>
      <c r="BF100" s="34">
        <f t="shared" ca="1" si="24"/>
        <v>-2</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602</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605</v>
      </c>
      <c r="BC102" s="391">
        <f>IF(ABS(NI_CFO_Recon_Chs_Ops[[#This Row],[AmtJournal]])&gt;0,1,0)</f>
        <v>0</v>
      </c>
      <c r="BD102" s="391">
        <f ca="1">NI_CFO_Recon_Chs_Ops[[#This Row],[Used]]+SUM(BC98:BC101)</f>
        <v>2</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c r="AS103"/>
      <c r="AZ103"/>
      <c r="BA103" s="192">
        <f ca="1">IF(NI_CFO_Recon_Chs_Ops[[#This Row],[Order]]=1,7,8)</f>
        <v>8</v>
      </c>
      <c r="BB103" s="3" t="s">
        <v>606</v>
      </c>
      <c r="BC103" s="391">
        <f>IF(ABS(NI_CFO_Recon_Chs_Ops[[#This Row],[AmtJournal]])&gt;0,1,0)</f>
        <v>0</v>
      </c>
      <c r="BD103" s="391">
        <f ca="1">NI_CFO_Recon_Chs_Ops[[#This Row],[Used]]+SUM(BC98:BC102)</f>
        <v>2</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636</v>
      </c>
      <c r="BC104" s="391">
        <f>IF(ABS(NI_CFO_Recon_Chs_Ops[[#This Row],[AmtJournal]])&gt;0,1,0)</f>
        <v>0</v>
      </c>
      <c r="BD104" s="391">
        <f ca="1">NI_CFO_Recon_Chs_Ops[[#This Row],[Used]]+SUM(BC98:BC103)</f>
        <v>2</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653</v>
      </c>
      <c r="BC105" s="391">
        <f>IF(ABS(NI_CFO_Recon_Chs_Ops[[#This Row],[AmtJournal]])&gt;0,1,0)</f>
        <v>0</v>
      </c>
      <c r="BD105" s="391">
        <f ca="1">NI_CFO_Recon_Chs_Ops[[#This Row],[Used]]+SUM(BC98:BC104)</f>
        <v>2</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c r="I106" s="5"/>
      <c r="BA106" s="192">
        <f ca="1">IF(NI_CFO_Recon_Chs_Ops[[#This Row],[Order]]=1,7,8)</f>
        <v>8</v>
      </c>
      <c r="BB106" s="3" t="s">
        <v>654</v>
      </c>
      <c r="BC106" s="391">
        <f>IF(ABS(NI_CFO_Recon_Chs_Ops[[#This Row],[AmtJournal]])&gt;0,1,0)</f>
        <v>0</v>
      </c>
      <c r="BD106" s="391">
        <f ca="1">NI_CFO_Recon_Chs_Ops[[#This Row],[Used]]+SUM(BC98:BC105)</f>
        <v>2</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77</v>
      </c>
      <c r="BC107" s="391">
        <f ca="1">IF(ABS(NI_CFO_Recon_Chs_Ops[[#This Row],[AmtJournal]])&gt;0,1,0)</f>
        <v>0</v>
      </c>
      <c r="BD107" s="391">
        <f ca="1">NI_CFO_Recon_Chs_Ops[[#This Row],[Used]]+SUM(BC98:BC106)</f>
        <v>2</v>
      </c>
      <c r="BE107" s="34">
        <f t="shared" ca="1" si="26"/>
        <v>0</v>
      </c>
      <c r="BF107" s="34">
        <f t="shared" ca="1" si="26"/>
        <v>0</v>
      </c>
      <c r="BG107" s="34">
        <f t="shared" si="26"/>
        <v>0</v>
      </c>
      <c r="BH107" s="392">
        <f ca="1">IF(ABS(NI_CFO_Recon_Chs_Ops[[#This Row],[AmtJournal]])&gt;0,1,0)</f>
        <v>0</v>
      </c>
      <c r="BI107" s="392">
        <f ca="1">IF(ABS(NI_CFO_Recon_Chs_Ops[[#This Row],[AmtAnswer]])&gt;0,1,0)</f>
        <v>0</v>
      </c>
      <c r="BJ107" s="392">
        <f>IF(ABS(NI_CFO_Recon_Chs_Ops[[#This Row],[AmtFSBuilder]])&gt;0,1,0)</f>
        <v>0</v>
      </c>
    </row>
    <row r="108" spans="3:66">
      <c r="BA108" s="192">
        <f ca="1">IF(NI_CFO_Recon_Chs_Ops[[#This Row],[Order]]=1,7,8)</f>
        <v>8</v>
      </c>
      <c r="BB108" s="3" t="s">
        <v>657</v>
      </c>
      <c r="BC108" s="391">
        <f>IF(ABS(NI_CFO_Recon_Chs_Ops[[#This Row],[AmtJournal]])&gt;0,1,0)</f>
        <v>0</v>
      </c>
      <c r="BD108" s="391">
        <f ca="1">NI_CFO_Recon_Chs_Ops[[#This Row],[Used]]+SUM(BC98:BC107)</f>
        <v>2</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659</v>
      </c>
      <c r="BC109" s="391">
        <f>IF(ABS(NI_CFO_Recon_Chs_Ops[[#This Row],[AmtJournal]])&gt;0,1,0)</f>
        <v>0</v>
      </c>
      <c r="BD109" s="391">
        <f ca="1">NI_CFO_Recon_Chs_Ops[[#This Row],[Used]]+SUM(BC98:BC108)</f>
        <v>2</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660</v>
      </c>
      <c r="BC110" s="391">
        <f>IF(ABS(NI_CFO_Recon_Chs_Ops[[#This Row],[AmtJournal]])&gt;0,1,0)</f>
        <v>0</v>
      </c>
      <c r="BD110" s="391">
        <f ca="1">NI_CFO_Recon_Chs_Ops[[#This Row],[Used]]+SUM(BC98:BC109)</f>
        <v>2</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662</v>
      </c>
      <c r="BC111" s="391">
        <f>IF(ABS(NI_CFO_Recon_Chs_Ops[[#This Row],[AmtJournal]])&gt;0,1,0)</f>
        <v>0</v>
      </c>
      <c r="BD111" s="391">
        <f ca="1">NI_CFO_Recon_Chs_Ops[[#This Row],[Used]]+SUM(BC98:BC110)</f>
        <v>2</v>
      </c>
      <c r="BE111" s="34">
        <f t="shared" si="26"/>
        <v>0</v>
      </c>
      <c r="BF111" s="34">
        <f t="shared" si="26"/>
        <v>0</v>
      </c>
      <c r="BG111" s="34">
        <f t="shared" si="26"/>
        <v>0</v>
      </c>
      <c r="BH111" s="392">
        <f>IF(ABS(NI_CFO_Recon_Chs_Ops[[#This Row],[AmtJournal]])&gt;0,1,0)</f>
        <v>0</v>
      </c>
      <c r="BI111" s="392">
        <f>IF(ABS(NI_CFO_Recon_Chs_Ops[[#This Row],[AmtAnswer]])&gt;0,1,0)</f>
        <v>0</v>
      </c>
      <c r="BJ111" s="392">
        <f>IF(ABS(NI_CFO_Recon_Chs_Ops[[#This Row],[AmtFSBuilder]])&gt;0,1,0)</f>
        <v>0</v>
      </c>
    </row>
    <row r="112" spans="3:66">
      <c r="BA112" s="192">
        <f ca="1">IF(NI_CFO_Recon_Chs_Ops[[#This Row],[Order]]=1,7,8)</f>
        <v>8</v>
      </c>
      <c r="BB112" s="3" t="s">
        <v>663</v>
      </c>
      <c r="BC112" s="391">
        <f>IF(ABS(NI_CFO_Recon_Chs_Ops[[#This Row],[AmtJournal]])&gt;0,1,0)</f>
        <v>0</v>
      </c>
      <c r="BD112" s="391">
        <f ca="1">NI_CFO_Recon_Chs_Ops[[#This Row],[Used]]+SUM(BC98:BC111)</f>
        <v>2</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666</v>
      </c>
      <c r="BC113" s="391">
        <f>IF(ABS(NI_CFO_Recon_Chs_Ops[[#This Row],[AmtJournal]])&gt;0,1,0)</f>
        <v>0</v>
      </c>
      <c r="BD113" s="391">
        <f ca="1">NI_CFO_Recon_Chs_Ops[[#This Row],[Used]]+SUM(BC98:BC112)</f>
        <v>2</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667</v>
      </c>
      <c r="BC114" s="391">
        <f>IF(ABS(NI_CFO_Recon_Chs_Ops[[#This Row],[AmtJournal]])&gt;0,1,0)</f>
        <v>0</v>
      </c>
      <c r="BD114" s="391">
        <f ca="1">NI_CFO_Recon_Chs_Ops[[#This Row],[Used]]+SUM(BC98:BC113)</f>
        <v>2</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692</v>
      </c>
      <c r="BA115" s="192">
        <f ca="1">IF(NI_CFO_Recon_Chs_Ops[[#This Row],[Order]]=1,7,8)</f>
        <v>8</v>
      </c>
      <c r="BB115" s="3" t="s">
        <v>668</v>
      </c>
      <c r="BC115" s="391">
        <f>IF(ABS(NI_CFO_Recon_Chs_Ops[[#This Row],[AmtJournal]])&gt;0,1,0)</f>
        <v>0</v>
      </c>
      <c r="BD115" s="391">
        <f ca="1">NI_CFO_Recon_Chs_Ops[[#This Row],[Used]]+SUM(BC98:BC114)</f>
        <v>2</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574</v>
      </c>
      <c r="C116" s="313" t="s">
        <v>693</v>
      </c>
      <c r="BA116" s="192">
        <f ca="1">IF(NI_CFO_Recon_Chs_Ops[[#This Row],[Order]]=1,7,8)</f>
        <v>8</v>
      </c>
      <c r="BB116" s="3" t="s">
        <v>669</v>
      </c>
      <c r="BC116" s="391">
        <f>IF(ABS(NI_CFO_Recon_Chs_Ops[[#This Row],[AmtJournal]])&gt;0,1,0)</f>
        <v>0</v>
      </c>
      <c r="BD116" s="391">
        <f ca="1">NI_CFO_Recon_Chs_Ops[[#This Row],[Used]]+SUM(BC98:BC115)</f>
        <v>2</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694</v>
      </c>
      <c r="BA117" s="192">
        <f ca="1">IF(NI_CFO_Recon_Chs_Ops[[#This Row],[Order]]=1,7,8)</f>
        <v>8</v>
      </c>
      <c r="BB117" s="3" t="s">
        <v>678</v>
      </c>
      <c r="BC117" s="391">
        <f>IF(ABS(NI_CFO_Recon_Chs_Ops[[#This Row],[AmtJournal]])&gt;0,1,0)</f>
        <v>0</v>
      </c>
      <c r="BD117" s="391">
        <f ca="1">NI_CFO_Recon_Chs_Ops[[#This Row],[Used]]+SUM(BC98:BC116)</f>
        <v>2</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Miloslav's Magazines (the 'Company', 'we', 'us', 'our') is a For-profit corporation whose activity is Retail.</v>
      </c>
      <c r="BA118" s="192">
        <v>3</v>
      </c>
      <c r="BB118" s="393" t="s">
        <v>683</v>
      </c>
      <c r="BC118" s="391"/>
      <c r="BD118" s="391"/>
      <c r="BE118" s="34">
        <f ca="1">ROUND(BE7+SUM(NI_CFO_Recon_Adjs[AmtJournal])+SUM(BE98:BE117),2)</f>
        <v>-4.37</v>
      </c>
      <c r="BF118" s="34">
        <f ca="1">ROUND(BF7+SUM(NI_CFO_Recon_Adjs[AmtAnswer])+SUM(BF98:BF117),2)</f>
        <v>-4.37</v>
      </c>
      <c r="BG118" s="34">
        <f>ROUND(BG7+SUM(NI_CFO_Recon_Adjs[AmtFSBuilder])+SUM(BG98:BG117),2)</f>
        <v>0</v>
      </c>
      <c r="BH118" s="392"/>
      <c r="BI118" s="392"/>
      <c r="BJ118" s="392"/>
    </row>
    <row r="119" spans="2:62" ht="45">
      <c r="B119" s="192">
        <v>10</v>
      </c>
      <c r="C119" s="450" t="s">
        <v>695</v>
      </c>
    </row>
    <row r="120" spans="2:62" ht="30">
      <c r="B120" s="192">
        <v>10</v>
      </c>
      <c r="C120" s="446" t="s">
        <v>696</v>
      </c>
    </row>
    <row r="121" spans="2:62" ht="165">
      <c r="B121" s="192">
        <v>11</v>
      </c>
      <c r="C121" s="410" t="s">
        <v>697</v>
      </c>
    </row>
    <row r="122" spans="2:62" ht="30">
      <c r="B122" s="192">
        <v>10</v>
      </c>
      <c r="C122" s="446" t="s">
        <v>698</v>
      </c>
    </row>
    <row r="123" spans="2:62" ht="30">
      <c r="B123" s="192">
        <v>11</v>
      </c>
      <c r="C123" s="447" t="s">
        <v>699</v>
      </c>
    </row>
    <row r="124" spans="2:62" ht="30">
      <c r="B124" s="192">
        <v>10</v>
      </c>
      <c r="C124" s="446" t="s">
        <v>700</v>
      </c>
    </row>
    <row r="125" spans="2:62" ht="45">
      <c r="B125" s="192">
        <v>11</v>
      </c>
      <c r="C125" s="447" t="str">
        <f>"Our inventories are exclusively goods held for resale and stated on a "&amp;InventoryMethod&amp;" basis."</f>
        <v>Our inventories are exclusively goods held for resale and stated on a First-in, first-out (FIFO) basis.</v>
      </c>
    </row>
    <row r="126" spans="2:62" ht="30">
      <c r="B126" s="192">
        <v>10</v>
      </c>
      <c r="C126" s="446" t="s">
        <v>701</v>
      </c>
    </row>
    <row r="127" spans="2:62" ht="30">
      <c r="B127" s="192">
        <v>11</v>
      </c>
      <c r="C127" s="447" t="s">
        <v>702</v>
      </c>
    </row>
    <row r="128" spans="2:62" ht="30">
      <c r="B128" s="192">
        <v>10</v>
      </c>
      <c r="C128" s="446" t="s">
        <v>703</v>
      </c>
    </row>
    <row r="129" spans="2:64" ht="45">
      <c r="B129" s="192">
        <v>11</v>
      </c>
      <c r="C129" s="447" t="str">
        <f>"We recognize revenue "&amp;RevRec&amp;"."</f>
        <v>We recognize revenue in accordance with FASB ASC 606, "Revenue from Contracts with Customers"..</v>
      </c>
    </row>
    <row r="130" spans="2:64" ht="30">
      <c r="B130" s="192">
        <v>10</v>
      </c>
      <c r="C130" s="446" t="s">
        <v>704</v>
      </c>
    </row>
    <row r="131" spans="2:64" ht="60">
      <c r="B131" s="192">
        <v>11</v>
      </c>
      <c r="C131" s="410" t="s">
        <v>705</v>
      </c>
    </row>
    <row r="132" spans="2:64" ht="30">
      <c r="B132" s="192">
        <v>10</v>
      </c>
      <c r="C132" s="446" t="s">
        <v>706</v>
      </c>
    </row>
    <row r="133" spans="2:64" s="459" customFormat="1" ht="90">
      <c r="B133" s="458">
        <v>11</v>
      </c>
      <c r="C133" s="194" t="s">
        <v>707</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c r="B134" s="192">
        <v>10</v>
      </c>
      <c r="C134" s="446" t="s">
        <v>708</v>
      </c>
    </row>
    <row r="135" spans="2:64" ht="7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709</v>
      </c>
    </row>
    <row r="2" spans="1:28">
      <c r="A2" t="s">
        <v>710</v>
      </c>
    </row>
    <row r="5" spans="1:28">
      <c r="B5">
        <v>2</v>
      </c>
      <c r="C5" t="s">
        <v>37</v>
      </c>
      <c r="F5">
        <v>2</v>
      </c>
      <c r="G5" t="s">
        <v>43</v>
      </c>
      <c r="J5">
        <v>2</v>
      </c>
      <c r="K5" t="s">
        <v>711</v>
      </c>
      <c r="L5" s="34">
        <v>0</v>
      </c>
      <c r="M5">
        <v>2</v>
      </c>
      <c r="N5" t="s">
        <v>712</v>
      </c>
      <c r="O5" s="34">
        <v>0</v>
      </c>
      <c r="Q5">
        <v>2</v>
      </c>
      <c r="R5" t="s">
        <v>37</v>
      </c>
      <c r="V5" s="40" t="s">
        <v>88</v>
      </c>
      <c r="W5" s="1"/>
      <c r="X5" s="40" t="s">
        <v>713</v>
      </c>
      <c r="Y5" s="1"/>
      <c r="Z5" s="40" t="s">
        <v>90</v>
      </c>
      <c r="AA5" s="1"/>
      <c r="AB5" s="40" t="s">
        <v>91</v>
      </c>
    </row>
    <row r="6" spans="1:28" ht="15.75" thickBot="1"/>
    <row r="7" spans="1:28">
      <c r="B7">
        <v>4</v>
      </c>
      <c r="C7" t="s">
        <v>714</v>
      </c>
      <c r="F7">
        <v>6</v>
      </c>
      <c r="G7" t="s">
        <v>71</v>
      </c>
      <c r="H7" s="34">
        <v>25</v>
      </c>
      <c r="J7">
        <v>3</v>
      </c>
      <c r="K7" t="s">
        <v>64</v>
      </c>
      <c r="Q7">
        <v>4</v>
      </c>
      <c r="R7" t="s">
        <v>714</v>
      </c>
      <c r="V7" s="355" t="str">
        <f>G7&amp;H7</f>
        <v>Sales25</v>
      </c>
      <c r="X7" s="355" t="str">
        <f>K7&amp;L7</f>
        <v>Common Stock</v>
      </c>
      <c r="Z7" s="355" t="str">
        <f>N7&amp;O7</f>
        <v/>
      </c>
      <c r="AB7" s="355" t="str">
        <f>R6&amp;S6</f>
        <v/>
      </c>
    </row>
    <row r="8" spans="1:28">
      <c r="B8">
        <v>6</v>
      </c>
      <c r="C8" t="s">
        <v>58</v>
      </c>
      <c r="D8" s="34">
        <v>0</v>
      </c>
      <c r="F8">
        <v>5</v>
      </c>
      <c r="G8" t="s">
        <v>281</v>
      </c>
      <c r="H8" s="34">
        <v>25</v>
      </c>
      <c r="J8">
        <v>5</v>
      </c>
      <c r="K8" t="s">
        <v>715</v>
      </c>
      <c r="L8" s="34">
        <v>0</v>
      </c>
      <c r="Q8">
        <v>6</v>
      </c>
      <c r="R8" t="s">
        <v>58</v>
      </c>
      <c r="S8" s="34">
        <v>17.579999999999998</v>
      </c>
      <c r="V8" s="162" t="str">
        <f t="shared" ref="V8:V71" si="0">G8&amp;H8</f>
        <v xml:space="preserve">  Total Revenues25</v>
      </c>
      <c r="X8" s="162" t="str">
        <f t="shared" ref="X8:X71" si="1">K8&amp;L8</f>
        <v>Balance @ 12/31/20x30</v>
      </c>
      <c r="Z8" s="162" t="str">
        <f t="shared" ref="Z8:Z71" si="2">N8&amp;O8</f>
        <v/>
      </c>
      <c r="AB8" s="162" t="str">
        <f t="shared" ref="AB8:AB71" si="3">R7&amp;S7</f>
        <v xml:space="preserve"> Current Assets:</v>
      </c>
    </row>
    <row r="9" spans="1:28">
      <c r="B9">
        <v>7</v>
      </c>
      <c r="C9" t="s">
        <v>69</v>
      </c>
      <c r="D9" s="34">
        <v>0</v>
      </c>
      <c r="J9">
        <v>7</v>
      </c>
      <c r="K9" t="s">
        <v>122</v>
      </c>
      <c r="L9" s="34">
        <v>3</v>
      </c>
      <c r="Q9">
        <v>7</v>
      </c>
      <c r="R9" t="s">
        <v>69</v>
      </c>
      <c r="S9" s="34">
        <v>4.5</v>
      </c>
      <c r="V9" s="162" t="str">
        <f t="shared" si="0"/>
        <v/>
      </c>
      <c r="X9" s="162" t="str">
        <f t="shared" si="1"/>
        <v>Issued common stock3</v>
      </c>
      <c r="Z9" s="162" t="str">
        <f t="shared" si="2"/>
        <v/>
      </c>
      <c r="AB9" s="162" t="str">
        <f t="shared" si="3"/>
        <v>Cash17.58</v>
      </c>
    </row>
    <row r="10" spans="1:28">
      <c r="B10">
        <v>7</v>
      </c>
      <c r="C10" t="s">
        <v>68</v>
      </c>
      <c r="D10" s="34">
        <v>0</v>
      </c>
      <c r="F10">
        <v>2</v>
      </c>
      <c r="G10" t="s">
        <v>44</v>
      </c>
      <c r="J10">
        <v>5</v>
      </c>
      <c r="K10" t="s">
        <v>716</v>
      </c>
      <c r="L10" s="34">
        <v>3</v>
      </c>
      <c r="Q10">
        <v>7</v>
      </c>
      <c r="R10" t="s">
        <v>68</v>
      </c>
      <c r="S10" s="34">
        <v>2</v>
      </c>
      <c r="V10" s="162" t="str">
        <f t="shared" si="0"/>
        <v>Expenses</v>
      </c>
      <c r="X10" s="162" t="str">
        <f t="shared" si="1"/>
        <v>Balance @ 12/31/20x43</v>
      </c>
      <c r="Z10" s="162" t="str">
        <f t="shared" si="2"/>
        <v/>
      </c>
      <c r="AB10" s="162" t="str">
        <f t="shared" si="3"/>
        <v>Accounts Receivable4.5</v>
      </c>
    </row>
    <row r="11" spans="1:28">
      <c r="B11">
        <v>5</v>
      </c>
      <c r="C11" t="s">
        <v>288</v>
      </c>
      <c r="D11" s="34">
        <v>0</v>
      </c>
      <c r="J11">
        <v>3</v>
      </c>
      <c r="K11" t="s">
        <v>74</v>
      </c>
      <c r="Q11">
        <v>5</v>
      </c>
      <c r="R11" t="s">
        <v>288</v>
      </c>
      <c r="S11" s="34">
        <v>24.08</v>
      </c>
      <c r="V11" s="162" t="str">
        <f t="shared" si="0"/>
        <v/>
      </c>
      <c r="X11" s="162" t="str">
        <f t="shared" si="1"/>
        <v>Retained Earnings</v>
      </c>
      <c r="Z11" s="162" t="str">
        <f t="shared" si="2"/>
        <v/>
      </c>
      <c r="AB11" s="162" t="str">
        <f t="shared" si="3"/>
        <v>Inventories2</v>
      </c>
    </row>
    <row r="12" spans="1:28">
      <c r="F12">
        <v>6</v>
      </c>
      <c r="G12" t="s">
        <v>78</v>
      </c>
      <c r="H12" s="34">
        <v>18</v>
      </c>
      <c r="J12">
        <v>5</v>
      </c>
      <c r="K12" t="s">
        <v>715</v>
      </c>
      <c r="L12" s="34">
        <v>0</v>
      </c>
      <c r="V12" s="162" t="str">
        <f t="shared" si="0"/>
        <v>Cost of Goods Sold18</v>
      </c>
      <c r="X12" s="162" t="str">
        <f t="shared" si="1"/>
        <v>Balance @ 12/31/20x30</v>
      </c>
      <c r="Z12" s="162" t="str">
        <f t="shared" si="2"/>
        <v/>
      </c>
      <c r="AB12" s="162" t="str">
        <f t="shared" si="3"/>
        <v xml:space="preserve">  Total Current Assets24.08</v>
      </c>
    </row>
    <row r="13" spans="1:28">
      <c r="B13">
        <v>4</v>
      </c>
      <c r="C13" t="s">
        <v>717</v>
      </c>
      <c r="F13">
        <v>7</v>
      </c>
      <c r="G13" t="s">
        <v>76</v>
      </c>
      <c r="H13" s="34">
        <v>1.87</v>
      </c>
      <c r="J13">
        <v>7</v>
      </c>
      <c r="K13" t="s">
        <v>123</v>
      </c>
      <c r="L13" s="34">
        <v>-0.05</v>
      </c>
      <c r="Q13">
        <v>4</v>
      </c>
      <c r="R13" t="s">
        <v>717</v>
      </c>
      <c r="V13" s="162" t="str">
        <f t="shared" si="0"/>
        <v>Interest Expense1.87</v>
      </c>
      <c r="X13" s="162" t="str">
        <f t="shared" si="1"/>
        <v>Declared Dividends-0.05</v>
      </c>
      <c r="Z13" s="162" t="str">
        <f t="shared" si="2"/>
        <v/>
      </c>
      <c r="AB13" s="162" t="str">
        <f t="shared" si="3"/>
        <v/>
      </c>
    </row>
    <row r="14" spans="1:28">
      <c r="B14">
        <v>6</v>
      </c>
      <c r="C14" t="s">
        <v>67</v>
      </c>
      <c r="D14" s="34">
        <v>0</v>
      </c>
      <c r="F14">
        <v>7</v>
      </c>
      <c r="G14" t="s">
        <v>79</v>
      </c>
      <c r="H14" s="34">
        <v>0.2</v>
      </c>
      <c r="J14">
        <v>7</v>
      </c>
      <c r="K14" t="s">
        <v>124</v>
      </c>
      <c r="L14" s="34">
        <v>1.93</v>
      </c>
      <c r="Q14">
        <v>6</v>
      </c>
      <c r="R14" t="s">
        <v>67</v>
      </c>
      <c r="S14" s="34">
        <v>1</v>
      </c>
      <c r="V14" s="162" t="str">
        <f t="shared" si="0"/>
        <v>Depreciation Expense0.2</v>
      </c>
      <c r="X14" s="162" t="str">
        <f t="shared" si="1"/>
        <v>Net Income (Loss)1.93</v>
      </c>
      <c r="Z14" s="162" t="str">
        <f t="shared" si="2"/>
        <v/>
      </c>
      <c r="AB14" s="162" t="str">
        <f t="shared" si="3"/>
        <v xml:space="preserve"> Noncurrent Assets:</v>
      </c>
    </row>
    <row r="15" spans="1:28">
      <c r="B15">
        <v>7</v>
      </c>
      <c r="C15" t="s">
        <v>80</v>
      </c>
      <c r="D15" s="34">
        <v>0</v>
      </c>
      <c r="F15">
        <v>7</v>
      </c>
      <c r="G15" t="s">
        <v>73</v>
      </c>
      <c r="H15" s="34">
        <v>3</v>
      </c>
      <c r="J15">
        <v>5</v>
      </c>
      <c r="K15" t="s">
        <v>716</v>
      </c>
      <c r="L15" s="34">
        <v>-0.05</v>
      </c>
      <c r="M15">
        <v>2</v>
      </c>
      <c r="N15" t="s">
        <v>718</v>
      </c>
      <c r="O15" s="34">
        <v>17.579999999999998</v>
      </c>
      <c r="Q15">
        <v>7</v>
      </c>
      <c r="R15" t="s">
        <v>80</v>
      </c>
      <c r="S15" s="34">
        <v>-0.2</v>
      </c>
      <c r="V15" s="162" t="str">
        <f t="shared" si="0"/>
        <v>Salaries &amp; Wages Expense3</v>
      </c>
      <c r="X15" s="162" t="str">
        <f t="shared" si="1"/>
        <v>Balance @ 12/31/20x4-0.05</v>
      </c>
      <c r="Z15" s="162" t="str">
        <f t="shared" si="2"/>
        <v>Cash @ 12/31/20x417.58</v>
      </c>
      <c r="AB15" s="162" t="str">
        <f t="shared" si="3"/>
        <v>Property, Plant &amp; Equipment1</v>
      </c>
    </row>
    <row r="16" spans="1:28">
      <c r="B16">
        <v>5</v>
      </c>
      <c r="C16" t="s">
        <v>291</v>
      </c>
      <c r="D16" s="34">
        <v>0</v>
      </c>
      <c r="F16">
        <v>5</v>
      </c>
      <c r="G16" t="s">
        <v>282</v>
      </c>
      <c r="H16" s="34">
        <v>23.07</v>
      </c>
      <c r="J16">
        <v>2</v>
      </c>
      <c r="K16" t="s">
        <v>719</v>
      </c>
      <c r="L16" s="34">
        <v>2.95</v>
      </c>
      <c r="Q16">
        <v>5</v>
      </c>
      <c r="R16" t="s">
        <v>291</v>
      </c>
      <c r="S16" s="34">
        <v>0.8</v>
      </c>
      <c r="V16" s="162" t="str">
        <f t="shared" si="0"/>
        <v xml:space="preserve">  Total Expenses23.07</v>
      </c>
      <c r="X16" s="162" t="str">
        <f t="shared" si="1"/>
        <v>Total Shareholders' Equity @ 12/31/20x42.95</v>
      </c>
      <c r="Z16" s="162" t="str">
        <f t="shared" si="2"/>
        <v/>
      </c>
      <c r="AB16" s="162" t="str">
        <f t="shared" si="3"/>
        <v>Accumulated Depreciation-0.2</v>
      </c>
    </row>
    <row r="17" spans="2:52">
      <c r="V17" s="162" t="str">
        <f t="shared" si="0"/>
        <v/>
      </c>
      <c r="X17" s="162" t="str">
        <f t="shared" si="1"/>
        <v/>
      </c>
      <c r="Z17" s="162" t="str">
        <f t="shared" si="2"/>
        <v/>
      </c>
      <c r="AB17" s="162" t="str">
        <f t="shared" si="3"/>
        <v xml:space="preserve">  Total Noncurrent Assets0.8</v>
      </c>
    </row>
    <row r="18" spans="2:52">
      <c r="B18">
        <v>3</v>
      </c>
      <c r="C18" t="s">
        <v>256</v>
      </c>
      <c r="D18" s="34">
        <v>0</v>
      </c>
      <c r="F18">
        <v>3</v>
      </c>
      <c r="G18" t="s">
        <v>266</v>
      </c>
      <c r="H18" s="34">
        <v>1.93</v>
      </c>
      <c r="Q18">
        <v>3</v>
      </c>
      <c r="R18" t="s">
        <v>256</v>
      </c>
      <c r="S18" s="34">
        <v>24.88</v>
      </c>
      <c r="V18" s="162" t="str">
        <f t="shared" si="0"/>
        <v>Net Income1.93</v>
      </c>
      <c r="X18" s="162" t="str">
        <f t="shared" si="1"/>
        <v/>
      </c>
      <c r="Z18" s="162" t="str">
        <f t="shared" si="2"/>
        <v/>
      </c>
      <c r="AB18" s="162" t="str">
        <f t="shared" si="3"/>
        <v/>
      </c>
    </row>
    <row r="19" spans="2:52">
      <c r="V19" s="162" t="str">
        <f t="shared" si="0"/>
        <v/>
      </c>
      <c r="X19" s="162" t="str">
        <f t="shared" si="1"/>
        <v/>
      </c>
      <c r="Z19" s="162" t="str">
        <f t="shared" si="2"/>
        <v/>
      </c>
      <c r="AB19" s="162" t="str">
        <f t="shared" si="3"/>
        <v>Total Assets24.88</v>
      </c>
      <c r="AZ19">
        <v>1</v>
      </c>
    </row>
    <row r="20" spans="2:52">
      <c r="B20">
        <v>2</v>
      </c>
      <c r="C20" t="s">
        <v>38</v>
      </c>
      <c r="Q20">
        <v>2</v>
      </c>
      <c r="R20" t="s">
        <v>38</v>
      </c>
      <c r="V20" s="162" t="str">
        <f t="shared" si="0"/>
        <v/>
      </c>
      <c r="X20" s="162" t="str">
        <f t="shared" si="1"/>
        <v/>
      </c>
      <c r="Z20" s="162" t="str">
        <f t="shared" si="2"/>
        <v/>
      </c>
      <c r="AB20" s="162" t="str">
        <f t="shared" si="3"/>
        <v/>
      </c>
    </row>
    <row r="21" spans="2:52">
      <c r="V21" s="162" t="str">
        <f t="shared" si="0"/>
        <v/>
      </c>
      <c r="X21" s="162" t="str">
        <f t="shared" si="1"/>
        <v/>
      </c>
      <c r="Z21" s="162" t="str">
        <f t="shared" si="2"/>
        <v/>
      </c>
      <c r="AB21" s="162" t="str">
        <f t="shared" si="3"/>
        <v>Liabilities</v>
      </c>
    </row>
    <row r="22" spans="2:52">
      <c r="B22">
        <v>4</v>
      </c>
      <c r="C22" t="s">
        <v>720</v>
      </c>
      <c r="Q22">
        <v>4</v>
      </c>
      <c r="R22" t="s">
        <v>720</v>
      </c>
      <c r="V22" s="162" t="str">
        <f t="shared" si="0"/>
        <v/>
      </c>
      <c r="X22" s="162" t="str">
        <f t="shared" si="1"/>
        <v/>
      </c>
      <c r="Z22" s="162" t="str">
        <f t="shared" si="2"/>
        <v/>
      </c>
      <c r="AB22" s="162" t="str">
        <f t="shared" si="3"/>
        <v/>
      </c>
    </row>
    <row r="23" spans="2:52">
      <c r="B23">
        <v>6</v>
      </c>
      <c r="C23" t="s">
        <v>77</v>
      </c>
      <c r="D23" s="34">
        <v>0</v>
      </c>
      <c r="Q23">
        <v>6</v>
      </c>
      <c r="R23" t="s">
        <v>77</v>
      </c>
      <c r="S23" s="34">
        <v>0</v>
      </c>
      <c r="V23" s="162" t="str">
        <f t="shared" si="0"/>
        <v/>
      </c>
      <c r="X23" s="162" t="str">
        <f t="shared" si="1"/>
        <v/>
      </c>
      <c r="Z23" s="162" t="str">
        <f t="shared" si="2"/>
        <v/>
      </c>
      <c r="AB23" s="162" t="str">
        <f t="shared" si="3"/>
        <v xml:space="preserve"> Current Liabilities:</v>
      </c>
    </row>
    <row r="24" spans="2:52">
      <c r="B24">
        <v>7</v>
      </c>
      <c r="C24" t="s">
        <v>75</v>
      </c>
      <c r="D24" s="34">
        <v>0</v>
      </c>
      <c r="Q24">
        <v>7</v>
      </c>
      <c r="R24" t="s">
        <v>75</v>
      </c>
      <c r="S24" s="34">
        <v>0</v>
      </c>
      <c r="V24" s="162" t="str">
        <f t="shared" si="0"/>
        <v/>
      </c>
      <c r="X24" s="162" t="str">
        <f t="shared" si="1"/>
        <v/>
      </c>
      <c r="Z24" s="162" t="str">
        <f t="shared" si="2"/>
        <v/>
      </c>
      <c r="AB24" s="162" t="str">
        <f t="shared" si="3"/>
        <v>Interest Payable0</v>
      </c>
    </row>
    <row r="25" spans="2:52">
      <c r="B25">
        <v>5</v>
      </c>
      <c r="C25" t="s">
        <v>293</v>
      </c>
      <c r="D25" s="34">
        <v>0</v>
      </c>
      <c r="Q25">
        <v>5</v>
      </c>
      <c r="R25" t="s">
        <v>293</v>
      </c>
      <c r="S25" s="34">
        <v>0</v>
      </c>
      <c r="V25" s="162" t="str">
        <f t="shared" si="0"/>
        <v/>
      </c>
      <c r="X25" s="162" t="str">
        <f t="shared" si="1"/>
        <v/>
      </c>
      <c r="Z25" s="162" t="str">
        <f t="shared" si="2"/>
        <v/>
      </c>
      <c r="AB25" s="162" t="str">
        <f t="shared" si="3"/>
        <v>Dividends Payable0</v>
      </c>
    </row>
    <row r="26" spans="2:52">
      <c r="V26" s="162" t="str">
        <f t="shared" si="0"/>
        <v/>
      </c>
      <c r="X26" s="162" t="str">
        <f t="shared" si="1"/>
        <v/>
      </c>
      <c r="Z26" s="162" t="str">
        <f t="shared" si="2"/>
        <v/>
      </c>
      <c r="AB26" s="162" t="str">
        <f t="shared" si="3"/>
        <v xml:space="preserve">  Total Current Liabilities0</v>
      </c>
    </row>
    <row r="27" spans="2:52">
      <c r="B27">
        <v>4</v>
      </c>
      <c r="C27" t="s">
        <v>721</v>
      </c>
      <c r="Q27">
        <v>4</v>
      </c>
      <c r="R27" t="s">
        <v>721</v>
      </c>
      <c r="V27" s="162" t="str">
        <f t="shared" si="0"/>
        <v/>
      </c>
      <c r="X27" s="162" t="str">
        <f t="shared" si="1"/>
        <v/>
      </c>
      <c r="Z27" s="162" t="str">
        <f t="shared" si="2"/>
        <v/>
      </c>
      <c r="AB27" s="162" t="str">
        <f t="shared" si="3"/>
        <v/>
      </c>
    </row>
    <row r="28" spans="2:52">
      <c r="B28">
        <v>6</v>
      </c>
      <c r="C28" t="s">
        <v>66</v>
      </c>
      <c r="D28" s="34">
        <v>0</v>
      </c>
      <c r="Q28">
        <v>6</v>
      </c>
      <c r="R28" t="s">
        <v>66</v>
      </c>
      <c r="S28" s="34">
        <v>20</v>
      </c>
      <c r="V28" s="162" t="str">
        <f t="shared" si="0"/>
        <v/>
      </c>
      <c r="X28" s="162" t="str">
        <f t="shared" si="1"/>
        <v/>
      </c>
      <c r="Z28" s="162" t="str">
        <f t="shared" si="2"/>
        <v/>
      </c>
      <c r="AB28" s="162" t="str">
        <f t="shared" si="3"/>
        <v xml:space="preserve"> Noncurrent Liabilities:</v>
      </c>
    </row>
    <row r="29" spans="2:52">
      <c r="B29">
        <v>5</v>
      </c>
      <c r="C29" t="s">
        <v>295</v>
      </c>
      <c r="D29" s="34">
        <v>0</v>
      </c>
      <c r="Q29">
        <v>5</v>
      </c>
      <c r="R29" t="s">
        <v>295</v>
      </c>
      <c r="S29" s="34">
        <v>20</v>
      </c>
      <c r="V29" s="162" t="str">
        <f t="shared" si="0"/>
        <v/>
      </c>
      <c r="X29" s="162" t="str">
        <f t="shared" si="1"/>
        <v/>
      </c>
      <c r="Z29" s="162" t="str">
        <f t="shared" si="2"/>
        <v/>
      </c>
      <c r="AB29" s="162" t="str">
        <f t="shared" si="3"/>
        <v>Notes Payable20</v>
      </c>
    </row>
    <row r="30" spans="2:52">
      <c r="V30" s="162" t="str">
        <f t="shared" si="0"/>
        <v/>
      </c>
      <c r="X30" s="162" t="str">
        <f t="shared" si="1"/>
        <v/>
      </c>
      <c r="Z30" s="162" t="str">
        <f t="shared" si="2"/>
        <v/>
      </c>
      <c r="AB30" s="162" t="str">
        <f t="shared" si="3"/>
        <v xml:space="preserve">  Total Noncurrent Liabilities20</v>
      </c>
    </row>
    <row r="31" spans="2:52">
      <c r="B31">
        <v>3</v>
      </c>
      <c r="C31" t="s">
        <v>259</v>
      </c>
      <c r="D31" s="34">
        <v>0</v>
      </c>
      <c r="Q31">
        <v>3</v>
      </c>
      <c r="R31" t="s">
        <v>259</v>
      </c>
      <c r="S31" s="34">
        <v>20</v>
      </c>
      <c r="V31" s="162" t="str">
        <f t="shared" si="0"/>
        <v/>
      </c>
      <c r="X31" s="162" t="str">
        <f t="shared" si="1"/>
        <v/>
      </c>
      <c r="Z31" s="162" t="str">
        <f t="shared" si="2"/>
        <v/>
      </c>
      <c r="AB31" s="162" t="str">
        <f t="shared" si="3"/>
        <v/>
      </c>
    </row>
    <row r="32" spans="2:52">
      <c r="V32" s="162" t="str">
        <f t="shared" si="0"/>
        <v/>
      </c>
      <c r="X32" s="162" t="str">
        <f t="shared" si="1"/>
        <v/>
      </c>
      <c r="Z32" s="162" t="str">
        <f t="shared" si="2"/>
        <v/>
      </c>
      <c r="AB32" s="162" t="str">
        <f t="shared" si="3"/>
        <v>Total Liabilities20</v>
      </c>
    </row>
    <row r="33" spans="2:28">
      <c r="B33">
        <v>2</v>
      </c>
      <c r="C33" t="s">
        <v>39</v>
      </c>
      <c r="Q33">
        <v>2</v>
      </c>
      <c r="R33" t="s">
        <v>39</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Equities</v>
      </c>
    </row>
    <row r="35" spans="2:28">
      <c r="B35">
        <v>6</v>
      </c>
      <c r="C35" t="s">
        <v>64</v>
      </c>
      <c r="D35" s="34">
        <v>0</v>
      </c>
      <c r="Q35">
        <v>6</v>
      </c>
      <c r="R35" t="s">
        <v>64</v>
      </c>
      <c r="S35" s="34">
        <v>3</v>
      </c>
      <c r="V35" s="162" t="str">
        <f t="shared" si="0"/>
        <v/>
      </c>
      <c r="X35" s="162" t="str">
        <f t="shared" si="1"/>
        <v/>
      </c>
      <c r="Z35" s="162" t="str">
        <f t="shared" si="2"/>
        <v/>
      </c>
      <c r="AB35" s="162" t="str">
        <f t="shared" si="3"/>
        <v/>
      </c>
    </row>
    <row r="36" spans="2:28">
      <c r="B36">
        <v>7</v>
      </c>
      <c r="C36" t="s">
        <v>74</v>
      </c>
      <c r="D36" s="34">
        <v>0</v>
      </c>
      <c r="Q36">
        <v>7</v>
      </c>
      <c r="R36" t="s">
        <v>74</v>
      </c>
      <c r="S36" s="34">
        <v>-0.05</v>
      </c>
      <c r="V36" s="162" t="str">
        <f t="shared" si="0"/>
        <v/>
      </c>
      <c r="X36" s="162" t="str">
        <f t="shared" si="1"/>
        <v/>
      </c>
      <c r="Z36" s="162" t="str">
        <f t="shared" si="2"/>
        <v/>
      </c>
      <c r="AB36" s="162" t="str">
        <f t="shared" si="3"/>
        <v>Common Stock3</v>
      </c>
    </row>
    <row r="37" spans="2:28">
      <c r="V37" s="162" t="str">
        <f t="shared" si="0"/>
        <v/>
      </c>
      <c r="X37" s="162" t="str">
        <f t="shared" si="1"/>
        <v/>
      </c>
      <c r="Z37" s="162" t="str">
        <f t="shared" si="2"/>
        <v/>
      </c>
      <c r="AB37" s="162" t="str">
        <f t="shared" si="3"/>
        <v>Retained Earnings-0.05</v>
      </c>
    </row>
    <row r="38" spans="2:28">
      <c r="B38">
        <v>3</v>
      </c>
      <c r="C38" t="s">
        <v>260</v>
      </c>
      <c r="D38" s="34">
        <v>0</v>
      </c>
      <c r="Q38">
        <v>3</v>
      </c>
      <c r="R38" t="s">
        <v>260</v>
      </c>
      <c r="S38" s="34">
        <v>2.95</v>
      </c>
      <c r="V38" s="162" t="str">
        <f t="shared" si="0"/>
        <v/>
      </c>
      <c r="X38" s="162" t="str">
        <f t="shared" si="1"/>
        <v/>
      </c>
      <c r="Z38" s="162" t="str">
        <f t="shared" si="2"/>
        <v/>
      </c>
      <c r="AB38" s="162" t="str">
        <f t="shared" si="3"/>
        <v/>
      </c>
    </row>
    <row r="39" spans="2:28">
      <c r="V39" s="162" t="str">
        <f t="shared" si="0"/>
        <v/>
      </c>
      <c r="X39" s="162" t="str">
        <f t="shared" si="1"/>
        <v/>
      </c>
      <c r="Z39" s="162" t="str">
        <f t="shared" si="2"/>
        <v/>
      </c>
      <c r="AB39" s="162" t="str">
        <f t="shared" si="3"/>
        <v>Total Equities2.95</v>
      </c>
    </row>
    <row r="40" spans="2:28">
      <c r="B40">
        <v>3</v>
      </c>
      <c r="C40" t="s">
        <v>261</v>
      </c>
      <c r="D40" s="34">
        <v>0</v>
      </c>
      <c r="Q40">
        <v>3</v>
      </c>
      <c r="R40" t="s">
        <v>261</v>
      </c>
      <c r="S40" s="34">
        <v>22.95</v>
      </c>
      <c r="V40" s="162" t="str">
        <f t="shared" si="0"/>
        <v/>
      </c>
      <c r="X40" s="162" t="str">
        <f t="shared" si="1"/>
        <v/>
      </c>
      <c r="Z40" s="162" t="str">
        <f t="shared" si="2"/>
        <v/>
      </c>
      <c r="AB40" s="162" t="str">
        <f t="shared" si="3"/>
        <v/>
      </c>
    </row>
    <row r="41" spans="2:28">
      <c r="V41" s="162" t="str">
        <f t="shared" si="0"/>
        <v/>
      </c>
      <c r="X41" s="162" t="str">
        <f t="shared" si="1"/>
        <v/>
      </c>
      <c r="Z41" s="162" t="str">
        <f t="shared" si="2"/>
        <v/>
      </c>
      <c r="AB41" s="162" t="str">
        <f t="shared" si="3"/>
        <v>Total Liabilities and Equities22.95</v>
      </c>
    </row>
    <row r="42" spans="2:28">
      <c r="V42" s="162" t="str">
        <f t="shared" si="0"/>
        <v/>
      </c>
      <c r="X42" s="162" t="str">
        <f t="shared" si="1"/>
        <v/>
      </c>
      <c r="Z42" s="162" t="str">
        <f t="shared" si="2"/>
        <v/>
      </c>
      <c r="AB42" s="162" t="str">
        <f t="shared" si="3"/>
        <v/>
      </c>
    </row>
    <row r="43" spans="2:28">
      <c r="V43" s="162" t="str">
        <f t="shared" si="0"/>
        <v/>
      </c>
      <c r="X43" s="162" t="str">
        <f t="shared" si="1"/>
        <v/>
      </c>
      <c r="Z43" s="162" t="str">
        <f t="shared" si="2"/>
        <v/>
      </c>
      <c r="AB43" s="162" t="str">
        <f t="shared" si="3"/>
        <v/>
      </c>
    </row>
    <row r="44" spans="2:28">
      <c r="V44" s="162" t="str">
        <f t="shared" si="0"/>
        <v/>
      </c>
      <c r="X44" s="162" t="str">
        <f t="shared" si="1"/>
        <v/>
      </c>
      <c r="Z44" s="162" t="str">
        <f t="shared" si="2"/>
        <v/>
      </c>
      <c r="AB44" s="162" t="str">
        <f t="shared" si="3"/>
        <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75" thickBot="1">
      <c r="V95" s="163" t="str">
        <f>G95&amp;H95</f>
        <v/>
      </c>
      <c r="X95" s="163" t="str">
        <f t="shared" si="5"/>
        <v/>
      </c>
      <c r="Z95" s="163" t="str">
        <f t="shared" si="6"/>
        <v/>
      </c>
      <c r="AB95" s="163" t="str">
        <f t="shared" si="7"/>
        <v/>
      </c>
    </row>
    <row r="100" spans="43:47">
      <c r="AS100" t="s">
        <v>722</v>
      </c>
      <c r="AT100" t="s">
        <v>532</v>
      </c>
      <c r="AU100" t="s">
        <v>723</v>
      </c>
    </row>
    <row r="101" spans="43:47">
      <c r="AQ101" t="s">
        <v>724</v>
      </c>
      <c r="AR101">
        <v>0</v>
      </c>
      <c r="AU101">
        <v>0</v>
      </c>
    </row>
    <row r="102" spans="43:47">
      <c r="AQ102" t="s">
        <v>70</v>
      </c>
      <c r="AU102">
        <v>1</v>
      </c>
    </row>
    <row r="103" spans="43:47">
      <c r="AQ103" t="s">
        <v>72</v>
      </c>
    </row>
    <row r="104" spans="43:47">
      <c r="AQ104" t="s">
        <v>725</v>
      </c>
    </row>
    <row r="105" spans="43:47">
      <c r="AQ105" t="s">
        <v>726</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cols>
    <col min="2" max="2" width="11.5703125" bestFit="1" customWidth="1"/>
  </cols>
  <sheetData>
    <row r="2" spans="2:3">
      <c r="B2">
        <v>1</v>
      </c>
      <c r="C2" t="s">
        <v>727</v>
      </c>
    </row>
    <row r="3" spans="2:3">
      <c r="B3">
        <v>2</v>
      </c>
      <c r="C3" t="s">
        <v>728</v>
      </c>
    </row>
    <row r="4" spans="2:3">
      <c r="B4">
        <v>3</v>
      </c>
      <c r="C4" t="s">
        <v>729</v>
      </c>
    </row>
    <row r="5" spans="2:3">
      <c r="B5">
        <v>4</v>
      </c>
      <c r="C5" t="s">
        <v>730</v>
      </c>
    </row>
    <row r="6" spans="2:3">
      <c r="B6">
        <v>5</v>
      </c>
      <c r="C6" t="s">
        <v>731</v>
      </c>
    </row>
    <row r="7" spans="2:3">
      <c r="B7">
        <v>6</v>
      </c>
      <c r="C7" t="s">
        <v>732</v>
      </c>
    </row>
    <row r="8" spans="2:3">
      <c r="B8">
        <v>7</v>
      </c>
      <c r="C8" t="s">
        <v>733</v>
      </c>
    </row>
    <row r="9" spans="2:3">
      <c r="B9">
        <v>8</v>
      </c>
      <c r="C9" t="s">
        <v>734</v>
      </c>
    </row>
    <row r="10" spans="2:3">
      <c r="B10">
        <v>9</v>
      </c>
      <c r="C10" t="s">
        <v>735</v>
      </c>
    </row>
    <row r="11" spans="2:3">
      <c r="B11">
        <v>10</v>
      </c>
      <c r="C11" t="s">
        <v>85</v>
      </c>
    </row>
    <row r="12" spans="2:3">
      <c r="B12">
        <v>11</v>
      </c>
      <c r="C12" t="s">
        <v>736</v>
      </c>
    </row>
    <row r="15" spans="2:3">
      <c r="C15" t="s">
        <v>737</v>
      </c>
    </row>
    <row r="16" spans="2:3">
      <c r="C16" t="s">
        <v>37</v>
      </c>
    </row>
    <row r="17" spans="3:3">
      <c r="C17" t="s">
        <v>38</v>
      </c>
    </row>
    <row r="18" spans="3:3">
      <c r="C18" t="s">
        <v>39</v>
      </c>
    </row>
    <row r="21" spans="3:3">
      <c r="C21" t="s">
        <v>738</v>
      </c>
    </row>
    <row r="22" spans="3:3">
      <c r="C22" t="s">
        <v>43</v>
      </c>
    </row>
    <row r="23" spans="3:3">
      <c r="C23" t="s">
        <v>44</v>
      </c>
    </row>
    <row r="24" spans="3:3">
      <c r="C24" t="s">
        <v>739</v>
      </c>
    </row>
    <row r="25" spans="3:3">
      <c r="C25" t="s">
        <v>385</v>
      </c>
    </row>
    <row r="26" spans="3:3">
      <c r="C26" t="s">
        <v>381</v>
      </c>
    </row>
    <row r="27" spans="3:3">
      <c r="C27" t="s">
        <v>382</v>
      </c>
    </row>
    <row r="28" spans="3:3">
      <c r="C28" t="s">
        <v>124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75" thickBot="1">
      <c r="B3" s="39"/>
      <c r="C3" s="688" t="s">
        <v>740</v>
      </c>
      <c r="D3" s="689"/>
      <c r="E3" s="689"/>
      <c r="F3" s="689"/>
      <c r="G3" s="689"/>
      <c r="H3" s="689"/>
      <c r="I3" s="690"/>
      <c r="J3" s="35"/>
      <c r="K3" s="35"/>
      <c r="L3" s="35" t="s">
        <v>50</v>
      </c>
    </row>
    <row r="4" spans="2:14">
      <c r="B4" s="39"/>
      <c r="C4" s="691" cm="1">
        <f t="array" ref="C4">INDEX(ProblemData!D78:AN79,2,D2+1)</f>
        <v>0</v>
      </c>
      <c r="D4" s="692"/>
      <c r="E4" s="692"/>
      <c r="F4" s="692"/>
      <c r="G4" s="692"/>
      <c r="H4" s="692"/>
      <c r="I4" s="693"/>
      <c r="J4" s="35"/>
      <c r="K4" s="35"/>
      <c r="L4" s="35" t="s">
        <v>50</v>
      </c>
    </row>
    <row r="5" spans="2:14">
      <c r="B5" s="39"/>
      <c r="C5" s="694"/>
      <c r="D5" s="695"/>
      <c r="E5" s="695"/>
      <c r="F5" s="695"/>
      <c r="G5" s="695"/>
      <c r="H5" s="695"/>
      <c r="I5" s="696"/>
      <c r="J5" s="35"/>
      <c r="K5" s="35"/>
      <c r="L5" s="35" t="s">
        <v>50</v>
      </c>
    </row>
    <row r="6" spans="2:14">
      <c r="B6" s="39"/>
      <c r="C6" s="694"/>
      <c r="D6" s="695"/>
      <c r="E6" s="695"/>
      <c r="F6" s="695"/>
      <c r="G6" s="695"/>
      <c r="H6" s="695"/>
      <c r="I6" s="696"/>
      <c r="J6" s="35"/>
      <c r="K6" s="35"/>
      <c r="L6" s="35" t="s">
        <v>50</v>
      </c>
    </row>
    <row r="7" spans="2:14" ht="15.75" thickBot="1">
      <c r="B7" s="39"/>
      <c r="C7" s="697"/>
      <c r="D7" s="698"/>
      <c r="E7" s="698"/>
      <c r="F7" s="698"/>
      <c r="G7" s="698"/>
      <c r="H7" s="698"/>
      <c r="I7" s="699"/>
      <c r="J7" s="35"/>
      <c r="K7" s="35"/>
      <c r="L7" s="35" t="s">
        <v>50</v>
      </c>
    </row>
    <row r="8" spans="2:14" ht="7.35" customHeight="1" thickBot="1">
      <c r="B8" s="39"/>
      <c r="C8"/>
    </row>
    <row r="9" spans="2:14">
      <c r="B9" s="39"/>
      <c r="C9" s="786" t="s">
        <v>741</v>
      </c>
      <c r="D9" s="787"/>
      <c r="E9" s="787"/>
      <c r="F9" s="788"/>
      <c r="G9" s="56" t="s">
        <v>742</v>
      </c>
      <c r="H9" s="57" t="s">
        <v>743</v>
      </c>
      <c r="I9" s="58" t="s">
        <v>423</v>
      </c>
    </row>
    <row r="10" spans="2:14" ht="15.75" thickBot="1">
      <c r="B10" s="39"/>
      <c r="C10" s="789"/>
      <c r="D10" s="790"/>
      <c r="E10" s="790"/>
      <c r="F10" s="791"/>
      <c r="G10" s="156">
        <f>SUM(JournalAnswer[Dr Amt])</f>
        <v>139.54000000000002</v>
      </c>
      <c r="H10" s="157">
        <f>SUM(JournalAnswer[Cr Amt])</f>
        <v>139.54000000000002</v>
      </c>
      <c r="I10" s="36">
        <f>ROUND(G10-H10,2)</f>
        <v>0</v>
      </c>
      <c r="J10" s="11"/>
      <c r="K10" s="11"/>
      <c r="L10" s="11"/>
      <c r="M10" s="11"/>
    </row>
    <row r="11" spans="2:14" ht="14.85" customHeight="1">
      <c r="B11" s="39"/>
      <c r="C11" s="75" t="s">
        <v>48</v>
      </c>
      <c r="D11" s="28" t="s">
        <v>51</v>
      </c>
      <c r="E11" s="28" t="s">
        <v>52</v>
      </c>
      <c r="F11" s="28" t="s">
        <v>53</v>
      </c>
      <c r="G11" s="28" t="s">
        <v>54</v>
      </c>
      <c r="H11" s="28" t="s">
        <v>55</v>
      </c>
      <c r="I11" s="28" t="s">
        <v>56</v>
      </c>
      <c r="J11" s="28" t="s">
        <v>57</v>
      </c>
      <c r="K11" s="28" t="s">
        <v>58</v>
      </c>
      <c r="L11" s="28" t="s">
        <v>59</v>
      </c>
      <c r="M11" s="28" t="s">
        <v>60</v>
      </c>
      <c r="N11" s="28" t="s">
        <v>61</v>
      </c>
    </row>
    <row r="12" spans="2:14">
      <c r="B12" s="76" cm="1">
        <f t="array" ref="B12:B43">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3</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3</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3</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20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Financing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20</v>
      </c>
      <c r="L14" s="38" t="str" cm="1">
        <f t="array" aca="1" ref="L14" ca="1">IFERROR(INDEX(ProblemData!$E$240:$AM$240,1,JournalAnswer[[#This Row],[Transaction '#]]),"")</f>
        <v>IN</v>
      </c>
      <c r="M14" s="1" t="str">
        <f ca="1">IF(JournalAnswer[[#This Row],[ref1]]="","",IF(NOT(ISBLANK(JournalAnswer[[#This Row],[Transaction '#]])),JournalAnswer[[#This Row],[ref1]]&amp;JournalAnswer[[#This Row],[Movement '#]],""))</f>
        <v>IN1</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20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IN</v>
      </c>
      <c r="M15" s="1" t="str">
        <f ca="1">IF(JournalAnswer[[#This Row],[ref1]]="","",IF(NOT(ISBLANK(JournalAnswer[[#This Row],[Transaction '#]])),JournalAnswer[[#This Row],[ref1]]&amp;JournalAnswer[[#This Row],[Movement '#]],""))</f>
        <v>IN2</v>
      </c>
      <c r="N15" s="1" t="b">
        <f ca="1">OR(JournalAnswer[[#This Row],[ref1]]="",ISNUMBER(MATCH(JournalAnswer[[#This Row],[ref1]], Operating[Abbr], 0)), "Found", "Not Found"="Found")</f>
        <v>0</v>
      </c>
    </row>
    <row r="16" spans="2:14">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Property, Plant &amp; Equipment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1</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PPPE</v>
      </c>
      <c r="M16" s="1" t="str">
        <f ca="1">IF(JournalAnswer[[#This Row],[ref1]]="","",IF(NOT(ISBLANK(JournalAnswer[[#This Row],[Transaction '#]])),JournalAnswer[[#This Row],[ref1]]&amp;JournalAnswer[[#This Row],[Movement '#]],""))</f>
        <v>PPPE1</v>
      </c>
      <c r="N16" s="1" t="b">
        <f ca="1">OR(JournalAnswer[[#This Row],[ref1]]="",ISNUMBER(MATCH(JournalAnswer[[#This Row],[ref1]], Operating[Abbr], 0)), "Found", "Not Found"="Found")</f>
        <v>0</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1</v>
      </c>
      <c r="I17" s="321" t="str" cm="1">
        <f t="array" ref="I17">IF(JournalAnswer[[#This Row],[Debit Account]]="Cash",INDEX(ProblemData!$E$239:$AM$239,1,JournalAnswer[[#This Row],[Transaction '#]]),IF(JournalAnswer[[#This Row],[Credit Account]]="Cash",INDEX(ProblemData!$E$239:$AM$239,1,JournalAnswer[[#This Row],[Transaction '#]]),""))</f>
        <v>Investing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-1</v>
      </c>
      <c r="L17" s="38" t="str" cm="1">
        <f t="array" aca="1" ref="L17" ca="1">IFERROR(INDEX(ProblemData!$E$240:$AM$240,1,JournalAnswer[[#This Row],[Transaction '#]]),"")</f>
        <v>PPPE</v>
      </c>
      <c r="M17" s="1" t="str">
        <f ca="1">IF(JournalAnswer[[#This Row],[ref1]]="","",IF(NOT(ISBLANK(JournalAnswer[[#This Row],[Transaction '#]])),JournalAnswer[[#This Row],[ref1]]&amp;JournalAnswer[[#This Row],[Movement '#]],""))</f>
        <v>PPPE2</v>
      </c>
      <c r="N17" s="1" t="b">
        <f ca="1">OR(JournalAnswer[[#This Row],[ref1]]="",ISNUMBER(MATCH(JournalAnswer[[#This Row],[ref1]], Operating[Abbr], 0)), "Found", "Not Found"="Found")</f>
        <v>0</v>
      </c>
    </row>
    <row r="18" spans="2:14">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20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PdS</v>
      </c>
      <c r="M18" s="1" t="str">
        <f ca="1">IF(JournalAnswer[[#This Row],[ref1]]="","",IF(NOT(ISBLANK(JournalAnswer[[#This Row],[Transaction '#]])),JournalAnswer[[#This Row],[ref1]]&amp;JournalAnswer[[#This Row],[Movement '#]],""))</f>
        <v>PdS1</v>
      </c>
      <c r="N18" s="1" t="b">
        <f ca="1">OR(JournalAnswer[[#This Row],[ref1]]="",ISNUMBER(MATCH(JournalAnswer[[#This Row],[ref1]], Operating[Abbr], 0)), "Found", "Not Found"="Found")</f>
        <v>1</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Cash</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v>
      </c>
      <c r="I19" s="321" t="str" cm="1">
        <f t="array" ref="I19">IF(JournalAnswer[[#This Row],[Debit Account]]="Cash",INDEX(ProblemData!$E$239:$AM$239,1,JournalAnswer[[#This Row],[Transaction '#]]),IF(JournalAnswer[[#This Row],[Credit Account]]="Cash",INDEX(ProblemData!$E$239:$AM$239,1,JournalAnswer[[#This Row],[Transaction '#]]),""))</f>
        <v>Operating</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-20</v>
      </c>
      <c r="L19" s="38" t="str" cm="1">
        <f t="array" aca="1" ref="L19" ca="1">IFERROR(INDEX(ProblemData!$E$240:$AM$240,1,JournalAnswer[[#This Row],[Transaction '#]]),"")</f>
        <v>PdS</v>
      </c>
      <c r="M19" s="1" t="str">
        <f ca="1">IF(JournalAnswer[[#This Row],[ref1]]="","",IF(NOT(ISBLANK(JournalAnswer[[#This Row],[Transaction '#]])),JournalAnswer[[#This Row],[ref1]]&amp;JournalAnswer[[#This Row],[Movement '#]],""))</f>
        <v>PdS2</v>
      </c>
      <c r="N19" s="1" t="b">
        <f ca="1">OR(JournalAnswer[[#This Row],[ref1]]="",ISNUMBER(MATCH(JournalAnswer[[#This Row],[ref1]], Operating[Abbr], 0)), "Found", "Not Found"="Found")</f>
        <v>1</v>
      </c>
    </row>
    <row r="20" spans="2:14">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Accounts Receivable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Revenue</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20.5</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20.5</v>
      </c>
      <c r="L22" s="38" t="str" cm="1">
        <f t="array" aca="1" ref="L22" ca="1">IFERROR(INDEX(ProblemData!$E$240:$AM$240,1,JournalAnswer[[#This Row],[Transaction '#]]),"")</f>
        <v>ColC</v>
      </c>
      <c r="M22" s="1" t="str">
        <f ca="1">IF(JournalAnswer[[#This Row],[ref1]]="","",IF(NOT(ISBLANK(JournalAnswer[[#This Row],[Transaction '#]])),JournalAnswer[[#This Row],[ref1]]&amp;JournalAnswer[[#This Row],[Movement '#]],""))</f>
        <v>ColC1</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Accounts Receivable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20.5</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ColC</v>
      </c>
      <c r="M23" s="1" t="str">
        <f ca="1">IF(JournalAnswer[[#This Row],[ref1]]="","",IF(NOT(ISBLANK(JournalAnswer[[#This Row],[Transaction '#]])),JournalAnswer[[#This Row],[ref1]]&amp;JournalAnswer[[#This Row],[Movement '#]],""))</f>
        <v>ColC2</v>
      </c>
      <c r="N23" s="1" t="b">
        <f ca="1">OR(JournalAnswer[[#This Row],[ref1]]="",ISNUMBER(MATCH(JournalAnswer[[#This Row],[ref1]], Operating[Abbr], 0)), "Found", "Not Found"="Found")</f>
        <v>1</v>
      </c>
    </row>
    <row r="24" spans="2:14">
      <c r="B24" s="76">
        <v>7</v>
      </c>
      <c r="C24" s="290">
        <f t="shared" si="1"/>
        <v>7</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Salaries &amp; Wages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3</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PdSW</v>
      </c>
      <c r="M24" s="1" t="str">
        <f ca="1">IF(JournalAnswer[[#This Row],[ref1]]="","",IF(NOT(ISBLANK(JournalAnswer[[#This Row],[Transaction '#]])),JournalAnswer[[#This Row],[ref1]]&amp;JournalAnswer[[#This Row],[Movement '#]],""))</f>
        <v>PdSW1</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3</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-3</v>
      </c>
      <c r="L25" s="38" t="str" cm="1">
        <f t="array" aca="1" ref="L25" ca="1">IFERROR(INDEX(ProblemData!$E$240:$AM$240,1,JournalAnswer[[#This Row],[Transaction '#]]),"")</f>
        <v>PdSW</v>
      </c>
      <c r="M25" s="1" t="str">
        <f ca="1">IF(JournalAnswer[[#This Row],[ref1]]="","",IF(NOT(ISBLANK(JournalAnswer[[#This Row],[Transaction '#]])),JournalAnswer[[#This Row],[ref1]]&amp;JournalAnswer[[#This Row],[Movement '#]],""))</f>
        <v>PdSW2</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Equity</v>
      </c>
      <c r="E26" s="63" t="str">
        <f>IFERROR(_xlfn.IFNA(IF(INDEX(ProblemData!$C$78:$AM$146,MATCH(J26+0.3,ProblemData!$C$78:$C$146,0),MATCH(C26,ProblemData!$C$78:$AM$78,0))="Debit",INDEX(ProblemData!$C$78:$AM$146,MATCH(J26+0.2,ProblemData!$C$78:$C$146,0),MATCH(C26,ProblemData!$C$78:$AM$78,0)),""),""),"")</f>
        <v>Retained Earnings</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0.05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DD</v>
      </c>
      <c r="M26" s="1" t="str">
        <f ca="1">IF(JournalAnswer[[#This Row],[ref1]]="","",IF(NOT(ISBLANK(JournalAnswer[[#This Row],[Transaction '#]])),JournalAnswer[[#This Row],[ref1]]&amp;JournalAnswer[[#This Row],[Movement '#]],""))</f>
        <v>DD1</v>
      </c>
      <c r="N26" s="1" t="b">
        <f ca="1">OR(JournalAnswer[[#This Row],[ref1]]="",ISNUMBER(MATCH(JournalAnswer[[#This Row],[ref1]], Operating[Abbr], 0)), "Found", "Not Found"="Found")</f>
        <v>0</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Dividends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0.05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DD</v>
      </c>
      <c r="M27" s="1" t="str">
        <f ca="1">IF(JournalAnswer[[#This Row],[ref1]]="","",IF(NOT(ISBLANK(JournalAnswer[[#This Row],[Transaction '#]])),JournalAnswer[[#This Row],[ref1]]&amp;JournalAnswer[[#This Row],[Movement '#]],""))</f>
        <v>DD2</v>
      </c>
      <c r="N27" s="1" t="b">
        <f ca="1">OR(JournalAnswer[[#This Row],[ref1]]="",ISNUMBER(MATCH(JournalAnswer[[#This Row],[ref1]], Operating[Abbr], 0)), "Found", "Not Found"="Found")</f>
        <v>0</v>
      </c>
    </row>
    <row r="28" spans="2:14">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Dividends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0.05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v>
      </c>
      <c r="M28" s="1" t="str">
        <f ca="1">IF(JournalAnswer[[#This Row],[ref1]]="","",IF(NOT(ISBLANK(JournalAnswer[[#This Row],[Transaction '#]])),JournalAnswer[[#This Row],[ref1]]&amp;JournalAnswer[[#This Row],[Movement '#]],""))</f>
        <v>PD1</v>
      </c>
      <c r="N28" s="1" t="b">
        <f ca="1">OR(JournalAnswer[[#This Row],[ref1]]="",ISNUMBER(MATCH(JournalAnswer[[#This Row],[ref1]], Operating[Abbr], 0)), "Found", "Not Found"="Found")</f>
        <v>0</v>
      </c>
    </row>
    <row r="29" spans="2:14">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0.05</v>
      </c>
      <c r="I29" s="321" t="str" cm="1">
        <f t="array" ref="I29">IF(JournalAnswer[[#This Row],[Debit Account]]="Cash",INDEX(ProblemData!$E$239:$AM$239,1,JournalAnswer[[#This Row],[Transaction '#]]),IF(JournalAnswer[[#This Row],[Credit Account]]="Cash",INDEX(ProblemData!$E$239:$AM$239,1,JournalAnswer[[#This Row],[Transaction '#]]),""))</f>
        <v>Financing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-0.05</v>
      </c>
      <c r="L29" s="38" t="str" cm="1">
        <f t="array" aca="1" ref="L29" ca="1">IFERROR(INDEX(ProblemData!$E$240:$AM$240,1,JournalAnswer[[#This Row],[Transaction '#]]),"")</f>
        <v>PD</v>
      </c>
      <c r="M29" s="1" t="str">
        <f ca="1">IF(JournalAnswer[[#This Row],[ref1]]="","",IF(NOT(ISBLANK(JournalAnswer[[#This Row],[Transaction '#]])),JournalAnswer[[#This Row],[ref1]]&amp;JournalAnswer[[#This Row],[Movement '#]],""))</f>
        <v>PD2</v>
      </c>
      <c r="N29" s="1" t="b">
        <f ca="1">OR(JournalAnswer[[#This Row],[ref1]]="",ISNUMBER(MATCH(JournalAnswer[[#This Row],[ref1]], Operating[Abbr], 0)), "Found", "Not Found"="Found")</f>
        <v>0</v>
      </c>
    </row>
    <row r="30" spans="2:14">
      <c r="B30" s="76">
        <v>10</v>
      </c>
      <c r="C30" s="290">
        <f t="shared" si="1"/>
        <v>10</v>
      </c>
      <c r="D30" s="291" t="str">
        <f>IFERROR(_xlfn.IFNA(INDEX(ProblemData!$C$78:$AM$146,MATCH(J30+0.1,ProblemData!$C$78:$C$146,0),MATCH(C30,ProblemData!$C$78:$AM$78,0)),""),"")</f>
        <v>Expense</v>
      </c>
      <c r="E30" s="63" t="str">
        <f>IFERROR(_xlfn.IFNA(IF(INDEX(ProblemData!$C$78:$AM$146,MATCH(J30+0.3,ProblemData!$C$78:$C$146,0),MATCH(C30,ProblemData!$C$78:$AM$78,0))="Debit",INDEX(ProblemData!$C$78:$AM$146,MATCH(J30+0.2,ProblemData!$C$78:$C$146,0),MATCH(C30,ProblemData!$C$78:$AM$78,0)),""),""),"")</f>
        <v>Interest Expense</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1.87</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
      </c>
      <c r="M30" s="1" t="str">
        <f ca="1">IF(JournalAnswer[[#This Row],[ref1]]="","",IF(NOT(ISBLANK(JournalAnswer[[#This Row],[Transaction '#]])),JournalAnswer[[#This Row],[ref1]]&amp;JournalAnswer[[#This Row],[Movement '#]],""))</f>
        <v/>
      </c>
      <c r="N30" s="1" t="b">
        <f ca="1">OR(JournalAnswer[[#This Row],[ref1]]="",ISNUMBER(MATCH(JournalAnswer[[#This Row],[ref1]], Operating[Abbr], 0)), "Found", "Not Found"="Found")</f>
        <v>1</v>
      </c>
    </row>
    <row r="31" spans="2:14">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Interest Payable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1.87</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
      </c>
      <c r="M31" s="1" t="str">
        <f ca="1">IF(JournalAnswer[[#This Row],[ref1]]="","",IF(NOT(ISBLANK(JournalAnswer[[#This Row],[Transaction '#]])),JournalAnswer[[#This Row],[ref1]]&amp;JournalAnswer[[#This Row],[Movement '#]],""))</f>
        <v/>
      </c>
      <c r="N31" s="1" t="b">
        <f ca="1">OR(JournalAnswer[[#This Row],[ref1]]="",ISNUMBER(MATCH(JournalAnswer[[#This Row],[ref1]], Operating[Abbr], 0)), "Found", "Not Found"="Found")</f>
        <v>1</v>
      </c>
    </row>
    <row r="32" spans="2:14">
      <c r="B32" s="76">
        <v>11</v>
      </c>
      <c r="C32" s="290">
        <f t="shared" si="1"/>
        <v>11</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Interest Payable</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1.87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PdInt</v>
      </c>
      <c r="M32" s="1" t="str">
        <f ca="1">IF(JournalAnswer[[#This Row],[ref1]]="","",IF(NOT(ISBLANK(JournalAnswer[[#This Row],[Transaction '#]])),JournalAnswer[[#This Row],[ref1]]&amp;JournalAnswer[[#This Row],[Movement '#]],""))</f>
        <v>PdInt1</v>
      </c>
      <c r="N32" s="1" t="b">
        <f ca="1">OR(JournalAnswer[[#This Row],[ref1]]="",ISNUMBER(MATCH(JournalAnswer[[#This Row],[ref1]], Operating[Abbr], 0)), "Found", "Not Found"="Found")</f>
        <v>1</v>
      </c>
    </row>
    <row r="33" spans="2:14">
      <c r="B33" s="76">
        <v>11</v>
      </c>
      <c r="C33" s="290">
        <f t="shared" si="1"/>
        <v>11</v>
      </c>
      <c r="D33" s="291" t="str">
        <f>IFERROR(_xlfn.IFNA(INDEX(ProblemData!$C$78:$AM$146,MATCH(J33+0.1,ProblemData!$C$78:$C$146,0),MATCH(C33,ProblemData!$C$78:$AM$78,0)),""),"")</f>
        <v>Asset</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Cash</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1.87</v>
      </c>
      <c r="I33" s="321" t="str" cm="1">
        <f t="array" ref="I33">IF(JournalAnswer[[#This Row],[Debit Account]]="Cash",INDEX(ProblemData!$E$239:$AM$239,1,JournalAnswer[[#This Row],[Transaction '#]]),IF(JournalAnswer[[#This Row],[Credit Account]]="Cash",INDEX(ProblemData!$E$239:$AM$239,1,JournalAnswer[[#This Row],[Transaction '#]]),""))</f>
        <v>Operating</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-1.87</v>
      </c>
      <c r="L33" s="38" t="str" cm="1">
        <f t="array" aca="1" ref="L33" ca="1">IFERROR(INDEX(ProblemData!$E$240:$AM$240,1,JournalAnswer[[#This Row],[Transaction '#]]),"")</f>
        <v>PdInt</v>
      </c>
      <c r="M33" s="1" t="str">
        <f ca="1">IF(JournalAnswer[[#This Row],[ref1]]="","",IF(NOT(ISBLANK(JournalAnswer[[#This Row],[Transaction '#]])),JournalAnswer[[#This Row],[ref1]]&amp;JournalAnswer[[#This Row],[Movement '#]],""))</f>
        <v>PdInt2</v>
      </c>
      <c r="N33" s="1" t="b">
        <f ca="1">OR(JournalAnswer[[#This Row],[ref1]]="",ISNUMBER(MATCH(JournalAnswer[[#This Row],[ref1]], Operating[Abbr], 0)), "Found", "Not Found"="Found")</f>
        <v>1</v>
      </c>
    </row>
    <row r="34" spans="2:14">
      <c r="B34" s="76">
        <v>12</v>
      </c>
      <c r="C34" s="290">
        <f t="shared" si="1"/>
        <v>12</v>
      </c>
      <c r="D34" s="291" t="str">
        <f>IFERROR(_xlfn.IFNA(INDEX(ProblemData!$C$78:$AM$146,MATCH(J34+0.1,ProblemData!$C$78:$C$146,0),MATCH(C34,ProblemData!$C$78:$AM$78,0)),""),"")</f>
        <v>Expense</v>
      </c>
      <c r="E34" s="63" t="str">
        <f>IFERROR(_xlfn.IFNA(IF(INDEX(ProblemData!$C$78:$AM$146,MATCH(J34+0.3,ProblemData!$C$78:$C$146,0),MATCH(C34,ProblemData!$C$78:$AM$78,0))="Debit",INDEX(ProblemData!$C$78:$AM$146,MATCH(J34+0.2,ProblemData!$C$78:$C$146,0),MATCH(C34,ProblemData!$C$78:$AM$78,0)),""),""),"")</f>
        <v>Cost of Goods Sold</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18</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Inventories</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18</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Depreciation Expense</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0.2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RecDeprExp</v>
      </c>
      <c r="M36" s="1" t="str">
        <f ca="1">IF(JournalAnswer[[#This Row],[ref1]]="","",IF(NOT(ISBLANK(JournalAnswer[[#This Row],[Transaction '#]])),JournalAnswer[[#This Row],[ref1]]&amp;JournalAnswer[[#This Row],[Movement '#]],""))</f>
        <v>RecDeprExp1</v>
      </c>
      <c r="N36" s="1" t="b">
        <f ca="1">OR(JournalAnswer[[#This Row],[ref1]]="",ISNUMBER(MATCH(JournalAnswer[[#This Row],[ref1]], Operating[Abbr], 0)), "Found", "Not Found"="Found")</f>
        <v>0</v>
      </c>
    </row>
    <row r="37" spans="2:14">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Accumulated Depreciation</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0.2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RecDeprExp</v>
      </c>
      <c r="M37" s="1" t="str">
        <f ca="1">IF(JournalAnswer[[#This Row],[ref1]]="","",IF(NOT(ISBLANK(JournalAnswer[[#This Row],[Transaction '#]])),JournalAnswer[[#This Row],[ref1]]&amp;JournalAnswer[[#This Row],[Movement '#]],""))</f>
        <v>RecDeprExp2</v>
      </c>
      <c r="N37" s="1" t="b">
        <f ca="1">OR(JournalAnswer[[#This Row],[ref1]]="",ISNUMBER(MATCH(JournalAnswer[[#This Row],[ref1]], Operating[Abbr], 0)), "Found", "Not Found"="Found")</f>
        <v>0</v>
      </c>
    </row>
    <row r="38" spans="2:14">
      <c r="B38" s="76">
        <v>14</v>
      </c>
      <c r="C38" s="290">
        <f t="shared" si="1"/>
        <v>14</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Sales</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25</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CL</v>
      </c>
      <c r="M38" s="1" t="str">
        <f ca="1">IF(JournalAnswer[[#This Row],[ref1]]="","",IF(NOT(ISBLANK(JournalAnswer[[#This Row],[Transaction '#]])),JournalAnswer[[#This Row],[ref1]]&amp;JournalAnswer[[#This Row],[Movement '#]],""))</f>
        <v>CL1</v>
      </c>
      <c r="N38" s="1" t="b">
        <f ca="1">OR(JournalAnswer[[#This Row],[ref1]]="",ISNUMBER(MATCH(JournalAnswer[[#This Row],[ref1]], Operating[Abbr], 0)), "Found", "Not Found"="Found")</f>
        <v>0</v>
      </c>
    </row>
    <row r="39" spans="2:14">
      <c r="B39" s="76">
        <v>14</v>
      </c>
      <c r="C39" s="290">
        <f t="shared" si="1"/>
        <v>14</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Cost of Goods Sold</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18</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CL</v>
      </c>
      <c r="M39" s="1" t="str">
        <f ca="1">IF(JournalAnswer[[#This Row],[ref1]]="","",IF(NOT(ISBLANK(JournalAnswer[[#This Row],[Transaction '#]])),JournalAnswer[[#This Row],[ref1]]&amp;JournalAnswer[[#This Row],[Movement '#]],""))</f>
        <v>CL2</v>
      </c>
      <c r="N39" s="1" t="b">
        <f ca="1">OR(JournalAnswer[[#This Row],[ref1]]="",ISNUMBER(MATCH(JournalAnswer[[#This Row],[ref1]], Operating[Abbr], 0)), "Found", "Not Found"="Found")</f>
        <v>0</v>
      </c>
    </row>
    <row r="40" spans="2:14">
      <c r="B40" s="76">
        <v>14</v>
      </c>
      <c r="C40" s="290">
        <f t="shared" si="1"/>
        <v>14</v>
      </c>
      <c r="D40" s="291" t="str">
        <f>IFERROR(_xlfn.IFNA(INDEX(ProblemData!$C$78:$AM$146,MATCH(J40+0.1,ProblemData!$C$78:$C$146,0),MATCH(C40,ProblemData!$C$78:$AM$78,0)),""),"")</f>
        <v>Expense</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Salaries &amp; Wages Expense</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3</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3</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CL</v>
      </c>
      <c r="M40" s="1" t="str">
        <f ca="1">IF(JournalAnswer[[#This Row],[ref1]]="","",IF(NOT(ISBLANK(JournalAnswer[[#This Row],[Transaction '#]])),JournalAnswer[[#This Row],[ref1]]&amp;JournalAnswer[[#This Row],[Movement '#]],""))</f>
        <v>CL3</v>
      </c>
      <c r="N40" s="1" t="b">
        <f ca="1">OR(JournalAnswer[[#This Row],[ref1]]="",ISNUMBER(MATCH(JournalAnswer[[#This Row],[ref1]], Operating[Abbr], 0)), "Found", "Not Found"="Found")</f>
        <v>0</v>
      </c>
    </row>
    <row r="41" spans="2:14">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Interest Expense</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1.87</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4</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CL</v>
      </c>
      <c r="M41" s="1" t="str">
        <f ca="1">IF(JournalAnswer[[#This Row],[ref1]]="","",IF(NOT(ISBLANK(JournalAnswer[[#This Row],[Transaction '#]])),JournalAnswer[[#This Row],[ref1]]&amp;JournalAnswer[[#This Row],[Movement '#]],""))</f>
        <v>CL4</v>
      </c>
      <c r="N41" s="1" t="b">
        <f ca="1">OR(JournalAnswer[[#This Row],[ref1]]="",ISNUMBER(MATCH(JournalAnswer[[#This Row],[ref1]], Operating[Abbr], 0)), "Found", "Not Found"="Found")</f>
        <v>0</v>
      </c>
    </row>
    <row r="42" spans="2:14">
      <c r="B42" s="76">
        <v>14</v>
      </c>
      <c r="C42" s="290">
        <f t="shared" si="1"/>
        <v>14</v>
      </c>
      <c r="D42" s="291" t="str">
        <f>IFERROR(_xlfn.IFNA(INDEX(ProblemData!$C$78:$AM$146,MATCH(J42+0.1,ProblemData!$C$78:$C$146,0),MATCH(C42,ProblemData!$C$78:$AM$78,0)),""),"")</f>
        <v>Expense</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Depreciation Expense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0.2</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5</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CL</v>
      </c>
      <c r="M42" s="1" t="str">
        <f ca="1">IF(JournalAnswer[[#This Row],[ref1]]="","",IF(NOT(ISBLANK(JournalAnswer[[#This Row],[Transaction '#]])),JournalAnswer[[#This Row],[ref1]]&amp;JournalAnswer[[#This Row],[Movement '#]],""))</f>
        <v>CL5</v>
      </c>
      <c r="N42" s="1" t="b">
        <f ca="1">OR(JournalAnswer[[#This Row],[ref1]]="",ISNUMBER(MATCH(JournalAnswer[[#This Row],[ref1]], Operating[Abbr], 0)), "Found", "Not Found"="Found")</f>
        <v>0</v>
      </c>
    </row>
    <row r="43" spans="2:14">
      <c r="B43" s="76">
        <v>14</v>
      </c>
      <c r="C43" s="290">
        <f t="shared" si="1"/>
        <v>14</v>
      </c>
      <c r="D43" s="291" t="str">
        <f>IFERROR(_xlfn.IFNA(INDEX(ProblemData!$C$78:$AM$146,MATCH(J43+0.1,ProblemData!$C$78:$C$146,0),MATCH(C43,ProblemData!$C$78:$AM$78,0)),""),"")</f>
        <v>Equity</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Retained Earnings</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1.93</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6</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CL</v>
      </c>
      <c r="M43" s="1" t="str">
        <f ca="1">IF(JournalAnswer[[#This Row],[ref1]]="","",IF(NOT(ISBLANK(JournalAnswer[[#This Row],[Transaction '#]])),JournalAnswer[[#This Row],[ref1]]&amp;JournalAnswer[[#This Row],[Movement '#]],""))</f>
        <v>CL6</v>
      </c>
      <c r="N43" s="1" t="b">
        <f ca="1">OR(JournalAnswer[[#This Row],[ref1]]="",ISNUMBER(MATCH(JournalAnswer[[#This Row],[ref1]], Operating[Abbr], 0)), "Found", "Not Found"="Found")</f>
        <v>0</v>
      </c>
    </row>
    <row r="44" spans="2:14">
      <c r="C44" s="290" t="str">
        <f t="shared" si="1"/>
        <v/>
      </c>
      <c r="D44" s="291" t="str">
        <f>IFERROR(_xlfn.IFNA(INDEX(ProblemData!$C$78:$AM$146,MATCH(J44+0.1,ProblemData!$C$78:$C$146,0),MATCH(C44,ProblemData!$C$78:$AM$78,0)),""),"")</f>
        <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t="str">
        <f>IF(JournalAnswer[[#This Row],[Transaction '#]]="","",IF(JournalAnswer[[#This Row],[Transaction '#]]=C43,J43+1,1))</f>
        <v/>
      </c>
      <c r="K44" s="34" cm="1">
        <f t="array" ref="K44">IFERROR(_xlfn.IFS(JournalAnswer[[#This Row],[Debit Account]]="Cash",JournalAnswer[[#This Row],[Dr Amt]],JournalAnswer[[#This Row],[Credit Account]]="Cash",-JournalAnswer[[#This Row],[Cr Amt]]),0)</f>
        <v>0</v>
      </c>
      <c r="L44" s="38" t="str" cm="1">
        <f t="array" ref="L44">IFERROR(INDEX(ProblemData!$E$240:$AM$240,1,JournalAnswer[[#This Row],[Transaction '#]]),"")</f>
        <v/>
      </c>
      <c r="M44" s="1" t="str">
        <f>IF(JournalAnswer[[#This Row],[ref1]]="","",IF(NOT(ISBLANK(JournalAnswer[[#This Row],[Transaction '#]])),JournalAnswer[[#This Row],[ref1]]&amp;JournalAnswer[[#This Row],[Movement '#]],""))</f>
        <v/>
      </c>
      <c r="N44" s="1" t="b">
        <f>OR(JournalAnswer[[#This Row],[ref1]]="",ISNUMBER(MATCH(JournalAnswer[[#This Row],[ref1]], Operating[Abbr], 0)), "Found", "Not Found"="Found")</f>
        <v>1</v>
      </c>
    </row>
    <row r="45" spans="2:14">
      <c r="C45" s="290" t="str">
        <f t="shared" si="1"/>
        <v/>
      </c>
      <c r="D45" s="291" t="str">
        <f>IFERROR(_xlfn.IFNA(INDEX(ProblemData!$C$78:$AM$146,MATCH(J45+0.1,ProblemData!$C$78:$C$146,0),MATCH(C45,ProblemData!$C$78:$AM$78,0)),""),"")</f>
        <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t="str">
        <f>IF(JournalAnswer[[#This Row],[Transaction '#]]="","",IF(JournalAnswer[[#This Row],[Transaction '#]]=C44,J44+1,1))</f>
        <v/>
      </c>
      <c r="K45" s="34" cm="1">
        <f t="array" ref="K45">IFERROR(_xlfn.IFS(JournalAnswer[[#This Row],[Debit Account]]="Cash",JournalAnswer[[#This Row],[Dr Amt]],JournalAnswer[[#This Row],[Credit Account]]="Cash",-JournalAnswer[[#This Row],[Cr Amt]]),0)</f>
        <v>0</v>
      </c>
      <c r="L45" s="38" t="str" cm="1">
        <f t="array" ref="L45">IFERROR(INDEX(ProblemData!$E$240:$AM$240,1,JournalAnswer[[#This Row],[Transaction '#]]),"")</f>
        <v/>
      </c>
      <c r="M45" s="1" t="str">
        <f>IF(JournalAnswer[[#This Row],[ref1]]="","",IF(NOT(ISBLANK(JournalAnswer[[#This Row],[Transaction '#]])),JournalAnswer[[#This Row],[ref1]]&amp;JournalAnswer[[#This Row],[Movement '#]],""))</f>
        <v/>
      </c>
      <c r="N45" s="1" t="b">
        <f>OR(JournalAnswer[[#This Row],[ref1]]="",ISNUMBER(MATCH(JournalAnswer[[#This Row],[ref1]], Operating[Abbr], 0)), "Found", "Not Found"="Found")</f>
        <v>1</v>
      </c>
    </row>
    <row r="46" spans="2:14">
      <c r="C46" s="290" t="str">
        <f t="shared" si="1"/>
        <v/>
      </c>
      <c r="D46" s="291" t="str">
        <f>IFERROR(_xlfn.IFNA(INDEX(ProblemData!$C$78:$AM$146,MATCH(J46+0.1,ProblemData!$C$78:$C$146,0),MATCH(C46,ProblemData!$C$78:$AM$78,0)),""),"")</f>
        <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t="str">
        <f>IF(JournalAnswer[[#This Row],[Transaction '#]]="","",IF(JournalAnswer[[#This Row],[Transaction '#]]=C45,J45+1,1))</f>
        <v/>
      </c>
      <c r="K46" s="34" cm="1">
        <f t="array" ref="K46">IFERROR(_xlfn.IFS(JournalAnswer[[#This Row],[Debit Account]]="Cash",JournalAnswer[[#This Row],[Dr Amt]],JournalAnswer[[#This Row],[Credit Account]]="Cash",-JournalAnswer[[#This Row],[Cr Amt]]),0)</f>
        <v>0</v>
      </c>
      <c r="L46" s="38" t="str" cm="1">
        <f t="array" ref="L46">IFERROR(INDEX(ProblemData!$E$240:$AM$240,1,JournalAnswer[[#This Row],[Transaction '#]]),"")</f>
        <v/>
      </c>
      <c r="M46" s="1" t="str">
        <f>IF(JournalAnswer[[#This Row],[ref1]]="","",IF(NOT(ISBLANK(JournalAnswer[[#This Row],[Transaction '#]])),JournalAnswer[[#This Row],[ref1]]&amp;JournalAnswer[[#This Row],[Movement '#]],""))</f>
        <v/>
      </c>
      <c r="N46" s="1" t="b">
        <f>OR(JournalAnswer[[#This Row],[ref1]]="",ISNUMBER(MATCH(JournalAnswer[[#This Row],[ref1]], Operating[Abbr], 0)), "Found", "Not Found"="Found")</f>
        <v>1</v>
      </c>
    </row>
    <row r="47" spans="2:14">
      <c r="C47" s="290" t="str">
        <f t="shared" si="1"/>
        <v/>
      </c>
      <c r="D47" s="291" t="str">
        <f>IFERROR(_xlfn.IFNA(INDEX(ProblemData!$C$78:$AM$146,MATCH(J47+0.1,ProblemData!$C$78:$C$146,0),MATCH(C47,ProblemData!$C$78:$AM$78,0)),""),"")</f>
        <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t="str">
        <f>IF(JournalAnswer[[#This Row],[Transaction '#]]="","",IF(JournalAnswer[[#This Row],[Transaction '#]]=C46,J46+1,1))</f>
        <v/>
      </c>
      <c r="K47" s="34" cm="1">
        <f t="array" ref="K47">IFERROR(_xlfn.IFS(JournalAnswer[[#This Row],[Debit Account]]="Cash",JournalAnswer[[#This Row],[Dr Amt]],JournalAnswer[[#This Row],[Credit Account]]="Cash",-JournalAnswer[[#This Row],[Cr Amt]]),0)</f>
        <v>0</v>
      </c>
      <c r="L47" s="38" t="str" cm="1">
        <f t="array" ref="L47">IFERROR(INDEX(ProblemData!$E$240:$AM$240,1,JournalAnswer[[#This Row],[Transaction '#]]),"")</f>
        <v/>
      </c>
      <c r="M47" s="1" t="str">
        <f>IF(JournalAnswer[[#This Row],[ref1]]="","",IF(NOT(ISBLANK(JournalAnswer[[#This Row],[Transaction '#]])),JournalAnswer[[#This Row],[ref1]]&amp;JournalAnswer[[#This Row],[Movement '#]],""))</f>
        <v/>
      </c>
      <c r="N47" s="1" t="b">
        <f>OR(JournalAnswer[[#This Row],[ref1]]="",ISNUMBER(MATCH(JournalAnswer[[#This Row],[ref1]], Operating[Abbr], 0)), "Found", "Not Found"="Found")</f>
        <v>1</v>
      </c>
    </row>
    <row r="48" spans="2:14">
      <c r="C48" s="290" t="str">
        <f t="shared" si="1"/>
        <v/>
      </c>
      <c r="D48" s="291" t="str">
        <f>IFERROR(_xlfn.IFNA(INDEX(ProblemData!$C$78:$AM$146,MATCH(J48+0.1,ProblemData!$C$78:$C$146,0),MATCH(C48,ProblemData!$C$78:$AM$78,0)),""),"")</f>
        <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t="str">
        <f>IF(JournalAnswer[[#This Row],[Transaction '#]]="","",IF(JournalAnswer[[#This Row],[Transaction '#]]=C47,J47+1,1))</f>
        <v/>
      </c>
      <c r="K48" s="34" cm="1">
        <f t="array" ref="K48">IFERROR(_xlfn.IFS(JournalAnswer[[#This Row],[Debit Account]]="Cash",JournalAnswer[[#This Row],[Dr Amt]],JournalAnswer[[#This Row],[Credit Account]]="Cash",-JournalAnswer[[#This Row],[Cr Amt]]),0)</f>
        <v>0</v>
      </c>
      <c r="L48" s="38" t="str" cm="1">
        <f t="array" ref="L48">IFERROR(INDEX(ProblemData!$E$240:$AM$240,1,JournalAnswer[[#This Row],[Transaction '#]]),"")</f>
        <v/>
      </c>
      <c r="M48" s="1" t="str">
        <f>IF(JournalAnswer[[#This Row],[ref1]]="","",IF(NOT(ISBLANK(JournalAnswer[[#This Row],[Transaction '#]])),JournalAnswer[[#This Row],[ref1]]&amp;JournalAnswer[[#This Row],[Movement '#]],""))</f>
        <v/>
      </c>
      <c r="N48" s="1" t="b">
        <f>OR(JournalAnswer[[#This Row],[ref1]]="",ISNUMBER(MATCH(JournalAnswer[[#This Row],[ref1]], Operating[Abbr], 0)), "Found", "Not Found"="Found")</f>
        <v>1</v>
      </c>
    </row>
    <row r="49" spans="3:14">
      <c r="C49" s="290" t="str">
        <f t="shared" si="1"/>
        <v/>
      </c>
      <c r="D49" s="291" t="str">
        <f>IFERROR(_xlfn.IFNA(INDEX(ProblemData!$C$78:$AM$146,MATCH(J49+0.1,ProblemData!$C$78:$C$146,0),MATCH(C49,ProblemData!$C$78:$AM$78,0)),""),"")</f>
        <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t="str">
        <f>IF(JournalAnswer[[#This Row],[Transaction '#]]="","",IF(JournalAnswer[[#This Row],[Transaction '#]]=C48,J48+1,1))</f>
        <v/>
      </c>
      <c r="K49" s="34" cm="1">
        <f t="array" ref="K49">IFERROR(_xlfn.IFS(JournalAnswer[[#This Row],[Debit Account]]="Cash",JournalAnswer[[#This Row],[Dr Amt]],JournalAnswer[[#This Row],[Credit Account]]="Cash",-JournalAnswer[[#This Row],[Cr Amt]]),0)</f>
        <v>0</v>
      </c>
      <c r="L49" s="38" t="str" cm="1">
        <f t="array" ref="L49">IFERROR(INDEX(ProblemData!$E$240:$AM$240,1,JournalAnswer[[#This Row],[Transaction '#]]),"")</f>
        <v/>
      </c>
      <c r="M49" s="1" t="str">
        <f>IF(JournalAnswer[[#This Row],[ref1]]="","",IF(NOT(ISBLANK(JournalAnswer[[#This Row],[Transaction '#]])),JournalAnswer[[#This Row],[ref1]]&amp;JournalAnswer[[#This Row],[Movement '#]],""))</f>
        <v/>
      </c>
      <c r="N49" s="1" t="b">
        <f>OR(JournalAnswer[[#This Row],[ref1]]="",ISNUMBER(MATCH(JournalAnswer[[#This Row],[ref1]], Operating[Abbr], 0)), "Found", "Not Found"="Found")</f>
        <v>1</v>
      </c>
    </row>
    <row r="50" spans="3:14">
      <c r="C50" s="290" t="str">
        <f t="shared" si="1"/>
        <v/>
      </c>
      <c r="D50" s="291" t="str">
        <f>IFERROR(_xlfn.IFNA(INDEX(ProblemData!$C$78:$AM$146,MATCH(J50+0.1,ProblemData!$C$78:$C$146,0),MATCH(C50,ProblemData!$C$78:$AM$78,0)),""),"")</f>
        <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t="str">
        <f>IF(JournalAnswer[[#This Row],[Transaction '#]]="","",IF(JournalAnswer[[#This Row],[Transaction '#]]=C49,J49+1,1))</f>
        <v/>
      </c>
      <c r="K50" s="34" cm="1">
        <f t="array" ref="K50">IFERROR(_xlfn.IFS(JournalAnswer[[#This Row],[Debit Account]]="Cash",JournalAnswer[[#This Row],[Dr Amt]],JournalAnswer[[#This Row],[Credit Account]]="Cash",-JournalAnswer[[#This Row],[Cr Amt]]),0)</f>
        <v>0</v>
      </c>
      <c r="L50" s="38" t="str" cm="1">
        <f t="array" ref="L50">IFERROR(INDEX(ProblemData!$E$240:$AM$240,1,JournalAnswer[[#This Row],[Transaction '#]]),"")</f>
        <v/>
      </c>
      <c r="M50" s="1" t="str">
        <f>IF(JournalAnswer[[#This Row],[ref1]]="","",IF(NOT(ISBLANK(JournalAnswer[[#This Row],[Transaction '#]])),JournalAnswer[[#This Row],[ref1]]&amp;JournalAnswer[[#This Row],[Movement '#]],""))</f>
        <v/>
      </c>
      <c r="N50" s="1" t="b">
        <f>OR(JournalAnswer[[#This Row],[ref1]]="",ISNUMBER(MATCH(JournalAnswer[[#This Row],[ref1]], Operating[Abbr], 0)), "Found", "Not Found"="Found")</f>
        <v>1</v>
      </c>
    </row>
    <row r="51" spans="3:14">
      <c r="C51" s="290" t="str">
        <f t="shared" si="1"/>
        <v/>
      </c>
      <c r="D51" s="291" t="str">
        <f>IFERROR(_xlfn.IFNA(INDEX(ProblemData!$C$78:$AM$146,MATCH(J51+0.1,ProblemData!$C$78:$C$146,0),MATCH(C51,ProblemData!$C$78:$AM$78,0)),""),"")</f>
        <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t="str">
        <f>IF(JournalAnswer[[#This Row],[Transaction '#]]="","",IF(JournalAnswer[[#This Row],[Transaction '#]]=C50,J50+1,1))</f>
        <v/>
      </c>
      <c r="K51" s="34" cm="1">
        <f t="array" ref="K51">IFERROR(_xlfn.IFS(JournalAnswer[[#This Row],[Debit Account]]="Cash",JournalAnswer[[#This Row],[Dr Amt]],JournalAnswer[[#This Row],[Credit Account]]="Cash",-JournalAnswer[[#This Row],[Cr Amt]]),0)</f>
        <v>0</v>
      </c>
      <c r="L51" s="38" t="str" cm="1">
        <f t="array" ref="L51">IFERROR(INDEX(ProblemData!$E$240:$AM$240,1,JournalAnswer[[#This Row],[Transaction '#]]),"")</f>
        <v/>
      </c>
      <c r="M51" s="1" t="str">
        <f>IF(JournalAnswer[[#This Row],[ref1]]="","",IF(NOT(ISBLANK(JournalAnswer[[#This Row],[Transaction '#]])),JournalAnswer[[#This Row],[ref1]]&amp;JournalAnswer[[#This Row],[Movement '#]],""))</f>
        <v/>
      </c>
      <c r="N51" s="1" t="b">
        <f>OR(JournalAnswer[[#This Row],[ref1]]="",ISNUMBER(MATCH(JournalAnswer[[#This Row],[ref1]], Operating[Abbr], 0)), "Found", "Not Found"="Found")</f>
        <v>1</v>
      </c>
    </row>
    <row r="52" spans="3:14">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3:14">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3:14">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3:14">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3: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3: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3: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3: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3: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3: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3: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3: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3: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workbookViewId="0">
      <selection activeCell="G290" sqref="G290"/>
    </sheetView>
  </sheetViews>
  <sheetFormatPr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Miloslav's Magazines</v>
      </c>
    </row>
    <row r="2" spans="1:23">
      <c r="A2" s="358">
        <v>2</v>
      </c>
      <c r="C2" s="362" t="str">
        <f>Units</f>
        <v>Dollars in Thousands</v>
      </c>
      <c r="D2" s="261"/>
      <c r="E2" s="261"/>
      <c r="F2" s="261"/>
      <c r="H2" s="261"/>
      <c r="I2" s="261"/>
      <c r="L2" s="261"/>
      <c r="M2" s="261"/>
      <c r="P2" s="261"/>
      <c r="Q2" s="261"/>
      <c r="T2" s="261"/>
      <c r="U2" s="261"/>
      <c r="W2" s="261"/>
    </row>
    <row r="3" spans="1:23">
      <c r="A3" s="358" t="s">
        <v>744</v>
      </c>
      <c r="C3" s="261"/>
      <c r="D3" s="261"/>
      <c r="E3" s="261"/>
      <c r="F3" s="261"/>
      <c r="H3" s="261"/>
      <c r="I3" s="261"/>
      <c r="L3" s="261"/>
      <c r="M3" s="261"/>
      <c r="P3" s="261"/>
      <c r="Q3" s="261"/>
      <c r="T3" s="261"/>
      <c r="U3" s="261"/>
      <c r="W3" s="261"/>
    </row>
    <row r="4" spans="1:23" ht="19.5" thickBot="1">
      <c r="A4" s="358" t="s">
        <v>745</v>
      </c>
      <c r="C4" s="364" t="str">
        <f>BegDate</f>
        <v>12/31/20x3</v>
      </c>
      <c r="D4" s="361"/>
      <c r="E4" s="261"/>
      <c r="F4" s="261"/>
      <c r="H4" s="792" t="s">
        <v>746</v>
      </c>
      <c r="I4" s="674"/>
      <c r="J4" s="674"/>
      <c r="K4" s="674"/>
      <c r="L4" s="674"/>
      <c r="M4" s="674"/>
      <c r="N4" s="674"/>
      <c r="O4" s="674"/>
      <c r="P4" s="674"/>
      <c r="Q4" s="674"/>
      <c r="T4" s="364" t="str">
        <f>EndDate</f>
        <v>12/31/20x4</v>
      </c>
      <c r="U4" s="361"/>
      <c r="W4" s="261"/>
    </row>
    <row r="5" spans="1:23">
      <c r="A5" s="358" t="s">
        <v>747</v>
      </c>
      <c r="C5" s="261"/>
      <c r="D5" s="261"/>
      <c r="E5" s="261"/>
      <c r="F5" s="261"/>
      <c r="H5" s="261"/>
      <c r="I5" s="261"/>
      <c r="L5" s="261"/>
      <c r="M5" s="261"/>
      <c r="P5" s="261"/>
      <c r="Q5" s="261"/>
      <c r="T5" s="261"/>
      <c r="U5" s="261"/>
      <c r="W5" s="261"/>
    </row>
    <row r="6" spans="1:23" ht="15.75" thickBot="1">
      <c r="A6" s="358" t="s">
        <v>748</v>
      </c>
      <c r="B6" s="39">
        <v>1</v>
      </c>
      <c r="C6" s="360" t="s">
        <v>749</v>
      </c>
      <c r="D6" s="361"/>
      <c r="E6" s="261"/>
      <c r="F6" s="261"/>
      <c r="G6" s="39">
        <v>1</v>
      </c>
      <c r="H6" s="360" t="s">
        <v>88</v>
      </c>
      <c r="I6" s="361"/>
      <c r="K6" s="39">
        <v>1</v>
      </c>
      <c r="L6" s="360" t="s">
        <v>89</v>
      </c>
      <c r="M6" s="361"/>
      <c r="O6" s="39">
        <v>1</v>
      </c>
      <c r="P6" s="360" t="s">
        <v>90</v>
      </c>
      <c r="Q6" s="361"/>
      <c r="S6" s="39">
        <v>1</v>
      </c>
      <c r="T6" s="360" t="s">
        <v>749</v>
      </c>
      <c r="U6" s="361"/>
      <c r="W6" s="359"/>
    </row>
    <row r="7" spans="1:23">
      <c r="B7" s="39" cm="1">
        <f t="array" ref="B7:D4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37">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4.88</v>
      </c>
      <c r="O8" s="192">
        <f ca="1"/>
        <v>6</v>
      </c>
      <c r="P8" t="str">
        <f ca="1"/>
        <v>Collections from customers</v>
      </c>
      <c r="Q8" s="34">
        <f ca="1"/>
        <v>20.5</v>
      </c>
      <c r="S8" s="39" t="str">
        <v/>
      </c>
      <c r="T8" t="str">
        <v/>
      </c>
      <c r="U8" s="34" t="str">
        <v/>
      </c>
      <c r="V8" s="39">
        <v>0</v>
      </c>
    </row>
    <row r="9" spans="1:23">
      <c r="B9" s="39">
        <v>4</v>
      </c>
      <c r="C9" t="str">
        <v xml:space="preserve"> Current Assets:</v>
      </c>
      <c r="D9" s="34" t="str">
        <v/>
      </c>
      <c r="E9" s="34"/>
      <c r="F9" s="34"/>
      <c r="G9" s="192">
        <f ca="1"/>
        <v>6</v>
      </c>
      <c r="H9" s="192" t="str">
        <f ca="1"/>
        <v>Sales</v>
      </c>
      <c r="I9" s="34">
        <f ca="1"/>
        <v>25</v>
      </c>
      <c r="L9" t="str">
        <f ca="1"/>
        <v>Common Stock</v>
      </c>
      <c r="M9" s="34" t="str">
        <f ca="1"/>
        <v/>
      </c>
      <c r="O9" s="192">
        <f ca="1"/>
        <v>7</v>
      </c>
      <c r="P9" t="str">
        <f ca="1"/>
        <v>Payments to suppliers</v>
      </c>
      <c r="Q9" s="34">
        <f ca="1"/>
        <v>-20</v>
      </c>
      <c r="S9" s="39">
        <v>4</v>
      </c>
      <c r="T9" t="str">
        <v xml:space="preserve"> Current Assets:</v>
      </c>
      <c r="U9" s="34" t="str">
        <v/>
      </c>
      <c r="V9" s="39">
        <v>0</v>
      </c>
      <c r="W9" s="39"/>
    </row>
    <row r="10" spans="1:23">
      <c r="B10" s="39">
        <v>6</v>
      </c>
      <c r="C10" t="str">
        <v>Cash</v>
      </c>
      <c r="D10" s="34">
        <v>0</v>
      </c>
      <c r="E10" s="34"/>
      <c r="F10" s="34"/>
      <c r="G10" s="192">
        <f ca="1"/>
        <v>5</v>
      </c>
      <c r="H10" s="192" t="str">
        <f ca="1"/>
        <v xml:space="preserve">  Total Revenues</v>
      </c>
      <c r="I10" s="34">
        <f ca="1"/>
        <v>25</v>
      </c>
      <c r="L10" t="str">
        <f ca="1"/>
        <v>Issued Common Stock</v>
      </c>
      <c r="M10" s="34">
        <f ca="1"/>
        <v>3</v>
      </c>
      <c r="O10" s="192">
        <f ca="1"/>
        <v>7</v>
      </c>
      <c r="P10" t="str">
        <f ca="1"/>
        <v>Payments to employees</v>
      </c>
      <c r="Q10" s="34">
        <f ca="1"/>
        <v>-3</v>
      </c>
      <c r="S10" s="39">
        <v>6</v>
      </c>
      <c r="T10" t="str">
        <v>Cash</v>
      </c>
      <c r="U10" s="34">
        <v>17.579999999999998</v>
      </c>
      <c r="V10" s="39">
        <v>0</v>
      </c>
    </row>
    <row r="11" spans="1:23">
      <c r="B11" s="39">
        <v>7</v>
      </c>
      <c r="C11" t="str">
        <v>Accounts Receivable</v>
      </c>
      <c r="D11" s="34">
        <v>0</v>
      </c>
      <c r="E11" s="34"/>
      <c r="F11" s="34"/>
      <c r="G11" s="192" t="str">
        <f ca="1"/>
        <v/>
      </c>
      <c r="H11" s="192" t="str">
        <f ca="1"/>
        <v/>
      </c>
      <c r="I11" s="34" t="str">
        <f ca="1"/>
        <v/>
      </c>
      <c r="L11" t="str">
        <f ca="1"/>
        <v>Balance @ 12/31/20x4</v>
      </c>
      <c r="M11" s="34">
        <f ca="1"/>
        <v>3</v>
      </c>
      <c r="O11" s="192">
        <f ca="1"/>
        <v>7</v>
      </c>
      <c r="P11" t="str">
        <f ca="1"/>
        <v>Payments for interest</v>
      </c>
      <c r="Q11" s="34">
        <f ca="1"/>
        <v>-1.87</v>
      </c>
      <c r="S11" s="39">
        <v>7</v>
      </c>
      <c r="T11" t="str">
        <v>Accounts Receivable</v>
      </c>
      <c r="U11" s="34">
        <v>4.5</v>
      </c>
      <c r="V11" s="39">
        <v>0</v>
      </c>
    </row>
    <row r="12" spans="1:23">
      <c r="B12" s="39">
        <v>7</v>
      </c>
      <c r="C12" t="str">
        <v>Inventories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-4.37</v>
      </c>
      <c r="S12" s="39">
        <v>7</v>
      </c>
      <c r="T12" t="str">
        <v>Inventories</v>
      </c>
      <c r="U12" s="34">
        <v>2</v>
      </c>
      <c r="V12" s="39">
        <v>0</v>
      </c>
    </row>
    <row r="13" spans="1:23">
      <c r="B13" s="39">
        <v>5</v>
      </c>
      <c r="C13" t="str">
        <v xml:space="preserve">  Total Current Assets</v>
      </c>
      <c r="D13" s="34">
        <v>0</v>
      </c>
      <c r="E13" s="34"/>
      <c r="F13" s="34"/>
      <c r="G13" s="192" t="str">
        <f ca="1"/>
        <v/>
      </c>
      <c r="H13" s="192" t="str">
        <f ca="1"/>
        <v/>
      </c>
      <c r="I13" s="34" t="str">
        <f ca="1"/>
        <v/>
      </c>
      <c r="L13" t="str">
        <f ca="1"/>
        <v>Declared Dividends</v>
      </c>
      <c r="M13" s="34">
        <f ca="1"/>
        <v>-0.05</v>
      </c>
      <c r="O13" s="192" t="str">
        <f ca="1"/>
        <v/>
      </c>
      <c r="P13" t="str">
        <f ca="1"/>
        <v/>
      </c>
      <c r="Q13" s="34" t="str">
        <f ca="1"/>
        <v/>
      </c>
      <c r="S13" s="39">
        <v>5</v>
      </c>
      <c r="T13" t="str">
        <v xml:space="preserve">  Total Current Assets</v>
      </c>
      <c r="U13" s="34">
        <v>24.08</v>
      </c>
      <c r="V13" s="39">
        <v>0</v>
      </c>
    </row>
    <row r="14" spans="1:23">
      <c r="B14" s="39" t="str">
        <v/>
      </c>
      <c r="C14" t="str">
        <v/>
      </c>
      <c r="D14" s="34" t="str">
        <v/>
      </c>
      <c r="E14" s="34"/>
      <c r="F14" s="34"/>
      <c r="G14" s="192">
        <f ca="1"/>
        <v>6</v>
      </c>
      <c r="H14" s="192" t="str">
        <f ca="1"/>
        <v>Cost of Goods Sold</v>
      </c>
      <c r="I14" s="34">
        <f ca="1"/>
        <v>18</v>
      </c>
      <c r="L14" t="str">
        <f ca="1"/>
        <v>Net Income (Loss)</v>
      </c>
      <c r="M14" s="34">
        <f ca="1"/>
        <v>1.93</v>
      </c>
      <c r="O14" s="192" t="str">
        <f ca="1"/>
        <v/>
      </c>
      <c r="P14" t="str">
        <f ca="1"/>
        <v/>
      </c>
      <c r="Q14" s="34" t="str">
        <f ca="1"/>
        <v/>
      </c>
      <c r="S14" s="39" t="str">
        <v/>
      </c>
      <c r="T14" t="str">
        <v/>
      </c>
      <c r="U14" s="34" t="str">
        <v/>
      </c>
      <c r="V14" s="39">
        <v>0</v>
      </c>
    </row>
    <row r="15" spans="1:23">
      <c r="B15" s="39">
        <v>4</v>
      </c>
      <c r="C15" t="str">
        <v xml:space="preserve"> Noncurrent Assets:</v>
      </c>
      <c r="D15" s="34" t="str">
        <v/>
      </c>
      <c r="E15" s="34"/>
      <c r="F15" s="34"/>
      <c r="G15" s="192">
        <f ca="1"/>
        <v>7</v>
      </c>
      <c r="H15" s="192" t="str">
        <f ca="1"/>
        <v>Interest Expense</v>
      </c>
      <c r="I15" s="34">
        <f ca="1"/>
        <v>1.87</v>
      </c>
      <c r="L15" t="str">
        <f ca="1"/>
        <v>Balance @ 12/31/20x4</v>
      </c>
      <c r="M15" s="34">
        <f ca="1"/>
        <v>1.88</v>
      </c>
      <c r="O15" s="192">
        <f ca="1"/>
        <v>2</v>
      </c>
      <c r="P15" t="str">
        <f ca="1"/>
        <v>Investing Activities</v>
      </c>
      <c r="Q15" s="34" t="str">
        <f ca="1"/>
        <v/>
      </c>
      <c r="S15" s="39">
        <v>4</v>
      </c>
      <c r="T15" t="str">
        <v xml:space="preserve"> Noncurrent Assets:</v>
      </c>
      <c r="U15" s="34" t="str">
        <v/>
      </c>
      <c r="V15" s="39">
        <v>0</v>
      </c>
    </row>
    <row r="16" spans="1:23">
      <c r="B16" s="39">
        <v>6</v>
      </c>
      <c r="C16" t="str">
        <v>Property, Plant &amp; Equipment</v>
      </c>
      <c r="D16" s="34">
        <v>0</v>
      </c>
      <c r="E16" s="34"/>
      <c r="F16" s="34"/>
      <c r="G16" s="192">
        <f ca="1"/>
        <v>7</v>
      </c>
      <c r="H16" s="192" t="str">
        <f ca="1"/>
        <v>Depreciation Expense</v>
      </c>
      <c r="I16" s="34">
        <f ca="1"/>
        <v>0.2</v>
      </c>
      <c r="M16" s="34"/>
      <c r="O16" s="192">
        <f ca="1"/>
        <v>6</v>
      </c>
      <c r="P16" t="str">
        <f ca="1"/>
        <v>Acquired PP&amp;E</v>
      </c>
      <c r="Q16" s="34">
        <f ca="1"/>
        <v>-1</v>
      </c>
      <c r="S16" s="39">
        <v>6</v>
      </c>
      <c r="T16" t="str">
        <v>Property, Plant &amp; Equipment</v>
      </c>
      <c r="U16" s="34">
        <v>1</v>
      </c>
      <c r="V16" s="39">
        <v>0</v>
      </c>
    </row>
    <row r="17" spans="2:22">
      <c r="B17" s="39">
        <v>7</v>
      </c>
      <c r="C17" t="str">
        <v>Accumulated Depreciation</v>
      </c>
      <c r="D17" s="34">
        <v>0</v>
      </c>
      <c r="E17" s="34"/>
      <c r="F17" s="34"/>
      <c r="G17" s="192">
        <f ca="1"/>
        <v>7</v>
      </c>
      <c r="H17" s="192" t="str">
        <f ca="1"/>
        <v>Salaries &amp; Wages Expense</v>
      </c>
      <c r="I17" s="34">
        <f ca="1"/>
        <v>3</v>
      </c>
      <c r="M17" s="34"/>
      <c r="O17" s="192">
        <f ca="1"/>
        <v>3</v>
      </c>
      <c r="P17" t="str">
        <f ca="1"/>
        <v>Total Cash Flow from Investing Activities</v>
      </c>
      <c r="Q17" s="34">
        <f ca="1"/>
        <v>-1</v>
      </c>
      <c r="S17" s="39">
        <v>7</v>
      </c>
      <c r="T17" t="str">
        <v>Accumulated Depreciation</v>
      </c>
      <c r="U17" s="34">
        <v>-0.2</v>
      </c>
      <c r="V17" s="39">
        <v>0</v>
      </c>
    </row>
    <row r="18" spans="2:22">
      <c r="B18" s="39">
        <v>5</v>
      </c>
      <c r="C18" t="str">
        <v xml:space="preserve">  Total Noncurrent Assets</v>
      </c>
      <c r="D18" s="34">
        <v>0</v>
      </c>
      <c r="E18" s="34"/>
      <c r="F18" s="34"/>
      <c r="G18" s="192">
        <f ca="1"/>
        <v>5</v>
      </c>
      <c r="H18" s="192" t="str">
        <f ca="1"/>
        <v xml:space="preserve">  Total Expenses</v>
      </c>
      <c r="I18" s="34">
        <f ca="1"/>
        <v>23.07</v>
      </c>
      <c r="M18" s="34"/>
      <c r="O18" s="192" t="str">
        <f ca="1"/>
        <v/>
      </c>
      <c r="P18" t="str">
        <f ca="1"/>
        <v/>
      </c>
      <c r="Q18" s="34" t="str">
        <f ca="1"/>
        <v/>
      </c>
      <c r="S18" s="39">
        <v>5</v>
      </c>
      <c r="T18" t="str">
        <v xml:space="preserve">  Total Noncurrent Assets</v>
      </c>
      <c r="U18" s="34">
        <v>0.8</v>
      </c>
      <c r="V18" s="39">
        <v>0</v>
      </c>
    </row>
    <row r="19" spans="2:22">
      <c r="B19" s="39" t="str">
        <v/>
      </c>
      <c r="C19" t="str">
        <v/>
      </c>
      <c r="D19" s="34" t="str">
        <v/>
      </c>
      <c r="E19" s="34"/>
      <c r="F19" s="34"/>
      <c r="G19" s="192" t="str">
        <f ca="1"/>
        <v/>
      </c>
      <c r="H19" s="192" t="str">
        <f ca="1"/>
        <v/>
      </c>
      <c r="I19" s="34" t="str">
        <f ca="1"/>
        <v/>
      </c>
      <c r="M19" s="34"/>
      <c r="O19" s="192">
        <f ca="1"/>
        <v>2</v>
      </c>
      <c r="P19" t="str">
        <f ca="1"/>
        <v>Financing Activities</v>
      </c>
      <c r="Q19" s="34" t="str">
        <f ca="1"/>
        <v/>
      </c>
      <c r="S19" s="39" t="str">
        <v/>
      </c>
      <c r="T19" t="str">
        <v/>
      </c>
      <c r="U19" s="34" t="str">
        <v/>
      </c>
      <c r="V19" s="39">
        <v>0</v>
      </c>
    </row>
    <row r="20" spans="2:22">
      <c r="B20" s="39">
        <v>3</v>
      </c>
      <c r="C20" t="str">
        <v>Total Assets</v>
      </c>
      <c r="D20" s="34">
        <v>0</v>
      </c>
      <c r="E20" s="34"/>
      <c r="F20" s="34"/>
      <c r="G20" s="192">
        <f ca="1"/>
        <v>3</v>
      </c>
      <c r="H20" s="192" t="str">
        <f ca="1"/>
        <v>Net Income</v>
      </c>
      <c r="I20" s="34">
        <f ca="1"/>
        <v>1.93</v>
      </c>
      <c r="M20" s="34"/>
      <c r="O20" s="192">
        <f ca="1"/>
        <v>6</v>
      </c>
      <c r="P20" t="str">
        <f ca="1"/>
        <v>Issued common stock</v>
      </c>
      <c r="Q20" s="34">
        <f ca="1"/>
        <v>3</v>
      </c>
      <c r="S20" s="39">
        <v>3</v>
      </c>
      <c r="T20" t="str">
        <v>Total Assets</v>
      </c>
      <c r="U20" s="34">
        <v>24.88</v>
      </c>
      <c r="V20" s="39">
        <v>0</v>
      </c>
    </row>
    <row r="21" spans="2:22">
      <c r="B21" s="39" t="str">
        <v/>
      </c>
      <c r="C21" t="str">
        <v/>
      </c>
      <c r="D21" s="34" t="str">
        <v/>
      </c>
      <c r="E21" s="34"/>
      <c r="F21" s="34"/>
      <c r="G21" s="192"/>
      <c r="H21" s="192"/>
      <c r="I21" s="34"/>
      <c r="M21" s="34"/>
      <c r="O21" s="192">
        <f ca="1"/>
        <v>7</v>
      </c>
      <c r="P21" t="str">
        <f ca="1"/>
        <v>Issued notes</v>
      </c>
      <c r="Q21" s="34">
        <f ca="1"/>
        <v>20</v>
      </c>
      <c r="S21" s="39" t="str">
        <v/>
      </c>
      <c r="T21" t="str">
        <v/>
      </c>
      <c r="U21" s="34" t="str">
        <v/>
      </c>
      <c r="V21" s="39">
        <v>0</v>
      </c>
    </row>
    <row r="22" spans="2:22">
      <c r="B22" s="39">
        <v>2</v>
      </c>
      <c r="C22" t="str">
        <v>LIABILITIES</v>
      </c>
      <c r="D22" s="34" t="str">
        <v/>
      </c>
      <c r="E22" s="34"/>
      <c r="F22" s="34"/>
      <c r="G22" s="192"/>
      <c r="H22" s="192"/>
      <c r="I22" s="34"/>
      <c r="M22" s="34"/>
      <c r="O22" s="192">
        <f ca="1"/>
        <v>7</v>
      </c>
      <c r="P22" t="str">
        <f ca="1"/>
        <v>Paid dividends</v>
      </c>
      <c r="Q22" s="34">
        <f ca="1"/>
        <v>-0.05</v>
      </c>
      <c r="S22" s="39">
        <v>2</v>
      </c>
      <c r="T22" t="str">
        <v>LIABILITIES</v>
      </c>
      <c r="U22" s="34" t="str">
        <v/>
      </c>
      <c r="V22" s="39">
        <v>0</v>
      </c>
    </row>
    <row r="23" spans="2:22">
      <c r="B23" s="39" t="str">
        <v/>
      </c>
      <c r="C23" t="str">
        <v/>
      </c>
      <c r="D23" s="34" t="str">
        <v/>
      </c>
      <c r="E23" s="34"/>
      <c r="F23" s="34"/>
      <c r="G23" s="192"/>
      <c r="H23" s="192"/>
      <c r="I23" s="34"/>
      <c r="M23" s="34"/>
      <c r="O23" s="192">
        <f ca="1"/>
        <v>3</v>
      </c>
      <c r="P23" t="str">
        <f ca="1"/>
        <v>Total Cash Flow from Financing Activities</v>
      </c>
      <c r="Q23" s="34">
        <f ca="1"/>
        <v>22.95</v>
      </c>
      <c r="S23" s="39" t="str">
        <v/>
      </c>
      <c r="T23" t="str">
        <v/>
      </c>
      <c r="U23" s="34" t="str">
        <v/>
      </c>
      <c r="V23" s="39">
        <v>0</v>
      </c>
    </row>
    <row r="24" spans="2:22">
      <c r="B24" s="39">
        <v>4</v>
      </c>
      <c r="C24" t="str">
        <v xml:space="preserve"> Current Liabilities:</v>
      </c>
      <c r="D24" s="34" t="str">
        <v/>
      </c>
      <c r="E24" s="34"/>
      <c r="F24" s="34"/>
      <c r="G24" s="192"/>
      <c r="H24" s="192"/>
      <c r="I24" s="34"/>
      <c r="M24" s="34"/>
      <c r="O24" s="192" t="str">
        <f ca="1"/>
        <v/>
      </c>
      <c r="P24" t="str">
        <f ca="1"/>
        <v/>
      </c>
      <c r="Q24" s="34" t="str">
        <f ca="1"/>
        <v/>
      </c>
      <c r="S24" s="39" t="str">
        <v/>
      </c>
      <c r="T24" t="str">
        <v/>
      </c>
      <c r="U24" s="34" t="str">
        <v/>
      </c>
      <c r="V24" s="39">
        <v>0</v>
      </c>
    </row>
    <row r="25" spans="2:22">
      <c r="B25" s="39">
        <v>6</v>
      </c>
      <c r="C25" t="str">
        <v>Interest Payable</v>
      </c>
      <c r="D25" s="34">
        <v>0</v>
      </c>
      <c r="E25" s="34"/>
      <c r="F25" s="34"/>
      <c r="G25" s="192"/>
      <c r="H25" s="192"/>
      <c r="I25" s="34"/>
      <c r="M25" s="34"/>
      <c r="O25" s="39">
        <f ca="1"/>
        <v>3</v>
      </c>
      <c r="P25" t="str">
        <f ca="1"/>
        <v>Increase (decrease) in cash</v>
      </c>
      <c r="Q25" s="34">
        <f ca="1"/>
        <v>17.579999999999998</v>
      </c>
      <c r="S25" s="39" t="str">
        <v/>
      </c>
      <c r="T25" t="str">
        <v/>
      </c>
      <c r="U25" s="34" t="str">
        <v/>
      </c>
      <c r="V25" s="39">
        <v>0</v>
      </c>
    </row>
    <row r="26" spans="2:22">
      <c r="B26" s="39">
        <v>7</v>
      </c>
      <c r="C26" t="str">
        <v>Dividends Payable</v>
      </c>
      <c r="D26" s="34">
        <v>0</v>
      </c>
      <c r="E26" s="34"/>
      <c r="F26" s="34"/>
      <c r="G26" s="192"/>
      <c r="H26" s="192"/>
      <c r="I26" s="34"/>
      <c r="M26" s="34"/>
      <c r="O26" s="39">
        <f ca="1"/>
        <v>5</v>
      </c>
      <c r="P26" t="str">
        <f ca="1"/>
        <v>Cash @ 12/31/20x4</v>
      </c>
      <c r="Q26" s="34">
        <f ca="1"/>
        <v>17.579999999999998</v>
      </c>
      <c r="S26" s="39">
        <v>4</v>
      </c>
      <c r="T26" t="str">
        <v xml:space="preserve"> Noncurrent Liabilities:</v>
      </c>
      <c r="U26" s="34" t="str">
        <v/>
      </c>
      <c r="V26" s="39" t="e">
        <v>#NAME?</v>
      </c>
    </row>
    <row r="27" spans="2:22">
      <c r="B27" s="39">
        <v>5</v>
      </c>
      <c r="C27" t="str">
        <v xml:space="preserve">  Total Current Liabilities</v>
      </c>
      <c r="D27" s="34">
        <v>0</v>
      </c>
      <c r="E27" s="34"/>
      <c r="F27" s="34"/>
      <c r="G27" s="192"/>
      <c r="H27" s="192"/>
      <c r="I27" s="34"/>
      <c r="J27" s="39">
        <v>0</v>
      </c>
      <c r="M27" s="34"/>
      <c r="O27" s="39" t="str">
        <f ca="1"/>
        <v/>
      </c>
      <c r="P27" t="str">
        <f ca="1"/>
        <v/>
      </c>
      <c r="Q27" s="34" t="str">
        <f ca="1"/>
        <v/>
      </c>
      <c r="S27" s="39">
        <v>6</v>
      </c>
      <c r="T27" t="str">
        <v>Notes Payable</v>
      </c>
      <c r="U27" s="34">
        <v>20</v>
      </c>
      <c r="V27" s="39">
        <v>0</v>
      </c>
    </row>
    <row r="28" spans="2:22">
      <c r="B28" s="39" t="str">
        <v/>
      </c>
      <c r="C28" t="str">
        <v/>
      </c>
      <c r="D28" s="34" t="str">
        <v/>
      </c>
      <c r="E28" s="34"/>
      <c r="F28" s="34"/>
      <c r="H28" s="192"/>
      <c r="I28" s="34"/>
      <c r="J28" s="39">
        <v>0</v>
      </c>
      <c r="M28" s="34"/>
      <c r="O28" s="39" t="str">
        <f ca="1"/>
        <v/>
      </c>
      <c r="P28" t="str">
        <f ca="1"/>
        <v/>
      </c>
      <c r="Q28" s="34" t="str">
        <f ca="1"/>
        <v/>
      </c>
      <c r="S28" s="39">
        <v>5</v>
      </c>
      <c r="T28" t="str">
        <v xml:space="preserve">  Total Noncurrent Liabilities</v>
      </c>
      <c r="U28" s="34">
        <v>20</v>
      </c>
      <c r="V28" s="39">
        <v>0</v>
      </c>
    </row>
    <row r="29" spans="2:22">
      <c r="B29" s="39">
        <v>4</v>
      </c>
      <c r="C29" t="str">
        <v xml:space="preserve"> Noncurrent Liabilities:</v>
      </c>
      <c r="D29" s="34" t="str">
        <v/>
      </c>
      <c r="E29" s="34"/>
      <c r="F29" s="34"/>
      <c r="H29" s="192"/>
      <c r="I29" s="34"/>
      <c r="J29" s="39">
        <v>0</v>
      </c>
      <c r="M29" s="34"/>
      <c r="O29" s="39" t="str">
        <f ca="1"/>
        <v/>
      </c>
      <c r="P29" t="str">
        <f ca="1"/>
        <v/>
      </c>
      <c r="Q29" s="34" t="str">
        <f ca="1"/>
        <v/>
      </c>
      <c r="S29" s="39">
        <v>3</v>
      </c>
      <c r="T29" t="str">
        <v>Total Liabilities</v>
      </c>
      <c r="U29" s="34">
        <v>20</v>
      </c>
      <c r="V29" s="39">
        <v>0</v>
      </c>
    </row>
    <row r="30" spans="2:22">
      <c r="B30" s="39">
        <v>6</v>
      </c>
      <c r="C30" t="str">
        <v>Notes Payable</v>
      </c>
      <c r="D30" s="34">
        <v>0</v>
      </c>
      <c r="E30" s="34"/>
      <c r="F30" s="34"/>
      <c r="H30" s="192"/>
      <c r="I30" s="34"/>
      <c r="J30" s="39">
        <v>0</v>
      </c>
      <c r="M30" s="34"/>
      <c r="Q30" s="34"/>
      <c r="S30" s="39" t="str">
        <v/>
      </c>
      <c r="T30" t="str">
        <v/>
      </c>
      <c r="U30" s="34" t="str">
        <v/>
      </c>
      <c r="V30" s="39">
        <v>0</v>
      </c>
    </row>
    <row r="31" spans="2:22">
      <c r="B31" s="39">
        <v>5</v>
      </c>
      <c r="C31" t="str">
        <v xml:space="preserve">  Total Noncurrent Liabilities</v>
      </c>
      <c r="D31" s="34">
        <v>0</v>
      </c>
      <c r="E31" s="34"/>
      <c r="F31" s="34"/>
      <c r="H31" s="192"/>
      <c r="I31" s="34"/>
      <c r="J31" s="39">
        <f>IF(H31&lt;&gt;"",COUNTIFS(#REF!,H31),0)</f>
        <v>0</v>
      </c>
      <c r="M31" s="34"/>
      <c r="Q31" s="34"/>
      <c r="S31" s="39">
        <v>2</v>
      </c>
      <c r="T31" t="str">
        <v>EQUITIES</v>
      </c>
      <c r="U31" s="34" t="str">
        <v/>
      </c>
    </row>
    <row r="32" spans="2:22">
      <c r="B32" s="39">
        <v>3</v>
      </c>
      <c r="C32" t="str">
        <v>Total Liabilities</v>
      </c>
      <c r="D32" s="34">
        <v>0</v>
      </c>
      <c r="E32" s="34"/>
      <c r="F32" s="34"/>
      <c r="H32" s="192"/>
      <c r="I32" s="34"/>
      <c r="J32" s="39">
        <f>IF(H32&lt;&gt;"",COUNTIFS(#REF!,H32),0)</f>
        <v>0</v>
      </c>
      <c r="M32" s="34"/>
      <c r="Q32" s="34"/>
      <c r="S32" s="39" t="str">
        <v/>
      </c>
      <c r="T32" t="str">
        <v/>
      </c>
      <c r="U32" s="34" t="str">
        <v/>
      </c>
    </row>
    <row r="33" spans="2:21">
      <c r="B33" s="39" t="str">
        <v/>
      </c>
      <c r="C33" t="str">
        <v/>
      </c>
      <c r="D33" s="34" t="str">
        <v/>
      </c>
      <c r="E33" s="34"/>
      <c r="F33" s="34"/>
      <c r="H33" s="192"/>
      <c r="I33" s="34"/>
      <c r="J33" s="39">
        <f>IF(H33&lt;&gt;"",COUNTIFS(#REF!,H33),0)</f>
        <v>0</v>
      </c>
      <c r="M33" s="34"/>
      <c r="Q33" s="34"/>
      <c r="S33" s="39">
        <v>6</v>
      </c>
      <c r="T33" t="str">
        <v>Common Stock</v>
      </c>
      <c r="U33" s="34">
        <v>3</v>
      </c>
    </row>
    <row r="34" spans="2:21">
      <c r="B34" s="39">
        <v>2</v>
      </c>
      <c r="C34" t="str">
        <v>EQUITIES</v>
      </c>
      <c r="D34" s="34" t="str">
        <v/>
      </c>
      <c r="E34" s="34"/>
      <c r="F34" s="34"/>
      <c r="H34" s="192"/>
      <c r="I34" s="34"/>
      <c r="J34" s="39">
        <f>IF(H34&lt;&gt;"",COUNTIFS(#REF!,H34),0)</f>
        <v>0</v>
      </c>
      <c r="M34" s="34"/>
      <c r="Q34" s="34"/>
      <c r="S34" s="39">
        <v>7</v>
      </c>
      <c r="T34" t="str">
        <v>Retained Earnings</v>
      </c>
      <c r="U34" s="34">
        <v>1.88</v>
      </c>
    </row>
    <row r="35" spans="2:21">
      <c r="B35" s="39" t="str">
        <v/>
      </c>
      <c r="C35" t="str">
        <v/>
      </c>
      <c r="D35" s="34" t="str">
        <v/>
      </c>
      <c r="E35" s="34"/>
      <c r="F35" s="34"/>
      <c r="H35" s="192"/>
      <c r="I35" s="34"/>
      <c r="J35" s="39">
        <f>IF(H35&lt;&gt;"",COUNTIFS(#REF!,H35),0)</f>
        <v>0</v>
      </c>
      <c r="M35" s="34"/>
      <c r="Q35" s="34"/>
      <c r="S35" s="39">
        <v>3</v>
      </c>
      <c r="T35" t="str">
        <v>Total Equities</v>
      </c>
      <c r="U35" s="34">
        <v>4.88</v>
      </c>
    </row>
    <row r="36" spans="2:21">
      <c r="B36" s="39">
        <v>6</v>
      </c>
      <c r="C36" t="str">
        <v>Common Stock</v>
      </c>
      <c r="D36" s="34">
        <v>0</v>
      </c>
      <c r="E36" s="34"/>
      <c r="F36" s="34"/>
      <c r="H36" s="192"/>
      <c r="I36" s="34"/>
      <c r="J36" s="39">
        <f>IF(H36&lt;&gt;"",COUNTIFS(#REF!,H36),0)</f>
        <v>0</v>
      </c>
      <c r="M36" s="34"/>
      <c r="Q36" s="34"/>
      <c r="S36" s="39" t="str">
        <v/>
      </c>
      <c r="T36" t="str">
        <v/>
      </c>
      <c r="U36" s="34" t="str">
        <v/>
      </c>
    </row>
    <row r="37" spans="2:21">
      <c r="B37" s="39">
        <v>7</v>
      </c>
      <c r="C37" t="str">
        <v>Retained Earnings</v>
      </c>
      <c r="D37" s="34">
        <v>0</v>
      </c>
      <c r="E37" s="34"/>
      <c r="F37" s="34"/>
      <c r="H37" s="192"/>
      <c r="I37" s="34"/>
      <c r="J37" s="39">
        <f>IF(H37&lt;&gt;"",COUNTIFS(#REF!,H37),0)</f>
        <v>0</v>
      </c>
      <c r="M37" s="34"/>
      <c r="Q37" s="34"/>
      <c r="S37" s="39">
        <v>3</v>
      </c>
      <c r="T37" t="str">
        <v>Total Liabilities and Equities</v>
      </c>
      <c r="U37" s="34">
        <v>24.88</v>
      </c>
    </row>
    <row r="38" spans="2:21">
      <c r="B38" s="39">
        <v>3</v>
      </c>
      <c r="C38" t="str">
        <v>Total Equities</v>
      </c>
      <c r="D38" s="34">
        <v>0</v>
      </c>
      <c r="E38" s="34"/>
      <c r="F38" s="34"/>
      <c r="H38" s="192"/>
      <c r="I38" s="34"/>
      <c r="J38" s="39">
        <f>IF(H38&lt;&gt;"",COUNTIFS(#REF!,H38),0)</f>
        <v>0</v>
      </c>
      <c r="M38" s="34"/>
      <c r="Q38" s="34"/>
      <c r="U38" s="34"/>
    </row>
    <row r="39" spans="2:21">
      <c r="B39" s="39" t="str">
        <v/>
      </c>
      <c r="C39" t="str">
        <v/>
      </c>
      <c r="D39" s="34" t="str">
        <v/>
      </c>
      <c r="E39" s="34"/>
      <c r="F39" s="34"/>
      <c r="H39" s="192"/>
      <c r="I39" s="34"/>
      <c r="J39" s="39">
        <f>IF(H39&lt;&gt;"",COUNTIFS(#REF!,H39),0)</f>
        <v>0</v>
      </c>
      <c r="M39" s="34"/>
      <c r="Q39" s="34"/>
      <c r="U39" s="34"/>
    </row>
    <row r="40" spans="2:21">
      <c r="B40" s="39">
        <v>3</v>
      </c>
      <c r="C40" t="str">
        <v>Total Liabilities and Equities</v>
      </c>
      <c r="D40" s="34">
        <v>0</v>
      </c>
      <c r="E40" s="34"/>
      <c r="F40" s="34"/>
      <c r="H40" s="192"/>
      <c r="I40" s="34"/>
      <c r="J40" s="39">
        <f>IF(H40&lt;&gt;"",COUNTIFS(#REF!,H40),0)</f>
        <v>0</v>
      </c>
      <c r="M40" s="34"/>
      <c r="Q40" s="34"/>
      <c r="U40" s="34"/>
    </row>
    <row r="41" spans="2:21">
      <c r="D41" s="34"/>
      <c r="E41" s="34"/>
      <c r="F41" s="34"/>
      <c r="H41" s="192"/>
      <c r="I41" s="34"/>
      <c r="J41" s="39">
        <f>IF(H41&lt;&gt;"",COUNTIFS(#REF!,H41),0)</f>
        <v>0</v>
      </c>
      <c r="M41" s="34"/>
      <c r="Q41" s="34"/>
      <c r="U41" s="34"/>
    </row>
    <row r="42" spans="2:21">
      <c r="D42" s="34"/>
      <c r="E42" s="34"/>
      <c r="F42" s="34"/>
      <c r="H42" s="192"/>
      <c r="I42" s="34"/>
      <c r="J42" s="39">
        <f>IF(H42&lt;&gt;"",COUNTIFS(#REF!,H42),0)</f>
        <v>0</v>
      </c>
      <c r="M42" s="34"/>
      <c r="Q42" s="34"/>
      <c r="U42" s="34"/>
    </row>
    <row r="43" spans="2:21">
      <c r="D43" s="34"/>
      <c r="E43" s="34"/>
      <c r="F43" s="34"/>
      <c r="H43" s="192"/>
      <c r="I43" s="34"/>
      <c r="J43" s="39">
        <f>IF(H43&lt;&gt;"",COUNTIFS(#REF!,H43),0)</f>
        <v>0</v>
      </c>
      <c r="M43" s="34"/>
      <c r="Q43" s="34"/>
      <c r="U43" s="34"/>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75" thickBot="1">
      <c r="C99" t="s">
        <v>750</v>
      </c>
      <c r="D99" t="b">
        <f>ISNUMBER(MATCH(FALSE,D100:D154,0))</f>
        <v>0</v>
      </c>
      <c r="H99" t="s">
        <v>750</v>
      </c>
      <c r="I99" t="b">
        <f ca="1">ISNUMBER(MATCH(FALSE,I100:I154,0))</f>
        <v>0</v>
      </c>
      <c r="L99" t="s">
        <v>750</v>
      </c>
      <c r="M99" t="b">
        <f ca="1">ISNUMBER(MATCH(FALSE,M100:M154,0))</f>
        <v>0</v>
      </c>
      <c r="P99" t="s">
        <v>750</v>
      </c>
      <c r="Q99" t="b">
        <f ca="1">ISNUMBER(MATCH(FALSE,Q100:Q154,0))</f>
        <v>1</v>
      </c>
      <c r="T99" s="5" t="s">
        <v>751</v>
      </c>
      <c r="U99" t="b">
        <f>ISNUMBER(MATCH(FALSE,U100:U154,0))</f>
        <v>0</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12/31/20x44.88</v>
      </c>
      <c r="M101" t="b">
        <f ca="1">ISNUMBER(MATCH(L101,Financial_Statements_Builder!$R$405:$R$488,0))</f>
        <v>1</v>
      </c>
      <c r="P101" s="162" t="str">
        <f t="shared" ca="1" si="2"/>
        <v>Collections from customers20.5</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Sales25</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suppliers-20</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 xml:space="preserve">  Total Revenues25</v>
      </c>
      <c r="I103" t="b">
        <f ca="1">ISNUMBER(MATCH(H103,Financial_Statements_Builder!$N$405:$N$488,0))</f>
        <v>1</v>
      </c>
      <c r="L103" s="162" t="str">
        <f t="shared" ca="1" si="4"/>
        <v>Issued Common Stock3</v>
      </c>
      <c r="M103" t="b">
        <f ca="1">ISNUMBER(MATCH(L103,Financial_Statements_Builder!$R$405:$R$488,0))</f>
        <v>1</v>
      </c>
      <c r="P103" s="162" t="str">
        <f t="shared" ca="1" si="2"/>
        <v>Payments to employees-3</v>
      </c>
      <c r="Q103" t="b">
        <f ca="1">ISNUMBER(MATCH(P103,Financial_Statements_Builder!$U$405:$U$488,0))</f>
        <v>0</v>
      </c>
      <c r="T103" s="162" t="str">
        <f t="shared" si="3"/>
        <v>Cash17.58</v>
      </c>
      <c r="U103" t="b">
        <f>ISNUMBER(MATCH(T103,Financial_Statements_Builder!$Y$405:$Y$488,0))</f>
        <v>1</v>
      </c>
    </row>
    <row r="104" spans="3:21">
      <c r="C104" s="162" t="str">
        <f t="shared" si="0"/>
        <v>Accounts Receivable0</v>
      </c>
      <c r="D104" t="b">
        <f>ISNUMBER(MATCH(C104,Financial_Statements_Builder!$J$405:$J$488,0))</f>
        <v>1</v>
      </c>
      <c r="H104" s="162" t="str">
        <f t="shared" ca="1" si="1"/>
        <v/>
      </c>
      <c r="I104" t="b">
        <f ca="1">ISNUMBER(MATCH(H104,Financial_Statements_Builder!$N$405:$N$488,0))</f>
        <v>1</v>
      </c>
      <c r="L104" s="162" t="str">
        <f t="shared" ca="1" si="4"/>
        <v>Balance @ 12/31/20x43</v>
      </c>
      <c r="M104" t="b">
        <f ca="1">ISNUMBER(MATCH(L104,Financial_Statements_Builder!$R$405:$R$488,0))</f>
        <v>1</v>
      </c>
      <c r="P104" s="162" t="str">
        <f t="shared" ca="1" si="2"/>
        <v>Payments for interest-1.87</v>
      </c>
      <c r="Q104" t="b">
        <f ca="1">ISNUMBER(MATCH(P104,Financial_Statements_Builder!$U$405:$U$488,0))</f>
        <v>0</v>
      </c>
      <c r="T104" s="162" t="str">
        <f t="shared" si="3"/>
        <v>Accounts Receivable4.5</v>
      </c>
      <c r="U104" t="b">
        <f>ISNUMBER(MATCH(T104,Financial_Statements_Builder!$Y$405:$Y$488,0))</f>
        <v>1</v>
      </c>
    </row>
    <row r="105" spans="3:21">
      <c r="C105" s="162" t="str">
        <f t="shared" si="0"/>
        <v>Inventories0</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Activities-4.37</v>
      </c>
      <c r="Q105" t="b">
        <f ca="1">ISNUMBER(MATCH(P105,Financial_Statements_Builder!$U$405:$U$488,0))</f>
        <v>0</v>
      </c>
      <c r="T105" s="162" t="str">
        <f t="shared" si="3"/>
        <v>Inventories2</v>
      </c>
      <c r="U105" t="b">
        <f>ISNUMBER(MATCH(T105,Financial_Statements_Builder!$Y$405:$Y$488,0))</f>
        <v>1</v>
      </c>
    </row>
    <row r="106" spans="3:21">
      <c r="C106" s="162" t="str">
        <f t="shared" si="0"/>
        <v xml:space="preserve">  Total Current Assets0</v>
      </c>
      <c r="D106" t="b">
        <f>ISNUMBER(MATCH(C106,Financial_Statements_Builder!$J$405:$J$488,0))</f>
        <v>1</v>
      </c>
      <c r="H106" s="162" t="str">
        <f t="shared" ca="1" si="1"/>
        <v/>
      </c>
      <c r="I106" t="b">
        <f ca="1">ISNUMBER(MATCH(H106,Financial_Statements_Builder!$N$405:$N$488,0))</f>
        <v>1</v>
      </c>
      <c r="L106" s="162" t="str">
        <f t="shared" ca="1" si="4"/>
        <v>Declared Dividends-0.05</v>
      </c>
      <c r="M106" t="b">
        <f ca="1">ISNUMBER(MATCH(L106,Financial_Statements_Builder!$R$405:$R$488,0))</f>
        <v>1</v>
      </c>
      <c r="P106" s="162" t="str">
        <f t="shared" ca="1" si="2"/>
        <v/>
      </c>
      <c r="Q106" t="b">
        <f ca="1">ISNUMBER(MATCH(P106,Financial_Statements_Builder!$U$405:$U$488,0))</f>
        <v>1</v>
      </c>
      <c r="T106" s="162" t="str">
        <f t="shared" si="3"/>
        <v xml:space="preserve">  Total Current Assets24.08</v>
      </c>
      <c r="U106" t="b">
        <f>ISNUMBER(MATCH(T106,Financial_Statements_Builder!$Y$405:$Y$488,0))</f>
        <v>1</v>
      </c>
    </row>
    <row r="107" spans="3:21">
      <c r="C107" s="162" t="str">
        <f t="shared" si="0"/>
        <v/>
      </c>
      <c r="D107" t="b">
        <f>ISNUMBER(MATCH(C107,Financial_Statements_Builder!$J$405:$J$488,0))</f>
        <v>1</v>
      </c>
      <c r="H107" s="162" t="str">
        <f t="shared" ca="1" si="1"/>
        <v>Cost of Goods Sold18</v>
      </c>
      <c r="I107" t="b">
        <f ca="1">ISNUMBER(MATCH(H107,Financial_Statements_Builder!$N$405:$N$488,0))</f>
        <v>1</v>
      </c>
      <c r="L107" s="162" t="str">
        <f t="shared" ca="1" si="4"/>
        <v>Net Income (Loss)1.93</v>
      </c>
      <c r="M107" t="b">
        <f ca="1">ISNUMBER(MATCH(L107,Financial_Statements_Builder!$R$405:$R$488,0))</f>
        <v>1</v>
      </c>
      <c r="P107" s="162" t="str">
        <f t="shared" ca="1" si="2"/>
        <v/>
      </c>
      <c r="Q107" t="b">
        <f ca="1">ISNUMBER(MATCH(P107,Financial_Statements_Builder!$U$405:$U$488,0))</f>
        <v>1</v>
      </c>
      <c r="T107" s="162" t="str">
        <f t="shared" si="3"/>
        <v/>
      </c>
      <c r="U107" t="b">
        <f>ISNUMBER(MATCH(T107,Financial_Statements_Builder!$Y$405:$Y$488,0))</f>
        <v>1</v>
      </c>
    </row>
    <row r="108" spans="3:21">
      <c r="C108" s="162" t="str">
        <f t="shared" si="0"/>
        <v xml:space="preserve"> Noncurrent Assets:</v>
      </c>
      <c r="D108" t="b">
        <f>ISNUMBER(MATCH(C108,Financial_Statements_Builder!$J$405:$J$488,0))</f>
        <v>1</v>
      </c>
      <c r="H108" s="162" t="str">
        <f t="shared" ca="1" si="1"/>
        <v>Interest Expense1.87</v>
      </c>
      <c r="I108" t="b">
        <f ca="1">ISNUMBER(MATCH(H108,Financial_Statements_Builder!$N$405:$N$488,0))</f>
        <v>1</v>
      </c>
      <c r="L108" s="162" t="str">
        <f t="shared" ca="1" si="4"/>
        <v>Balance @ 12/31/20x41.88</v>
      </c>
      <c r="M108" t="b">
        <f ca="1">ISNUMBER(MATCH(L108,Financial_Statements_Builder!$R$405:$R$488,0))</f>
        <v>1</v>
      </c>
      <c r="P108" s="162" t="str">
        <f t="shared" ca="1" si="2"/>
        <v>Investing Activities</v>
      </c>
      <c r="Q108" t="b">
        <f ca="1">ISNUMBER(MATCH(P108,Financial_Statements_Builder!$U$405:$U$488,0))</f>
        <v>0</v>
      </c>
      <c r="T108" s="162" t="str">
        <f t="shared" si="3"/>
        <v xml:space="preserve"> Noncurrent Assets:</v>
      </c>
      <c r="U108" t="b">
        <f>ISNUMBER(MATCH(T108,Financial_Statements_Builder!$Y$405:$Y$488,0))</f>
        <v>1</v>
      </c>
    </row>
    <row r="109" spans="3:21">
      <c r="C109" s="162" t="str">
        <f t="shared" si="0"/>
        <v>Property, Plant &amp; Equipment0</v>
      </c>
      <c r="D109" t="b">
        <f>ISNUMBER(MATCH(C109,Financial_Statements_Builder!$J$405:$J$488,0))</f>
        <v>1</v>
      </c>
      <c r="H109" s="162" t="str">
        <f t="shared" ca="1" si="1"/>
        <v>Depreciation Expense0.2</v>
      </c>
      <c r="I109" t="b">
        <f ca="1">ISNUMBER(MATCH(H109,Financial_Statements_Builder!$N$405:$N$488,0))</f>
        <v>1</v>
      </c>
      <c r="L109" s="162" t="str">
        <f t="shared" si="4"/>
        <v/>
      </c>
      <c r="M109" t="b">
        <f ca="1">ISNUMBER(MATCH(L109,Financial_Statements_Builder!$R$405:$R$488,0))</f>
        <v>1</v>
      </c>
      <c r="P109" s="162" t="str">
        <f t="shared" ca="1" si="2"/>
        <v>Acquired PP&amp;E-1</v>
      </c>
      <c r="Q109" t="b">
        <f ca="1">ISNUMBER(MATCH(P109,Financial_Statements_Builder!$U$405:$U$488,0))</f>
        <v>0</v>
      </c>
      <c r="T109" s="162" t="str">
        <f t="shared" si="3"/>
        <v>Property, Plant &amp; Equipment1</v>
      </c>
      <c r="U109" t="b">
        <f>ISNUMBER(MATCH(T109,Financial_Statements_Builder!$Y$405:$Y$488,0))</f>
        <v>1</v>
      </c>
    </row>
    <row r="110" spans="3:21">
      <c r="C110" s="162" t="str">
        <f t="shared" si="0"/>
        <v>Accumulated Depreciation0</v>
      </c>
      <c r="D110" t="b">
        <f>ISNUMBER(MATCH(C110,Financial_Statements_Builder!$J$405:$J$488,0))</f>
        <v>1</v>
      </c>
      <c r="H110" s="162" t="str">
        <f t="shared" ca="1" si="1"/>
        <v>Salaries &amp; Wages Expense3</v>
      </c>
      <c r="I110" t="b">
        <f ca="1">ISNUMBER(MATCH(H110,Financial_Statements_Builder!$N$405:$N$488,0))</f>
        <v>1</v>
      </c>
      <c r="L110" s="162" t="str">
        <f t="shared" si="4"/>
        <v/>
      </c>
      <c r="M110" t="b">
        <f ca="1">ISNUMBER(MATCH(L110,Financial_Statements_Builder!$R$405:$R$488,0))</f>
        <v>1</v>
      </c>
      <c r="P110" s="162" t="str">
        <f t="shared" ca="1" si="2"/>
        <v>Total Cash Flow from Investing Activities-1</v>
      </c>
      <c r="Q110" t="b">
        <f ca="1">ISNUMBER(MATCH(P110,Financial_Statements_Builder!$U$405:$U$488,0))</f>
        <v>0</v>
      </c>
      <c r="T110" s="162" t="str">
        <f t="shared" si="3"/>
        <v>Accumulated Depreciation-0.2</v>
      </c>
      <c r="U110" t="b">
        <f>ISNUMBER(MATCH(T110,Financial_Statements_Builder!$Y$405:$Y$488,0))</f>
        <v>1</v>
      </c>
    </row>
    <row r="111" spans="3:21">
      <c r="C111" s="162" t="str">
        <f t="shared" si="0"/>
        <v xml:space="preserve">  Total Noncurrent Assets0</v>
      </c>
      <c r="D111" t="b">
        <f>ISNUMBER(MATCH(C111,Financial_Statements_Builder!$J$405:$J$488,0))</f>
        <v>1</v>
      </c>
      <c r="H111" s="162" t="str">
        <f t="shared" ca="1" si="1"/>
        <v xml:space="preserve">  Total Expenses23.07</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 xml:space="preserve">  Total Noncurrent Assets0.8</v>
      </c>
      <c r="U111" t="b">
        <f>ISNUMBER(MATCH(T111,Financial_Statements_Builder!$Y$405:$Y$488,0))</f>
        <v>1</v>
      </c>
    </row>
    <row r="112" spans="3:21">
      <c r="C112" s="162" t="str">
        <f t="shared" si="0"/>
        <v/>
      </c>
      <c r="D112" t="b">
        <f>ISNUMBER(MATCH(C112,Financial_Statements_Builder!$J$405:$J$488,0))</f>
        <v>1</v>
      </c>
      <c r="H112" s="162" t="str">
        <f t="shared" ca="1" si="1"/>
        <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0</v>
      </c>
      <c r="T112" s="162" t="str">
        <f t="shared" si="3"/>
        <v/>
      </c>
      <c r="U112" t="b">
        <f>ISNUMBER(MATCH(T112,Financial_Statements_Builder!$Y$405:$Y$488,0))</f>
        <v>1</v>
      </c>
    </row>
    <row r="113" spans="3:21">
      <c r="C113" s="162" t="str">
        <f t="shared" si="0"/>
        <v>Total Assets0</v>
      </c>
      <c r="D113" t="b">
        <f>ISNUMBER(MATCH(C113,Financial_Statements_Builder!$J$405:$J$488,0))</f>
        <v>1</v>
      </c>
      <c r="H113" s="162" t="str">
        <f t="shared" ca="1" si="1"/>
        <v>Net Income1.93</v>
      </c>
      <c r="I113" t="b">
        <f ca="1">ISNUMBER(MATCH(H113,Financial_Statements_Builder!$N$405:$N$488,0))</f>
        <v>1</v>
      </c>
      <c r="L113" s="162" t="str">
        <f t="shared" si="4"/>
        <v/>
      </c>
      <c r="M113" t="b">
        <f ca="1">ISNUMBER(MATCH(L113,Financial_Statements_Builder!$R$405:$R$488,0))</f>
        <v>1</v>
      </c>
      <c r="P113" s="162" t="str">
        <f t="shared" ca="1" si="2"/>
        <v>Issued common stock3</v>
      </c>
      <c r="Q113" t="b">
        <f ca="1">ISNUMBER(MATCH(P113,Financial_Statements_Builder!$U$405:$U$488,0))</f>
        <v>0</v>
      </c>
      <c r="T113" s="162" t="str">
        <f t="shared" si="3"/>
        <v>Total Assets24.88</v>
      </c>
      <c r="U113" t="b">
        <f>ISNUMBER(MATCH(T113,Financial_Statements_Builder!$Y$405:$Y$488,0))</f>
        <v>1</v>
      </c>
    </row>
    <row r="114" spans="3:21">
      <c r="C114" s="162" t="str">
        <f t="shared" si="0"/>
        <v/>
      </c>
      <c r="D114" t="b">
        <f>ISNUMBER(MATCH(C114,Financial_Statements_Builder!$J$405:$J$488,0))</f>
        <v>1</v>
      </c>
      <c r="H114" s="162" t="str">
        <f t="shared" si="1"/>
        <v/>
      </c>
      <c r="I114" t="b">
        <f ca="1">ISNUMBER(MATCH(H114,Financial_Statements_Builder!$N$405:$N$488,0))</f>
        <v>1</v>
      </c>
      <c r="L114" s="162" t="str">
        <f t="shared" si="4"/>
        <v/>
      </c>
      <c r="M114" t="b">
        <f ca="1">ISNUMBER(MATCH(L114,Financial_Statements_Builder!$R$405:$R$488,0))</f>
        <v>1</v>
      </c>
      <c r="P114" s="162" t="str">
        <f t="shared" ca="1" si="2"/>
        <v>Issued notes20</v>
      </c>
      <c r="Q114" t="b">
        <f ca="1">ISNUMBER(MATCH(P114,Financial_Statements_Builder!$U$405:$U$488,0))</f>
        <v>0</v>
      </c>
      <c r="T114" s="162" t="str">
        <f t="shared" si="3"/>
        <v/>
      </c>
      <c r="U114" t="b">
        <f>ISNUMBER(MATCH(T114,Financial_Statements_Builder!$Y$405:$Y$488,0))</f>
        <v>1</v>
      </c>
    </row>
    <row r="115" spans="3:21">
      <c r="C115" s="162" t="str">
        <f t="shared" si="0"/>
        <v>LIABILITIES</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Paid dividends-0.05</v>
      </c>
      <c r="Q115" t="b">
        <f ca="1">ISNUMBER(MATCH(P115,Financial_Statements_Builder!$U$405:$U$488,0))</f>
        <v>0</v>
      </c>
      <c r="T115" s="162" t="str">
        <f t="shared" si="3"/>
        <v>LIABILITIES</v>
      </c>
      <c r="U115" t="b">
        <f>ISNUMBER(MATCH(T115,Financial_Statements_Builder!$Y$405:$Y$488,0))</f>
        <v>1</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Activities22.95</v>
      </c>
      <c r="Q116" t="b">
        <f ca="1">ISNUMBER(MATCH(P116,Financial_Statements_Builder!$U$405:$U$488,0))</f>
        <v>0</v>
      </c>
      <c r="T116" s="162" t="str">
        <f t="shared" si="3"/>
        <v/>
      </c>
      <c r="U116" t="b">
        <f>ISNUMBER(MATCH(T116,Financial_Statements_Builder!$Y$405:$Y$488,0))</f>
        <v>1</v>
      </c>
    </row>
    <row r="117" spans="3:21">
      <c r="C117" s="162" t="str">
        <f t="shared" si="0"/>
        <v xml:space="preserve"> Current 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
      </c>
      <c r="U117" t="b">
        <f>ISNUMBER(MATCH(T117,Financial_Statements_Builder!$Y$405:$Y$488,0))</f>
        <v>1</v>
      </c>
    </row>
    <row r="118" spans="3:21">
      <c r="C118" s="162" t="str">
        <f t="shared" si="0"/>
        <v>Interest Payable0</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cash17.58</v>
      </c>
      <c r="Q118" t="b">
        <f ca="1">ISNUMBER(MATCH(P118,Financial_Statements_Builder!$U$405:$U$488,0))</f>
        <v>0</v>
      </c>
      <c r="T118" s="162" t="str">
        <f t="shared" si="3"/>
        <v/>
      </c>
      <c r="U118" t="b">
        <f>ISNUMBER(MATCH(T118,Financial_Statements_Builder!$Y$405:$Y$488,0))</f>
        <v>1</v>
      </c>
    </row>
    <row r="119" spans="3:21">
      <c r="C119" s="162" t="str">
        <f t="shared" si="0"/>
        <v>Dividends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12/31/20x417.58</v>
      </c>
      <c r="Q119" t="b">
        <f ca="1">ISNUMBER(MATCH(P119,Financial_Statements_Builder!$U$405:$U$488,0))</f>
        <v>1</v>
      </c>
      <c r="T119" s="162" t="str">
        <f t="shared" si="3"/>
        <v xml:space="preserve"> Noncurrent Liabilities:</v>
      </c>
      <c r="U119" t="b">
        <f>ISNUMBER(MATCH(T119,Financial_Statements_Builder!$Y$405:$Y$488,0))</f>
        <v>1</v>
      </c>
    </row>
    <row r="120" spans="3:21">
      <c r="C120" s="162" t="str">
        <f t="shared" ref="C120:C154" si="5">C27&amp;D27</f>
        <v xml:space="preserve">  Total Current Liabilities0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Notes Payable20</v>
      </c>
      <c r="U120" t="b">
        <f>ISNUMBER(MATCH(T120,Financial_Statements_Builder!$Y$405:$Y$488,0))</f>
        <v>1</v>
      </c>
    </row>
    <row r="121" spans="3:21">
      <c r="C121" s="162" t="str">
        <f t="shared" si="5"/>
        <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 xml:space="preserve">  Total Noncurrent Liabilities20</v>
      </c>
      <c r="U121" t="b">
        <f>ISNUMBER(MATCH(T121,Financial_Statements_Builder!$Y$405:$Y$488,0))</f>
        <v>1</v>
      </c>
    </row>
    <row r="122" spans="3:21">
      <c r="C122" s="162" t="str">
        <f t="shared" si="5"/>
        <v xml:space="preserve"> Noncurrent Liabilities:</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Total Liabilities20</v>
      </c>
      <c r="U122" t="b">
        <f>ISNUMBER(MATCH(T122,Financial_Statements_Builder!$Y$405:$Y$488,0))</f>
        <v>1</v>
      </c>
    </row>
    <row r="123" spans="3:21">
      <c r="C123" s="162" t="str">
        <f t="shared" si="5"/>
        <v>Notes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
      </c>
      <c r="U123" t="b">
        <f>ISNUMBER(MATCH(T123,Financial_Statements_Builder!$Y$405:$Y$488,0))</f>
        <v>1</v>
      </c>
    </row>
    <row r="124" spans="3:21">
      <c r="C124" s="162" t="str">
        <f t="shared" si="5"/>
        <v xml:space="preserve">  Total Noncurrent Liabilities0</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EQUITIES</v>
      </c>
      <c r="U124" t="b">
        <f>ISNUMBER(MATCH(T124,Financial_Statements_Builder!$Y$405:$Y$488,0))</f>
        <v>1</v>
      </c>
    </row>
    <row r="125" spans="3:21">
      <c r="C125" s="162" t="str">
        <f t="shared" si="5"/>
        <v>Total Liabilities0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c r="C126" s="162" t="str">
        <f t="shared" si="5"/>
        <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Common Stock3</v>
      </c>
      <c r="U126" t="b">
        <f>ISNUMBER(MATCH(T126,Financial_Statements_Builder!$Y$405:$Y$488,0))</f>
        <v>1</v>
      </c>
    </row>
    <row r="127" spans="3:21">
      <c r="C127" s="162" t="str">
        <f t="shared" si="5"/>
        <v>EQUITIES</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Retained Earnings1.88</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Total Equities4.88</v>
      </c>
      <c r="U128" t="b">
        <f>ISNUMBER(MATCH(T128,Financial_Statements_Builder!$Y$405:$Y$488,0))</f>
        <v>1</v>
      </c>
    </row>
    <row r="129" spans="3:21">
      <c r="C129" s="162" t="str">
        <f t="shared" si="5"/>
        <v>Common Stock0</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c r="C130" s="162" t="str">
        <f t="shared" si="5"/>
        <v>Retained Earnings0</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Total Liabilities and Equities24.88</v>
      </c>
      <c r="U130" t="b">
        <f>ISNUMBER(MATCH(T130,Financial_Statements_Builder!$Y$405:$Y$488,0))</f>
        <v>1</v>
      </c>
    </row>
    <row r="131" spans="3:21">
      <c r="C131" s="162" t="str">
        <f t="shared" si="5"/>
        <v>Total Equities0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c r="C132" s="162" t="str">
        <f t="shared" si="5"/>
        <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c r="C133" s="162" t="str">
        <f t="shared" si="5"/>
        <v>Total Liabilities and Equities0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75" thickBot="1">
      <c r="E159" s="523" t="s">
        <v>752</v>
      </c>
      <c r="F159" s="5" t="s">
        <v>753</v>
      </c>
      <c r="P159" s="192" t="s">
        <v>754</v>
      </c>
      <c r="V159" s="523" t="s">
        <v>752</v>
      </c>
      <c r="W159" s="5" t="s">
        <v>753</v>
      </c>
    </row>
    <row r="160" spans="1:23">
      <c r="B160" s="192">
        <v>6</v>
      </c>
      <c r="C160" s="479" t="str" cm="1">
        <f t="array" ref="C160:D162">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25</v>
      </c>
      <c r="J160" s="192" t="b">
        <f>COUNTIF(JournalAnswer[Accnt Type],"Revenue")&gt;0</f>
        <v>1</v>
      </c>
      <c r="K160"/>
      <c r="L160" s="355" t="s">
        <v>581</v>
      </c>
      <c r="O160" s="192">
        <v>6</v>
      </c>
      <c r="P160" s="479" t="str" cm="1">
        <f t="array" aca="1" ref="P160:Q163" ca="1">_xlfn._xlws.FILTER(CHOOSE({1,2},CFS_CFO[Account],CFS_CFO[AmtAnswer]),CFS_CFO[UsedAnswer]=1,"")</f>
        <v>Collections from customers</v>
      </c>
      <c r="Q160" s="487">
        <f ca="1"/>
        <v>20.5</v>
      </c>
      <c r="S160" s="192">
        <v>6</v>
      </c>
      <c r="T160" s="479" t="str" cm="1">
        <f t="array" ref="T160:U162">_xlfn._xlws.FILTER(CHOOSE({1,2},ECurrAssets[Account],ECurrAssets[AmtAnswer]),ECurrAssets[Used]=1,"")</f>
        <v>Cash</v>
      </c>
      <c r="U160" s="480">
        <v>17.579999999999998</v>
      </c>
      <c r="V160">
        <f>ABS(U160)</f>
        <v>17.579999999999998</v>
      </c>
      <c r="W160" s="523" t="b">
        <f>SUM(V160:V169)&gt;0.000001</f>
        <v>1</v>
      </c>
    </row>
    <row r="161" spans="2:23">
      <c r="B161" s="192">
        <v>7</v>
      </c>
      <c r="C161" s="481" t="str">
        <v>Accounts Receivable</v>
      </c>
      <c r="D161" s="482">
        <v>0</v>
      </c>
      <c r="E161">
        <f t="shared" ref="E161:E219" si="10">ABS(D161)</f>
        <v>0</v>
      </c>
      <c r="F161" s="522"/>
      <c r="G161" s="192">
        <v>7</v>
      </c>
      <c r="H161" s="481"/>
      <c r="I161" s="482"/>
      <c r="J161" s="192"/>
      <c r="K161"/>
      <c r="L161" s="162" t="s">
        <v>122</v>
      </c>
      <c r="O161" s="192">
        <v>7</v>
      </c>
      <c r="P161" s="481" t="str">
        <f ca="1"/>
        <v>Payments to suppliers</v>
      </c>
      <c r="Q161" s="257">
        <f ca="1"/>
        <v>-20</v>
      </c>
      <c r="S161" s="192">
        <v>7</v>
      </c>
      <c r="T161" s="481" t="str">
        <v>Accounts Receivable</v>
      </c>
      <c r="U161" s="482">
        <v>4.5</v>
      </c>
      <c r="V161">
        <f t="shared" ref="V161:V209" si="11">ABS(U161)</f>
        <v>4.5</v>
      </c>
      <c r="W161" s="522"/>
    </row>
    <row r="162" spans="2:23">
      <c r="B162" s="192">
        <v>7</v>
      </c>
      <c r="C162" s="481" t="str">
        <v>Inventories</v>
      </c>
      <c r="D162" s="482">
        <v>0</v>
      </c>
      <c r="E162">
        <f t="shared" si="10"/>
        <v>0</v>
      </c>
      <c r="F162" s="522"/>
      <c r="G162" s="192">
        <v>7</v>
      </c>
      <c r="H162" s="481"/>
      <c r="I162" s="482"/>
      <c r="J162" s="192"/>
      <c r="K162"/>
      <c r="L162" s="162" t="s">
        <v>123</v>
      </c>
      <c r="O162" s="192">
        <v>7</v>
      </c>
      <c r="P162" s="481" t="str">
        <f ca="1"/>
        <v>Payments to employees</v>
      </c>
      <c r="Q162" s="257">
        <f ca="1"/>
        <v>-3</v>
      </c>
      <c r="S162" s="192">
        <v>7</v>
      </c>
      <c r="T162" s="481" t="str">
        <v>Inventories</v>
      </c>
      <c r="U162" s="482">
        <v>2</v>
      </c>
      <c r="V162">
        <f t="shared" si="11"/>
        <v>2</v>
      </c>
      <c r="W162" s="522"/>
    </row>
    <row r="163" spans="2:23">
      <c r="B163" s="192">
        <v>7</v>
      </c>
      <c r="C163" s="481"/>
      <c r="D163" s="482"/>
      <c r="E163">
        <f t="shared" si="10"/>
        <v>0</v>
      </c>
      <c r="F163" s="522"/>
      <c r="G163" s="192">
        <v>7</v>
      </c>
      <c r="H163" s="481"/>
      <c r="I163" s="482"/>
      <c r="J163" s="192"/>
      <c r="K163"/>
      <c r="L163" s="162" t="s">
        <v>124</v>
      </c>
      <c r="O163" s="192">
        <v>7</v>
      </c>
      <c r="P163" s="481" t="str">
        <f ca="1"/>
        <v>Payments for interest</v>
      </c>
      <c r="Q163" s="257">
        <f ca="1"/>
        <v>-1.87</v>
      </c>
      <c r="S163" s="192">
        <v>7</v>
      </c>
      <c r="T163" s="481"/>
      <c r="U163" s="482"/>
      <c r="V163">
        <f t="shared" si="11"/>
        <v>0</v>
      </c>
      <c r="W163" s="522"/>
    </row>
    <row r="164" spans="2:23">
      <c r="B164" s="192">
        <v>7</v>
      </c>
      <c r="C164" s="481"/>
      <c r="D164" s="482"/>
      <c r="E164">
        <f t="shared" si="10"/>
        <v>0</v>
      </c>
      <c r="F164" s="522"/>
      <c r="G164" s="192">
        <v>7</v>
      </c>
      <c r="H164" s="481"/>
      <c r="I164" s="482"/>
      <c r="J164" s="192"/>
      <c r="K164"/>
      <c r="L164" s="162" t="s">
        <v>596</v>
      </c>
      <c r="O164" s="192">
        <v>7</v>
      </c>
      <c r="P164" s="481"/>
      <c r="Q164" s="257"/>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599</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603</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755</v>
      </c>
      <c r="O167" s="192">
        <v>7</v>
      </c>
      <c r="P167" s="481"/>
      <c r="Q167" s="257"/>
      <c r="S167" s="192">
        <v>7</v>
      </c>
      <c r="T167" s="481"/>
      <c r="U167" s="482"/>
      <c r="V167">
        <f t="shared" si="11"/>
        <v>0</v>
      </c>
      <c r="W167" s="522"/>
    </row>
    <row r="168" spans="2:23" ht="15.75" thickBot="1">
      <c r="B168" s="192">
        <v>7</v>
      </c>
      <c r="C168" s="481"/>
      <c r="D168" s="482"/>
      <c r="E168">
        <f t="shared" si="10"/>
        <v>0</v>
      </c>
      <c r="F168" s="522"/>
      <c r="G168" s="192">
        <v>7</v>
      </c>
      <c r="H168" s="481"/>
      <c r="I168" s="482"/>
      <c r="J168" s="192"/>
      <c r="K168"/>
      <c r="L168" s="163" t="s">
        <v>241</v>
      </c>
      <c r="O168" s="192">
        <v>7</v>
      </c>
      <c r="P168" s="481"/>
      <c r="Q168" s="257"/>
      <c r="S168" s="192">
        <v>7</v>
      </c>
      <c r="T168" s="481"/>
      <c r="U168" s="482"/>
      <c r="V168">
        <f t="shared" si="11"/>
        <v>0</v>
      </c>
      <c r="W168" s="522"/>
    </row>
    <row r="169" spans="2:23" ht="15.7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3" ca="1">IF(J170,_xlfn._xlws.FILTER(CHOOSE({1,2},IS_Expenses[Account],IS_Expenses[AmtAnswer]),IS_Expenses[UsedAnswer]=1,""),{"",""})</f>
        <v>Cost of Goods Sold</v>
      </c>
      <c r="I170" s="480">
        <f ca="1"/>
        <v>18</v>
      </c>
      <c r="J170" s="192" t="b">
        <f>COUNTIF(JournalAnswer[Accnt Type],"Expense")&gt;0</f>
        <v>1</v>
      </c>
      <c r="K170"/>
      <c r="L170" s="5" t="s">
        <v>89</v>
      </c>
      <c r="O170" s="192">
        <v>7</v>
      </c>
      <c r="P170" s="481"/>
      <c r="Q170" s="257"/>
      <c r="S170" s="192">
        <v>6</v>
      </c>
      <c r="T170" s="479" t="str" cm="1">
        <f t="array" ref="T170:U171">_xlfn._xlws.FILTER(CHOOSE({1,2},ENonCurrAssets[Account],ENonCurrAssets[AmtAnswer]),ENonCurrAssets[Used]=1,"")</f>
        <v>Property, Plant &amp; Equipment</v>
      </c>
      <c r="U170" s="480">
        <v>1</v>
      </c>
      <c r="V170">
        <f t="shared" si="11"/>
        <v>1</v>
      </c>
      <c r="W170" s="523" t="b">
        <f>SUM(V170:V179)&gt;0.000001</f>
        <v>1</v>
      </c>
    </row>
    <row r="171" spans="2:23" ht="15.75" thickBot="1">
      <c r="B171" s="192">
        <v>7</v>
      </c>
      <c r="C171" s="481" t="str">
        <v>Accumulated Depreciation</v>
      </c>
      <c r="D171" s="482">
        <v>0</v>
      </c>
      <c r="E171">
        <f t="shared" si="10"/>
        <v>0</v>
      </c>
      <c r="F171" s="522"/>
      <c r="G171" s="192">
        <v>7</v>
      </c>
      <c r="H171" s="481" t="str">
        <f ca="1"/>
        <v>Interest Expense</v>
      </c>
      <c r="I171" s="482">
        <f ca="1"/>
        <v>1.87</v>
      </c>
      <c r="J171" s="192"/>
      <c r="K171"/>
      <c r="L171" s="5" t="s">
        <v>237</v>
      </c>
      <c r="M171">
        <f ca="1">IF(ABS(MAX(M172:M174)&gt;0),1,0)</f>
        <v>0</v>
      </c>
      <c r="O171" s="192">
        <v>7</v>
      </c>
      <c r="P171" s="481"/>
      <c r="Q171" s="257"/>
      <c r="S171" s="192">
        <v>7</v>
      </c>
      <c r="T171" s="481" t="str">
        <v>Accumulated Depreciation</v>
      </c>
      <c r="U171" s="482">
        <v>-0.2</v>
      </c>
      <c r="V171">
        <f t="shared" si="11"/>
        <v>0.2</v>
      </c>
      <c r="W171" s="522"/>
    </row>
    <row r="172" spans="2:23">
      <c r="B172" s="192">
        <v>7</v>
      </c>
      <c r="C172" s="481"/>
      <c r="D172" s="482"/>
      <c r="E172">
        <f t="shared" si="10"/>
        <v>0</v>
      </c>
      <c r="F172" s="522"/>
      <c r="G172" s="192">
        <v>7</v>
      </c>
      <c r="H172" s="481" t="str">
        <f ca="1"/>
        <v>Depreciation Expense</v>
      </c>
      <c r="I172" s="482">
        <f ca="1"/>
        <v>0.2</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Salaries &amp; Wages Expense</v>
      </c>
      <c r="I173" s="482">
        <f ca="1"/>
        <v>3</v>
      </c>
      <c r="J173" s="192"/>
      <c r="K173">
        <v>7</v>
      </c>
      <c r="L173" s="96" t="s">
        <v>239</v>
      </c>
      <c r="M173" s="526">
        <f ca="1">FSConstruction!AG9</f>
        <v>0</v>
      </c>
      <c r="O173" s="192">
        <v>7</v>
      </c>
      <c r="P173" s="481"/>
      <c r="Q173" s="257"/>
      <c r="S173" s="192">
        <v>7</v>
      </c>
      <c r="T173" s="481"/>
      <c r="U173" s="482"/>
      <c r="V173">
        <f t="shared" si="11"/>
        <v>0</v>
      </c>
      <c r="W173" s="522"/>
    </row>
    <row r="174" spans="2:23" ht="15.75" thickBot="1">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c r="B176" s="192">
        <v>7</v>
      </c>
      <c r="C176" s="481"/>
      <c r="D176" s="482"/>
      <c r="E176">
        <f t="shared" si="10"/>
        <v>0</v>
      </c>
      <c r="F176" s="522"/>
      <c r="G176" s="192">
        <v>7</v>
      </c>
      <c r="H176" s="481"/>
      <c r="I176" s="482"/>
      <c r="J176" s="192"/>
      <c r="K176"/>
      <c r="L176" s="5" t="s">
        <v>64</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75" thickBot="1">
      <c r="B178" s="192">
        <v>7</v>
      </c>
      <c r="C178" s="481"/>
      <c r="D178" s="482"/>
      <c r="E178">
        <f t="shared" si="10"/>
        <v>0</v>
      </c>
      <c r="F178" s="522"/>
      <c r="G178" s="192">
        <v>7</v>
      </c>
      <c r="H178" s="481"/>
      <c r="I178" s="482"/>
      <c r="J178" s="192"/>
      <c r="K178">
        <v>7</v>
      </c>
      <c r="L178" s="96" t="s">
        <v>756</v>
      </c>
      <c r="M178" s="527">
        <f ca="1">FSConstruction!AG10</f>
        <v>3</v>
      </c>
      <c r="N178" s="192">
        <f ca="1">IF(M178="",0,1)</f>
        <v>1</v>
      </c>
      <c r="O178" s="192">
        <v>7</v>
      </c>
      <c r="P178" s="483"/>
      <c r="Q178" s="488"/>
      <c r="S178" s="192">
        <v>7</v>
      </c>
      <c r="T178" s="481"/>
      <c r="U178" s="482"/>
      <c r="V178">
        <f t="shared" si="11"/>
        <v>0</v>
      </c>
      <c r="W178" s="522"/>
    </row>
    <row r="179" spans="2:23" ht="15.75" thickBot="1">
      <c r="B179" s="192">
        <v>7</v>
      </c>
      <c r="C179" s="483"/>
      <c r="D179" s="485"/>
      <c r="E179">
        <f t="shared" si="10"/>
        <v>0</v>
      </c>
      <c r="F179" s="522"/>
      <c r="G179" s="192">
        <v>7</v>
      </c>
      <c r="H179" s="481"/>
      <c r="I179" s="482"/>
      <c r="J179" s="192"/>
      <c r="K179">
        <v>7</v>
      </c>
      <c r="L179" s="96" t="s">
        <v>757</v>
      </c>
      <c r="M179" s="527">
        <f ca="1">FSConstruction!AG17</f>
        <v>0</v>
      </c>
      <c r="N179" s="192">
        <f t="shared" ref="N179:N180" ca="1" si="12">IF(M179="",0,1)</f>
        <v>1</v>
      </c>
      <c r="P179" s="192" t="s">
        <v>381</v>
      </c>
      <c r="Q179" s="192"/>
      <c r="S179" s="192">
        <v>7</v>
      </c>
      <c r="T179" s="483"/>
      <c r="U179" s="485"/>
      <c r="V179">
        <f t="shared" si="11"/>
        <v>0</v>
      </c>
      <c r="W179" s="522"/>
    </row>
    <row r="180" spans="2:23">
      <c r="B180" s="192">
        <v>6</v>
      </c>
      <c r="C180" s="479" t="str" cm="1">
        <f t="array" ref="C180:D181">_xlfn._xlws.FILTER(CHOOSE({1,2},BCurrLiabs[Account],BCurrLiabs[Amt]),BCurrLiabs[Used]=1,"")</f>
        <v>Interest Payable</v>
      </c>
      <c r="D180" s="480">
        <v>0</v>
      </c>
      <c r="E180">
        <f t="shared" si="10"/>
        <v>0</v>
      </c>
      <c r="F180" s="523" t="b">
        <f>C180&lt;&gt;""</f>
        <v>1</v>
      </c>
      <c r="G180" s="192">
        <v>7</v>
      </c>
      <c r="H180" s="481"/>
      <c r="I180" s="482"/>
      <c r="J180" s="192"/>
      <c r="K180">
        <v>7</v>
      </c>
      <c r="L180" s="96" t="s">
        <v>241</v>
      </c>
      <c r="M180" s="527">
        <f ca="1">FSConstruction!AG19</f>
        <v>0</v>
      </c>
      <c r="N180" s="192">
        <f t="shared" ca="1" si="12"/>
        <v>1</v>
      </c>
      <c r="O180" s="192">
        <v>6</v>
      </c>
      <c r="P180" s="479" t="str" cm="1">
        <f t="array" aca="1" ref="P180:Q180" ca="1">_xlfn._xlws.FILTER(CHOOSE({1,2},CFS_CFI[Account],CFS_CFI[AmtAnswer]),CFS_CFI[UsedAnswer]=1,"")</f>
        <v>Acquired PP&amp;E</v>
      </c>
      <c r="Q180" s="487">
        <f ca="1"/>
        <v>-1</v>
      </c>
      <c r="S180" s="192">
        <v>6</v>
      </c>
      <c r="T180" s="479" t="str" cm="1">
        <f t="array" ref="T180:U181">_xlfn._xlws.FILTER(CHOOSE({1,2},ECurrLiabs[Account],ECurrLiabs[AmtAnswer]),ECurrLiabs[Used]=1,"")</f>
        <v>Interest Payable</v>
      </c>
      <c r="U180" s="480">
        <v>0</v>
      </c>
      <c r="V180">
        <f t="shared" si="11"/>
        <v>0</v>
      </c>
      <c r="W180" s="523" t="b">
        <f>SUM(V180:V189)&gt;0.000001</f>
        <v>0</v>
      </c>
    </row>
    <row r="181" spans="2:23" ht="15.75" thickBot="1">
      <c r="B181" s="192">
        <v>7</v>
      </c>
      <c r="C181" s="481" t="str">
        <v>Dividends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3</v>
      </c>
      <c r="N181" s="192">
        <v>1</v>
      </c>
      <c r="O181" s="192">
        <v>7</v>
      </c>
      <c r="P181" s="481"/>
      <c r="Q181" s="257"/>
      <c r="S181" s="192">
        <v>7</v>
      </c>
      <c r="T181" s="481" t="str">
        <v>Dividends Payable</v>
      </c>
      <c r="U181" s="482">
        <v>0</v>
      </c>
      <c r="V181">
        <f t="shared" si="11"/>
        <v>0</v>
      </c>
      <c r="W181" s="522"/>
    </row>
    <row r="182" spans="2:23">
      <c r="B182" s="192">
        <v>7</v>
      </c>
      <c r="C182" s="481"/>
      <c r="D182" s="482"/>
      <c r="E182">
        <f t="shared" si="10"/>
        <v>0</v>
      </c>
      <c r="F182" s="522"/>
      <c r="G182" s="192">
        <v>7</v>
      </c>
      <c r="H182" s="481"/>
      <c r="I182" s="482"/>
      <c r="J182" s="192"/>
      <c r="K182">
        <v>8</v>
      </c>
      <c r="M182" s="34"/>
      <c r="N182" s="192">
        <v>1</v>
      </c>
      <c r="O182" s="192">
        <v>7</v>
      </c>
      <c r="P182" s="481"/>
      <c r="Q182" s="257"/>
      <c r="S182" s="192">
        <v>7</v>
      </c>
      <c r="T182" s="481"/>
      <c r="U182" s="482"/>
      <c r="V182">
        <f t="shared" si="11"/>
        <v>0</v>
      </c>
      <c r="W182" s="522"/>
    </row>
    <row r="183" spans="2:23" ht="15.75" thickBot="1">
      <c r="B183" s="192">
        <v>7</v>
      </c>
      <c r="C183" s="481"/>
      <c r="D183" s="482"/>
      <c r="E183">
        <f t="shared" si="10"/>
        <v>0</v>
      </c>
      <c r="F183" s="522"/>
      <c r="G183" s="192">
        <v>7</v>
      </c>
      <c r="H183" s="481"/>
      <c r="I183" s="482"/>
      <c r="J183" s="192"/>
      <c r="K183"/>
      <c r="L183" s="5" t="s">
        <v>243</v>
      </c>
      <c r="M183">
        <f ca="1">IF(ABS(MAX(M184:M188)&gt;0),1,0)</f>
        <v>0</v>
      </c>
      <c r="O183" s="192">
        <v>7</v>
      </c>
      <c r="P183" s="481"/>
      <c r="Q183" s="257"/>
      <c r="S183" s="192">
        <v>7</v>
      </c>
      <c r="T183" s="481"/>
      <c r="U183" s="482"/>
      <c r="V183">
        <f t="shared" si="11"/>
        <v>0</v>
      </c>
      <c r="W183" s="522"/>
    </row>
    <row r="184" spans="2:23">
      <c r="B184" s="192">
        <v>7</v>
      </c>
      <c r="C184" s="481"/>
      <c r="D184" s="482"/>
      <c r="E184">
        <f t="shared" si="10"/>
        <v>0</v>
      </c>
      <c r="F184" s="522"/>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758</v>
      </c>
      <c r="M185" s="527">
        <f ca="1">FSConstruction!AG11</f>
        <v>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759</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246</v>
      </c>
      <c r="M187" s="527">
        <f ca="1">FSConstruction!AG20</f>
        <v>0</v>
      </c>
      <c r="N187" s="192">
        <f t="shared" ca="1" si="13"/>
        <v>1</v>
      </c>
      <c r="O187" s="192">
        <v>7</v>
      </c>
      <c r="P187" s="481"/>
      <c r="Q187" s="257"/>
      <c r="S187" s="192">
        <v>7</v>
      </c>
      <c r="T187" s="481"/>
      <c r="U187" s="482"/>
      <c r="V187">
        <f t="shared" si="11"/>
        <v>0</v>
      </c>
      <c r="W187" s="522"/>
    </row>
    <row r="188" spans="2:23" ht="15.7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7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c r="B190" s="192">
        <v>6</v>
      </c>
      <c r="C190" s="479" t="str" cm="1">
        <f t="array" ref="C190:D190">_xlfn._xlws.FILTER(CHOOSE({1,2},BNonCurrLiabs[Account],BNonCurrLiabs[Amt]),BNonCurrLiabs[Used]=1,"")</f>
        <v>Notes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74</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20</v>
      </c>
      <c r="V190">
        <f t="shared" si="11"/>
        <v>20</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123</v>
      </c>
      <c r="M192" s="527">
        <f ca="1">FSConstruction!AG12</f>
        <v>-0.05</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124</v>
      </c>
      <c r="M193" s="527">
        <f ca="1">FSConstruction!AG13</f>
        <v>1.93</v>
      </c>
      <c r="N193" s="192">
        <f t="shared" ca="1" si="14"/>
        <v>1</v>
      </c>
      <c r="O193" s="192">
        <v>7</v>
      </c>
      <c r="P193" s="481"/>
      <c r="Q193" s="257"/>
      <c r="S193" s="192">
        <v>7</v>
      </c>
      <c r="T193" s="481"/>
      <c r="U193" s="482"/>
      <c r="V193">
        <f t="shared" si="11"/>
        <v>0</v>
      </c>
      <c r="W193" s="522"/>
    </row>
    <row r="194" spans="2:23" ht="15.7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1.88</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c r="B196" s="192">
        <v>7</v>
      </c>
      <c r="C196" s="481"/>
      <c r="D196" s="482"/>
      <c r="E196">
        <f t="shared" si="10"/>
        <v>0</v>
      </c>
      <c r="F196" s="522"/>
      <c r="G196" s="192">
        <v>7</v>
      </c>
      <c r="H196" s="481"/>
      <c r="I196" s="482"/>
      <c r="J196" s="192"/>
      <c r="K196"/>
      <c r="L196" s="5" t="s">
        <v>248</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c r="B198" s="192">
        <v>7</v>
      </c>
      <c r="C198" s="481"/>
      <c r="D198" s="482"/>
      <c r="E198">
        <f t="shared" si="10"/>
        <v>0</v>
      </c>
      <c r="F198" s="522"/>
      <c r="G198" s="192">
        <v>7</v>
      </c>
      <c r="H198" s="481"/>
      <c r="I198" s="482"/>
      <c r="J198" s="192"/>
      <c r="K198">
        <v>7</v>
      </c>
      <c r="L198" s="96" t="s">
        <v>249</v>
      </c>
      <c r="M198" s="527">
        <f ca="1">FSConstruction!AG16</f>
        <v>0</v>
      </c>
      <c r="N198" s="192">
        <f t="shared" ref="N198" ca="1" si="15">IF(M198="",0,1)</f>
        <v>1</v>
      </c>
      <c r="O198" s="192">
        <v>7</v>
      </c>
      <c r="P198" s="483"/>
      <c r="Q198" s="488"/>
      <c r="S198" s="192">
        <v>7</v>
      </c>
      <c r="T198" s="481"/>
      <c r="U198" s="482"/>
      <c r="V198">
        <f t="shared" si="11"/>
        <v>0</v>
      </c>
      <c r="W198" s="522"/>
    </row>
    <row r="199" spans="2:23" ht="15.7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382</v>
      </c>
      <c r="Q199" s="192"/>
      <c r="S199" s="192">
        <v>7</v>
      </c>
      <c r="T199" s="483"/>
      <c r="U199" s="485"/>
      <c r="V199">
        <f t="shared" si="11"/>
        <v>0</v>
      </c>
      <c r="W199" s="522"/>
    </row>
    <row r="200" spans="2:2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3</v>
      </c>
      <c r="S200" s="192">
        <v>6</v>
      </c>
      <c r="T200" s="479" t="str" cm="1">
        <f t="array" ref="T200:U201">_xlfn._xlws.FILTER(CHOOSE({1,2},EEquities[Account],EEquities[AmtAnswer]),EEquities[Used]=1,"")</f>
        <v>Common Stock</v>
      </c>
      <c r="U200" s="480">
        <v>3</v>
      </c>
      <c r="V200">
        <f t="shared" si="11"/>
        <v>3</v>
      </c>
      <c r="W200" s="523" t="b">
        <f>SUM(V200:V209)&gt;0.000001</f>
        <v>1</v>
      </c>
    </row>
    <row r="201" spans="2:23" ht="15.75" thickBot="1">
      <c r="B201" s="192">
        <v>7</v>
      </c>
      <c r="C201" s="481" t="str">
        <v>Retained Earnings</v>
      </c>
      <c r="D201" s="482">
        <v>0</v>
      </c>
      <c r="E201">
        <f t="shared" si="10"/>
        <v>0</v>
      </c>
      <c r="F201" s="522"/>
      <c r="G201" s="192">
        <v>7</v>
      </c>
      <c r="H201" s="481"/>
      <c r="I201" s="482"/>
      <c r="K201"/>
      <c r="L201" s="5" t="s">
        <v>250</v>
      </c>
      <c r="M201">
        <f ca="1">IF(ABS(MAX(M202:M205)&gt;0),1,0)</f>
        <v>0</v>
      </c>
      <c r="O201" s="192">
        <v>7</v>
      </c>
      <c r="P201" s="481" t="str">
        <f ca="1"/>
        <v>Issued notes</v>
      </c>
      <c r="Q201" s="257">
        <f ca="1"/>
        <v>20</v>
      </c>
      <c r="S201" s="192">
        <v>7</v>
      </c>
      <c r="T201" s="481" t="str">
        <v>Retained Earnings</v>
      </c>
      <c r="U201" s="482">
        <v>1.88</v>
      </c>
      <c r="V201">
        <f t="shared" si="11"/>
        <v>1.88</v>
      </c>
      <c r="W201" s="522"/>
    </row>
    <row r="202" spans="2:23">
      <c r="B202" s="192">
        <v>7</v>
      </c>
      <c r="C202" s="481"/>
      <c r="D202" s="482"/>
      <c r="E202">
        <f t="shared" si="10"/>
        <v>0</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Paid dividends</v>
      </c>
      <c r="Q202" s="257">
        <f ca="1"/>
        <v>-0.05</v>
      </c>
      <c r="S202" s="192">
        <v>7</v>
      </c>
      <c r="T202" s="481"/>
      <c r="U202" s="482"/>
      <c r="V202">
        <f t="shared" si="11"/>
        <v>0</v>
      </c>
      <c r="W202" s="522"/>
    </row>
    <row r="203" spans="2:23">
      <c r="B203" s="192">
        <v>7</v>
      </c>
      <c r="C203" s="481"/>
      <c r="D203" s="482"/>
      <c r="E203">
        <f t="shared" si="10"/>
        <v>0</v>
      </c>
      <c r="F203" s="522"/>
      <c r="G203" s="192">
        <v>7</v>
      </c>
      <c r="H203" s="481"/>
      <c r="I203" s="482"/>
      <c r="J203" s="192"/>
      <c r="K203">
        <v>7</v>
      </c>
      <c r="L203" s="96" t="s">
        <v>251</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252</v>
      </c>
      <c r="M204" s="527">
        <f ca="1">FSConstruction!AG14</f>
        <v>0</v>
      </c>
      <c r="N204" s="192">
        <f t="shared" ca="1" si="16"/>
        <v>1</v>
      </c>
      <c r="O204" s="192">
        <v>7</v>
      </c>
      <c r="P204" s="481"/>
      <c r="Q204" s="257"/>
      <c r="S204" s="192">
        <v>7</v>
      </c>
      <c r="T204" s="481"/>
      <c r="U204" s="482"/>
      <c r="V204">
        <f t="shared" si="11"/>
        <v>0</v>
      </c>
      <c r="W204" s="522"/>
    </row>
    <row r="205" spans="2:23" ht="15.7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c r="B210"/>
      <c r="C210" s="5" t="s">
        <v>108</v>
      </c>
      <c r="E210">
        <f t="shared" si="10"/>
        <v>0</v>
      </c>
      <c r="G210" s="484"/>
      <c r="H210" s="192"/>
      <c r="I210" s="486"/>
      <c r="J210" s="192"/>
      <c r="K210"/>
      <c r="L210" s="5" t="s">
        <v>89</v>
      </c>
      <c r="M210">
        <v>1</v>
      </c>
      <c r="O210" s="192">
        <v>7</v>
      </c>
      <c r="P210" s="481"/>
      <c r="Q210" s="257"/>
      <c r="S210"/>
      <c r="T210" s="5" t="s">
        <v>91</v>
      </c>
      <c r="V210" s="192"/>
      <c r="W210" s="192"/>
    </row>
    <row r="211" spans="2:23">
      <c r="B211"/>
      <c r="C211" s="5" t="s">
        <v>253</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253</v>
      </c>
      <c r="O211" s="192">
        <v>7</v>
      </c>
      <c r="P211" s="481"/>
      <c r="Q211" s="257"/>
      <c r="S211"/>
      <c r="T211" s="5" t="s">
        <v>253</v>
      </c>
      <c r="V211" s="192"/>
      <c r="W211" s="192"/>
    </row>
    <row r="212" spans="2:23">
      <c r="B212">
        <v>5</v>
      </c>
      <c r="C212" t="s">
        <v>288</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288</v>
      </c>
      <c r="U212">
        <f>SUM(U160:U169)</f>
        <v>24.08</v>
      </c>
      <c r="V212" s="192"/>
      <c r="W212" s="192"/>
    </row>
    <row r="213" spans="2:23">
      <c r="B213">
        <v>5</v>
      </c>
      <c r="C213" t="s">
        <v>291</v>
      </c>
      <c r="D213">
        <f>SUM(D170:D179)</f>
        <v>0</v>
      </c>
      <c r="E213">
        <f t="shared" si="10"/>
        <v>0</v>
      </c>
      <c r="G213" s="481"/>
      <c r="H213" s="192"/>
      <c r="I213" s="482"/>
      <c r="J213" s="192"/>
      <c r="K213">
        <v>3</v>
      </c>
      <c r="L213" t="str">
        <f>"Total Shareholders' Equity @ "&amp;EndDate</f>
        <v>Total Shareholders' Equity @ 12/31/20x4</v>
      </c>
      <c r="M213" s="34">
        <f>M174+M181+M188+M194+M205+M199</f>
        <v>4.88</v>
      </c>
      <c r="O213" s="192">
        <v>7</v>
      </c>
      <c r="P213" s="481"/>
      <c r="Q213" s="257"/>
      <c r="S213">
        <v>5</v>
      </c>
      <c r="T213" t="s">
        <v>291</v>
      </c>
      <c r="U213">
        <f>SUM(U170:U179)</f>
        <v>0.8</v>
      </c>
      <c r="V213" s="192"/>
      <c r="W213" s="192"/>
    </row>
    <row r="214" spans="2:23">
      <c r="B214">
        <v>3</v>
      </c>
      <c r="C214" t="s">
        <v>256</v>
      </c>
      <c r="D214">
        <f>D212+D213</f>
        <v>0</v>
      </c>
      <c r="E214">
        <f t="shared" si="10"/>
        <v>0</v>
      </c>
      <c r="G214" s="481"/>
      <c r="H214" s="192"/>
      <c r="I214" s="482"/>
      <c r="J214" s="192"/>
      <c r="K214"/>
      <c r="O214" s="192">
        <v>7</v>
      </c>
      <c r="P214" s="481"/>
      <c r="Q214" s="257"/>
      <c r="S214">
        <v>3</v>
      </c>
      <c r="T214" t="s">
        <v>256</v>
      </c>
      <c r="U214">
        <f>U212+U213</f>
        <v>24.88</v>
      </c>
      <c r="V214" s="192"/>
      <c r="W214" s="192"/>
    </row>
    <row r="215" spans="2:23">
      <c r="B215">
        <v>5</v>
      </c>
      <c r="C215" t="s">
        <v>293</v>
      </c>
      <c r="D215">
        <f>SUM(D180:D189)</f>
        <v>0</v>
      </c>
      <c r="E215">
        <f t="shared" si="10"/>
        <v>0</v>
      </c>
      <c r="G215" s="481"/>
      <c r="H215" s="192"/>
      <c r="I215" s="482"/>
      <c r="J215" s="192"/>
      <c r="K215"/>
      <c r="L215" s="5"/>
      <c r="O215" s="192">
        <v>7</v>
      </c>
      <c r="P215" s="481"/>
      <c r="Q215" s="257"/>
      <c r="S215">
        <v>5</v>
      </c>
      <c r="T215" t="s">
        <v>293</v>
      </c>
      <c r="U215">
        <f>SUM(U180:U189)</f>
        <v>0</v>
      </c>
      <c r="V215" s="192"/>
      <c r="W215" s="192"/>
    </row>
    <row r="216" spans="2:23">
      <c r="B216">
        <v>5</v>
      </c>
      <c r="C216" t="s">
        <v>295</v>
      </c>
      <c r="D216">
        <f>SUM(D190:D199)</f>
        <v>0</v>
      </c>
      <c r="E216">
        <f t="shared" si="10"/>
        <v>0</v>
      </c>
      <c r="G216" s="481"/>
      <c r="H216" s="192"/>
      <c r="I216" s="482"/>
      <c r="J216" s="192"/>
      <c r="K216"/>
      <c r="M216" s="40" t="s">
        <v>278</v>
      </c>
      <c r="O216" s="192">
        <v>7</v>
      </c>
      <c r="P216" s="481"/>
      <c r="Q216" s="257"/>
      <c r="S216">
        <v>5</v>
      </c>
      <c r="T216" t="s">
        <v>295</v>
      </c>
      <c r="U216">
        <f>SUM(U190:U199)</f>
        <v>20</v>
      </c>
      <c r="V216" s="192"/>
      <c r="W216" s="192"/>
    </row>
    <row r="217" spans="2:23" ht="15.75" thickBot="1">
      <c r="B217">
        <v>3</v>
      </c>
      <c r="C217" t="s">
        <v>259</v>
      </c>
      <c r="D217">
        <f>D215+D216</f>
        <v>0</v>
      </c>
      <c r="E217">
        <f t="shared" si="10"/>
        <v>0</v>
      </c>
      <c r="G217" s="483"/>
      <c r="H217" s="484"/>
      <c r="I217" s="485"/>
      <c r="J217" s="192"/>
      <c r="K217"/>
      <c r="L217" t="s">
        <v>237</v>
      </c>
      <c r="M217" t="b">
        <f ca="1">M171=1</f>
        <v>0</v>
      </c>
      <c r="O217" s="192">
        <v>7</v>
      </c>
      <c r="P217" s="481"/>
      <c r="Q217" s="257"/>
      <c r="S217">
        <v>3</v>
      </c>
      <c r="T217" t="s">
        <v>259</v>
      </c>
      <c r="U217">
        <f>U215+U216</f>
        <v>20</v>
      </c>
      <c r="V217" s="192"/>
      <c r="W217" s="192"/>
    </row>
    <row r="218" spans="2:23" ht="15.75" thickBot="1">
      <c r="B218">
        <v>3</v>
      </c>
      <c r="C218" t="s">
        <v>260</v>
      </c>
      <c r="D218">
        <f>SUM(D200:D209)</f>
        <v>0</v>
      </c>
      <c r="E218">
        <f t="shared" si="10"/>
        <v>0</v>
      </c>
      <c r="K218"/>
      <c r="L218" t="s">
        <v>64</v>
      </c>
      <c r="M218" t="b">
        <f ca="1">M176=1</f>
        <v>1</v>
      </c>
      <c r="O218" s="192">
        <v>7</v>
      </c>
      <c r="P218" s="483"/>
      <c r="Q218" s="488"/>
      <c r="S218">
        <v>3</v>
      </c>
      <c r="T218" t="s">
        <v>260</v>
      </c>
      <c r="U218">
        <f>SUM(U200:U209)</f>
        <v>4.88</v>
      </c>
      <c r="V218" s="192"/>
      <c r="W218" s="192"/>
    </row>
    <row r="219" spans="2:23" ht="15.75" thickBot="1">
      <c r="B219">
        <v>3</v>
      </c>
      <c r="C219" t="s">
        <v>261</v>
      </c>
      <c r="D219">
        <f>D217+D218</f>
        <v>0</v>
      </c>
      <c r="E219">
        <f t="shared" si="10"/>
        <v>0</v>
      </c>
      <c r="K219"/>
      <c r="L219" t="s">
        <v>243</v>
      </c>
      <c r="M219" t="b">
        <f ca="1">M183=1</f>
        <v>0</v>
      </c>
      <c r="P219" s="192" t="s">
        <v>760</v>
      </c>
      <c r="Q219" s="192"/>
      <c r="S219">
        <v>3</v>
      </c>
      <c r="T219" t="s">
        <v>261</v>
      </c>
      <c r="U219">
        <f>U217+U218</f>
        <v>24.88</v>
      </c>
      <c r="V219" s="192"/>
      <c r="W219" s="192"/>
    </row>
    <row r="220" spans="2:23">
      <c r="B220"/>
      <c r="C220" s="5"/>
      <c r="G220" s="372">
        <v>3</v>
      </c>
      <c r="H220" s="5" t="s">
        <v>266</v>
      </c>
      <c r="I220" s="477">
        <f ca="1">FSConstruction!M54</f>
        <v>1.93</v>
      </c>
      <c r="K220"/>
      <c r="L220" t="s">
        <v>74</v>
      </c>
      <c r="M220" t="b">
        <f ca="1">M190=1</f>
        <v>1</v>
      </c>
      <c r="O220" s="192">
        <v>3</v>
      </c>
      <c r="P220" s="479" t="str" cm="1">
        <f t="array" aca="1" ref="P220:Q221" ca="1">_xlfn._xlws.FILTER(CHOOSE({1,2},CFSummary[Account],CFSummary[AmtAnswer]),CFSummary[UsedAnswer]=1,"")</f>
        <v>Increase (decrease) in cash</v>
      </c>
      <c r="Q220" s="487">
        <f ca="1"/>
        <v>17.579999999999998</v>
      </c>
      <c r="S220" s="192"/>
      <c r="T220" s="192"/>
      <c r="U220" s="192"/>
      <c r="V220" s="192"/>
      <c r="W220" s="192"/>
    </row>
    <row r="221" spans="2:23">
      <c r="B221"/>
      <c r="G221" s="372">
        <v>3</v>
      </c>
      <c r="H221" s="5" t="s">
        <v>612</v>
      </c>
      <c r="I221" s="477">
        <f ca="1">FSConstruction!X21</f>
        <v>1.93</v>
      </c>
      <c r="K221"/>
      <c r="L221" t="s">
        <v>220</v>
      </c>
      <c r="M221" t="b">
        <f ca="1">M196=1</f>
        <v>0</v>
      </c>
      <c r="O221" s="192">
        <v>5</v>
      </c>
      <c r="P221" s="481" t="str">
        <f ca="1"/>
        <v>Cash @ 12/31/20x4</v>
      </c>
      <c r="Q221" s="257">
        <f ca="1"/>
        <v>17.579999999999998</v>
      </c>
      <c r="S221" s="192"/>
      <c r="T221" s="192"/>
      <c r="U221" s="192"/>
      <c r="V221" s="192"/>
      <c r="W221" s="192"/>
    </row>
    <row r="222" spans="2:23">
      <c r="B222"/>
      <c r="G222" s="192"/>
      <c r="K222"/>
      <c r="L222" t="s">
        <v>250</v>
      </c>
      <c r="M222" t="b">
        <f ca="1">M201=1</f>
        <v>0</v>
      </c>
      <c r="O222" s="192">
        <v>5</v>
      </c>
      <c r="P222" s="481"/>
      <c r="Q222" s="257"/>
      <c r="S222" s="192"/>
      <c r="T222" s="192"/>
      <c r="U222" s="192"/>
      <c r="V222" s="192"/>
      <c r="W222" s="192"/>
    </row>
    <row r="223" spans="2:23">
      <c r="B223"/>
      <c r="G223" s="192">
        <v>5</v>
      </c>
      <c r="H223" t="s">
        <v>281</v>
      </c>
      <c r="I223" s="216">
        <f ca="1">SUM(I160:I169)</f>
        <v>25</v>
      </c>
      <c r="K223"/>
      <c r="O223" s="192"/>
      <c r="P223" s="481"/>
      <c r="Q223" s="257"/>
      <c r="S223" s="192"/>
      <c r="T223" s="192"/>
      <c r="U223" s="192"/>
      <c r="V223" s="192"/>
      <c r="W223" s="192"/>
    </row>
    <row r="224" spans="2:23">
      <c r="B224"/>
      <c r="G224" s="192">
        <v>5</v>
      </c>
      <c r="H224" t="s">
        <v>282</v>
      </c>
      <c r="I224" s="216">
        <f ca="1">SUM(I170:I189)</f>
        <v>23.07</v>
      </c>
      <c r="K224"/>
      <c r="L224" s="5" t="s">
        <v>290</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284</v>
      </c>
      <c r="I225" s="216">
        <f>SUM(I190:I199)</f>
        <v>0</v>
      </c>
      <c r="J225" s="192" t="b">
        <f>ROUND(I225,2)&gt;0</f>
        <v>0</v>
      </c>
      <c r="K225"/>
      <c r="O225" s="192"/>
      <c r="P225" s="481"/>
      <c r="Q225" s="257"/>
      <c r="S225" s="192"/>
      <c r="T225" s="192"/>
      <c r="U225" s="192"/>
      <c r="V225" s="192"/>
      <c r="W225" s="192"/>
    </row>
    <row r="226" spans="2:23">
      <c r="B226"/>
      <c r="G226" s="192">
        <v>5</v>
      </c>
      <c r="H226" t="s">
        <v>285</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301</v>
      </c>
      <c r="O229" s="192"/>
      <c r="P229" s="481"/>
      <c r="Q229" s="257"/>
      <c r="S229" s="192"/>
      <c r="T229" s="192"/>
      <c r="U229" s="192"/>
      <c r="V229" s="192"/>
      <c r="W229" s="192"/>
    </row>
    <row r="230" spans="2:23">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c r="B231"/>
      <c r="G231" s="192"/>
      <c r="K231"/>
      <c r="L231" t="str">
        <f ca="1"/>
        <v>Total Shareholders' Equity @ 12/31/20x4</v>
      </c>
      <c r="M231">
        <f ca="1"/>
        <v>4.88</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3</v>
      </c>
      <c r="O233" s="192"/>
      <c r="P233" s="481"/>
      <c r="Q233" s="257"/>
      <c r="S233" s="192"/>
      <c r="T233" s="192"/>
      <c r="U233" s="192"/>
      <c r="V233" s="192"/>
      <c r="W233" s="192"/>
    </row>
    <row r="234" spans="2:23">
      <c r="B234"/>
      <c r="G234" s="192"/>
      <c r="H234" s="192"/>
      <c r="I234" s="192"/>
      <c r="K234"/>
      <c r="L234" t="str">
        <f ca="1"/>
        <v>Balance @ 12/31/20x4</v>
      </c>
      <c r="M234">
        <f ca="1"/>
        <v>3</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0">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25</v>
      </c>
      <c r="L236" t="str">
        <f ca="1"/>
        <v>Declared Dividends</v>
      </c>
      <c r="M236">
        <f ca="1"/>
        <v>-0.05</v>
      </c>
      <c r="O236" s="192"/>
      <c r="P236" s="481"/>
      <c r="Q236" s="257"/>
      <c r="S236" cm="1">
        <f t="array" ref="S236:U240">IF(W160,_xlfn.VSTACK({4," Current Assets:",""},_xlfn._xlws.FILTER(S160:U169,U160:U169&lt;&gt;""),S212:U212),"")</f>
        <v>4</v>
      </c>
      <c r="T236" s="192" t="str">
        <v xml:space="preserve"> Current Assets:</v>
      </c>
      <c r="U236" s="192" t="str">
        <v/>
      </c>
      <c r="V236" s="192"/>
      <c r="W236" s="192"/>
    </row>
    <row r="237" spans="2:23">
      <c r="B237">
        <v>6</v>
      </c>
      <c r="C237" t="str">
        <v>Cash</v>
      </c>
      <c r="D237">
        <v>0</v>
      </c>
      <c r="G237" s="192"/>
      <c r="H237" s="192"/>
      <c r="I237" s="192"/>
      <c r="K237"/>
      <c r="L237" t="str">
        <f ca="1"/>
        <v>Net Income (Loss)</v>
      </c>
      <c r="M237">
        <f ca="1"/>
        <v>1.93</v>
      </c>
      <c r="O237" s="192"/>
      <c r="P237" s="481"/>
      <c r="Q237" s="257"/>
      <c r="S237">
        <v>6</v>
      </c>
      <c r="T237" s="192" t="str">
        <v>Cash</v>
      </c>
      <c r="U237" s="192">
        <v>17.579999999999998</v>
      </c>
      <c r="V237" s="192"/>
      <c r="W237" s="192"/>
    </row>
    <row r="238" spans="2:23" ht="15.75" thickBot="1">
      <c r="B238">
        <v>7</v>
      </c>
      <c r="C238" t="str">
        <v>Accounts Receivable</v>
      </c>
      <c r="D238">
        <v>0</v>
      </c>
      <c r="G238" s="192"/>
      <c r="H238" s="192"/>
      <c r="I238" s="192"/>
      <c r="K238"/>
      <c r="L238" t="str">
        <f ca="1"/>
        <v>Balance @ 12/31/20x4</v>
      </c>
      <c r="M238">
        <f ca="1"/>
        <v>1.88</v>
      </c>
      <c r="O238" s="192"/>
      <c r="P238" s="483"/>
      <c r="Q238" s="488"/>
      <c r="S238">
        <v>7</v>
      </c>
      <c r="T238" s="192" t="str">
        <v>Accounts Receivable</v>
      </c>
      <c r="U238" s="192">
        <v>4.5</v>
      </c>
      <c r="V238" s="192"/>
      <c r="W238" s="192"/>
    </row>
    <row r="239" spans="2:23" ht="15.75" thickBot="1">
      <c r="B239">
        <v>7</v>
      </c>
      <c r="C239" t="str">
        <v>Inventories</v>
      </c>
      <c r="D239">
        <v>0</v>
      </c>
      <c r="G239" s="192"/>
      <c r="H239" s="192"/>
      <c r="I239" s="192"/>
      <c r="K239"/>
      <c r="O239" s="192" t="s">
        <v>128</v>
      </c>
      <c r="P239" s="192"/>
      <c r="Q239" s="192"/>
      <c r="S239">
        <v>7</v>
      </c>
      <c r="T239" s="192" t="str">
        <v>Inventories</v>
      </c>
      <c r="U239" s="192">
        <v>2</v>
      </c>
      <c r="V239" s="192"/>
      <c r="W239" s="192"/>
    </row>
    <row r="240" spans="2:23">
      <c r="B240">
        <v>5</v>
      </c>
      <c r="C240" t="str">
        <v xml:space="preserve">  Total Current Assets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5</v>
      </c>
      <c r="T240" s="192" t="str">
        <v xml:space="preserve">  Total Current Assets</v>
      </c>
      <c r="U240" s="192">
        <v>24.08</v>
      </c>
      <c r="V240" s="192"/>
      <c r="W240" s="192"/>
    </row>
    <row r="241" spans="2:23">
      <c r="B241"/>
      <c r="G241" s="192"/>
      <c r="H241" s="192"/>
      <c r="I241" s="192"/>
      <c r="K241"/>
      <c r="O241" s="192">
        <v>6</v>
      </c>
      <c r="P241" s="481"/>
      <c r="Q241" s="257"/>
      <c r="S241"/>
      <c r="T241" s="192"/>
      <c r="U241" s="192"/>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761</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25</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4.88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0</v>
      </c>
      <c r="G247" s="192" cm="1">
        <f t="array" aca="1" ref="G247:I250" ca="1">_xlfn._xlws.FILTER(G170:I189,I170:I189&lt;&gt;"")</f>
        <v>6</v>
      </c>
      <c r="H247" s="192" t="str">
        <f ca="1"/>
        <v>Cost of Goods Sold</v>
      </c>
      <c r="I247" s="192">
        <f ca="1"/>
        <v>18</v>
      </c>
      <c r="K247"/>
      <c r="L247" t="str">
        <f ca="1"/>
        <v>Common Stock</v>
      </c>
      <c r="M247" t="str">
        <f ca="1"/>
        <v/>
      </c>
      <c r="O247" s="192">
        <v>7</v>
      </c>
      <c r="P247" s="481"/>
      <c r="Q247" s="257"/>
      <c r="S247">
        <v>6</v>
      </c>
      <c r="T247" s="192" t="str">
        <v>Property, Plant &amp; Equipment</v>
      </c>
      <c r="U247" s="192">
        <v>1</v>
      </c>
      <c r="V247" s="192"/>
      <c r="W247" s="192"/>
    </row>
    <row r="248" spans="2:23">
      <c r="B248">
        <v>7</v>
      </c>
      <c r="C248" t="str">
        <v>Accumulated Depreciation</v>
      </c>
      <c r="D248">
        <v>0</v>
      </c>
      <c r="G248" s="192">
        <f ca="1"/>
        <v>7</v>
      </c>
      <c r="H248" s="192" t="str">
        <f ca="1"/>
        <v>Interest Expense</v>
      </c>
      <c r="I248" s="192">
        <f ca="1"/>
        <v>1.87</v>
      </c>
      <c r="K248"/>
      <c r="L248" t="str">
        <f ca="1"/>
        <v>Issued Common Stock</v>
      </c>
      <c r="M248">
        <f ca="1"/>
        <v>3</v>
      </c>
      <c r="O248" s="192">
        <v>7</v>
      </c>
      <c r="P248" s="481"/>
      <c r="Q248" s="257"/>
      <c r="S248">
        <v>7</v>
      </c>
      <c r="T248" s="192" t="str">
        <v>Accumulated Depreciation</v>
      </c>
      <c r="U248" s="192">
        <v>-0.2</v>
      </c>
      <c r="V248" s="192"/>
      <c r="W248" s="192"/>
    </row>
    <row r="249" spans="2:23">
      <c r="B249"/>
      <c r="G249" s="192">
        <f ca="1"/>
        <v>7</v>
      </c>
      <c r="H249" s="192" t="str">
        <f ca="1"/>
        <v>Depreciation Expense</v>
      </c>
      <c r="I249" s="192">
        <f ca="1"/>
        <v>0.2</v>
      </c>
      <c r="K249"/>
      <c r="L249" t="str">
        <f ca="1"/>
        <v>Balance @ 12/31/20x4</v>
      </c>
      <c r="M249">
        <f ca="1"/>
        <v>3</v>
      </c>
      <c r="O249" s="192">
        <v>7</v>
      </c>
      <c r="P249" s="481"/>
      <c r="Q249" s="257"/>
      <c r="S249"/>
      <c r="T249" s="192"/>
      <c r="U249" s="192"/>
      <c r="V249" s="192"/>
      <c r="W249" s="192"/>
    </row>
    <row r="250" spans="2:23">
      <c r="B250"/>
      <c r="G250" s="192">
        <f ca="1"/>
        <v>7</v>
      </c>
      <c r="H250" s="192" t="str">
        <f ca="1"/>
        <v>Salaries &amp; Wages Expense</v>
      </c>
      <c r="I250" s="192">
        <f ca="1"/>
        <v>3</v>
      </c>
      <c r="K250"/>
      <c r="L250" t="str">
        <f ca="1"/>
        <v>Retained Earnings</v>
      </c>
      <c r="M250" t="str">
        <f ca="1"/>
        <v/>
      </c>
      <c r="O250" s="192">
        <v>7</v>
      </c>
      <c r="P250" s="481"/>
      <c r="Q250" s="257"/>
      <c r="S250"/>
      <c r="T250" s="192"/>
      <c r="U250" s="192"/>
      <c r="V250" s="192"/>
      <c r="W250" s="192"/>
    </row>
    <row r="251" spans="2:23">
      <c r="B251"/>
      <c r="G251" s="192"/>
      <c r="H251" s="192"/>
      <c r="I251" s="192"/>
      <c r="K251"/>
      <c r="L251" t="str">
        <f ca="1"/>
        <v>Declared Dividends</v>
      </c>
      <c r="M251">
        <f ca="1"/>
        <v>-0.05</v>
      </c>
      <c r="O251" s="192">
        <v>7</v>
      </c>
      <c r="P251" s="481"/>
      <c r="Q251" s="257"/>
      <c r="S251"/>
      <c r="T251" s="192"/>
      <c r="U251" s="192"/>
      <c r="V251" s="192"/>
      <c r="W251" s="192"/>
    </row>
    <row r="252" spans="2:23">
      <c r="B252"/>
      <c r="G252" s="192"/>
      <c r="H252" s="192"/>
      <c r="I252" s="192"/>
      <c r="K252"/>
      <c r="L252" t="str">
        <f ca="1"/>
        <v>Net Income (Loss)</v>
      </c>
      <c r="M252">
        <f ca="1"/>
        <v>1.93</v>
      </c>
      <c r="O252" s="192">
        <v>7</v>
      </c>
      <c r="P252" s="481"/>
      <c r="Q252" s="257"/>
      <c r="S252"/>
      <c r="T252" s="192"/>
      <c r="U252" s="192"/>
      <c r="V252" s="192"/>
      <c r="W252" s="192"/>
    </row>
    <row r="253" spans="2:23">
      <c r="B253"/>
      <c r="G253" s="192"/>
      <c r="H253" s="192"/>
      <c r="I253" s="192"/>
      <c r="K253"/>
      <c r="L253" t="str">
        <f ca="1"/>
        <v>Balance @ 12/31/20x4</v>
      </c>
      <c r="M253">
        <f ca="1"/>
        <v>1.88</v>
      </c>
      <c r="O253" s="192">
        <v>7</v>
      </c>
      <c r="P253" s="481"/>
      <c r="Q253" s="257"/>
      <c r="S253"/>
      <c r="T253" s="192"/>
      <c r="U253" s="192"/>
      <c r="V253" s="192"/>
      <c r="W253" s="192"/>
    </row>
    <row r="254" spans="2:23">
      <c r="B254"/>
      <c r="G254" s="192"/>
      <c r="H254" s="192"/>
      <c r="I254" s="192"/>
      <c r="K254"/>
      <c r="L254" t="str">
        <f ca="1"/>
        <v>Additional Paid-in Capital</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0.8</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24.88</v>
      </c>
      <c r="V256" s="192"/>
      <c r="W256" s="192"/>
    </row>
    <row r="257" spans="2:23">
      <c r="B257"/>
      <c r="G257" s="192"/>
      <c r="H257" s="192"/>
      <c r="I257" s="192"/>
      <c r="K257"/>
      <c r="O257" s="192">
        <v>7</v>
      </c>
      <c r="P257" s="481"/>
      <c r="Q257" s="257"/>
      <c r="S257"/>
      <c r="T257" s="192"/>
      <c r="U257" s="192"/>
      <c r="V257" s="192"/>
      <c r="W257" s="192"/>
    </row>
    <row r="258" spans="2:23" ht="15.7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c r="B259"/>
      <c r="G259" s="192"/>
      <c r="H259" s="192"/>
      <c r="I259" s="192"/>
      <c r="K259"/>
      <c r="P259" s="192" t="s">
        <v>142</v>
      </c>
      <c r="Q259" s="192"/>
      <c r="S259"/>
      <c r="T259" s="192"/>
      <c r="U259" s="192"/>
      <c r="V259" s="192"/>
      <c r="W259" s="192"/>
    </row>
    <row r="260" spans="2:23">
      <c r="B260" cm="1">
        <f t="array" ref="B260:D263">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0.2</v>
      </c>
      <c r="S260" t="str" cm="1">
        <f t="array" ref="S260:U260">IF(W180,_xlfn.VSTACK({4," Current Liabilities:",""},_xlfn._xlws.FILTER(S180:U189,U180:U189&lt;&gt;""),S215:U215),{"","",""})</f>
        <v/>
      </c>
      <c r="T260" s="192" t="str">
        <v/>
      </c>
      <c r="U260" s="192" t="str">
        <v/>
      </c>
      <c r="V260" s="192"/>
      <c r="W260" s="192"/>
    </row>
    <row r="261" spans="2:23">
      <c r="B261">
        <v>6</v>
      </c>
      <c r="C261" t="str">
        <v>Interest Payable</v>
      </c>
      <c r="D261">
        <v>0</v>
      </c>
      <c r="G261" s="192"/>
      <c r="H261" s="192"/>
      <c r="I261" s="192"/>
      <c r="K261"/>
      <c r="O261" s="192">
        <v>7</v>
      </c>
      <c r="P261" s="481"/>
      <c r="Q261" s="257"/>
      <c r="S261"/>
      <c r="T261" s="192"/>
      <c r="U261" s="192"/>
      <c r="V261" s="192"/>
      <c r="W261" s="192"/>
    </row>
    <row r="262" spans="2:23">
      <c r="B262">
        <v>7</v>
      </c>
      <c r="C262" t="str">
        <v>Dividends Payable</v>
      </c>
      <c r="D262">
        <v>0</v>
      </c>
      <c r="G262" s="192"/>
      <c r="H262" s="192"/>
      <c r="I262" s="192"/>
      <c r="K262"/>
      <c r="O262" s="192">
        <v>7</v>
      </c>
      <c r="P262" s="481"/>
      <c r="Q262" s="257"/>
      <c r="S262"/>
      <c r="T262" s="192"/>
      <c r="U262" s="192"/>
      <c r="V262" s="192"/>
      <c r="W262" s="192"/>
    </row>
    <row r="263" spans="2:23">
      <c r="B263">
        <v>5</v>
      </c>
      <c r="C263" t="str">
        <v xml:space="preserve">  Total Current Liabilities</v>
      </c>
      <c r="D263">
        <v>0</v>
      </c>
      <c r="G263" s="192"/>
      <c r="H263" s="192"/>
      <c r="I263" s="192"/>
      <c r="K263"/>
      <c r="O263" s="192">
        <v>7</v>
      </c>
      <c r="P263" s="481"/>
      <c r="Q263" s="257"/>
      <c r="S263"/>
      <c r="T263" s="192"/>
      <c r="U263" s="192"/>
      <c r="V263" s="192"/>
      <c r="W263" s="192"/>
    </row>
    <row r="264" spans="2:23">
      <c r="B264"/>
      <c r="G264" s="192"/>
      <c r="H264" s="192"/>
      <c r="I264" s="192"/>
      <c r="K264"/>
      <c r="O264" s="192">
        <v>7</v>
      </c>
      <c r="P264" s="481"/>
      <c r="Q264" s="257"/>
      <c r="S264"/>
      <c r="T264" s="192"/>
      <c r="U264" s="192"/>
      <c r="V264" s="192"/>
      <c r="W264" s="192"/>
    </row>
    <row r="265" spans="2:23">
      <c r="B265"/>
      <c r="G265" s="192"/>
      <c r="H265" s="192"/>
      <c r="I265" s="192"/>
      <c r="K265"/>
      <c r="O265" s="192">
        <v>7</v>
      </c>
      <c r="P265" s="481"/>
      <c r="Q265" s="257"/>
      <c r="S265"/>
      <c r="T265" s="192"/>
      <c r="U265" s="192"/>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75" thickBot="1">
      <c r="B269"/>
      <c r="G269" s="192" cm="1">
        <f t="array" aca="1" ref="G269:I269" ca="1">G224:I224</f>
        <v>5</v>
      </c>
      <c r="H269" s="192" t="str">
        <f ca="1"/>
        <v xml:space="preserve">  Total Expenses</v>
      </c>
      <c r="I269" s="192">
        <f ca="1"/>
        <v>23.07</v>
      </c>
      <c r="K269"/>
      <c r="L269" s="5" t="s">
        <v>762</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Notes Payable</v>
      </c>
      <c r="D271">
        <v>0</v>
      </c>
      <c r="G271" t="str" cm="1">
        <f t="array" ref="G271:I271">IF($J$225,(_xlfn._xlws.FILTER(G190:I199,I190:I199&lt;&gt;"")),{"","",""})</f>
        <v/>
      </c>
      <c r="H271" s="192" t="str">
        <v/>
      </c>
      <c r="I271" s="192" t="str">
        <v/>
      </c>
      <c r="K271"/>
      <c r="L271" t="str">
        <f ca="1"/>
        <v>Total Shareholders' Equity @ 12/31/20x4</v>
      </c>
      <c r="M271">
        <f ca="1"/>
        <v>4.88</v>
      </c>
      <c r="O271" s="192">
        <v>7</v>
      </c>
      <c r="P271" s="481"/>
      <c r="Q271" s="257"/>
      <c r="S271">
        <v>6</v>
      </c>
      <c r="T271" s="192" t="str">
        <v>Notes Payable</v>
      </c>
      <c r="U271" s="192">
        <v>20</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c r="B273"/>
      <c r="G273" s="192"/>
      <c r="H273" s="192"/>
      <c r="I273" s="192"/>
      <c r="K273"/>
      <c r="L273" t="str">
        <f ca="1"/>
        <v>Issued Common Stock</v>
      </c>
      <c r="M273">
        <f ca="1"/>
        <v>3</v>
      </c>
      <c r="O273" s="192">
        <v>7</v>
      </c>
      <c r="P273" s="481"/>
      <c r="Q273" s="257"/>
      <c r="S273"/>
      <c r="T273" s="192"/>
      <c r="U273" s="192"/>
      <c r="V273" s="192"/>
      <c r="W273" s="192"/>
    </row>
    <row r="274" spans="2:23">
      <c r="B274"/>
      <c r="G274" s="192"/>
      <c r="H274" s="192"/>
      <c r="I274" s="192"/>
      <c r="K274"/>
      <c r="L274" t="str">
        <f ca="1"/>
        <v>Balance @ 12/31/20x4</v>
      </c>
      <c r="M274">
        <f ca="1"/>
        <v>3</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Declared Dividends</v>
      </c>
      <c r="M276">
        <f ca="1"/>
        <v>-0.05</v>
      </c>
      <c r="O276" s="192">
        <v>7</v>
      </c>
      <c r="P276" s="481"/>
      <c r="Q276" s="257"/>
      <c r="S276"/>
      <c r="T276" s="192"/>
      <c r="U276" s="192"/>
      <c r="V276" s="192"/>
      <c r="W276" s="192"/>
    </row>
    <row r="277" spans="2:23">
      <c r="B277"/>
      <c r="G277" s="192"/>
      <c r="H277" s="192"/>
      <c r="I277" s="192"/>
      <c r="K277"/>
      <c r="L277" t="str">
        <f ca="1"/>
        <v>Net Income (Loss)</v>
      </c>
      <c r="M277">
        <f ca="1"/>
        <v>1.93</v>
      </c>
      <c r="O277" s="192">
        <v>7</v>
      </c>
      <c r="P277" s="481"/>
      <c r="Q277" s="257"/>
      <c r="S277"/>
      <c r="T277" s="192"/>
      <c r="U277" s="192"/>
      <c r="V277" s="192"/>
      <c r="W277" s="192"/>
    </row>
    <row r="278" spans="2:23">
      <c r="B278"/>
      <c r="G278" s="192"/>
      <c r="H278" s="192"/>
      <c r="I278" s="192"/>
      <c r="K278"/>
      <c r="L278" t="str">
        <f ca="1"/>
        <v>Balance @ 12/31/20x4</v>
      </c>
      <c r="M278">
        <f ca="1"/>
        <v>1.88</v>
      </c>
      <c r="O278" s="192">
        <v>7</v>
      </c>
      <c r="P278" s="481"/>
      <c r="Q278" s="257"/>
      <c r="S278"/>
      <c r="T278" s="192"/>
      <c r="U278" s="192"/>
      <c r="V278" s="192"/>
      <c r="W278" s="192"/>
    </row>
    <row r="279" spans="2:23" ht="15.75" thickBot="1">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20</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3</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1.88</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7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1.93</v>
      </c>
      <c r="O290" s="192">
        <v>6</v>
      </c>
      <c r="P290" s="479" t="str" cm="1">
        <f t="array" aca="1" ref="P290:Q291" ca="1">_xlfn._xlws.FILTER(CHOOSE({1,2},NI_CFO_Recon_Assets[Account],NI_CFO_Recon_Assets[AmtAnswer]),NI_CFO_Recon_Assets[UsedAnswer]=1,{"",""})</f>
        <v>Accounts Receivable</v>
      </c>
      <c r="Q290" s="487">
        <f ca="1"/>
        <v>-4.5</v>
      </c>
      <c r="S290" cm="1">
        <f t="array" ref="S290:U290">S218:U218</f>
        <v>3</v>
      </c>
      <c r="T290" s="192" t="str">
        <v>Total Equities</v>
      </c>
      <c r="U290" s="192">
        <v>4.88</v>
      </c>
      <c r="V290" s="192"/>
      <c r="W290" s="192"/>
    </row>
    <row r="291" spans="2:23">
      <c r="B291"/>
      <c r="G291" s="192"/>
      <c r="H291" s="192"/>
      <c r="I291" s="192"/>
      <c r="O291" s="192">
        <v>7</v>
      </c>
      <c r="P291" s="481" t="str">
        <f ca="1"/>
        <v>Inventories</v>
      </c>
      <c r="Q291" s="257">
        <f ca="1"/>
        <v>-2</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c r="Q292" s="257"/>
      <c r="S292" cm="1">
        <f t="array" ref="S292:U292">IF(AND(W200,OR(W190,W180)),S219:U219,{"","",""})</f>
        <v>3</v>
      </c>
      <c r="T292" s="192" t="str">
        <v>Total Liabilities and Equities</v>
      </c>
      <c r="U292" s="192">
        <v>24.88</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75" thickBot="1">
      <c r="G299" s="192"/>
      <c r="H299" s="192"/>
      <c r="I299" s="192"/>
      <c r="L299" s="5" t="s">
        <v>309</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
      </c>
      <c r="Q300" s="487" t="str">
        <f ca="1"/>
        <v/>
      </c>
      <c r="S300" s="192"/>
      <c r="T300" s="192"/>
      <c r="U300" s="192"/>
      <c r="V300" s="192"/>
      <c r="W300" s="192"/>
    </row>
    <row r="301" spans="2:23">
      <c r="G301" s="192"/>
      <c r="H301" s="192"/>
      <c r="I301" s="192"/>
      <c r="L301" t="str">
        <f ca="1"/>
        <v>Total Shareholders' Equity @ 12/31/20x4</v>
      </c>
      <c r="M301">
        <f ca="1"/>
        <v>4.88</v>
      </c>
      <c r="O301" s="192">
        <v>7</v>
      </c>
      <c r="P301" s="481"/>
      <c r="Q301" s="257"/>
      <c r="S301" s="192"/>
      <c r="T301" s="192"/>
      <c r="U301" s="192"/>
      <c r="V301" s="192"/>
      <c r="W301" s="192"/>
    </row>
    <row r="302" spans="2:23">
      <c r="G302" s="192"/>
      <c r="H302" s="192"/>
      <c r="I302" s="192"/>
      <c r="L302" t="str">
        <f ca="1"/>
        <v>Common Stock</v>
      </c>
      <c r="M302" t="str">
        <f ca="1"/>
        <v/>
      </c>
      <c r="O302" s="192">
        <v>7</v>
      </c>
      <c r="P302" s="481"/>
      <c r="Q302" s="257"/>
      <c r="S302" s="192"/>
      <c r="T302" s="192"/>
      <c r="U302" s="192"/>
      <c r="V302" s="192"/>
      <c r="W302" s="192"/>
    </row>
    <row r="303" spans="2:23">
      <c r="G303" s="192"/>
      <c r="H303" s="192"/>
      <c r="I303" s="192"/>
      <c r="L303" t="str">
        <f ca="1"/>
        <v>Issued Common Stock</v>
      </c>
      <c r="M303">
        <f ca="1"/>
        <v>3</v>
      </c>
      <c r="O303" s="192">
        <v>7</v>
      </c>
      <c r="P303" s="481"/>
      <c r="Q303" s="257"/>
      <c r="S303" s="192"/>
      <c r="T303" s="192"/>
      <c r="U303" s="192"/>
      <c r="V303" s="192"/>
      <c r="W303" s="192"/>
    </row>
    <row r="304" spans="2:23">
      <c r="G304" s="192"/>
      <c r="H304" s="192"/>
      <c r="I304" s="192"/>
      <c r="L304" t="str">
        <f ca="1"/>
        <v>Balance @ 12/31/20x4</v>
      </c>
      <c r="M304">
        <f ca="1"/>
        <v>3</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Declared Dividends</v>
      </c>
      <c r="M306">
        <f ca="1"/>
        <v>-0.05</v>
      </c>
      <c r="O306" s="192">
        <v>7</v>
      </c>
      <c r="P306" s="481"/>
      <c r="Q306" s="257"/>
      <c r="S306" s="192"/>
      <c r="T306" s="192"/>
      <c r="U306" s="192"/>
      <c r="V306" s="192"/>
      <c r="W306" s="192"/>
    </row>
    <row r="307" spans="7:23">
      <c r="G307" s="192"/>
      <c r="H307" s="192"/>
      <c r="I307" s="192"/>
      <c r="L307" t="str">
        <f ca="1"/>
        <v>Net Income (Loss)</v>
      </c>
      <c r="M307">
        <f ca="1"/>
        <v>1.93</v>
      </c>
      <c r="O307" s="192">
        <v>7</v>
      </c>
      <c r="P307" s="481"/>
      <c r="Q307" s="257"/>
      <c r="S307" s="192"/>
      <c r="T307" s="192"/>
      <c r="U307" s="192"/>
      <c r="V307" s="192"/>
      <c r="W307" s="192"/>
    </row>
    <row r="308" spans="7:23">
      <c r="G308" s="192"/>
      <c r="H308" s="192"/>
      <c r="I308" s="192"/>
      <c r="L308" t="str">
        <f ca="1"/>
        <v>Balance @ 12/31/20x4</v>
      </c>
      <c r="M308">
        <f ca="1"/>
        <v>1.88</v>
      </c>
      <c r="O308" s="192">
        <v>7</v>
      </c>
      <c r="P308" s="481"/>
      <c r="Q308" s="257"/>
      <c r="S308" s="192"/>
      <c r="T308" s="192"/>
      <c r="U308" s="192"/>
      <c r="V308" s="192"/>
      <c r="W308" s="192"/>
    </row>
    <row r="309" spans="7:23" ht="15.75" thickBot="1">
      <c r="G309" s="192"/>
      <c r="H309" s="192"/>
      <c r="I309" s="192"/>
      <c r="L309" t="str">
        <f ca="1"/>
        <v>Additional Paid-in Capital</v>
      </c>
      <c r="M309" t="str">
        <f ca="1"/>
        <v/>
      </c>
      <c r="O309" s="192">
        <v>7</v>
      </c>
      <c r="P309" s="483"/>
      <c r="Q309" s="488"/>
      <c r="S309" s="192"/>
      <c r="T309" s="192"/>
      <c r="U309" s="192"/>
      <c r="V309" s="192"/>
      <c r="W309" s="192"/>
    </row>
    <row r="310" spans="7:23">
      <c r="G310" s="192"/>
      <c r="H310" s="192"/>
      <c r="I310" s="192"/>
      <c r="L310" t="str">
        <f ca="1"/>
        <v/>
      </c>
      <c r="M310" t="str">
        <f ca="1"/>
        <v/>
      </c>
      <c r="S310" s="192"/>
      <c r="T310" s="192"/>
      <c r="U310" s="192"/>
      <c r="V310" s="192"/>
      <c r="W310" s="192"/>
    </row>
    <row r="311" spans="7:23">
      <c r="G311" s="192"/>
      <c r="H311" s="192"/>
      <c r="I311" s="192"/>
      <c r="L311" t="str">
        <f ca="1"/>
        <v>Preferred Stock</v>
      </c>
      <c r="M311" t="str">
        <f ca="1"/>
        <v/>
      </c>
      <c r="O311" s="192"/>
      <c r="P311" s="372" t="s">
        <v>253</v>
      </c>
      <c r="Q311" s="491"/>
      <c r="S311" s="192"/>
      <c r="T311" s="192"/>
      <c r="U311" s="192"/>
      <c r="V311" s="192"/>
      <c r="W311" s="192"/>
    </row>
    <row r="312" spans="7:23">
      <c r="G312" s="192"/>
      <c r="H312" s="192"/>
      <c r="I312" s="192"/>
      <c r="L312" t="str">
        <f ca="1"/>
        <v/>
      </c>
      <c r="M312" t="str">
        <f ca="1"/>
        <v/>
      </c>
      <c r="O312" s="192">
        <v>3</v>
      </c>
      <c r="P312" s="192" t="s">
        <v>262</v>
      </c>
      <c r="Q312" s="491">
        <f ca="1">ROUND(SUM(Q160:Q178),2)</f>
        <v>-4.37</v>
      </c>
      <c r="S312" s="192"/>
      <c r="T312" s="192"/>
      <c r="U312" s="192"/>
      <c r="V312" s="192"/>
      <c r="W312" s="192"/>
    </row>
    <row r="313" spans="7:23">
      <c r="G313" s="192"/>
      <c r="H313" s="192"/>
      <c r="I313" s="192"/>
      <c r="L313" t="str">
        <f ca="1"/>
        <v>Accumulated Other Comprehensive Income</v>
      </c>
      <c r="M313" t="str">
        <f ca="1"/>
        <v/>
      </c>
      <c r="O313" s="192">
        <v>3</v>
      </c>
      <c r="P313" s="192" t="s">
        <v>263</v>
      </c>
      <c r="Q313" s="491">
        <f ca="1">ROUND(SUM(Q180:Q198),2)</f>
        <v>-1</v>
      </c>
      <c r="S313" s="192"/>
      <c r="T313" s="192"/>
      <c r="U313" s="192"/>
      <c r="V313" s="192"/>
      <c r="W313" s="192"/>
    </row>
    <row r="314" spans="7:23">
      <c r="G314" s="192"/>
      <c r="H314" s="192"/>
      <c r="I314" s="192"/>
      <c r="L314" t="str">
        <f ca="1"/>
        <v/>
      </c>
      <c r="M314" t="str">
        <f ca="1"/>
        <v/>
      </c>
      <c r="O314" s="192">
        <v>3</v>
      </c>
      <c r="P314" s="192" t="s">
        <v>264</v>
      </c>
      <c r="Q314" s="491">
        <f ca="1">ROUND(SUM(Q200:Q218),2)</f>
        <v>22.95</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20.5</v>
      </c>
      <c r="S317" s="192"/>
      <c r="T317" s="192"/>
      <c r="U317" s="192"/>
      <c r="V317" s="192"/>
      <c r="W317" s="192"/>
    </row>
    <row r="318" spans="7:23">
      <c r="G318" s="192"/>
      <c r="H318" s="192"/>
      <c r="I318" s="192"/>
      <c r="O318" s="192">
        <f ca="1"/>
        <v>7</v>
      </c>
      <c r="P318" s="192" t="str">
        <f ca="1"/>
        <v>Payments to suppliers</v>
      </c>
      <c r="Q318" s="192">
        <f ca="1"/>
        <v>-20</v>
      </c>
      <c r="S318" s="192"/>
      <c r="T318" s="192"/>
      <c r="U318" s="192"/>
      <c r="V318" s="192"/>
      <c r="W318" s="192"/>
    </row>
    <row r="319" spans="7:23">
      <c r="G319" s="192"/>
      <c r="H319" s="192"/>
      <c r="I319" s="192"/>
      <c r="O319" s="192">
        <f ca="1"/>
        <v>7</v>
      </c>
      <c r="P319" t="str">
        <f ca="1"/>
        <v>Payments to employees</v>
      </c>
      <c r="Q319">
        <f ca="1"/>
        <v>-3</v>
      </c>
      <c r="S319" s="192"/>
      <c r="T319" s="192"/>
      <c r="U319" s="192"/>
      <c r="V319" s="192"/>
      <c r="W319" s="192"/>
    </row>
    <row r="320" spans="7:23">
      <c r="G320" s="192"/>
      <c r="H320" s="192"/>
      <c r="I320" s="192"/>
      <c r="O320" s="192">
        <f ca="1"/>
        <v>7</v>
      </c>
      <c r="P320" t="str">
        <f ca="1"/>
        <v>Payments for interest</v>
      </c>
      <c r="Q320">
        <f ca="1"/>
        <v>-1.87</v>
      </c>
      <c r="S320" s="192"/>
      <c r="T320" s="192"/>
      <c r="U320" s="192"/>
      <c r="V320" s="192"/>
      <c r="W320" s="192"/>
    </row>
    <row r="321" spans="15:23">
      <c r="O321" s="192">
        <f ca="1"/>
        <v>3</v>
      </c>
      <c r="P321" t="str">
        <f ca="1"/>
        <v>Total Cash Flow from Operating Activities</v>
      </c>
      <c r="Q321">
        <f ca="1"/>
        <v>-4.37</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t="str" cm="1">
        <f t="array" aca="1" ref="O335:Q335" ca="1">IF(ABS(Q312&gt;0),O312:Q312,{"","",""})</f>
        <v/>
      </c>
      <c r="P335" s="192" t="str">
        <f ca="1"/>
        <v/>
      </c>
      <c r="Q335" s="491" t="str">
        <f ca="1"/>
        <v/>
      </c>
    </row>
    <row r="336" spans="15:23">
      <c r="O336" s="192" cm="1">
        <f t="array" ref="O336:Q336">{2,"Investing Activities",""}</f>
        <v>2</v>
      </c>
      <c r="P336" s="192" t="str">
        <v>Investing Activities</v>
      </c>
      <c r="Q336" t="str">
        <v/>
      </c>
    </row>
    <row r="337" spans="15:17">
      <c r="O337" s="192" cm="1">
        <f t="array" aca="1" ref="O337:Q337" ca="1">IFERROR(_xlfn._xlws.FILTER(O180:Q198,Q180:Q198&lt;&gt;""),{"","",""})</f>
        <v>6</v>
      </c>
      <c r="P337" t="str">
        <f ca="1"/>
        <v>Acquired PP&amp;E</v>
      </c>
      <c r="Q337">
        <f ca="1"/>
        <v>-1</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-1</v>
      </c>
    </row>
    <row r="350" spans="15:17">
      <c r="O350" s="192" cm="1">
        <f t="array" ref="O350:Q350">{2,"Financing Activities",""}</f>
        <v>2</v>
      </c>
      <c r="P350" s="192" t="str">
        <v>Financing Activities</v>
      </c>
      <c r="Q350" t="str">
        <v/>
      </c>
    </row>
    <row r="351" spans="15:17">
      <c r="O351" s="192" cm="1">
        <f t="array" aca="1" ref="O351:Q353" ca="1">IFERROR(_xlfn._xlws.FILTER(O200:Q218,Q200:Q218&lt;&gt;""),{"","",""})</f>
        <v>6</v>
      </c>
      <c r="P351" s="192" t="str">
        <f ca="1"/>
        <v>Issued common stock</v>
      </c>
      <c r="Q351">
        <f ca="1"/>
        <v>3</v>
      </c>
    </row>
    <row r="352" spans="15:17">
      <c r="O352" s="192">
        <f ca="1"/>
        <v>7</v>
      </c>
      <c r="P352" t="str">
        <f ca="1"/>
        <v>Issued notes</v>
      </c>
      <c r="Q352">
        <f ca="1"/>
        <v>20</v>
      </c>
    </row>
    <row r="353" spans="15:17">
      <c r="O353" s="192">
        <f ca="1"/>
        <v>7</v>
      </c>
      <c r="P353" t="str">
        <f ca="1"/>
        <v>Paid dividends</v>
      </c>
      <c r="Q353">
        <f ca="1"/>
        <v>-0.05</v>
      </c>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22.95</v>
      </c>
    </row>
    <row r="366" spans="15:17">
      <c r="O366" s="192"/>
    </row>
    <row r="367" spans="15:17">
      <c r="O367" s="192" cm="1">
        <f t="array" aca="1" ref="O367:Q368" ca="1">IFERROR(_xlfn._xlws.FILTER(O216:Q234,Q216:Q234&lt;&gt;""),{"","",""})</f>
        <v>3</v>
      </c>
      <c r="P367" t="str">
        <f ca="1"/>
        <v>Increase (decrease) in cash</v>
      </c>
      <c r="Q367">
        <f ca="1"/>
        <v>17.579999999999998</v>
      </c>
    </row>
    <row r="368" spans="15:17">
      <c r="O368" s="192">
        <f ca="1"/>
        <v>5</v>
      </c>
      <c r="P368" t="str">
        <f ca="1"/>
        <v>Cash @ 12/31/20x4</v>
      </c>
      <c r="Q368">
        <f ca="1"/>
        <v>17.579999999999998</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452</v>
      </c>
      <c r="P400" s="192"/>
      <c r="Q400" s="192"/>
    </row>
    <row r="401" spans="15:17">
      <c r="O401" s="192" cm="1">
        <f t="array" aca="1" ref="O401:Q407"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7</v>
      </c>
      <c r="P402" s="192" t="str">
        <f ca="1"/>
        <v>Depreciation expense</v>
      </c>
      <c r="Q402" s="486">
        <f ca="1"/>
        <v>0.2</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-4.5</v>
      </c>
    </row>
    <row r="406" spans="15:17">
      <c r="O406" s="39">
        <f ca="1"/>
        <v>8</v>
      </c>
      <c r="P406" t="str">
        <f ca="1"/>
        <v>Inventories</v>
      </c>
      <c r="Q406" s="34">
        <f ca="1"/>
        <v>-2</v>
      </c>
    </row>
    <row r="407" spans="15:17">
      <c r="O407" s="39" t="str">
        <f ca="1"/>
        <v/>
      </c>
      <c r="P407" t="str">
        <f ca="1"/>
        <v/>
      </c>
      <c r="Q407" s="34" t="str">
        <f ca="1"/>
        <v/>
      </c>
    </row>
    <row r="408" spans="15:17">
      <c r="Q408" s="34"/>
    </row>
    <row r="409" spans="15:17">
      <c r="Q409" s="34"/>
    </row>
    <row r="410" spans="15:17">
      <c r="Q410" s="34"/>
    </row>
    <row r="411" spans="15:17">
      <c r="O411"/>
      <c r="Q411" s="34"/>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763</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419</v>
      </c>
      <c r="Q431" s="5">
        <f>SUM(Q428:Q430)</f>
        <v>3</v>
      </c>
    </row>
    <row r="438" spans="16:17">
      <c r="P438" t="s">
        <v>745</v>
      </c>
      <c r="Q438">
        <v>0</v>
      </c>
    </row>
    <row r="439" spans="16:17">
      <c r="P439" t="s">
        <v>764</v>
      </c>
      <c r="Q439">
        <v>2</v>
      </c>
    </row>
    <row r="440" spans="16:17">
      <c r="P440" t="s">
        <v>765</v>
      </c>
      <c r="Q440">
        <v>3</v>
      </c>
    </row>
    <row r="441" spans="16:17">
      <c r="P441" t="s">
        <v>766</v>
      </c>
      <c r="Q441">
        <v>4</v>
      </c>
    </row>
    <row r="442" spans="16:17">
      <c r="P442" t="s">
        <v>767</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cols>
    <col min="1" max="1" width="25.7109375" bestFit="1" customWidth="1"/>
    <col min="2" max="2" width="97.42578125" bestFit="1" customWidth="1"/>
  </cols>
  <sheetData>
    <row r="1" spans="1:2">
      <c r="A1" t="s">
        <v>768</v>
      </c>
      <c r="B1" t="s">
        <v>769</v>
      </c>
    </row>
    <row r="2" spans="1:2">
      <c r="A2" t="s">
        <v>770</v>
      </c>
      <c r="B2" t="s">
        <v>771</v>
      </c>
    </row>
    <row r="3" spans="1:2">
      <c r="A3" t="s">
        <v>772</v>
      </c>
      <c r="B3" t="s">
        <v>773</v>
      </c>
    </row>
    <row r="4" spans="1:2">
      <c r="A4" t="s">
        <v>774</v>
      </c>
      <c r="B4" t="s">
        <v>775</v>
      </c>
    </row>
    <row r="5" spans="1:2">
      <c r="A5" t="s">
        <v>776</v>
      </c>
      <c r="B5" t="s">
        <v>777</v>
      </c>
    </row>
    <row r="6" spans="1:2">
      <c r="A6" t="s">
        <v>778</v>
      </c>
      <c r="B6" t="s">
        <v>777</v>
      </c>
    </row>
    <row r="7" spans="1:2">
      <c r="A7" t="s">
        <v>779</v>
      </c>
      <c r="B7" t="s">
        <v>777</v>
      </c>
    </row>
    <row r="8" spans="1:2">
      <c r="A8" t="s">
        <v>780</v>
      </c>
      <c r="B8" t="s">
        <v>777</v>
      </c>
    </row>
    <row r="9" spans="1:2">
      <c r="A9" t="s">
        <v>781</v>
      </c>
      <c r="B9" t="s">
        <v>777</v>
      </c>
    </row>
    <row r="10" spans="1:2">
      <c r="A10" t="s">
        <v>782</v>
      </c>
      <c r="B10" t="s">
        <v>777</v>
      </c>
    </row>
    <row r="11" spans="1:2">
      <c r="A11" t="s">
        <v>783</v>
      </c>
      <c r="B11" t="s">
        <v>784</v>
      </c>
    </row>
    <row r="12" spans="1:2">
      <c r="A12" t="s">
        <v>381</v>
      </c>
      <c r="B12" t="s">
        <v>785</v>
      </c>
    </row>
    <row r="13" spans="1:2">
      <c r="A13" t="s">
        <v>382</v>
      </c>
      <c r="B13" t="s">
        <v>785</v>
      </c>
    </row>
    <row r="14" spans="1:2">
      <c r="A14" t="s">
        <v>385</v>
      </c>
      <c r="B14" t="s">
        <v>785</v>
      </c>
    </row>
    <row r="15" spans="1:2">
      <c r="A15" t="s">
        <v>503</v>
      </c>
      <c r="B15" t="s">
        <v>785</v>
      </c>
    </row>
    <row r="16" spans="1:2">
      <c r="A16" t="s">
        <v>786</v>
      </c>
      <c r="B16" t="s">
        <v>785</v>
      </c>
    </row>
    <row r="17" spans="1:2">
      <c r="A17" t="s">
        <v>787</v>
      </c>
      <c r="B17" t="s">
        <v>785</v>
      </c>
    </row>
    <row r="18" spans="1:2">
      <c r="A18" t="s">
        <v>383</v>
      </c>
      <c r="B18" t="s">
        <v>785</v>
      </c>
    </row>
    <row r="19" spans="1:2">
      <c r="A19" t="s">
        <v>502</v>
      </c>
      <c r="B19" t="s">
        <v>785</v>
      </c>
    </row>
    <row r="20" spans="1:2">
      <c r="A20" t="s">
        <v>788</v>
      </c>
      <c r="B20" t="s">
        <v>785</v>
      </c>
    </row>
    <row r="21" spans="1:2">
      <c r="A21" t="s">
        <v>789</v>
      </c>
      <c r="B21" t="s">
        <v>790</v>
      </c>
    </row>
    <row r="22" spans="1:2">
      <c r="A22" t="s">
        <v>791</v>
      </c>
      <c r="B22" t="s">
        <v>792</v>
      </c>
    </row>
    <row r="23" spans="1:2">
      <c r="A23" t="s">
        <v>793</v>
      </c>
      <c r="B23" t="s">
        <v>794</v>
      </c>
    </row>
    <row r="24" spans="1:2">
      <c r="A24" t="s">
        <v>795</v>
      </c>
      <c r="B24" t="s">
        <v>458</v>
      </c>
    </row>
    <row r="25" spans="1:2">
      <c r="A25" t="s">
        <v>796</v>
      </c>
      <c r="B25" t="s">
        <v>85</v>
      </c>
    </row>
    <row r="26" spans="1:2">
      <c r="A26" t="s">
        <v>797</v>
      </c>
      <c r="B26" t="s">
        <v>798</v>
      </c>
    </row>
    <row r="27" spans="1:2">
      <c r="A27" t="s">
        <v>799</v>
      </c>
      <c r="B27" t="s">
        <v>800</v>
      </c>
    </row>
    <row r="28" spans="1:2">
      <c r="A28" t="s">
        <v>801</v>
      </c>
      <c r="B28" t="s">
        <v>466</v>
      </c>
    </row>
    <row r="29" spans="1:2">
      <c r="A29" t="s">
        <v>802</v>
      </c>
      <c r="B29" t="s">
        <v>465</v>
      </c>
    </row>
    <row r="30" spans="1:2">
      <c r="A30" t="s">
        <v>803</v>
      </c>
      <c r="B30" t="s">
        <v>804</v>
      </c>
    </row>
    <row r="31" spans="1:2">
      <c r="A31" t="s">
        <v>805</v>
      </c>
      <c r="B31" t="s">
        <v>804</v>
      </c>
    </row>
    <row r="32" spans="1:2">
      <c r="A32" t="s">
        <v>806</v>
      </c>
      <c r="B32" t="s">
        <v>807</v>
      </c>
    </row>
    <row r="33" spans="1:2">
      <c r="A33" t="s">
        <v>808</v>
      </c>
      <c r="B33" t="s">
        <v>809</v>
      </c>
    </row>
    <row r="34" spans="1:2">
      <c r="A34" t="s">
        <v>445</v>
      </c>
      <c r="B34" t="s">
        <v>810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D687" sqref="D687"/>
    </sheetView>
  </sheetViews>
  <sheetFormatPr defaultRowHeight="1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811</v>
      </c>
      <c r="C2" s="18"/>
      <c r="D2" s="18"/>
      <c r="E2" s="18"/>
      <c r="F2" s="18"/>
      <c r="G2" s="18"/>
      <c r="H2" s="18"/>
      <c r="I2" s="18"/>
      <c r="J2" s="18"/>
      <c r="K2" s="18"/>
      <c r="L2" s="18"/>
      <c r="M2" s="18"/>
      <c r="N2" s="18"/>
    </row>
    <row r="3" spans="2:21" ht="15.75" hidden="1" outlineLevel="1" thickBot="1"/>
    <row r="4" spans="2:21" ht="15.75" hidden="1" outlineLevel="1" thickBot="1">
      <c r="C4" s="15" t="s">
        <v>812</v>
      </c>
      <c r="D4" s="15" t="s">
        <v>575</v>
      </c>
      <c r="F4" t="str">
        <f>"MD_Account_Type_Labels[ACCOUNT TYPE LABELS]"</f>
        <v>MD_Account_Type_Labels[ACCOUNT TYPE LABELS]</v>
      </c>
      <c r="L4" s="164" t="s">
        <v>813</v>
      </c>
    </row>
    <row r="5" spans="2:21" hidden="1" outlineLevel="1">
      <c r="C5" s="1" t="s">
        <v>62</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65</v>
      </c>
      <c r="D6" s="22">
        <f>IF(MD_Account_Type_Labels[[#This Row],[ACCOUNT TYPE LABELS]]="","",IFERROR(IF(SEARCH(MD_Account_Type_Labels[[#This Row],[ACCOUNT TYPE LABELS]],ProblemData!$E$242)&gt;0,1,0),""))</f>
        <v>1</v>
      </c>
      <c r="L6" s="162" t="str">
        <v>Liability</v>
      </c>
    </row>
    <row r="7" spans="2:21" hidden="1" outlineLevel="1">
      <c r="C7" s="1" t="s">
        <v>63</v>
      </c>
      <c r="D7" s="22">
        <f>IF(MD_Account_Type_Labels[[#This Row],[ACCOUNT TYPE LABELS]]="","",IFERROR(IF(SEARCH(MD_Account_Type_Labels[[#This Row],[ACCOUNT TYPE LABELS]],ProblemData!$E$242)&gt;0,1,0),""))</f>
        <v>1</v>
      </c>
      <c r="L7" s="162" t="str">
        <v>Equity</v>
      </c>
    </row>
    <row r="8" spans="2:21" hidden="1" outlineLevel="1">
      <c r="C8" s="1" t="s">
        <v>70</v>
      </c>
      <c r="D8" s="22">
        <f>IF(MD_Account_Type_Labels[[#This Row],[ACCOUNT TYPE LABELS]]="","",IFERROR(IF(SEARCH(MD_Account_Type_Labels[[#This Row],[ACCOUNT TYPE LABELS]],ProblemData!$E$242)&gt;0,1,0),""))</f>
        <v>1</v>
      </c>
      <c r="L8" s="162" t="str">
        <v>Revenue</v>
      </c>
    </row>
    <row r="9" spans="2:21" hidden="1" outlineLevel="1">
      <c r="C9" s="1" t="s">
        <v>72</v>
      </c>
      <c r="D9" s="22">
        <f>IF(MD_Account_Type_Labels[[#This Row],[ACCOUNT TYPE LABELS]]="","",IFERROR(IF(SEARCH(MD_Account_Type_Labels[[#This Row],[ACCOUNT TYPE LABELS]],ProblemData!$E$242)&gt;0,1,0),""))</f>
        <v>1</v>
      </c>
      <c r="L9" s="162" t="str">
        <v>Expense</v>
      </c>
    </row>
    <row r="10" spans="2:21" hidden="1" outlineLevel="1">
      <c r="C10" s="1" t="s">
        <v>725</v>
      </c>
      <c r="D10" s="22" t="str">
        <f>IF(MD_Account_Type_Labels[[#This Row],[ACCOUNT TYPE LABELS]]="","",IFERROR(IF(SEARCH(MD_Account_Type_Labels[[#This Row],[ACCOUNT TYPE LABELS]],ProblemData!$E$242)&gt;0,1,0),""))</f>
        <v/>
      </c>
      <c r="L10" s="162"/>
    </row>
    <row r="11" spans="2:21" ht="15.75" hidden="1" outlineLevel="1" thickBot="1">
      <c r="C11" s="1" t="s">
        <v>726</v>
      </c>
      <c r="D11" s="22" t="str">
        <f>IF(MD_Account_Type_Labels[[#This Row],[ACCOUNT TYPE LABELS]]="","",IFERROR(IF(SEARCH(MD_Account_Type_Labels[[#This Row],[ACCOUNT TYPE LABELS]],ProblemData!$E$242)&gt;0,1,0),""))</f>
        <v/>
      </c>
      <c r="L11" s="163"/>
    </row>
    <row r="12" spans="2:21" hidden="1" outlineLevel="1"/>
    <row r="13" spans="2:21" ht="15.75" hidden="1" outlineLevel="1" thickBot="1"/>
    <row r="14" spans="2:21" ht="15.75" hidden="1" outlineLevel="1" thickBot="1">
      <c r="C14" s="16" t="s">
        <v>814</v>
      </c>
      <c r="D14" s="16" t="s">
        <v>575</v>
      </c>
      <c r="E14" s="16" t="s">
        <v>815</v>
      </c>
      <c r="K14" s="354" t="s">
        <v>816</v>
      </c>
      <c r="L14" s="354" t="s">
        <v>817</v>
      </c>
    </row>
    <row r="15" spans="2:21" hidden="1" outlineLevel="1">
      <c r="C15" s="7" t="s">
        <v>385</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c r="C16" s="8" t="s">
        <v>381</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382</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c r="C18" s="8" t="s">
        <v>788</v>
      </c>
      <c r="D18" s="22" t="str">
        <f>IF(MD_CF_Labels[[#This Row],[CASH FLOW STATEMENT LABELS]]="","",IFERROR(IF(SEARCH(MD_CF_Labels[[#This Row],[CASH FLOW STATEMENT LABELS]],ProblemData!$E$243)&gt;0,1,0),""))</f>
        <v/>
      </c>
      <c r="E18" s="8">
        <v>0</v>
      </c>
      <c r="K18" s="163"/>
      <c r="L18" s="162" t="str">
        <v>Noncash_Financing</v>
      </c>
    </row>
    <row r="19" spans="2:14" hidden="1" outlineLevel="1">
      <c r="C19" s="7" t="s">
        <v>503</v>
      </c>
      <c r="D19" s="22">
        <f>IF(MD_CF_Labels[[#This Row],[CASH FLOW STATEMENT LABELS]]="","",IFERROR(IF(SEARCH(MD_CF_Labels[[#This Row],[CASH FLOW STATEMENT LABELS]],ProblemData!$E$243)&gt;0,1,0),""))</f>
        <v>1</v>
      </c>
      <c r="E19" s="8">
        <v>0</v>
      </c>
      <c r="L19" s="162"/>
    </row>
    <row r="20" spans="2:14" ht="15.75" hidden="1" outlineLevel="1" thickBot="1">
      <c r="C20" s="14" t="s">
        <v>818</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25">
      <c r="B24" s="17" t="s">
        <v>819</v>
      </c>
      <c r="C24" s="18"/>
      <c r="D24" s="18"/>
      <c r="E24" s="18"/>
      <c r="F24" s="18"/>
      <c r="G24" s="18"/>
      <c r="H24" s="18"/>
      <c r="I24" s="18"/>
      <c r="J24" s="18"/>
      <c r="K24" s="18"/>
      <c r="L24" s="18"/>
      <c r="M24" s="18"/>
      <c r="N24" s="18"/>
    </row>
    <row r="25" spans="2:14" hidden="1" outlineLevel="1"/>
    <row r="26" spans="2:14" hidden="1" outlineLevel="1">
      <c r="C26" s="296" t="s">
        <v>820</v>
      </c>
      <c r="D26" s="297" t="s">
        <v>821</v>
      </c>
      <c r="F26" t="str">
        <f>"MD_FS_Automation[LEVELS OF FINANCIAL STATEMENT AUTOMATION]"</f>
        <v>MD_FS_Automation[LEVELS OF FINANCIAL STATEMENT AUTOMATION]</v>
      </c>
    </row>
    <row r="27" spans="2:14" hidden="1" outlineLevel="1">
      <c r="C27" s="298" t="s">
        <v>112</v>
      </c>
      <c r="D27" s="305" t="str">
        <f>IF(ProblemData!$E$3=MD_FS_Automation[[#This Row],[LEVELS OF FINANCIAL STATEMENT AUTOMATION]],1,"")</f>
        <v/>
      </c>
    </row>
    <row r="28" spans="2:14" hidden="1" outlineLevel="1">
      <c r="C28" s="299" t="s">
        <v>822</v>
      </c>
      <c r="D28" s="306" t="str">
        <f>IF(ProblemData!$E$3=MD_FS_Automation[[#This Row],[LEVELS OF FINANCIAL STATEMENT AUTOMATION]],1,"")</f>
        <v/>
      </c>
    </row>
    <row r="29" spans="2:14" hidden="1" outlineLevel="1">
      <c r="C29" s="298" t="s">
        <v>823</v>
      </c>
      <c r="D29" s="305" t="str">
        <f>IF(ProblemData!$E$3=MD_FS_Automation[[#This Row],[LEVELS OF FINANCIAL STATEMENT AUTOMATION]],1,"")</f>
        <v/>
      </c>
    </row>
    <row r="30" spans="2:14" hidden="1" outlineLevel="1">
      <c r="C30" s="299" t="s">
        <v>824</v>
      </c>
      <c r="D30" s="306" t="str">
        <f>IF(ProblemData!$E$3=MD_FS_Automation[[#This Row],[LEVELS OF FINANCIAL STATEMENT AUTOMATION]],1,"")</f>
        <v/>
      </c>
    </row>
    <row r="31" spans="2:14" hidden="1" outlineLevel="1">
      <c r="C31" s="298" t="s">
        <v>825</v>
      </c>
      <c r="D31" s="305" t="str">
        <f>IF(ProblemData!$E$3=MD_FS_Automation[[#This Row],[LEVELS OF FINANCIAL STATEMENT AUTOMATION]],1,"")</f>
        <v/>
      </c>
    </row>
    <row r="32" spans="2:14" hidden="1" outlineLevel="1">
      <c r="C32" s="301" t="s">
        <v>826</v>
      </c>
      <c r="D32" s="307" t="str">
        <f>IF(ProblemData!$E$3=MD_FS_Automation[[#This Row],[LEVELS OF FINANCIAL STATEMENT AUTOMATION]],1,"")</f>
        <v/>
      </c>
    </row>
    <row r="33" spans="2:14" hidden="1" outlineLevel="1"/>
    <row r="34" spans="2:14" ht="17.25" hidden="1" outlineLevel="1">
      <c r="B34" s="17" t="s">
        <v>827</v>
      </c>
      <c r="C34" s="18"/>
      <c r="D34" s="18"/>
      <c r="E34" s="18"/>
      <c r="F34" s="18"/>
      <c r="G34" s="18"/>
      <c r="H34" s="18"/>
      <c r="I34" s="18"/>
      <c r="J34" s="18"/>
      <c r="K34" s="18"/>
      <c r="L34" s="18"/>
      <c r="M34" s="18"/>
      <c r="N34" s="18"/>
    </row>
    <row r="35" spans="2:14" ht="17.25" hidden="1" outlineLevel="1">
      <c r="B35" s="295"/>
    </row>
    <row r="36" spans="2:14" hidden="1" outlineLevel="1">
      <c r="C36" s="16" t="s">
        <v>828</v>
      </c>
      <c r="D36" s="16" t="s">
        <v>821</v>
      </c>
      <c r="E36" s="11"/>
      <c r="F36" t="str">
        <f>"MD_Feedback[LEVELS OF FEEDBACK]"</f>
        <v>MD_Feedback[LEVELS OF FEEDBACK]</v>
      </c>
    </row>
    <row r="37" spans="2:14" hidden="1" outlineLevel="1">
      <c r="C37" s="298" t="s">
        <v>112</v>
      </c>
      <c r="D37" s="308" t="str">
        <f>IF(ProblemData!$E$10=MD_Feedback[[#This Row],[LEVELS OF FEEDBACK]],1,"")</f>
        <v/>
      </c>
    </row>
    <row r="38" spans="2:14" hidden="1" outlineLevel="1">
      <c r="C38" s="299" t="s">
        <v>829</v>
      </c>
      <c r="D38" s="8" t="str">
        <f>IF(ProblemData!$E$10=MD_Feedback[[#This Row],[LEVELS OF FEEDBACK]],1,"")</f>
        <v/>
      </c>
    </row>
    <row r="39" spans="2:14" hidden="1" outlineLevel="1">
      <c r="C39" s="298" t="s">
        <v>830</v>
      </c>
      <c r="D39" s="7" t="str">
        <f>IF(ProblemData!$E$10=MD_Feedback[[#This Row],[LEVELS OF FEEDBACK]],1,"")</f>
        <v/>
      </c>
    </row>
    <row r="40" spans="2:14" hidden="1" outlineLevel="1">
      <c r="C40" s="299" t="s">
        <v>831</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25">
      <c r="B50" s="17" t="s">
        <v>832</v>
      </c>
      <c r="C50" s="18"/>
      <c r="D50" s="18"/>
      <c r="E50" s="18"/>
      <c r="F50" s="18"/>
      <c r="G50" s="18"/>
      <c r="H50" s="18"/>
      <c r="I50" s="18"/>
      <c r="J50" s="18"/>
      <c r="K50" s="18"/>
      <c r="L50" s="18"/>
      <c r="M50" s="18"/>
      <c r="N50" s="18"/>
    </row>
    <row r="51" spans="1:29" outlineLevel="1"/>
    <row r="52" spans="1:29" ht="15.75" outlineLevel="1">
      <c r="B52" s="26" t="s">
        <v>833</v>
      </c>
      <c r="C52" s="10"/>
      <c r="D52" s="10"/>
      <c r="E52" s="10"/>
      <c r="F52" s="10"/>
      <c r="G52" s="10"/>
      <c r="H52" s="10"/>
      <c r="I52" s="10"/>
      <c r="J52" s="10"/>
      <c r="K52" s="10"/>
      <c r="L52" s="10"/>
      <c r="M52" s="10"/>
      <c r="N52" s="10"/>
    </row>
    <row r="53" spans="1:29" outlineLevel="1"/>
    <row r="54" spans="1:29" ht="15.75" outlineLevel="1">
      <c r="A54" s="5"/>
      <c r="B54" s="5"/>
      <c r="C54" s="793" t="s">
        <v>37</v>
      </c>
      <c r="D54" s="793"/>
      <c r="E54" s="793"/>
      <c r="F54" s="793"/>
      <c r="G54" s="793"/>
      <c r="H54" s="793"/>
      <c r="I54" s="793"/>
      <c r="J54" s="171"/>
      <c r="AB54" s="100" t="s">
        <v>834</v>
      </c>
      <c r="AC54" s="100" t="s">
        <v>835</v>
      </c>
    </row>
    <row r="55" spans="1:29" outlineLevel="1">
      <c r="C55" s="59" t="s">
        <v>339</v>
      </c>
      <c r="D55" s="59" t="s">
        <v>411</v>
      </c>
      <c r="E55" s="59" t="s">
        <v>533</v>
      </c>
      <c r="F55" s="59" t="s">
        <v>836</v>
      </c>
      <c r="G55" s="59" t="s">
        <v>534</v>
      </c>
      <c r="H55" s="59" t="s">
        <v>340</v>
      </c>
      <c r="I55" s="59" t="s">
        <v>575</v>
      </c>
      <c r="J55" s="59" t="s">
        <v>837</v>
      </c>
      <c r="L55" s="100" t="s">
        <v>838</v>
      </c>
      <c r="N55" s="100" t="s">
        <v>839</v>
      </c>
      <c r="O55" s="100" t="s">
        <v>840</v>
      </c>
      <c r="AB55" t="str" cm="1">
        <f t="array" ref="AB55:AB57">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841</v>
      </c>
      <c r="L56" s="41" t="str" cm="1">
        <f t="array" ref="L56:L60">IFERROR(_xlfn._xlws.FILTER(MD_Asset[[#All],[Account Name]],MD_Asset[[#All],[Used]]=1),"")</f>
        <v>Cash</v>
      </c>
      <c r="N56" s="41" t="str" cm="1">
        <f t="array" ref="N56:N65">_xlfn.VSTACK(AssetUsed,LiabilityUsed,EquityUsed)</f>
        <v>Cash</v>
      </c>
      <c r="O56" t="str" cm="1">
        <f t="array" ref="O56:O65">_xlfn._xlws.SORT(_xlfn.ANCHORARRAY(N56))</f>
        <v>Accounts Receivable</v>
      </c>
      <c r="AB56" t="str">
        <v>Accounts Receivable</v>
      </c>
      <c r="AC56" t="str">
        <v>Accumulated Depreciation</v>
      </c>
    </row>
    <row r="57" spans="1:29" outlineLevel="1">
      <c r="C57" s="21" t="s">
        <v>58</v>
      </c>
      <c r="D57" s="22" t="s">
        <v>842</v>
      </c>
      <c r="E57" s="22" t="s">
        <v>389</v>
      </c>
      <c r="F57" s="22" t="s">
        <v>843</v>
      </c>
      <c r="G57" s="24">
        <v>1</v>
      </c>
      <c r="H57" s="21" t="s">
        <v>844</v>
      </c>
      <c r="I57" s="22">
        <f>IF(MD_Asset[[#This Row],[Account Name]]="","",IFERROR(IF(SEARCH(MD_Asset[[#This Row],[Account Name]],ProblemData!$E$242)&gt;0,1,0),""))</f>
        <v>1</v>
      </c>
      <c r="J57" s="1"/>
      <c r="L57" s="41" t="str">
        <v>Accounts Receivable</v>
      </c>
      <c r="N57" s="41" t="str">
        <v>Accounts Receivable</v>
      </c>
      <c r="O57" t="str">
        <v>Accumulated Depreciation</v>
      </c>
      <c r="AB57" t="str">
        <v>Inventories</v>
      </c>
    </row>
    <row r="58" spans="1:29" outlineLevel="1">
      <c r="C58" s="19" t="s">
        <v>69</v>
      </c>
      <c r="D58" s="20" t="s">
        <v>845</v>
      </c>
      <c r="E58" s="20" t="s">
        <v>389</v>
      </c>
      <c r="F58" s="20" t="s">
        <v>843</v>
      </c>
      <c r="G58" s="25">
        <f>G57+1</f>
        <v>2</v>
      </c>
      <c r="H58" s="19" t="s">
        <v>846</v>
      </c>
      <c r="I58" s="22">
        <f>IF(MD_Asset[[#This Row],[Account Name]]="","",IFERROR(IF(SEARCH(MD_Asset[[#This Row],[Account Name]],ProblemData!$E$242)&gt;0,1,0),""))</f>
        <v>1</v>
      </c>
      <c r="J58" s="1">
        <v>1</v>
      </c>
      <c r="L58" s="41" t="str">
        <v>Inventories</v>
      </c>
      <c r="N58" s="41" t="str">
        <v>Inventories</v>
      </c>
      <c r="O58" t="str">
        <v>Cash</v>
      </c>
    </row>
    <row r="59" spans="1:29" outlineLevel="1">
      <c r="C59" s="21" t="s">
        <v>591</v>
      </c>
      <c r="D59" s="22" t="s">
        <v>847</v>
      </c>
      <c r="E59" s="22" t="s">
        <v>388</v>
      </c>
      <c r="F59" s="22" t="s">
        <v>843</v>
      </c>
      <c r="G59" s="24">
        <f t="shared" ref="G59:G72" si="0">G58+1</f>
        <v>3</v>
      </c>
      <c r="H59" s="21" t="s">
        <v>848</v>
      </c>
      <c r="I59" s="22" t="str">
        <f>IF(MD_Asset[[#This Row],[Account Name]]="","",IFERROR(IF(SEARCH(MD_Asset[[#This Row],[Account Name]],ProblemData!$E$242)&gt;0,1,0),""))</f>
        <v/>
      </c>
      <c r="J59" s="1">
        <v>1</v>
      </c>
      <c r="L59" s="41" t="str">
        <v>Property, Plant &amp; Equipment</v>
      </c>
      <c r="N59" s="41" t="str">
        <v>Property, Plant &amp; Equipment</v>
      </c>
      <c r="O59" t="str">
        <v>Common Stock</v>
      </c>
    </row>
    <row r="60" spans="1:29" outlineLevel="1">
      <c r="C60" s="19" t="s">
        <v>595</v>
      </c>
      <c r="D60" s="20" t="s">
        <v>849</v>
      </c>
      <c r="E60" s="20" t="s">
        <v>389</v>
      </c>
      <c r="F60" s="20" t="s">
        <v>843</v>
      </c>
      <c r="G60" s="25">
        <f t="shared" si="0"/>
        <v>4</v>
      </c>
      <c r="H60" s="19" t="s">
        <v>850</v>
      </c>
      <c r="I60" s="22" t="str">
        <f>IF(MD_Asset[[#This Row],[Account Name]]="","",IFERROR(IF(SEARCH(MD_Asset[[#This Row],[Account Name]],ProblemData!$E$242)&gt;0,1,0),""))</f>
        <v/>
      </c>
      <c r="J60" s="1"/>
      <c r="L60" s="41" t="str">
        <v>Accumulated Depreciation</v>
      </c>
      <c r="N60" s="41" t="str">
        <v>Accumulated Depreciation</v>
      </c>
      <c r="O60" t="str">
        <v>Dividends Payable</v>
      </c>
    </row>
    <row r="61" spans="1:29" outlineLevel="1">
      <c r="C61" s="21" t="s">
        <v>68</v>
      </c>
      <c r="D61" s="22" t="s">
        <v>851</v>
      </c>
      <c r="E61" s="22" t="s">
        <v>389</v>
      </c>
      <c r="F61" s="22" t="s">
        <v>843</v>
      </c>
      <c r="G61" s="24">
        <f t="shared" si="0"/>
        <v>5</v>
      </c>
      <c r="H61" s="21" t="s">
        <v>852</v>
      </c>
      <c r="I61" s="22">
        <f>IF(MD_Asset[[#This Row],[Account Name]]="","",IFERROR(IF(SEARCH(MD_Asset[[#This Row],[Account Name]],ProblemData!$E$242)&gt;0,1,0),""))</f>
        <v>1</v>
      </c>
      <c r="J61" s="1">
        <v>1</v>
      </c>
      <c r="L61" s="41"/>
      <c r="N61" s="41" t="str">
        <v>Interest Payable</v>
      </c>
      <c r="O61" t="str">
        <v>Interest Payable</v>
      </c>
    </row>
    <row r="62" spans="1:29" outlineLevel="1">
      <c r="C62" s="21" t="s">
        <v>602</v>
      </c>
      <c r="D62" s="22" t="s">
        <v>853</v>
      </c>
      <c r="E62" s="22" t="s">
        <v>389</v>
      </c>
      <c r="F62" s="22" t="s">
        <v>843</v>
      </c>
      <c r="G62" s="24">
        <f t="shared" si="0"/>
        <v>6</v>
      </c>
      <c r="H62" s="21" t="s">
        <v>854</v>
      </c>
      <c r="I62" s="22" t="str">
        <f>IF(MD_Asset[[#This Row],[Account Name]]="","",IFERROR(IF(SEARCH(MD_Asset[[#This Row],[Account Name]],ProblemData!$E$242)&gt;0,1,0),""))</f>
        <v/>
      </c>
      <c r="J62" s="1">
        <v>1</v>
      </c>
      <c r="L62" s="41"/>
      <c r="N62" s="41" t="str">
        <v>Dividends Payable</v>
      </c>
      <c r="O62" t="str">
        <v>Inventories</v>
      </c>
    </row>
    <row r="63" spans="1:29" outlineLevel="1">
      <c r="C63" s="21" t="s">
        <v>605</v>
      </c>
      <c r="D63" s="22" t="s">
        <v>855</v>
      </c>
      <c r="E63" s="22" t="s">
        <v>389</v>
      </c>
      <c r="F63" s="22" t="s">
        <v>843</v>
      </c>
      <c r="G63" s="24">
        <f t="shared" si="0"/>
        <v>7</v>
      </c>
      <c r="H63" s="21" t="s">
        <v>856</v>
      </c>
      <c r="I63" s="22" t="str">
        <f>IF(MD_Asset[[#This Row],[Account Name]]="","",IFERROR(IF(SEARCH(MD_Asset[[#This Row],[Account Name]],ProblemData!$E$242)&gt;0,1,0),""))</f>
        <v/>
      </c>
      <c r="J63" s="1">
        <v>1</v>
      </c>
      <c r="L63" s="41"/>
      <c r="N63" s="41" t="str">
        <v>Notes Payable</v>
      </c>
      <c r="O63" t="str">
        <v>Notes Payable</v>
      </c>
    </row>
    <row r="64" spans="1:29" outlineLevel="1">
      <c r="C64" s="21" t="s">
        <v>606</v>
      </c>
      <c r="D64" s="22" t="s">
        <v>857</v>
      </c>
      <c r="E64" s="22" t="s">
        <v>389</v>
      </c>
      <c r="F64" s="22" t="s">
        <v>843</v>
      </c>
      <c r="G64" s="24">
        <f t="shared" si="0"/>
        <v>8</v>
      </c>
      <c r="H64" s="21" t="s">
        <v>858</v>
      </c>
      <c r="I64" s="22" t="str">
        <f>IF(MD_Asset[[#This Row],[Account Name]]="","",IFERROR(IF(SEARCH(MD_Asset[[#This Row],[Account Name]],ProblemData!$E$242)&gt;0,1,0),""))</f>
        <v/>
      </c>
      <c r="J64" s="1">
        <v>1</v>
      </c>
      <c r="L64" s="41"/>
      <c r="N64" s="41" t="str">
        <v>Common Stock</v>
      </c>
      <c r="O64" t="str">
        <v>Property, Plant &amp; Equipment</v>
      </c>
    </row>
    <row r="65" spans="3:15" outlineLevel="1">
      <c r="C65" s="21" t="s">
        <v>67</v>
      </c>
      <c r="D65" s="22" t="s">
        <v>859</v>
      </c>
      <c r="E65" s="22" t="s">
        <v>389</v>
      </c>
      <c r="F65" s="22" t="s">
        <v>860</v>
      </c>
      <c r="G65" s="24">
        <f t="shared" si="0"/>
        <v>9</v>
      </c>
      <c r="H65" s="21" t="s">
        <v>861</v>
      </c>
      <c r="I65" s="22">
        <f>IF(MD_Asset[[#This Row],[Account Name]]="","",IFERROR(IF(SEARCH(MD_Asset[[#This Row],[Account Name]],ProblemData!$E$242)&gt;0,1,0),""))</f>
        <v>1</v>
      </c>
      <c r="J65" s="1"/>
      <c r="L65" s="41"/>
      <c r="N65" s="41" t="str">
        <v>Retained Earnings</v>
      </c>
      <c r="O65" t="str">
        <v>Retained Earnings</v>
      </c>
    </row>
    <row r="66" spans="3:15" outlineLevel="1">
      <c r="C66" s="21" t="s">
        <v>80</v>
      </c>
      <c r="D66" s="22" t="s">
        <v>862</v>
      </c>
      <c r="E66" s="22" t="s">
        <v>388</v>
      </c>
      <c r="F66" s="22" t="s">
        <v>860</v>
      </c>
      <c r="G66" s="24">
        <f t="shared" si="0"/>
        <v>10</v>
      </c>
      <c r="H66" s="21" t="s">
        <v>863</v>
      </c>
      <c r="I66" s="22">
        <f>IF(MD_Asset[[#This Row],[Account Name]]="","",IFERROR(IF(SEARCH(MD_Asset[[#This Row],[Account Name]],ProblemData!$E$242)&gt;0,1,0),""))</f>
        <v>1</v>
      </c>
      <c r="J66" s="1"/>
      <c r="L66" s="41"/>
      <c r="N66" s="41"/>
    </row>
    <row r="67" spans="3:15" outlineLevel="1">
      <c r="C67" s="21" t="s">
        <v>629</v>
      </c>
      <c r="D67" s="22" t="s">
        <v>864</v>
      </c>
      <c r="E67" s="22" t="s">
        <v>389</v>
      </c>
      <c r="F67" s="22" t="s">
        <v>860</v>
      </c>
      <c r="G67" s="24">
        <f t="shared" si="0"/>
        <v>11</v>
      </c>
      <c r="H67" s="21" t="s">
        <v>865</v>
      </c>
      <c r="I67" s="22" t="str">
        <f>IF(MD_Asset[[#This Row],[Account Name]]="","",IFERROR(IF(SEARCH(MD_Asset[[#This Row],[Account Name]],ProblemData!$E$242)&gt;0,1,0),""))</f>
        <v/>
      </c>
      <c r="J67" s="1"/>
      <c r="L67" s="41"/>
      <c r="N67" s="41"/>
    </row>
    <row r="68" spans="3:15" outlineLevel="1">
      <c r="C68" s="21" t="s">
        <v>632</v>
      </c>
      <c r="D68" s="22" t="s">
        <v>866</v>
      </c>
      <c r="E68" s="22" t="s">
        <v>389</v>
      </c>
      <c r="F68" s="22" t="s">
        <v>860</v>
      </c>
      <c r="G68" s="24">
        <f t="shared" si="0"/>
        <v>12</v>
      </c>
      <c r="H68" s="21" t="s">
        <v>867</v>
      </c>
      <c r="I68" s="22" t="str">
        <f>IF(MD_Asset[[#This Row],[Account Name]]="","",IFERROR(IF(SEARCH(MD_Asset[[#This Row],[Account Name]],ProblemData!$E$242)&gt;0,1,0),""))</f>
        <v/>
      </c>
      <c r="J68" s="1"/>
      <c r="L68" s="41"/>
      <c r="N68" s="41"/>
    </row>
    <row r="69" spans="3:15" outlineLevel="1">
      <c r="C69" s="21" t="s">
        <v>636</v>
      </c>
      <c r="D69" s="22" t="s">
        <v>868</v>
      </c>
      <c r="E69" s="22" t="s">
        <v>389</v>
      </c>
      <c r="F69" s="22" t="s">
        <v>860</v>
      </c>
      <c r="G69" s="24">
        <f t="shared" si="0"/>
        <v>13</v>
      </c>
      <c r="H69" s="21" t="s">
        <v>869</v>
      </c>
      <c r="I69" s="22" t="str">
        <f>IF(MD_Asset[[#This Row],[Account Name]]="","",IFERROR(IF(SEARCH(MD_Asset[[#This Row],[Account Name]],ProblemData!$E$242)&gt;0,1,0),""))</f>
        <v/>
      </c>
      <c r="J69" s="1">
        <v>1</v>
      </c>
      <c r="L69" s="41"/>
      <c r="N69" s="41"/>
    </row>
    <row r="70" spans="3:15" outlineLevel="1">
      <c r="C70" s="21" t="s">
        <v>639</v>
      </c>
      <c r="D70" s="22" t="s">
        <v>870</v>
      </c>
      <c r="E70" s="22" t="s">
        <v>389</v>
      </c>
      <c r="F70" s="22" t="s">
        <v>860</v>
      </c>
      <c r="G70" s="24">
        <f t="shared" si="0"/>
        <v>14</v>
      </c>
      <c r="H70" s="21" t="s">
        <v>871</v>
      </c>
      <c r="I70" s="22" t="str">
        <f>IF(MD_Asset[[#This Row],[Account Name]]="","",IFERROR(IF(SEARCH(MD_Asset[[#This Row],[Account Name]],ProblemData!$E$242)&gt;0,1,0),""))</f>
        <v/>
      </c>
      <c r="J70" s="1"/>
      <c r="L70" s="41"/>
      <c r="N70" s="41"/>
    </row>
    <row r="71" spans="3:15" outlineLevel="1">
      <c r="C71" s="21" t="s">
        <v>642</v>
      </c>
      <c r="D71" s="22" t="s">
        <v>872</v>
      </c>
      <c r="E71" s="22" t="s">
        <v>388</v>
      </c>
      <c r="F71" s="22" t="s">
        <v>860</v>
      </c>
      <c r="G71" s="24">
        <f t="shared" si="0"/>
        <v>15</v>
      </c>
      <c r="H71" s="21" t="s">
        <v>873</v>
      </c>
      <c r="I71" s="22" t="str">
        <f>IF(MD_Asset[[#This Row],[Account Name]]="","",IFERROR(IF(SEARCH(MD_Asset[[#This Row],[Account Name]],ProblemData!$E$242)&gt;0,1,0),""))</f>
        <v/>
      </c>
      <c r="J71" s="1"/>
      <c r="L71" s="41"/>
      <c r="N71" s="41"/>
    </row>
    <row r="72" spans="3:15" outlineLevel="1">
      <c r="C72" s="21" t="s">
        <v>644</v>
      </c>
      <c r="D72" s="22" t="s">
        <v>874</v>
      </c>
      <c r="E72" s="22" t="s">
        <v>389</v>
      </c>
      <c r="F72" s="22" t="s">
        <v>860</v>
      </c>
      <c r="G72" s="24">
        <f t="shared" si="0"/>
        <v>16</v>
      </c>
      <c r="H72" s="21" t="s">
        <v>875</v>
      </c>
      <c r="I72" s="22" t="str">
        <f>IF(MD_Asset[[#This Row],[Account Name]]="","",IFERROR(IF(SEARCH(MD_Asset[[#This Row],[Account Name]],ProblemData!$E$242)&gt;0,1,0),""))</f>
        <v/>
      </c>
      <c r="J72" s="1"/>
      <c r="L72" s="41"/>
      <c r="N72" s="41"/>
    </row>
    <row r="73" spans="3:15" outlineLevel="1">
      <c r="C73" s="21" t="s">
        <v>876</v>
      </c>
      <c r="D73" s="22" t="s">
        <v>877</v>
      </c>
      <c r="E73" s="22" t="s">
        <v>389</v>
      </c>
      <c r="F73" s="22" t="s">
        <v>860</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3" t="s">
        <v>38</v>
      </c>
      <c r="D81" s="793"/>
      <c r="E81" s="793"/>
      <c r="F81" s="793"/>
      <c r="G81" s="793"/>
      <c r="H81" s="793"/>
      <c r="I81" s="793"/>
      <c r="J81" s="171"/>
    </row>
    <row r="82" spans="3:12" outlineLevel="1">
      <c r="C82" s="59" t="s">
        <v>339</v>
      </c>
      <c r="D82" s="59" t="s">
        <v>411</v>
      </c>
      <c r="E82" s="59" t="s">
        <v>533</v>
      </c>
      <c r="F82" s="59" t="s">
        <v>836</v>
      </c>
      <c r="G82" s="59" t="s">
        <v>534</v>
      </c>
      <c r="H82" s="59" t="s">
        <v>340</v>
      </c>
      <c r="I82" s="59" t="s">
        <v>575</v>
      </c>
      <c r="J82" s="59" t="s">
        <v>837</v>
      </c>
      <c r="L82" s="106" t="s">
        <v>878</v>
      </c>
    </row>
    <row r="83" spans="3:12" outlineLevel="1">
      <c r="C83" s="21" t="s">
        <v>653</v>
      </c>
      <c r="D83" s="22" t="s">
        <v>879</v>
      </c>
      <c r="E83" s="22" t="s">
        <v>388</v>
      </c>
      <c r="F83" s="22" t="s">
        <v>843</v>
      </c>
      <c r="G83" s="24">
        <v>1</v>
      </c>
      <c r="H83" s="21" t="s">
        <v>880</v>
      </c>
      <c r="I83" s="22" t="str">
        <f>IF(MD_Liability[[#This Row],[Account Name]]="","",IFERROR(IF(SEARCH(MD_Liability[[#This Row],[Account Name]],ProblemData!$E$242)&gt;0,1,0),""))</f>
        <v/>
      </c>
      <c r="J83" s="1">
        <v>1</v>
      </c>
      <c r="K83" s="11" t="s">
        <v>841</v>
      </c>
      <c r="L83" s="42" t="str" cm="1">
        <f t="array" ref="L83:L85">IFERROR(_xlfn._xlws.FILTER(MD_Liability[[#All],[Account Name]],MD_Liability[[#All],[Used]]=1),"")</f>
        <v>Interest Payable</v>
      </c>
    </row>
    <row r="84" spans="3:12" outlineLevel="1">
      <c r="C84" s="21" t="s">
        <v>654</v>
      </c>
      <c r="D84" s="22" t="s">
        <v>881</v>
      </c>
      <c r="E84" s="22" t="s">
        <v>388</v>
      </c>
      <c r="F84" s="22" t="s">
        <v>843</v>
      </c>
      <c r="G84" s="24">
        <f t="shared" ref="G84:G111" si="2">G83+1</f>
        <v>2</v>
      </c>
      <c r="H84" s="21" t="s">
        <v>882</v>
      </c>
      <c r="I84" s="22" t="str">
        <f>IF(MD_Liability[[#This Row],[Account Name]]="","",IFERROR(IF(SEARCH(MD_Liability[[#This Row],[Account Name]],ProblemData!$E$242)&gt;0,1,0),""))</f>
        <v/>
      </c>
      <c r="J84" s="1">
        <v>1</v>
      </c>
      <c r="L84" s="41" t="str">
        <v>Dividends Payable</v>
      </c>
    </row>
    <row r="85" spans="3:12" outlineLevel="1">
      <c r="C85" s="21" t="s">
        <v>77</v>
      </c>
      <c r="D85" s="22" t="s">
        <v>883</v>
      </c>
      <c r="E85" s="22" t="s">
        <v>388</v>
      </c>
      <c r="F85" s="22" t="s">
        <v>843</v>
      </c>
      <c r="G85" s="24">
        <f t="shared" si="2"/>
        <v>3</v>
      </c>
      <c r="H85" s="21" t="s">
        <v>884</v>
      </c>
      <c r="I85" s="22">
        <f>IF(MD_Liability[[#This Row],[Account Name]]="","",IFERROR(IF(SEARCH(MD_Liability[[#This Row],[Account Name]],ProblemData!$E$242)&gt;0,1,0),""))</f>
        <v>1</v>
      </c>
      <c r="J85" s="1">
        <v>1</v>
      </c>
      <c r="L85" s="41" t="str">
        <v>Notes Payable</v>
      </c>
    </row>
    <row r="86" spans="3:12" outlineLevel="1">
      <c r="C86" s="21" t="s">
        <v>75</v>
      </c>
      <c r="D86" s="22" t="s">
        <v>885</v>
      </c>
      <c r="E86" s="22" t="s">
        <v>388</v>
      </c>
      <c r="F86" s="22" t="s">
        <v>843</v>
      </c>
      <c r="G86" s="24">
        <f t="shared" si="2"/>
        <v>4</v>
      </c>
      <c r="H86" s="21" t="s">
        <v>886</v>
      </c>
      <c r="I86" s="22">
        <f>IF(MD_Liability[[#This Row],[Account Name]]="","",IFERROR(IF(SEARCH(MD_Liability[[#This Row],[Account Name]],ProblemData!$E$242)&gt;0,1,0),""))</f>
        <v>1</v>
      </c>
      <c r="J86" s="1"/>
      <c r="L86" s="41"/>
    </row>
    <row r="87" spans="3:12" outlineLevel="1">
      <c r="C87" s="21" t="s">
        <v>657</v>
      </c>
      <c r="D87" s="22" t="s">
        <v>887</v>
      </c>
      <c r="E87" s="22" t="s">
        <v>388</v>
      </c>
      <c r="F87" s="22" t="s">
        <v>843</v>
      </c>
      <c r="G87" s="24">
        <f t="shared" si="2"/>
        <v>5</v>
      </c>
      <c r="H87" s="21" t="s">
        <v>888</v>
      </c>
      <c r="I87" s="22" t="str">
        <f>IF(MD_Liability[[#This Row],[Account Name]]="","",IFERROR(IF(SEARCH(MD_Liability[[#This Row],[Account Name]],ProblemData!$E$242)&gt;0,1,0),""))</f>
        <v/>
      </c>
      <c r="J87" s="1">
        <v>1</v>
      </c>
      <c r="L87" s="41"/>
    </row>
    <row r="88" spans="3:12" outlineLevel="1">
      <c r="C88" s="21" t="s">
        <v>659</v>
      </c>
      <c r="D88" s="22" t="s">
        <v>889</v>
      </c>
      <c r="E88" s="22" t="s">
        <v>388</v>
      </c>
      <c r="F88" s="22" t="s">
        <v>843</v>
      </c>
      <c r="G88" s="24">
        <f t="shared" si="2"/>
        <v>6</v>
      </c>
      <c r="H88" s="21" t="s">
        <v>871</v>
      </c>
      <c r="I88" s="22" t="str">
        <f>IF(MD_Liability[[#This Row],[Account Name]]="","",IFERROR(IF(SEARCH(MD_Liability[[#This Row],[Account Name]],ProblemData!$E$242)&gt;0,1,0),""))</f>
        <v/>
      </c>
      <c r="J88" s="1">
        <v>1</v>
      </c>
      <c r="L88" s="41"/>
    </row>
    <row r="89" spans="3:12" outlineLevel="1">
      <c r="C89" s="21" t="s">
        <v>660</v>
      </c>
      <c r="D89" s="22" t="s">
        <v>890</v>
      </c>
      <c r="E89" s="22" t="s">
        <v>388</v>
      </c>
      <c r="F89" s="22" t="s">
        <v>843</v>
      </c>
      <c r="G89" s="24">
        <f t="shared" si="2"/>
        <v>7</v>
      </c>
      <c r="H89" s="21" t="s">
        <v>891</v>
      </c>
      <c r="I89" s="22" t="str">
        <f>IF(MD_Liability[[#This Row],[Account Name]]="","",IFERROR(IF(SEARCH(MD_Liability[[#This Row],[Account Name]],ProblemData!$E$242)&gt;0,1,0),""))</f>
        <v/>
      </c>
      <c r="J89" s="1">
        <v>1</v>
      </c>
      <c r="L89" s="41"/>
    </row>
    <row r="90" spans="3:12" outlineLevel="1">
      <c r="C90" s="21" t="s">
        <v>662</v>
      </c>
      <c r="D90" s="22" t="s">
        <v>892</v>
      </c>
      <c r="E90" s="22" t="s">
        <v>388</v>
      </c>
      <c r="F90" s="22" t="s">
        <v>843</v>
      </c>
      <c r="G90" s="24">
        <f t="shared" si="2"/>
        <v>8</v>
      </c>
      <c r="H90" s="21" t="s">
        <v>893</v>
      </c>
      <c r="I90" s="22" t="str">
        <f>IF(MD_Liability[[#This Row],[Account Name]]="","",IFERROR(IF(SEARCH(MD_Liability[[#This Row],[Account Name]],ProblemData!$E$242)&gt;0,1,0),""))</f>
        <v/>
      </c>
      <c r="J90" s="1">
        <v>1</v>
      </c>
      <c r="L90" s="41"/>
    </row>
    <row r="91" spans="3:12" outlineLevel="1">
      <c r="C91" s="21" t="s">
        <v>663</v>
      </c>
      <c r="D91" s="22" t="s">
        <v>894</v>
      </c>
      <c r="E91" s="22" t="s">
        <v>388</v>
      </c>
      <c r="F91" s="22" t="s">
        <v>843</v>
      </c>
      <c r="G91" s="24">
        <f t="shared" si="2"/>
        <v>9</v>
      </c>
      <c r="H91" s="21" t="s">
        <v>895</v>
      </c>
      <c r="I91" s="22" t="str">
        <f>IF(MD_Liability[[#This Row],[Account Name]]="","",IFERROR(IF(SEARCH(MD_Liability[[#This Row],[Account Name]],ProblemData!$E$242)&gt;0,1,0),""))</f>
        <v/>
      </c>
      <c r="J91" s="1">
        <v>1</v>
      </c>
      <c r="L91" s="41"/>
    </row>
    <row r="92" spans="3:12" outlineLevel="1">
      <c r="C92" s="21" t="s">
        <v>665</v>
      </c>
      <c r="D92" s="22" t="s">
        <v>896</v>
      </c>
      <c r="E92" s="22" t="s">
        <v>388</v>
      </c>
      <c r="F92" s="22" t="s">
        <v>843</v>
      </c>
      <c r="G92" s="24">
        <f t="shared" si="2"/>
        <v>10</v>
      </c>
      <c r="H92" s="21" t="s">
        <v>897</v>
      </c>
      <c r="I92" s="22" t="str">
        <f>IF(MD_Liability[[#This Row],[Account Name]]="","",IFERROR(IF(SEARCH(MD_Liability[[#This Row],[Account Name]],ProblemData!$E$242)&gt;0,1,0),""))</f>
        <v/>
      </c>
      <c r="J92" s="1"/>
      <c r="L92" s="41"/>
    </row>
    <row r="93" spans="3:12" outlineLevel="1">
      <c r="C93" s="21" t="s">
        <v>666</v>
      </c>
      <c r="D93" s="22" t="s">
        <v>898</v>
      </c>
      <c r="E93" s="22" t="s">
        <v>388</v>
      </c>
      <c r="F93" s="22" t="s">
        <v>843</v>
      </c>
      <c r="G93" s="24">
        <f t="shared" si="2"/>
        <v>11</v>
      </c>
      <c r="H93" s="21" t="s">
        <v>899</v>
      </c>
      <c r="I93" s="22" t="str">
        <f>IF(MD_Liability[[#This Row],[Account Name]]="","",IFERROR(IF(SEARCH(MD_Liability[[#This Row],[Account Name]],ProblemData!$E$242)&gt;0,1,0),""))</f>
        <v/>
      </c>
      <c r="J93" s="1">
        <v>1</v>
      </c>
      <c r="L93" s="41"/>
    </row>
    <row r="94" spans="3:12" outlineLevel="1">
      <c r="C94" s="21" t="s">
        <v>667</v>
      </c>
      <c r="D94" s="22" t="s">
        <v>900</v>
      </c>
      <c r="E94" s="22" t="s">
        <v>388</v>
      </c>
      <c r="F94" s="22" t="s">
        <v>843</v>
      </c>
      <c r="G94" s="24">
        <f t="shared" si="2"/>
        <v>12</v>
      </c>
      <c r="H94" s="21" t="s">
        <v>901</v>
      </c>
      <c r="I94" s="22" t="str">
        <f>IF(MD_Liability[[#This Row],[Account Name]]="","",IFERROR(IF(SEARCH(MD_Liability[[#This Row],[Account Name]],ProblemData!$E$242)&gt;0,1,0),""))</f>
        <v/>
      </c>
      <c r="J94" s="1">
        <v>1</v>
      </c>
      <c r="L94" s="41"/>
    </row>
    <row r="95" spans="3:12" outlineLevel="1">
      <c r="C95" s="21" t="s">
        <v>668</v>
      </c>
      <c r="D95" s="22" t="s">
        <v>902</v>
      </c>
      <c r="E95" s="22" t="s">
        <v>388</v>
      </c>
      <c r="F95" s="22" t="s">
        <v>843</v>
      </c>
      <c r="G95" s="24">
        <f t="shared" si="2"/>
        <v>13</v>
      </c>
      <c r="H95" s="21" t="s">
        <v>903</v>
      </c>
      <c r="I95" s="22" t="str">
        <f>IF(MD_Liability[[#This Row],[Account Name]]="","",IFERROR(IF(SEARCH(MD_Liability[[#This Row],[Account Name]],ProblemData!$E$242)&gt;0,1,0),""))</f>
        <v/>
      </c>
      <c r="J95" s="1">
        <v>1</v>
      </c>
      <c r="L95" s="41"/>
    </row>
    <row r="96" spans="3:12" outlineLevel="1">
      <c r="C96" s="21" t="s">
        <v>669</v>
      </c>
      <c r="D96" s="22" t="s">
        <v>904</v>
      </c>
      <c r="E96" s="22" t="s">
        <v>388</v>
      </c>
      <c r="F96" s="22" t="s">
        <v>843</v>
      </c>
      <c r="G96" s="24">
        <f t="shared" si="2"/>
        <v>14</v>
      </c>
      <c r="H96" s="21" t="s">
        <v>882</v>
      </c>
      <c r="I96" s="22" t="str">
        <f>IF(MD_Liability[[#This Row],[Account Name]]="","",IFERROR(IF(SEARCH(MD_Liability[[#This Row],[Account Name]],ProblemData!$E$242)&gt;0,1,0),""))</f>
        <v/>
      </c>
      <c r="J96" s="1">
        <v>1</v>
      </c>
      <c r="L96" s="41"/>
    </row>
    <row r="97" spans="3:17" outlineLevel="1">
      <c r="C97" s="21" t="s">
        <v>670</v>
      </c>
      <c r="D97" s="22" t="s">
        <v>905</v>
      </c>
      <c r="E97" s="22" t="s">
        <v>388</v>
      </c>
      <c r="F97" s="22" t="s">
        <v>843</v>
      </c>
      <c r="G97" s="24">
        <f t="shared" si="2"/>
        <v>15</v>
      </c>
      <c r="H97" s="21" t="s">
        <v>906</v>
      </c>
      <c r="I97" s="22" t="str">
        <f>IF(MD_Liability[[#This Row],[Account Name]]="","",IFERROR(IF(SEARCH(MD_Liability[[#This Row],[Account Name]],ProblemData!$E$242)&gt;0,1,0),""))</f>
        <v/>
      </c>
      <c r="J97" s="1"/>
      <c r="L97" s="41"/>
    </row>
    <row r="98" spans="3:17" outlineLevel="1">
      <c r="C98" s="21" t="s">
        <v>907</v>
      </c>
      <c r="D98" s="22" t="s">
        <v>908</v>
      </c>
      <c r="E98" s="22" t="s">
        <v>388</v>
      </c>
      <c r="F98" s="22" t="s">
        <v>860</v>
      </c>
      <c r="G98" s="24">
        <f t="shared" si="2"/>
        <v>16</v>
      </c>
      <c r="H98" s="21" t="s">
        <v>909</v>
      </c>
      <c r="I98" s="22" t="str">
        <f>IF(MD_Liability[[#This Row],[Account Name]]="","",IFERROR(IF(SEARCH(MD_Liability[[#This Row],[Account Name]],ProblemData!$E$242)&gt;0,1,0),""))</f>
        <v/>
      </c>
      <c r="J98" s="1"/>
      <c r="L98" s="41"/>
    </row>
    <row r="99" spans="3:17" outlineLevel="1">
      <c r="C99" s="21" t="s">
        <v>66</v>
      </c>
      <c r="D99" s="22" t="s">
        <v>910</v>
      </c>
      <c r="E99" s="22" t="s">
        <v>388</v>
      </c>
      <c r="F99" s="22" t="s">
        <v>860</v>
      </c>
      <c r="G99" s="24">
        <f t="shared" si="2"/>
        <v>17</v>
      </c>
      <c r="H99" s="21" t="s">
        <v>911</v>
      </c>
      <c r="I99" s="22">
        <f>IF(MD_Liability[[#This Row],[Account Name]]="","",IFERROR(IF(SEARCH(MD_Liability[[#This Row],[Account Name]],ProblemData!$E$242)&gt;0,1,0),""))</f>
        <v>1</v>
      </c>
      <c r="J99" s="1"/>
      <c r="L99" s="41"/>
    </row>
    <row r="100" spans="3:17" outlineLevel="1">
      <c r="C100" s="21" t="s">
        <v>676</v>
      </c>
      <c r="D100" s="22" t="s">
        <v>912</v>
      </c>
      <c r="E100" s="22" t="s">
        <v>388</v>
      </c>
      <c r="F100" s="22" t="s">
        <v>860</v>
      </c>
      <c r="G100" s="24">
        <f t="shared" si="2"/>
        <v>18</v>
      </c>
      <c r="H100" s="21" t="s">
        <v>913</v>
      </c>
      <c r="I100" s="22" t="str">
        <f>IF(MD_Liability[[#This Row],[Account Name]]="","",IFERROR(IF(SEARCH(MD_Liability[[#This Row],[Account Name]],ProblemData!$E$242)&gt;0,1,0),""))</f>
        <v/>
      </c>
      <c r="J100" s="1"/>
      <c r="L100" s="41"/>
    </row>
    <row r="101" spans="3:17" outlineLevel="1">
      <c r="C101" s="21" t="s">
        <v>677</v>
      </c>
      <c r="D101" s="22" t="s">
        <v>914</v>
      </c>
      <c r="E101" s="22" t="s">
        <v>388</v>
      </c>
      <c r="F101" s="22" t="s">
        <v>860</v>
      </c>
      <c r="G101" s="24">
        <f t="shared" si="2"/>
        <v>19</v>
      </c>
      <c r="H101" s="21" t="s">
        <v>915</v>
      </c>
      <c r="I101" s="22" t="str">
        <f>IF(MD_Liability[[#This Row],[Account Name]]="","",IFERROR(IF(SEARCH(MD_Liability[[#This Row],[Account Name]],ProblemData!$E$242)&gt;0,1,0),""))</f>
        <v/>
      </c>
      <c r="J101" s="1"/>
      <c r="L101" s="41"/>
    </row>
    <row r="102" spans="3:17" outlineLevel="1">
      <c r="C102" s="21" t="s">
        <v>678</v>
      </c>
      <c r="D102" s="22" t="s">
        <v>916</v>
      </c>
      <c r="E102" s="22" t="s">
        <v>388</v>
      </c>
      <c r="F102" s="22" t="s">
        <v>860</v>
      </c>
      <c r="G102" s="24">
        <f t="shared" si="2"/>
        <v>20</v>
      </c>
      <c r="H102" s="21" t="s">
        <v>917</v>
      </c>
      <c r="I102" s="22" t="str">
        <f>IF(MD_Liability[[#This Row],[Account Name]]="","",IFERROR(IF(SEARCH(MD_Liability[[#This Row],[Account Name]],ProblemData!$E$242)&gt;0,1,0),""))</f>
        <v/>
      </c>
      <c r="J102" s="1">
        <v>1</v>
      </c>
      <c r="L102" s="41"/>
    </row>
    <row r="103" spans="3:17" outlineLevel="1">
      <c r="C103" s="21" t="s">
        <v>679</v>
      </c>
      <c r="D103" s="22" t="s">
        <v>918</v>
      </c>
      <c r="E103" s="22" t="s">
        <v>388</v>
      </c>
      <c r="F103" s="22" t="s">
        <v>860</v>
      </c>
      <c r="G103" s="24">
        <f t="shared" si="2"/>
        <v>21</v>
      </c>
      <c r="H103" s="21" t="s">
        <v>919</v>
      </c>
      <c r="I103" s="22" t="str">
        <f>IF(MD_Liability[[#This Row],[Account Name]]="","",IFERROR(IF(SEARCH(MD_Liability[[#This Row],[Account Name]],ProblemData!$E$242)&gt;0,1,0),""))</f>
        <v/>
      </c>
      <c r="J103" s="1"/>
      <c r="L103" s="41"/>
    </row>
    <row r="104" spans="3:17" outlineLevel="1">
      <c r="C104" s="21" t="s">
        <v>680</v>
      </c>
      <c r="D104" s="22" t="s">
        <v>920</v>
      </c>
      <c r="E104" s="22" t="s">
        <v>388</v>
      </c>
      <c r="F104" s="22" t="s">
        <v>860</v>
      </c>
      <c r="G104" s="24">
        <f t="shared" si="2"/>
        <v>22</v>
      </c>
      <c r="H104" s="21" t="s">
        <v>909</v>
      </c>
      <c r="I104" s="22" t="str">
        <f>IF(MD_Liability[[#This Row],[Account Name]]="","",IFERROR(IF(SEARCH(MD_Liability[[#This Row],[Account Name]],ProblemData!$E$242)&gt;0,1,0),""))</f>
        <v/>
      </c>
      <c r="J104" s="1"/>
      <c r="L104" s="41"/>
    </row>
    <row r="105" spans="3:17" outlineLevel="1">
      <c r="C105" s="21" t="s">
        <v>681</v>
      </c>
      <c r="D105" s="22" t="s">
        <v>921</v>
      </c>
      <c r="E105" s="22" t="s">
        <v>388</v>
      </c>
      <c r="F105" s="22" t="s">
        <v>860</v>
      </c>
      <c r="G105" s="24">
        <f t="shared" si="2"/>
        <v>23</v>
      </c>
      <c r="H105" s="21" t="s">
        <v>922</v>
      </c>
      <c r="I105" s="22" t="str">
        <f>IF(MD_Liability[[#This Row],[Account Name]]="","",IFERROR(IF(SEARCH(MD_Liability[[#This Row],[Account Name]],ProblemData!$E$242)&gt;0,1,0),""))</f>
        <v/>
      </c>
      <c r="J105" s="1"/>
      <c r="L105" s="41"/>
    </row>
    <row r="106" spans="3:17" outlineLevel="1">
      <c r="C106" s="21" t="s">
        <v>923</v>
      </c>
      <c r="D106" s="22" t="s">
        <v>924</v>
      </c>
      <c r="E106" s="22" t="s">
        <v>388</v>
      </c>
      <c r="F106" s="22" t="s">
        <v>843</v>
      </c>
      <c r="G106" s="24">
        <f t="shared" si="2"/>
        <v>24</v>
      </c>
      <c r="H106" s="21"/>
      <c r="I106" s="22" t="str">
        <f>IF(MD_Liability[[#This Row],[Account Name]]="","",IFERROR(IF(SEARCH(MD_Liability[[#This Row],[Account Name]],ProblemData!$E$242)&gt;0,1,0),""))</f>
        <v/>
      </c>
      <c r="J106" s="1"/>
      <c r="L106" s="41"/>
    </row>
    <row r="107" spans="3:17" outlineLevel="1">
      <c r="C107" s="21" t="s">
        <v>925</v>
      </c>
      <c r="D107" s="22" t="s">
        <v>926</v>
      </c>
      <c r="E107" s="22" t="s">
        <v>388</v>
      </c>
      <c r="F107" s="22" t="s">
        <v>860</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3" t="s">
        <v>39</v>
      </c>
      <c r="D114" s="793"/>
      <c r="E114" s="793"/>
      <c r="F114" s="793"/>
      <c r="G114" s="793"/>
      <c r="H114" s="793"/>
      <c r="I114" s="793"/>
      <c r="J114" s="408"/>
    </row>
    <row r="115" spans="3:15" outlineLevel="1">
      <c r="C115" s="59" t="s">
        <v>339</v>
      </c>
      <c r="D115" s="59" t="s">
        <v>411</v>
      </c>
      <c r="E115" s="59" t="s">
        <v>533</v>
      </c>
      <c r="F115" s="59" t="s">
        <v>836</v>
      </c>
      <c r="G115" s="59" t="s">
        <v>534</v>
      </c>
      <c r="H115" s="59" t="s">
        <v>340</v>
      </c>
      <c r="I115" s="59" t="s">
        <v>575</v>
      </c>
      <c r="J115" s="59" t="s">
        <v>837</v>
      </c>
      <c r="L115" s="106" t="s">
        <v>927</v>
      </c>
      <c r="N115" s="100" t="s">
        <v>928</v>
      </c>
      <c r="O115" s="100" t="s">
        <v>840</v>
      </c>
    </row>
    <row r="116" spans="3:15" outlineLevel="1">
      <c r="C116" s="68"/>
      <c r="D116" s="68"/>
      <c r="E116" s="68"/>
      <c r="F116" s="68"/>
      <c r="G116" s="69"/>
      <c r="H116" s="68"/>
      <c r="I116" s="68"/>
      <c r="J116" s="68"/>
      <c r="K116" s="11" t="s">
        <v>841</v>
      </c>
      <c r="L116" s="42" t="str" cm="1">
        <f t="array" ref="L116:L117">IFERROR(_xlfn._xlws.FILTER(MD_Equity[[#All],[Account Name]],MD_Equity[[#All],[Used]]=1),"")</f>
        <v>Common Stock</v>
      </c>
      <c r="N116" s="41" t="str" cm="1">
        <f t="array" ref="N116:N122">_xlfn.VSTACK(RevenueUsed,ExpenseUsed,GainUsed,LossUsed)</f>
        <v>Sales</v>
      </c>
      <c r="O116" t="str" cm="1">
        <f t="array" ref="O116:O122">_xlfn._xlws.SORT(_xlfn.ANCHORARRAY(N116),,-1)</f>
        <v>Sales</v>
      </c>
    </row>
    <row r="117" spans="3:15" outlineLevel="1">
      <c r="C117" s="21" t="s">
        <v>237</v>
      </c>
      <c r="D117" s="22" t="s">
        <v>929</v>
      </c>
      <c r="E117" s="22" t="s">
        <v>388</v>
      </c>
      <c r="F117" s="22"/>
      <c r="G117" s="24">
        <v>1</v>
      </c>
      <c r="H117" s="21" t="s">
        <v>930</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c r="C118" s="21" t="s">
        <v>64</v>
      </c>
      <c r="D118" s="22" t="s">
        <v>931</v>
      </c>
      <c r="E118" s="22" t="s">
        <v>388</v>
      </c>
      <c r="F118" s="22"/>
      <c r="G118" s="24">
        <f>G117+1</f>
        <v>2</v>
      </c>
      <c r="H118" s="21" t="s">
        <v>932</v>
      </c>
      <c r="I118" s="22">
        <f>IF(MD_Equity[[#This Row],[Account Name]]="","",IFERROR(IF(SEARCH(MD_Equity[[#This Row],[Account Name]],ProblemData!$E$242)&gt;0,1,0),""))</f>
        <v>1</v>
      </c>
      <c r="J118" s="1"/>
      <c r="L118" s="41"/>
      <c r="N118" s="41" t="str">
        <v>Interest Expense</v>
      </c>
      <c r="O118" t="str">
        <v>Interest Expense</v>
      </c>
    </row>
    <row r="119" spans="3:15" outlineLevel="1">
      <c r="C119" s="21" t="s">
        <v>243</v>
      </c>
      <c r="D119" s="22" t="s">
        <v>933</v>
      </c>
      <c r="E119" s="22" t="s">
        <v>388</v>
      </c>
      <c r="F119" s="22"/>
      <c r="G119" s="24">
        <f t="shared" ref="G119:G128" si="3">G118+1</f>
        <v>3</v>
      </c>
      <c r="H119" s="21" t="s">
        <v>934</v>
      </c>
      <c r="I119" s="22" t="str">
        <f>IF(MD_Equity[[#This Row],[Account Name]]="","",IFERROR(IF(SEARCH(MD_Equity[[#This Row],[Account Name]],ProblemData!$E$242)&gt;0,1,0),""))</f>
        <v/>
      </c>
      <c r="J119" s="1"/>
      <c r="L119" s="41"/>
      <c r="N119" s="41" t="str">
        <v>Depreciation Expense</v>
      </c>
      <c r="O119" t="str">
        <v>Depreciation Expense</v>
      </c>
    </row>
    <row r="120" spans="3:15" outlineLevel="1">
      <c r="C120" s="21" t="s">
        <v>248</v>
      </c>
      <c r="D120" s="22" t="s">
        <v>935</v>
      </c>
      <c r="E120" s="22" t="s">
        <v>388</v>
      </c>
      <c r="F120" s="22"/>
      <c r="G120" s="24">
        <f t="shared" si="3"/>
        <v>4</v>
      </c>
      <c r="H120" s="21" t="s">
        <v>936</v>
      </c>
      <c r="I120" s="22" t="str">
        <f>IF(MD_Equity[[#This Row],[Account Name]]="","",IFERROR(IF(SEARCH(MD_Equity[[#This Row],[Account Name]],ProblemData!$E$242)&gt;0,1,0),""))</f>
        <v/>
      </c>
      <c r="J120" s="1"/>
      <c r="L120" s="41"/>
      <c r="N120" s="41" t="str">
        <v>Salaries &amp; Wages Expense</v>
      </c>
      <c r="O120" t="str">
        <v>Cost of Goods Sold</v>
      </c>
    </row>
    <row r="121" spans="3:15" outlineLevel="1">
      <c r="C121" s="21" t="s">
        <v>74</v>
      </c>
      <c r="D121" s="22" t="s">
        <v>937</v>
      </c>
      <c r="E121" s="22" t="s">
        <v>388</v>
      </c>
      <c r="F121" s="22"/>
      <c r="G121" s="24">
        <f t="shared" si="3"/>
        <v>5</v>
      </c>
      <c r="H121" s="21" t="s">
        <v>938</v>
      </c>
      <c r="I121" s="22">
        <f>IF(MD_Equity[[#This Row],[Account Name]]="","",IFERROR(IF(SEARCH(MD_Equity[[#This Row],[Account Name]],ProblemData!$E$242)&gt;0,1,0),""))</f>
        <v>1</v>
      </c>
      <c r="J121" s="1"/>
      <c r="L121" s="41"/>
      <c r="N121" s="41" t="str">
        <v/>
      </c>
      <c r="O121" t="str">
        <v/>
      </c>
    </row>
    <row r="122" spans="3:15" outlineLevel="1">
      <c r="C122" s="21" t="s">
        <v>250</v>
      </c>
      <c r="D122" s="22" t="s">
        <v>939</v>
      </c>
      <c r="E122" s="22" t="s">
        <v>389</v>
      </c>
      <c r="F122" s="22"/>
      <c r="G122" s="24">
        <f t="shared" si="3"/>
        <v>6</v>
      </c>
      <c r="H122" s="21" t="s">
        <v>940</v>
      </c>
      <c r="I122" s="22" t="str">
        <f>IF(MD_Equity[[#This Row],[Account Name]]="","",IFERROR(IF(SEARCH(MD_Equity[[#This Row],[Account Name]],ProblemData!$E$242)&gt;0,1,0),""))</f>
        <v/>
      </c>
      <c r="J122" s="1"/>
      <c r="L122" s="41"/>
      <c r="N122" s="41" t="str">
        <v/>
      </c>
      <c r="O122" t="str">
        <v/>
      </c>
    </row>
    <row r="123" spans="3:15" outlineLevel="1">
      <c r="C123" s="128" t="s">
        <v>687</v>
      </c>
      <c r="D123" s="22" t="s">
        <v>941</v>
      </c>
      <c r="E123" s="22" t="s">
        <v>389</v>
      </c>
      <c r="F123" s="22"/>
      <c r="G123" s="24">
        <f t="shared" si="3"/>
        <v>7</v>
      </c>
      <c r="H123" s="21"/>
      <c r="I123" s="22" t="str">
        <f>IF(MD_Equity[[#This Row],[Account Name]]="","",IFERROR(IF(SEARCH(MD_Equity[[#This Row],[Account Name]],ProblemData!$E$242)&gt;0,1,0),""))</f>
        <v/>
      </c>
      <c r="J123" s="1"/>
      <c r="L123" s="41"/>
      <c r="N123" s="41"/>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942</v>
      </c>
      <c r="C131" s="10"/>
      <c r="D131" s="10"/>
      <c r="E131" s="10"/>
      <c r="F131" s="10"/>
      <c r="G131" s="10"/>
      <c r="H131" s="10"/>
      <c r="I131" s="10"/>
      <c r="J131" s="10"/>
      <c r="K131" s="10"/>
      <c r="L131" s="10"/>
      <c r="M131" s="10"/>
      <c r="N131" s="41"/>
    </row>
    <row r="132" spans="2:14" outlineLevel="1">
      <c r="N132" s="41"/>
    </row>
    <row r="133" spans="2:14" ht="15.75" outlineLevel="1">
      <c r="C133" s="793" t="s">
        <v>43</v>
      </c>
      <c r="D133" s="793"/>
      <c r="E133" s="793"/>
      <c r="F133" s="793"/>
      <c r="G133" s="793"/>
      <c r="H133" s="793"/>
      <c r="I133" s="793"/>
      <c r="N133" s="41"/>
    </row>
    <row r="134" spans="2:14" outlineLevel="1">
      <c r="C134" s="23" t="s">
        <v>339</v>
      </c>
      <c r="D134" s="23" t="s">
        <v>411</v>
      </c>
      <c r="E134" s="23" t="s">
        <v>533</v>
      </c>
      <c r="F134" s="23" t="s">
        <v>836</v>
      </c>
      <c r="G134" s="23" t="s">
        <v>534</v>
      </c>
      <c r="H134" s="23" t="s">
        <v>340</v>
      </c>
      <c r="I134" s="59" t="s">
        <v>575</v>
      </c>
      <c r="L134" s="106" t="s">
        <v>943</v>
      </c>
      <c r="N134" s="41"/>
    </row>
    <row r="135" spans="2:14" outlineLevel="1">
      <c r="C135" s="68"/>
      <c r="D135" s="68"/>
      <c r="E135" s="68"/>
      <c r="F135" s="68"/>
      <c r="G135" s="69"/>
      <c r="H135" s="68"/>
      <c r="I135" s="68" t="str">
        <f>IF(MD_Revenue[[#This Row],[Account Name]]="","",IFERROR(IF(SEARCH(MD_Revenue[[#This Row],[Account Name]],ProblemData!$E$242)&gt;0,1,0),""))</f>
        <v/>
      </c>
      <c r="J135" s="11" t="s">
        <v>841</v>
      </c>
      <c r="L135" s="42" t="str" cm="1">
        <f t="array" ref="L135">IFERROR(_xlfn._xlws.FILTER(MD_Revenue[[#All],[Account Name]],MD_Revenue[[#All],[Used]]=1),"")</f>
        <v>Sales</v>
      </c>
      <c r="N135" s="41"/>
    </row>
    <row r="136" spans="2:14" outlineLevel="1">
      <c r="C136" s="21" t="s">
        <v>71</v>
      </c>
      <c r="D136" s="22" t="s">
        <v>944</v>
      </c>
      <c r="E136" s="22" t="s">
        <v>388</v>
      </c>
      <c r="F136" s="22"/>
      <c r="G136" s="24">
        <v>1</v>
      </c>
      <c r="H136" s="21" t="s">
        <v>945</v>
      </c>
      <c r="I136" s="22">
        <f>IF(MD_Revenue[[#This Row],[Account Name]]="","",IFERROR(IF(SEARCH(MD_Revenue[[#This Row],[Account Name]],ProblemData!$E$242)&gt;0,1,0),""))</f>
        <v>1</v>
      </c>
      <c r="L136" s="41"/>
      <c r="N136" s="41"/>
    </row>
    <row r="137" spans="2:14" outlineLevel="1">
      <c r="C137" s="21" t="s">
        <v>585</v>
      </c>
      <c r="D137" s="22" t="s">
        <v>946</v>
      </c>
      <c r="E137" s="22" t="s">
        <v>388</v>
      </c>
      <c r="F137" s="22"/>
      <c r="G137" s="24">
        <f>G136+1</f>
        <v>2</v>
      </c>
      <c r="H137" s="21" t="s">
        <v>947</v>
      </c>
      <c r="I137" s="22" t="str">
        <f>IF(MD_Revenue[[#This Row],[Account Name]]="","",IFERROR(IF(SEARCH(MD_Revenue[[#This Row],[Account Name]],ProblemData!$E$242)&gt;0,1,0),""))</f>
        <v/>
      </c>
      <c r="J137" s="5"/>
      <c r="K137" s="5"/>
      <c r="L137" s="41"/>
      <c r="N137" s="41"/>
    </row>
    <row r="138" spans="2:14" outlineLevel="1">
      <c r="C138" s="21" t="s">
        <v>588</v>
      </c>
      <c r="D138" s="22" t="s">
        <v>948</v>
      </c>
      <c r="E138" s="22" t="s">
        <v>388</v>
      </c>
      <c r="F138" s="22"/>
      <c r="G138" s="24">
        <f t="shared" ref="G138:G142" si="4">G137+1</f>
        <v>3</v>
      </c>
      <c r="H138" s="21" t="s">
        <v>949</v>
      </c>
      <c r="I138" s="22" t="str">
        <f>IF(MD_Revenue[[#This Row],[Account Name]]="","",IFERROR(IF(SEARCH(MD_Revenue[[#This Row],[Account Name]],ProblemData!$E$242)&gt;0,1,0),""))</f>
        <v/>
      </c>
      <c r="J138" s="5"/>
      <c r="K138" s="5"/>
      <c r="L138" s="41"/>
      <c r="N138" s="101"/>
    </row>
    <row r="139" spans="2:14" outlineLevel="1">
      <c r="C139" s="21" t="s">
        <v>592</v>
      </c>
      <c r="D139" s="22" t="s">
        <v>950</v>
      </c>
      <c r="E139" s="22" t="s">
        <v>388</v>
      </c>
      <c r="F139" s="22"/>
      <c r="G139" s="24">
        <f t="shared" si="4"/>
        <v>4</v>
      </c>
      <c r="H139" s="21" t="s">
        <v>951</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3" t="s">
        <v>44</v>
      </c>
      <c r="D147" s="793"/>
      <c r="E147" s="793"/>
      <c r="F147" s="793"/>
      <c r="G147" s="793"/>
      <c r="H147" s="793"/>
      <c r="I147" s="793"/>
      <c r="J147" s="5"/>
      <c r="K147" s="5"/>
    </row>
    <row r="148" spans="2:14" outlineLevel="1">
      <c r="C148" s="23" t="s">
        <v>339</v>
      </c>
      <c r="D148" s="23" t="s">
        <v>411</v>
      </c>
      <c r="E148" s="23" t="s">
        <v>533</v>
      </c>
      <c r="F148" s="23" t="s">
        <v>836</v>
      </c>
      <c r="G148" s="23" t="s">
        <v>534</v>
      </c>
      <c r="H148" s="23" t="s">
        <v>340</v>
      </c>
      <c r="I148" s="59" t="s">
        <v>575</v>
      </c>
      <c r="J148" s="5"/>
      <c r="K148" s="5"/>
      <c r="L148" s="106" t="s">
        <v>952</v>
      </c>
    </row>
    <row r="149" spans="2:14" outlineLevel="1">
      <c r="C149" s="68"/>
      <c r="D149" s="68"/>
      <c r="E149" s="68"/>
      <c r="F149" s="68"/>
      <c r="G149" s="69"/>
      <c r="H149" s="68"/>
      <c r="I149" s="68" t="str">
        <f>IF(MD_Expense[[#This Row],[Account Name]]="","",IFERROR(IF(SEARCH(MD_Expense[[#This Row],[Account Name]],ProblemData!$E$242)&gt;0,1,0),""))</f>
        <v/>
      </c>
      <c r="J149" s="11" t="s">
        <v>841</v>
      </c>
      <c r="K149" s="5"/>
      <c r="L149" s="42" t="str" cm="1">
        <f t="array" ref="L149:L152">IFERROR(_xlfn._xlws.FILTER(MD_Expense[[#All],[Account Name]],MD_Expense[[#All],[Used]]=1),"")</f>
        <v>Cost of Goods Sold</v>
      </c>
    </row>
    <row r="150" spans="2:14" outlineLevel="1">
      <c r="C150" s="21" t="s">
        <v>78</v>
      </c>
      <c r="D150" s="22" t="s">
        <v>953</v>
      </c>
      <c r="E150" s="22" t="s">
        <v>389</v>
      </c>
      <c r="F150" s="22"/>
      <c r="G150" s="24">
        <v>1</v>
      </c>
      <c r="H150" s="21" t="s">
        <v>954</v>
      </c>
      <c r="I150" s="22">
        <f>IF(MD_Expense[[#This Row],[Account Name]]="","",IFERROR(IF(SEARCH(MD_Expense[[#This Row],[Account Name]],ProblemData!$E$242)&gt;0,1,0),""))</f>
        <v>1</v>
      </c>
      <c r="J150" s="5"/>
      <c r="K150" s="5"/>
      <c r="L150" s="41" t="str">
        <v>Interest Expense</v>
      </c>
    </row>
    <row r="151" spans="2:14" outlineLevel="1">
      <c r="C151" s="21" t="s">
        <v>608</v>
      </c>
      <c r="D151" s="22" t="s">
        <v>955</v>
      </c>
      <c r="E151" s="22" t="s">
        <v>389</v>
      </c>
      <c r="F151" s="22"/>
      <c r="G151" s="24">
        <f>G150+1</f>
        <v>2</v>
      </c>
      <c r="H151" s="21" t="s">
        <v>956</v>
      </c>
      <c r="I151" s="22" t="str">
        <f>IF(MD_Expense[[#This Row],[Account Name]]="","",IFERROR(IF(SEARCH(MD_Expense[[#This Row],[Account Name]],ProblemData!$E$242)&gt;0,1,0),""))</f>
        <v/>
      </c>
      <c r="J151" s="5"/>
      <c r="K151" s="5"/>
      <c r="L151" s="41" t="str">
        <v>Depreciation Expense</v>
      </c>
    </row>
    <row r="152" spans="2:14" outlineLevel="1">
      <c r="C152" s="21" t="s">
        <v>611</v>
      </c>
      <c r="D152" s="22" t="s">
        <v>957</v>
      </c>
      <c r="E152" s="22" t="s">
        <v>389</v>
      </c>
      <c r="F152" s="22"/>
      <c r="G152" s="24">
        <f t="shared" ref="G152:G158" si="6">G151+1</f>
        <v>3</v>
      </c>
      <c r="H152" s="21" t="s">
        <v>958</v>
      </c>
      <c r="I152" s="22" t="str">
        <f>IF(MD_Expense[[#This Row],[Account Name]]="","",IFERROR(IF(SEARCH(MD_Expense[[#This Row],[Account Name]],ProblemData!$E$242)&gt;0,1,0),""))</f>
        <v/>
      </c>
      <c r="J152" s="5"/>
      <c r="K152" s="5"/>
      <c r="L152" s="41" t="str">
        <v>Salaries &amp; Wages Expense</v>
      </c>
    </row>
    <row r="153" spans="2:14" outlineLevel="1">
      <c r="C153" s="21" t="s">
        <v>76</v>
      </c>
      <c r="D153" s="22" t="s">
        <v>959</v>
      </c>
      <c r="E153" s="22" t="s">
        <v>389</v>
      </c>
      <c r="F153" s="22"/>
      <c r="G153" s="24">
        <f t="shared" si="6"/>
        <v>4</v>
      </c>
      <c r="H153" s="21" t="s">
        <v>960</v>
      </c>
      <c r="I153" s="22">
        <f>IF(MD_Expense[[#This Row],[Account Name]]="","",IFERROR(IF(SEARCH(MD_Expense[[#This Row],[Account Name]],ProblemData!$E$242)&gt;0,1,0),""))</f>
        <v>1</v>
      </c>
      <c r="J153" s="5"/>
      <c r="K153" s="5"/>
      <c r="L153" s="41"/>
    </row>
    <row r="154" spans="2:14" outlineLevel="1">
      <c r="C154" s="21" t="s">
        <v>617</v>
      </c>
      <c r="D154" s="22" t="s">
        <v>961</v>
      </c>
      <c r="E154" s="22" t="s">
        <v>389</v>
      </c>
      <c r="F154" s="22"/>
      <c r="G154" s="24">
        <f t="shared" si="6"/>
        <v>5</v>
      </c>
      <c r="H154" s="21" t="s">
        <v>962</v>
      </c>
      <c r="I154" s="22" t="str">
        <f>IF(MD_Expense[[#This Row],[Account Name]]="","",IFERROR(IF(SEARCH(MD_Expense[[#This Row],[Account Name]],ProblemData!$E$242)&gt;0,1,0),""))</f>
        <v/>
      </c>
      <c r="J154" s="5"/>
      <c r="K154" s="5"/>
      <c r="L154" s="41"/>
    </row>
    <row r="155" spans="2:14" outlineLevel="1">
      <c r="C155" s="21" t="s">
        <v>79</v>
      </c>
      <c r="D155" s="22" t="s">
        <v>963</v>
      </c>
      <c r="E155" s="22" t="s">
        <v>389</v>
      </c>
      <c r="F155" s="22"/>
      <c r="G155" s="24">
        <f t="shared" si="6"/>
        <v>6</v>
      </c>
      <c r="H155" s="21" t="s">
        <v>964</v>
      </c>
      <c r="I155" s="22">
        <f>IF(MD_Expense[[#This Row],[Account Name]]="","",IFERROR(IF(SEARCH(MD_Expense[[#This Row],[Account Name]],ProblemData!$E$242)&gt;0,1,0),""))</f>
        <v>1</v>
      </c>
      <c r="J155" s="5"/>
      <c r="K155" s="5"/>
      <c r="L155" s="41"/>
    </row>
    <row r="156" spans="2:14" outlineLevel="1">
      <c r="C156" s="21" t="s">
        <v>624</v>
      </c>
      <c r="D156" s="22" t="s">
        <v>965</v>
      </c>
      <c r="E156" s="22" t="s">
        <v>389</v>
      </c>
      <c r="F156" s="22"/>
      <c r="G156" s="24">
        <f t="shared" si="6"/>
        <v>7</v>
      </c>
      <c r="H156" s="21" t="s">
        <v>966</v>
      </c>
      <c r="I156" s="22" t="str">
        <f>IF(MD_Expense[[#This Row],[Account Name]]="","",IFERROR(IF(SEARCH(MD_Expense[[#This Row],[Account Name]],ProblemData!$E$242)&gt;0,1,0),""))</f>
        <v/>
      </c>
      <c r="J156" s="5"/>
      <c r="K156" s="5"/>
      <c r="L156" s="41"/>
    </row>
    <row r="157" spans="2:14" outlineLevel="1">
      <c r="C157" s="21" t="s">
        <v>627</v>
      </c>
      <c r="D157" s="22" t="s">
        <v>967</v>
      </c>
      <c r="E157" s="22" t="s">
        <v>389</v>
      </c>
      <c r="F157" s="22"/>
      <c r="G157" s="24">
        <f t="shared" si="6"/>
        <v>8</v>
      </c>
      <c r="H157" s="21" t="s">
        <v>968</v>
      </c>
      <c r="I157" s="22" t="str">
        <f>IF(MD_Expense[[#This Row],[Account Name]]="","",IFERROR(IF(SEARCH(MD_Expense[[#This Row],[Account Name]],ProblemData!$E$242)&gt;0,1,0),""))</f>
        <v/>
      </c>
      <c r="J157" s="5"/>
      <c r="K157" s="5"/>
      <c r="L157" s="41"/>
    </row>
    <row r="158" spans="2:14" outlineLevel="1">
      <c r="C158" s="21" t="s">
        <v>73</v>
      </c>
      <c r="D158" s="22" t="s">
        <v>969</v>
      </c>
      <c r="E158" s="22" t="s">
        <v>389</v>
      </c>
      <c r="F158" s="22"/>
      <c r="G158" s="24">
        <f t="shared" si="6"/>
        <v>9</v>
      </c>
      <c r="H158" s="21" t="s">
        <v>970</v>
      </c>
      <c r="I158" s="22">
        <f>IF(MD_Expense[[#This Row],[Account Name]]="","",IFERROR(IF(SEARCH(MD_Expense[[#This Row],[Account Name]],ProblemData!$E$242)&gt;0,1,0),""))</f>
        <v>1</v>
      </c>
      <c r="J158" s="5"/>
      <c r="K158" s="5"/>
      <c r="L158" s="41"/>
    </row>
    <row r="159" spans="2:14" outlineLevel="1">
      <c r="C159" s="21" t="s">
        <v>633</v>
      </c>
      <c r="D159" s="22" t="s">
        <v>971</v>
      </c>
      <c r="E159" s="22" t="s">
        <v>389</v>
      </c>
      <c r="F159" s="22"/>
      <c r="G159" s="24">
        <f t="shared" ref="G159:G162" si="7">G158+1</f>
        <v>10</v>
      </c>
      <c r="H159" s="21" t="s">
        <v>972</v>
      </c>
      <c r="I159" s="22" t="str">
        <f>IF(MD_Expense[[#This Row],[Account Name]]="","",IFERROR(IF(SEARCH(MD_Expense[[#This Row],[Account Name]],ProblemData!$E$242)&gt;0,1,0),""))</f>
        <v/>
      </c>
      <c r="J159" s="5"/>
      <c r="K159" s="5"/>
      <c r="L159" s="41"/>
    </row>
    <row r="160" spans="2:14" outlineLevel="1">
      <c r="C160" s="21" t="s">
        <v>637</v>
      </c>
      <c r="D160" s="22" t="s">
        <v>973</v>
      </c>
      <c r="E160" s="22" t="s">
        <v>389</v>
      </c>
      <c r="F160" s="22"/>
      <c r="G160" s="24">
        <f t="shared" si="7"/>
        <v>11</v>
      </c>
      <c r="H160" s="21" t="s">
        <v>974</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3" t="s">
        <v>45</v>
      </c>
      <c r="D169" s="793"/>
      <c r="E169" s="793"/>
      <c r="F169" s="793"/>
      <c r="G169" s="793"/>
      <c r="H169" s="793"/>
      <c r="I169" s="793"/>
    </row>
    <row r="170" spans="3:12" outlineLevel="1">
      <c r="C170" s="23" t="s">
        <v>339</v>
      </c>
      <c r="D170" s="23" t="s">
        <v>411</v>
      </c>
      <c r="E170" s="23" t="s">
        <v>533</v>
      </c>
      <c r="F170" s="23" t="s">
        <v>836</v>
      </c>
      <c r="G170" s="23" t="s">
        <v>534</v>
      </c>
      <c r="H170" s="23" t="s">
        <v>340</v>
      </c>
      <c r="I170" s="59" t="s">
        <v>575</v>
      </c>
      <c r="L170" s="106" t="s">
        <v>975</v>
      </c>
    </row>
    <row r="171" spans="3:12" outlineLevel="1">
      <c r="C171" s="68"/>
      <c r="D171" s="68"/>
      <c r="E171" s="68"/>
      <c r="F171" s="68"/>
      <c r="G171" s="69"/>
      <c r="H171" s="68"/>
      <c r="I171" s="68" t="str">
        <f>IF(MD_Gain[[#This Row],[Account Name]]="","",IFERROR(IF(SEARCH(MD_Gain[[#This Row],[Account Name]],ProblemData!$E$242)&gt;0,1,0),""))</f>
        <v/>
      </c>
      <c r="J171" s="11" t="s">
        <v>841</v>
      </c>
      <c r="L171" s="42" t="str" cm="1">
        <f t="array" ref="L171">IFERROR(_xlfn._xlws.FILTER(MD_Gain[[#All],[Account Name]],MD_Gain[[#All],[Used]]=1),"")</f>
        <v/>
      </c>
    </row>
    <row r="172" spans="3:12" outlineLevel="1">
      <c r="C172" s="21" t="s">
        <v>587</v>
      </c>
      <c r="D172" s="22" t="s">
        <v>976</v>
      </c>
      <c r="E172" s="22" t="s">
        <v>388</v>
      </c>
      <c r="F172" s="22"/>
      <c r="G172" s="24">
        <v>1</v>
      </c>
      <c r="H172" s="21" t="s">
        <v>977</v>
      </c>
      <c r="I172" s="22" t="str">
        <f>IF(MD_Gain[[#This Row],[Account Name]]="","",IFERROR(IF(SEARCH(MD_Gain[[#This Row],[Account Name]],ProblemData!$E$242)&gt;0,1,0),""))</f>
        <v/>
      </c>
      <c r="L172" s="41"/>
    </row>
    <row r="173" spans="3:12" outlineLevel="1">
      <c r="C173" s="21" t="s">
        <v>590</v>
      </c>
      <c r="D173" s="22" t="s">
        <v>978</v>
      </c>
      <c r="E173" s="22" t="s">
        <v>388</v>
      </c>
      <c r="F173" s="22"/>
      <c r="G173" s="24">
        <f>G172+1</f>
        <v>2</v>
      </c>
      <c r="H173" s="21" t="s">
        <v>979</v>
      </c>
      <c r="I173" s="22" t="str">
        <f>IF(MD_Gain[[#This Row],[Account Name]]="","",IFERROR(IF(SEARCH(MD_Gain[[#This Row],[Account Name]],ProblemData!$E$242)&gt;0,1,0),""))</f>
        <v/>
      </c>
      <c r="L173" s="41"/>
    </row>
    <row r="174" spans="3:12" outlineLevel="1">
      <c r="C174" s="21" t="s">
        <v>594</v>
      </c>
      <c r="D174" s="22" t="s">
        <v>980</v>
      </c>
      <c r="E174" s="22" t="s">
        <v>388</v>
      </c>
      <c r="F174" s="22"/>
      <c r="G174" s="24">
        <f t="shared" ref="G174:G180" si="9">G173+1</f>
        <v>3</v>
      </c>
      <c r="H174" s="21" t="s">
        <v>981</v>
      </c>
      <c r="I174" s="22" t="str">
        <f>IF(MD_Gain[[#This Row],[Account Name]]="","",IFERROR(IF(SEARCH(MD_Gain[[#This Row],[Account Name]],ProblemData!$E$242)&gt;0,1,0),""))</f>
        <v/>
      </c>
      <c r="L174" s="41"/>
    </row>
    <row r="175" spans="3:12" outlineLevel="1">
      <c r="C175" s="21" t="s">
        <v>598</v>
      </c>
      <c r="D175" s="22" t="s">
        <v>982</v>
      </c>
      <c r="E175" s="22" t="s">
        <v>388</v>
      </c>
      <c r="F175" s="22"/>
      <c r="G175" s="24">
        <f t="shared" si="9"/>
        <v>4</v>
      </c>
      <c r="H175" s="21" t="s">
        <v>983</v>
      </c>
      <c r="I175" s="22" t="str">
        <f>IF(MD_Gain[[#This Row],[Account Name]]="","",IFERROR(IF(SEARCH(MD_Gain[[#This Row],[Account Name]],ProblemData!$E$242)&gt;0,1,0),""))</f>
        <v/>
      </c>
      <c r="L175" s="41"/>
    </row>
    <row r="176" spans="3:12" outlineLevel="1">
      <c r="C176" s="21" t="s">
        <v>601</v>
      </c>
      <c r="D176" s="22" t="s">
        <v>984</v>
      </c>
      <c r="E176" s="22" t="s">
        <v>388</v>
      </c>
      <c r="F176" s="22"/>
      <c r="G176" s="24">
        <f t="shared" si="9"/>
        <v>5</v>
      </c>
      <c r="H176" s="21" t="s">
        <v>985</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3" t="s">
        <v>726</v>
      </c>
      <c r="D183" s="793"/>
      <c r="E183" s="793"/>
      <c r="F183" s="793"/>
      <c r="G183" s="793"/>
      <c r="H183" s="793"/>
      <c r="I183" s="793"/>
    </row>
    <row r="184" spans="3:12" outlineLevel="1">
      <c r="C184" s="23" t="s">
        <v>339</v>
      </c>
      <c r="D184" s="23" t="s">
        <v>411</v>
      </c>
      <c r="E184" s="23" t="s">
        <v>533</v>
      </c>
      <c r="F184" s="23" t="s">
        <v>836</v>
      </c>
      <c r="G184" s="23" t="s">
        <v>534</v>
      </c>
      <c r="H184" s="23" t="s">
        <v>340</v>
      </c>
      <c r="I184" s="59" t="s">
        <v>575</v>
      </c>
      <c r="L184" s="106" t="s">
        <v>986</v>
      </c>
    </row>
    <row r="185" spans="3:12" outlineLevel="1">
      <c r="C185" s="68"/>
      <c r="D185" s="68"/>
      <c r="E185" s="68"/>
      <c r="F185" s="68"/>
      <c r="G185" s="69"/>
      <c r="H185" s="68"/>
      <c r="I185" s="68" t="str">
        <f>IF(MD_Loss[[#This Row],[Account Name]]="","",IFERROR(IF(SEARCH(MD_Loss[[#This Row],[Account Name]],ProblemData!$E$242)&gt;0,1,0),""))</f>
        <v/>
      </c>
      <c r="J185" s="11" t="s">
        <v>841</v>
      </c>
      <c r="L185" s="42" t="str" cm="1">
        <f t="array" ref="L185">IFERROR(_xlfn._xlws.FILTER(MD_Loss[[#All],[Account Name]],MD_Loss[[#All],[Used]]=1),"")</f>
        <v/>
      </c>
    </row>
    <row r="186" spans="3:12" outlineLevel="1">
      <c r="C186" s="21" t="s">
        <v>610</v>
      </c>
      <c r="D186" s="22" t="s">
        <v>987</v>
      </c>
      <c r="E186" s="22" t="s">
        <v>389</v>
      </c>
      <c r="F186" s="22"/>
      <c r="G186" s="24">
        <v>1</v>
      </c>
      <c r="H186" s="21" t="s">
        <v>988</v>
      </c>
      <c r="I186" s="22" t="str">
        <f>IF(MD_Loss[[#This Row],[Account Name]]="","",IFERROR(IF(SEARCH(MD_Loss[[#This Row],[Account Name]],ProblemData!$E$242)&gt;0,1,0),""))</f>
        <v/>
      </c>
      <c r="L186" s="41"/>
    </row>
    <row r="187" spans="3:12" outlineLevel="1">
      <c r="C187" s="21" t="s">
        <v>614</v>
      </c>
      <c r="D187" s="22" t="s">
        <v>989</v>
      </c>
      <c r="E187" s="22" t="s">
        <v>389</v>
      </c>
      <c r="F187" s="22"/>
      <c r="G187" s="24">
        <f>G186+1</f>
        <v>2</v>
      </c>
      <c r="H187" s="21" t="s">
        <v>990</v>
      </c>
      <c r="I187" s="22" t="str">
        <f>IF(MD_Loss[[#This Row],[Account Name]]="","",IFERROR(IF(SEARCH(MD_Loss[[#This Row],[Account Name]],ProblemData!$E$242)&gt;0,1,0),""))</f>
        <v/>
      </c>
      <c r="L187" s="41"/>
    </row>
    <row r="188" spans="3:12" outlineLevel="1">
      <c r="C188" s="21" t="s">
        <v>616</v>
      </c>
      <c r="D188" s="22" t="s">
        <v>991</v>
      </c>
      <c r="E188" s="22" t="s">
        <v>389</v>
      </c>
      <c r="F188" s="22"/>
      <c r="G188" s="24">
        <f t="shared" ref="G188:G194" si="10">G187+1</f>
        <v>3</v>
      </c>
      <c r="H188" s="21" t="s">
        <v>992</v>
      </c>
      <c r="I188" s="22" t="str">
        <f>IF(MD_Loss[[#This Row],[Account Name]]="","",IFERROR(IF(SEARCH(MD_Loss[[#This Row],[Account Name]],ProblemData!$E$242)&gt;0,1,0),""))</f>
        <v/>
      </c>
      <c r="L188" s="41"/>
    </row>
    <row r="189" spans="3:12" outlineLevel="1">
      <c r="C189" s="21" t="s">
        <v>620</v>
      </c>
      <c r="D189" s="22" t="s">
        <v>993</v>
      </c>
      <c r="E189" s="22" t="s">
        <v>389</v>
      </c>
      <c r="F189" s="22"/>
      <c r="G189" s="24">
        <f t="shared" si="10"/>
        <v>4</v>
      </c>
      <c r="H189" s="21" t="s">
        <v>983</v>
      </c>
      <c r="I189" s="22" t="str">
        <f>IF(MD_Loss[[#This Row],[Account Name]]="","",IFERROR(IF(SEARCH(MD_Loss[[#This Row],[Account Name]],ProblemData!$E$242)&gt;0,1,0),""))</f>
        <v/>
      </c>
      <c r="L189" s="41"/>
    </row>
    <row r="190" spans="3:12" outlineLevel="1">
      <c r="C190" s="21" t="s">
        <v>623</v>
      </c>
      <c r="D190" s="22" t="s">
        <v>994</v>
      </c>
      <c r="E190" s="22" t="s">
        <v>389</v>
      </c>
      <c r="F190" s="22"/>
      <c r="G190" s="24">
        <f t="shared" si="10"/>
        <v>5</v>
      </c>
      <c r="H190" s="21" t="s">
        <v>995</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25">
      <c r="B197" s="17" t="s">
        <v>996</v>
      </c>
      <c r="C197" s="18"/>
      <c r="D197" s="18"/>
      <c r="E197" s="18"/>
      <c r="F197" s="18"/>
      <c r="G197" s="18"/>
      <c r="H197" s="18"/>
      <c r="I197" s="18"/>
      <c r="J197" s="18"/>
      <c r="K197" s="18"/>
      <c r="L197" s="18"/>
      <c r="M197" s="18"/>
      <c r="N197" s="18"/>
    </row>
    <row r="198" spans="2:14" hidden="1" outlineLevel="1"/>
    <row r="199" spans="2:14" hidden="1" outlineLevel="1">
      <c r="C199" s="107" t="s">
        <v>784</v>
      </c>
      <c r="E199" t="str">
        <f>"CashFlow_Codes[Cash Flow Code]"</f>
        <v>CashFlow_Codes[Cash Flow Code]</v>
      </c>
    </row>
    <row r="200" spans="2:14" hidden="1" outlineLevel="1">
      <c r="C200" s="1" t="s">
        <v>502</v>
      </c>
    </row>
    <row r="201" spans="2:14" hidden="1" outlineLevel="1">
      <c r="C201" s="1" t="s">
        <v>385</v>
      </c>
    </row>
    <row r="202" spans="2:14" hidden="1" outlineLevel="1">
      <c r="C202" s="1" t="s">
        <v>381</v>
      </c>
    </row>
    <row r="203" spans="2:14" hidden="1" outlineLevel="1">
      <c r="C203" s="1" t="s">
        <v>382</v>
      </c>
    </row>
    <row r="204" spans="2:14" hidden="1" outlineLevel="1">
      <c r="C204" s="1" t="s">
        <v>788</v>
      </c>
    </row>
    <row r="205" spans="2:14" hidden="1" outlineLevel="1">
      <c r="C205" s="1" t="s">
        <v>787</v>
      </c>
    </row>
    <row r="206" spans="2:14" hidden="1" outlineLevel="1">
      <c r="C206" s="1" t="s">
        <v>503</v>
      </c>
    </row>
    <row r="207" spans="2:14" hidden="1" outlineLevel="1">
      <c r="C207" s="1" t="s">
        <v>997</v>
      </c>
    </row>
    <row r="208" spans="2:14" hidden="1" outlineLevel="1">
      <c r="C208" s="1" t="s">
        <v>383</v>
      </c>
    </row>
    <row r="209" spans="3:6" hidden="1" outlineLevel="1"/>
    <row r="210" spans="3:6" hidden="1" outlineLevel="1"/>
    <row r="211" spans="3:6" hidden="1" outlineLevel="1">
      <c r="C211" s="658" t="s">
        <v>998</v>
      </c>
      <c r="D211" s="658"/>
      <c r="E211" s="658"/>
    </row>
    <row r="212" spans="3:6" hidden="1" outlineLevel="1">
      <c r="C212" s="115" t="s">
        <v>740</v>
      </c>
      <c r="D212" s="116" t="s">
        <v>999</v>
      </c>
      <c r="E212" s="116" t="s">
        <v>411</v>
      </c>
    </row>
    <row r="213" spans="3:6" hidden="1" outlineLevel="1">
      <c r="C213" s="2" t="s">
        <v>502</v>
      </c>
      <c r="D213" s="7" t="s">
        <v>1000</v>
      </c>
      <c r="E213" s="7"/>
    </row>
    <row r="214" spans="3:6" hidden="1" outlineLevel="1">
      <c r="C214" s="3" t="s">
        <v>513</v>
      </c>
      <c r="D214" s="8" t="s">
        <v>1000</v>
      </c>
      <c r="E214" s="8" t="s">
        <v>525</v>
      </c>
    </row>
    <row r="215" spans="3:6" hidden="1" outlineLevel="1"/>
    <row r="216" spans="3:6" hidden="1" outlineLevel="1"/>
    <row r="217" spans="3:6" hidden="1" outlineLevel="1">
      <c r="C217" s="794" t="s">
        <v>381</v>
      </c>
      <c r="D217" s="794"/>
      <c r="E217" s="794"/>
      <c r="F217" s="171"/>
    </row>
    <row r="218" spans="3:6" hidden="1" outlineLevel="1">
      <c r="C218" s="115" t="s">
        <v>740</v>
      </c>
      <c r="D218" s="116" t="s">
        <v>999</v>
      </c>
      <c r="E218" s="116" t="s">
        <v>411</v>
      </c>
      <c r="F218" s="352" t="s">
        <v>575</v>
      </c>
    </row>
    <row r="219" spans="3:6" hidden="1" outlineLevel="1">
      <c r="C219" s="2" t="s">
        <v>626</v>
      </c>
      <c r="D219" s="7" t="s">
        <v>487</v>
      </c>
      <c r="E219" s="7" t="s">
        <v>1001</v>
      </c>
      <c r="F219" s="184"/>
    </row>
    <row r="220" spans="3:6" hidden="1" outlineLevel="1">
      <c r="C220" s="3" t="s">
        <v>506</v>
      </c>
      <c r="D220" s="8" t="s">
        <v>487</v>
      </c>
      <c r="E220" s="8" t="s">
        <v>517</v>
      </c>
    </row>
    <row r="221" spans="3:6" hidden="1" outlineLevel="1">
      <c r="C221" s="2" t="s">
        <v>1002</v>
      </c>
      <c r="D221" s="7" t="s">
        <v>487</v>
      </c>
      <c r="E221" s="7" t="s">
        <v>1003</v>
      </c>
    </row>
    <row r="222" spans="3:6" hidden="1" outlineLevel="1">
      <c r="C222" s="3" t="s">
        <v>631</v>
      </c>
      <c r="D222" s="8" t="s">
        <v>487</v>
      </c>
      <c r="E222" s="8" t="s">
        <v>1004</v>
      </c>
    </row>
    <row r="223" spans="3:6" hidden="1" outlineLevel="1">
      <c r="C223" s="2" t="s">
        <v>638</v>
      </c>
      <c r="D223" s="7" t="s">
        <v>487</v>
      </c>
      <c r="E223" s="7" t="s">
        <v>1005</v>
      </c>
    </row>
    <row r="224" spans="3:6" hidden="1" outlineLevel="1">
      <c r="C224" s="3" t="s">
        <v>1006</v>
      </c>
      <c r="D224" s="8" t="s">
        <v>487</v>
      </c>
      <c r="E224" s="8" t="s">
        <v>1007</v>
      </c>
    </row>
    <row r="225" spans="3:6" hidden="1" outlineLevel="1">
      <c r="C225" s="2" t="s">
        <v>1008</v>
      </c>
      <c r="D225" s="7" t="s">
        <v>487</v>
      </c>
      <c r="E225" s="7" t="s">
        <v>1009</v>
      </c>
    </row>
    <row r="226" spans="3:6" hidden="1" outlineLevel="1">
      <c r="C226" s="3" t="s">
        <v>1010</v>
      </c>
      <c r="D226" s="8" t="s">
        <v>487</v>
      </c>
      <c r="E226" s="8" t="s">
        <v>1011</v>
      </c>
    </row>
    <row r="227" spans="3:6" hidden="1" outlineLevel="1">
      <c r="C227" s="2" t="s">
        <v>1012</v>
      </c>
      <c r="D227" s="7" t="s">
        <v>487</v>
      </c>
      <c r="E227" s="7" t="s">
        <v>1013</v>
      </c>
    </row>
    <row r="228" spans="3:6" hidden="1" outlineLevel="1">
      <c r="C228" s="3" t="s">
        <v>1014</v>
      </c>
      <c r="D228" s="8" t="s">
        <v>487</v>
      </c>
      <c r="E228" s="8" t="s">
        <v>1015</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4" t="s">
        <v>382</v>
      </c>
      <c r="D236" s="794"/>
      <c r="E236" s="794"/>
      <c r="F236" s="171"/>
    </row>
    <row r="237" spans="3:6" hidden="1" outlineLevel="1">
      <c r="C237" s="115" t="s">
        <v>740</v>
      </c>
      <c r="D237" s="116" t="s">
        <v>999</v>
      </c>
      <c r="E237" s="116" t="s">
        <v>411</v>
      </c>
      <c r="F237" s="352" t="s">
        <v>575</v>
      </c>
    </row>
    <row r="238" spans="3:6" hidden="1" outlineLevel="1">
      <c r="C238" s="2" t="s">
        <v>122</v>
      </c>
      <c r="D238" s="7" t="s">
        <v>487</v>
      </c>
      <c r="E238" s="7" t="s">
        <v>515</v>
      </c>
    </row>
    <row r="239" spans="3:6" hidden="1" outlineLevel="1">
      <c r="C239" s="3" t="s">
        <v>581</v>
      </c>
      <c r="D239" s="8" t="s">
        <v>487</v>
      </c>
      <c r="E239" s="8" t="s">
        <v>1016</v>
      </c>
    </row>
    <row r="240" spans="3:6" hidden="1" outlineLevel="1">
      <c r="C240" s="2" t="s">
        <v>648</v>
      </c>
      <c r="D240" s="7" t="s">
        <v>487</v>
      </c>
      <c r="E240" s="7" t="s">
        <v>1017</v>
      </c>
    </row>
    <row r="241" spans="3:5" hidden="1" outlineLevel="1">
      <c r="C241" s="3" t="s">
        <v>505</v>
      </c>
      <c r="D241" s="8" t="s">
        <v>487</v>
      </c>
      <c r="E241" s="8" t="s">
        <v>516</v>
      </c>
    </row>
    <row r="242" spans="3:5" hidden="1" outlineLevel="1">
      <c r="C242" s="2" t="s">
        <v>651</v>
      </c>
      <c r="D242" s="7" t="s">
        <v>487</v>
      </c>
      <c r="E242" s="7" t="s">
        <v>1018</v>
      </c>
    </row>
    <row r="243" spans="3:5" hidden="1" outlineLevel="1">
      <c r="C243" s="3" t="s">
        <v>652</v>
      </c>
      <c r="D243" s="8" t="s">
        <v>487</v>
      </c>
      <c r="E243" s="8" t="s">
        <v>1019</v>
      </c>
    </row>
    <row r="244" spans="3:5" hidden="1" outlineLevel="1">
      <c r="C244" s="2" t="s">
        <v>1020</v>
      </c>
      <c r="D244" s="7" t="s">
        <v>487</v>
      </c>
      <c r="E244" s="7" t="s">
        <v>1021</v>
      </c>
    </row>
    <row r="245" spans="3:5" hidden="1" outlineLevel="1">
      <c r="C245" s="3" t="s">
        <v>510</v>
      </c>
      <c r="D245" s="8" t="s">
        <v>487</v>
      </c>
      <c r="E245" s="8" t="s">
        <v>522</v>
      </c>
    </row>
    <row r="246" spans="3:5" hidden="1" outlineLevel="1">
      <c r="C246" s="2" t="s">
        <v>655</v>
      </c>
      <c r="D246" s="7" t="s">
        <v>487</v>
      </c>
      <c r="E246" s="7" t="s">
        <v>1022</v>
      </c>
    </row>
    <row r="247" spans="3:5" hidden="1" outlineLevel="1">
      <c r="C247" s="3" t="s">
        <v>656</v>
      </c>
      <c r="D247" s="8" t="s">
        <v>487</v>
      </c>
      <c r="E247" s="8" t="s">
        <v>1023</v>
      </c>
    </row>
    <row r="248" spans="3:5" hidden="1" outlineLevel="1">
      <c r="C248" s="2" t="s">
        <v>252</v>
      </c>
      <c r="D248" s="7" t="s">
        <v>487</v>
      </c>
      <c r="E248" s="7" t="s">
        <v>1024</v>
      </c>
    </row>
    <row r="249" spans="3:5" hidden="1" outlineLevel="1">
      <c r="C249" s="3" t="s">
        <v>1025</v>
      </c>
      <c r="D249" s="8" t="s">
        <v>487</v>
      </c>
      <c r="E249" s="8" t="s">
        <v>1026</v>
      </c>
    </row>
    <row r="250" spans="3:5" hidden="1" outlineLevel="1">
      <c r="C250" s="2" t="s">
        <v>1027</v>
      </c>
      <c r="D250" s="7" t="s">
        <v>487</v>
      </c>
      <c r="E250" s="7" t="s">
        <v>1028</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4" t="s">
        <v>385</v>
      </c>
      <c r="D258" s="794"/>
      <c r="E258" s="794"/>
      <c r="F258" s="171"/>
    </row>
    <row r="259" spans="3:6" hidden="1" outlineLevel="1">
      <c r="C259" s="115" t="s">
        <v>740</v>
      </c>
      <c r="D259" s="116" t="s">
        <v>999</v>
      </c>
      <c r="E259" s="116" t="s">
        <v>411</v>
      </c>
      <c r="F259" s="352" t="s">
        <v>575</v>
      </c>
    </row>
    <row r="260" spans="3:6" hidden="1" outlineLevel="1">
      <c r="C260" s="2" t="s">
        <v>508</v>
      </c>
      <c r="D260" s="7" t="s">
        <v>487</v>
      </c>
      <c r="E260" s="7" t="s">
        <v>519</v>
      </c>
    </row>
    <row r="261" spans="3:6" hidden="1" outlineLevel="1">
      <c r="C261" s="3" t="s">
        <v>507</v>
      </c>
      <c r="D261" s="8" t="s">
        <v>487</v>
      </c>
      <c r="E261" s="8" t="s">
        <v>518</v>
      </c>
    </row>
    <row r="262" spans="3:6" hidden="1" outlineLevel="1">
      <c r="C262" s="2" t="s">
        <v>509</v>
      </c>
      <c r="D262" s="7" t="s">
        <v>487</v>
      </c>
      <c r="E262" s="7" t="s">
        <v>520</v>
      </c>
    </row>
    <row r="263" spans="3:6" hidden="1" outlineLevel="1">
      <c r="C263" s="3" t="s">
        <v>1029</v>
      </c>
      <c r="D263" s="8" t="s">
        <v>487</v>
      </c>
      <c r="E263" s="8" t="s">
        <v>1030</v>
      </c>
    </row>
    <row r="264" spans="3:6" hidden="1" outlineLevel="1">
      <c r="C264" s="2" t="s">
        <v>1031</v>
      </c>
      <c r="D264" s="7" t="s">
        <v>487</v>
      </c>
      <c r="E264" s="7" t="s">
        <v>1032</v>
      </c>
    </row>
    <row r="265" spans="3:6" hidden="1" outlineLevel="1">
      <c r="C265" s="3" t="s">
        <v>511</v>
      </c>
      <c r="D265" s="8" t="s">
        <v>487</v>
      </c>
      <c r="E265" s="8" t="s">
        <v>523</v>
      </c>
    </row>
    <row r="266" spans="3:6" hidden="1" outlineLevel="1">
      <c r="C266" s="2" t="s">
        <v>1033</v>
      </c>
      <c r="D266" s="7" t="s">
        <v>487</v>
      </c>
      <c r="E266" s="7" t="s">
        <v>1034</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4" t="s">
        <v>1035</v>
      </c>
      <c r="D274" s="794"/>
      <c r="E274" s="794"/>
      <c r="F274" s="171"/>
    </row>
    <row r="275" spans="3:6" hidden="1" outlineLevel="1">
      <c r="C275" s="115" t="s">
        <v>740</v>
      </c>
      <c r="D275" s="116" t="s">
        <v>999</v>
      </c>
      <c r="E275" s="116" t="s">
        <v>411</v>
      </c>
      <c r="F275" s="352" t="s">
        <v>575</v>
      </c>
    </row>
    <row r="276" spans="3:6" hidden="1" outlineLevel="1">
      <c r="C276" s="2" t="s">
        <v>123</v>
      </c>
      <c r="D276" s="7" t="s">
        <v>1000</v>
      </c>
      <c r="E276" s="7" t="s">
        <v>521</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4" t="s">
        <v>1036</v>
      </c>
      <c r="D284" s="794"/>
      <c r="E284" s="794"/>
      <c r="F284" s="171"/>
    </row>
    <row r="285" spans="3:6" hidden="1" outlineLevel="1">
      <c r="C285" s="115" t="s">
        <v>740</v>
      </c>
      <c r="D285" s="116" t="s">
        <v>999</v>
      </c>
      <c r="E285" s="116" t="s">
        <v>411</v>
      </c>
      <c r="F285" s="352" t="s">
        <v>575</v>
      </c>
    </row>
    <row r="286" spans="3:6" hidden="1" outlineLevel="1">
      <c r="C286" s="2" t="s">
        <v>1037</v>
      </c>
      <c r="D286" s="7" t="s">
        <v>1000</v>
      </c>
      <c r="E286" s="7" t="s">
        <v>1038</v>
      </c>
    </row>
    <row r="287" spans="3:6" hidden="1" outlineLevel="1">
      <c r="C287" s="3" t="s">
        <v>1039</v>
      </c>
      <c r="D287" s="8" t="s">
        <v>1000</v>
      </c>
      <c r="E287" s="8" t="s">
        <v>1040</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4" t="s">
        <v>1041</v>
      </c>
      <c r="D295" s="794"/>
      <c r="E295" s="794"/>
      <c r="F295" s="171"/>
    </row>
    <row r="296" spans="3:6" hidden="1" outlineLevel="1">
      <c r="C296" s="115" t="s">
        <v>740</v>
      </c>
      <c r="D296" s="116" t="s">
        <v>999</v>
      </c>
      <c r="E296" s="116" t="s">
        <v>411</v>
      </c>
      <c r="F296" s="352" t="s">
        <v>575</v>
      </c>
    </row>
    <row r="297" spans="3:6" hidden="1" outlineLevel="1">
      <c r="C297" s="3" t="s">
        <v>1042</v>
      </c>
      <c r="D297" s="8" t="s">
        <v>1000</v>
      </c>
      <c r="E297" s="8" t="s">
        <v>1043</v>
      </c>
    </row>
    <row r="298" spans="3:6" hidden="1" outlineLevel="1">
      <c r="C298" s="3" t="s">
        <v>1044</v>
      </c>
      <c r="D298" s="8" t="s">
        <v>1000</v>
      </c>
      <c r="E298" s="8" t="s">
        <v>1045</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4" t="s">
        <v>1046</v>
      </c>
      <c r="D305" s="794"/>
      <c r="E305" s="794"/>
      <c r="F305" s="171"/>
    </row>
    <row r="306" spans="3:6" hidden="1" outlineLevel="1">
      <c r="C306" s="115" t="s">
        <v>740</v>
      </c>
      <c r="D306" s="116" t="s">
        <v>999</v>
      </c>
      <c r="E306" s="116" t="s">
        <v>411</v>
      </c>
      <c r="F306" s="352" t="s">
        <v>575</v>
      </c>
    </row>
    <row r="307" spans="3:6" hidden="1" outlineLevel="1">
      <c r="C307" s="3" t="s">
        <v>1047</v>
      </c>
      <c r="D307" s="8" t="s">
        <v>1000</v>
      </c>
      <c r="E307" s="8" t="s">
        <v>1048</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4" t="s">
        <v>1049</v>
      </c>
      <c r="D315" s="794"/>
      <c r="E315" s="794"/>
      <c r="F315" s="171"/>
    </row>
    <row r="316" spans="3:6" hidden="1" outlineLevel="1">
      <c r="C316" s="115" t="s">
        <v>740</v>
      </c>
      <c r="D316" s="116" t="s">
        <v>999</v>
      </c>
      <c r="E316" s="116" t="s">
        <v>411</v>
      </c>
      <c r="F316" s="352" t="s">
        <v>575</v>
      </c>
    </row>
    <row r="317" spans="3:6" hidden="1" outlineLevel="1">
      <c r="C317" s="2" t="s">
        <v>603</v>
      </c>
      <c r="D317" s="7" t="s">
        <v>1000</v>
      </c>
      <c r="E317" s="7" t="s">
        <v>1045</v>
      </c>
    </row>
    <row r="318" spans="3:6" hidden="1" outlineLevel="1">
      <c r="C318" s="3" t="s">
        <v>512</v>
      </c>
      <c r="D318" s="8" t="s">
        <v>1000</v>
      </c>
      <c r="E318" s="8" t="s">
        <v>524</v>
      </c>
    </row>
    <row r="319" spans="3:6" hidden="1" outlineLevel="1">
      <c r="C319" s="2" t="s">
        <v>1050</v>
      </c>
      <c r="D319" s="7" t="s">
        <v>1000</v>
      </c>
      <c r="E319" s="7" t="s">
        <v>1051</v>
      </c>
    </row>
    <row r="320" spans="3:6" hidden="1" outlineLevel="1">
      <c r="C320" s="3" t="s">
        <v>1052</v>
      </c>
      <c r="D320" s="8" t="s">
        <v>1000</v>
      </c>
      <c r="E320" s="8" t="s">
        <v>1053</v>
      </c>
    </row>
    <row r="321" spans="2:14" hidden="1" outlineLevel="1">
      <c r="C321" s="2"/>
      <c r="D321" s="7"/>
      <c r="E321" s="7"/>
    </row>
    <row r="322" spans="2:14" hidden="1" outlineLevel="1">
      <c r="C322" s="3"/>
      <c r="D322" s="8"/>
      <c r="E322" s="8"/>
    </row>
    <row r="323" spans="2:14" collapsed="1"/>
    <row r="324" spans="2:14" ht="17.25">
      <c r="B324" s="17" t="s">
        <v>455</v>
      </c>
      <c r="C324" s="18"/>
      <c r="D324" s="18"/>
      <c r="E324" s="18"/>
      <c r="F324" s="18"/>
      <c r="G324" s="18"/>
      <c r="H324" s="18"/>
      <c r="I324" s="18"/>
      <c r="J324" s="18"/>
      <c r="K324" s="18"/>
      <c r="L324" s="18"/>
      <c r="M324" s="18"/>
      <c r="N324" s="18"/>
    </row>
    <row r="325" spans="2:14" hidden="1" outlineLevel="1"/>
    <row r="326" spans="2:14" hidden="1" outlineLevel="1">
      <c r="C326" t="s">
        <v>794</v>
      </c>
    </row>
    <row r="327" spans="2:14" hidden="1" outlineLevel="1">
      <c r="C327" t="s">
        <v>1054</v>
      </c>
    </row>
    <row r="328" spans="2:14" hidden="1" outlineLevel="1">
      <c r="C328" t="s">
        <v>1055</v>
      </c>
    </row>
    <row r="329" spans="2:14" hidden="1" outlineLevel="1">
      <c r="C329" t="s">
        <v>1056</v>
      </c>
    </row>
    <row r="330" spans="2:14" hidden="1" outlineLevel="1">
      <c r="C330" t="s">
        <v>1057</v>
      </c>
    </row>
    <row r="331" spans="2:14" hidden="1" outlineLevel="1">
      <c r="C331" t="s">
        <v>1058</v>
      </c>
    </row>
    <row r="332" spans="2:14" hidden="1" outlineLevel="1">
      <c r="C332" t="s">
        <v>1059</v>
      </c>
    </row>
    <row r="333" spans="2:14" hidden="1" outlineLevel="1"/>
    <row r="334" spans="2:14" hidden="1" outlineLevel="1">
      <c r="C334" t="s">
        <v>458</v>
      </c>
    </row>
    <row r="335" spans="2:14" hidden="1" outlineLevel="1">
      <c r="C335" t="s">
        <v>1060</v>
      </c>
    </row>
    <row r="336" spans="2:14" hidden="1" outlineLevel="1">
      <c r="C336" t="s">
        <v>1061</v>
      </c>
    </row>
    <row r="337" spans="3:3" hidden="1" outlineLevel="1">
      <c r="C337" t="s">
        <v>1062</v>
      </c>
    </row>
    <row r="338" spans="3:3" hidden="1" outlineLevel="1">
      <c r="C338" t="s">
        <v>1063</v>
      </c>
    </row>
    <row r="339" spans="3:3" hidden="1" outlineLevel="1">
      <c r="C339" t="s">
        <v>1064</v>
      </c>
    </row>
    <row r="340" spans="3:3" hidden="1" outlineLevel="1"/>
    <row r="341" spans="3:3" hidden="1" outlineLevel="1">
      <c r="C341" t="s">
        <v>85</v>
      </c>
    </row>
    <row r="342" spans="3:3" hidden="1" outlineLevel="1">
      <c r="C342" t="s">
        <v>1065</v>
      </c>
    </row>
    <row r="343" spans="3:3" hidden="1" outlineLevel="1">
      <c r="C343" t="s">
        <v>1066</v>
      </c>
    </row>
    <row r="344" spans="3:3" hidden="1" outlineLevel="1">
      <c r="C344" t="s">
        <v>1067</v>
      </c>
    </row>
    <row r="345" spans="3:3" hidden="1" outlineLevel="1">
      <c r="C345" t="s">
        <v>1068</v>
      </c>
    </row>
    <row r="346" spans="3:3" hidden="1" outlineLevel="1">
      <c r="C346" t="s">
        <v>1069</v>
      </c>
    </row>
    <row r="347" spans="3:3" hidden="1" outlineLevel="1">
      <c r="C347" t="s">
        <v>1070</v>
      </c>
    </row>
    <row r="348" spans="3:3" hidden="1" outlineLevel="1">
      <c r="C348" t="s">
        <v>1071</v>
      </c>
    </row>
    <row r="349" spans="3:3" hidden="1" outlineLevel="1">
      <c r="C349" t="s">
        <v>383</v>
      </c>
    </row>
    <row r="350" spans="3:3" hidden="1" outlineLevel="1"/>
    <row r="351" spans="3:3" hidden="1" outlineLevel="1">
      <c r="C351" s="5" t="s">
        <v>465</v>
      </c>
    </row>
    <row r="352" spans="3:3" hidden="1" outlineLevel="1">
      <c r="C352" t="s">
        <v>1072</v>
      </c>
    </row>
    <row r="353" spans="3:3" hidden="1" outlineLevel="1">
      <c r="C353" t="s">
        <v>1073</v>
      </c>
    </row>
    <row r="354" spans="3:3" hidden="1" outlineLevel="1">
      <c r="C354" t="s">
        <v>1074</v>
      </c>
    </row>
    <row r="355" spans="3:3" hidden="1" outlineLevel="1">
      <c r="C355" t="s">
        <v>1075</v>
      </c>
    </row>
    <row r="356" spans="3:3" hidden="1" outlineLevel="1"/>
    <row r="357" spans="3:3" hidden="1" outlineLevel="1">
      <c r="C357" s="5" t="s">
        <v>466</v>
      </c>
    </row>
    <row r="358" spans="3:3" hidden="1" outlineLevel="1">
      <c r="C358" t="s">
        <v>1076</v>
      </c>
    </row>
    <row r="359" spans="3:3" hidden="1" outlineLevel="1">
      <c r="C359" t="s">
        <v>1077</v>
      </c>
    </row>
    <row r="360" spans="3:3" hidden="1" outlineLevel="1">
      <c r="C360" t="s">
        <v>1078</v>
      </c>
    </row>
    <row r="361" spans="3:3" hidden="1" outlineLevel="1">
      <c r="C361" t="s">
        <v>1079</v>
      </c>
    </row>
    <row r="362" spans="3:3" hidden="1" outlineLevel="1"/>
    <row r="363" spans="3:3" hidden="1" outlineLevel="1">
      <c r="C363" t="s">
        <v>467</v>
      </c>
    </row>
    <row r="364" spans="3:3" hidden="1" outlineLevel="1">
      <c r="C364" t="s">
        <v>1080</v>
      </c>
    </row>
    <row r="365" spans="3:3" hidden="1" outlineLevel="1">
      <c r="C365" t="s">
        <v>1081</v>
      </c>
    </row>
    <row r="366" spans="3:3" hidden="1" outlineLevel="1">
      <c r="C366" t="s">
        <v>1082</v>
      </c>
    </row>
    <row r="367" spans="3:3" hidden="1" outlineLevel="1"/>
    <row r="368" spans="3:3" hidden="1" outlineLevel="1"/>
    <row r="369" spans="2:14" collapsed="1"/>
    <row r="370" spans="2:14" ht="17.25">
      <c r="B370" s="17" t="s">
        <v>1083</v>
      </c>
      <c r="C370" s="18"/>
      <c r="D370" s="18"/>
      <c r="E370" s="18"/>
      <c r="F370" s="18"/>
      <c r="G370" s="18"/>
      <c r="H370" s="18"/>
      <c r="I370" s="18"/>
      <c r="J370" s="18"/>
      <c r="K370" s="18"/>
      <c r="L370" s="18"/>
      <c r="M370" s="18"/>
      <c r="N370" s="18"/>
    </row>
    <row r="371" spans="2:14" hidden="1" outlineLevel="1"/>
    <row r="372" spans="2:14" hidden="1" outlineLevel="1">
      <c r="C372" s="5" t="s">
        <v>428</v>
      </c>
      <c r="D372" s="5" t="s">
        <v>1084</v>
      </c>
    </row>
    <row r="373" spans="2:14" hidden="1" outlineLevel="1">
      <c r="C373" s="9" t="s">
        <v>1085</v>
      </c>
      <c r="D373" t="s">
        <v>1086</v>
      </c>
    </row>
    <row r="374" spans="2:14" hidden="1" outlineLevel="1">
      <c r="C374" t="s">
        <v>1087</v>
      </c>
      <c r="D374" t="s">
        <v>1088</v>
      </c>
    </row>
    <row r="375" spans="2:14" hidden="1" outlineLevel="1">
      <c r="C375" t="s">
        <v>1089</v>
      </c>
      <c r="D375" t="s">
        <v>1090</v>
      </c>
    </row>
    <row r="376" spans="2:14" hidden="1" outlineLevel="1">
      <c r="C376" s="9" t="s">
        <v>1091</v>
      </c>
      <c r="D376" t="s">
        <v>1092</v>
      </c>
    </row>
    <row r="377" spans="2:14" hidden="1" outlineLevel="1"/>
    <row r="378" spans="2:14" hidden="1" outlineLevel="1">
      <c r="C378" s="5" t="s">
        <v>1093</v>
      </c>
    </row>
    <row r="379" spans="2:14" hidden="1" outlineLevel="1">
      <c r="C379" t="s">
        <v>1094</v>
      </c>
    </row>
    <row r="380" spans="2:14" hidden="1" outlineLevel="1">
      <c r="C380" t="s">
        <v>494</v>
      </c>
    </row>
    <row r="381" spans="2:14" hidden="1" outlineLevel="1">
      <c r="C381" t="s">
        <v>490</v>
      </c>
    </row>
    <row r="382" spans="2:14" hidden="1" outlineLevel="1">
      <c r="C382" t="s">
        <v>493</v>
      </c>
    </row>
    <row r="383" spans="2:14" hidden="1" outlineLevel="1">
      <c r="C383" t="s">
        <v>489</v>
      </c>
    </row>
    <row r="384" spans="2:14" hidden="1" outlineLevel="1">
      <c r="C384" t="s">
        <v>491</v>
      </c>
    </row>
    <row r="385" spans="1:3" hidden="1" outlineLevel="1">
      <c r="C385" t="s">
        <v>496</v>
      </c>
    </row>
    <row r="386" spans="1:3" hidden="1" outlineLevel="1">
      <c r="C386" t="s">
        <v>1095</v>
      </c>
    </row>
    <row r="387" spans="1:3" hidden="1" outlineLevel="1">
      <c r="C387" t="s">
        <v>1096</v>
      </c>
    </row>
    <row r="388" spans="1:3" hidden="1" outlineLevel="1">
      <c r="C388" t="s">
        <v>1097</v>
      </c>
    </row>
    <row r="389" spans="1:3" hidden="1" outlineLevel="1">
      <c r="C389" t="s">
        <v>495</v>
      </c>
    </row>
    <row r="390" spans="1:3" hidden="1" outlineLevel="1">
      <c r="C390" t="s">
        <v>492</v>
      </c>
    </row>
    <row r="391" spans="1:3" hidden="1" outlineLevel="1">
      <c r="C391" t="s">
        <v>500</v>
      </c>
    </row>
    <row r="392" spans="1:3" hidden="1" outlineLevel="1">
      <c r="C392" t="s">
        <v>1098</v>
      </c>
    </row>
    <row r="393" spans="1:3" hidden="1" outlineLevel="1">
      <c r="C393" t="s">
        <v>497</v>
      </c>
    </row>
    <row r="394" spans="1:3" hidden="1" outlineLevel="1">
      <c r="C394" t="s">
        <v>499</v>
      </c>
    </row>
    <row r="395" spans="1:3" hidden="1" outlineLevel="1">
      <c r="A395" s="5"/>
      <c r="B395" s="5"/>
      <c r="C395" t="s">
        <v>1099</v>
      </c>
    </row>
    <row r="396" spans="1:3" hidden="1" outlineLevel="1">
      <c r="C396" t="s">
        <v>1100</v>
      </c>
    </row>
    <row r="397" spans="1:3" hidden="1" outlineLevel="1">
      <c r="C397" t="s">
        <v>1101</v>
      </c>
    </row>
    <row r="398" spans="1:3" hidden="1" outlineLevel="1">
      <c r="C398" t="s">
        <v>1102</v>
      </c>
    </row>
    <row r="399" spans="1:3" hidden="1" outlineLevel="1">
      <c r="C399" t="s">
        <v>1103</v>
      </c>
    </row>
    <row r="400" spans="1:3" hidden="1" outlineLevel="1">
      <c r="C400" t="s">
        <v>498</v>
      </c>
    </row>
    <row r="401" spans="3:4" hidden="1" outlineLevel="1"/>
    <row r="402" spans="3:4" hidden="1" outlineLevel="1"/>
    <row r="403" spans="3:4" hidden="1" outlineLevel="1"/>
    <row r="404" spans="3:4" hidden="1" outlineLevel="1">
      <c r="C404" t="s">
        <v>439</v>
      </c>
    </row>
    <row r="405" spans="3:4" hidden="1" outlineLevel="1">
      <c r="C405" t="s">
        <v>1104</v>
      </c>
    </row>
    <row r="406" spans="3:4" hidden="1" outlineLevel="1">
      <c r="C406" t="s">
        <v>1105</v>
      </c>
    </row>
    <row r="407" spans="3:4" hidden="1" outlineLevel="1"/>
    <row r="408" spans="3:4" hidden="1" outlineLevel="1"/>
    <row r="409" spans="3:4" hidden="1" outlineLevel="1">
      <c r="C409" t="s">
        <v>1106</v>
      </c>
      <c r="D409" t="s">
        <v>1107</v>
      </c>
    </row>
    <row r="410" spans="3:4" hidden="1" outlineLevel="1">
      <c r="C410" t="s">
        <v>1108</v>
      </c>
      <c r="D410" t="s">
        <v>1109</v>
      </c>
    </row>
    <row r="411" spans="3:4" hidden="1" outlineLevel="1">
      <c r="C411" t="s">
        <v>1110</v>
      </c>
      <c r="D411" t="s">
        <v>1111</v>
      </c>
    </row>
    <row r="412" spans="3:4" hidden="1" outlineLevel="1">
      <c r="C412" t="s">
        <v>1112</v>
      </c>
      <c r="D412" t="s">
        <v>1113</v>
      </c>
    </row>
    <row r="413" spans="3:4" hidden="1" outlineLevel="1"/>
    <row r="414" spans="3:4" hidden="1" outlineLevel="1">
      <c r="C414" t="s">
        <v>1106</v>
      </c>
      <c r="D414" t="s">
        <v>1107</v>
      </c>
    </row>
    <row r="415" spans="3:4" hidden="1" outlineLevel="1">
      <c r="C415" t="s">
        <v>1114</v>
      </c>
      <c r="D415" t="s">
        <v>1115</v>
      </c>
    </row>
    <row r="416" spans="3:4" hidden="1" outlineLevel="1">
      <c r="C416" t="s">
        <v>1116</v>
      </c>
      <c r="D416" t="s">
        <v>1117</v>
      </c>
    </row>
    <row r="417" spans="1:8" hidden="1" outlineLevel="1">
      <c r="C417" t="s">
        <v>1118</v>
      </c>
      <c r="D417" t="s">
        <v>1119</v>
      </c>
    </row>
    <row r="418" spans="1:8" ht="15.75" hidden="1" outlineLevel="1" thickBot="1"/>
    <row r="419" spans="1:8" hidden="1" outlineLevel="1">
      <c r="C419" t="s">
        <v>1120</v>
      </c>
      <c r="D419" t="s">
        <v>104</v>
      </c>
      <c r="H419" s="402" t="s">
        <v>1121</v>
      </c>
    </row>
    <row r="420" spans="1:8" hidden="1" outlineLevel="1">
      <c r="C420" s="192" t="s">
        <v>1122</v>
      </c>
      <c r="D420" s="192" t="s">
        <v>1108</v>
      </c>
      <c r="E420" s="192"/>
      <c r="H420" s="162" t="e" cm="1" vm="1">
        <f t="array" ref="H420">_xlfn._xlws.FILTER(MD_EquityChangeExamples[Example],MD_EquityChangeExamples[Category]=Analysis_Help!D61)</f>
        <v>#VALUE!</v>
      </c>
    </row>
    <row r="421" spans="1:8" hidden="1" outlineLevel="1">
      <c r="C421" s="192" t="s">
        <v>1123</v>
      </c>
      <c r="D421" s="192" t="s">
        <v>1108</v>
      </c>
      <c r="E421" s="192"/>
      <c r="H421" s="162"/>
    </row>
    <row r="422" spans="1:8" hidden="1" outlineLevel="1">
      <c r="C422" s="192" t="s">
        <v>1124</v>
      </c>
      <c r="D422" s="192" t="s">
        <v>1108</v>
      </c>
      <c r="E422" s="192"/>
      <c r="H422" s="162"/>
    </row>
    <row r="423" spans="1:8" hidden="1" outlineLevel="1">
      <c r="C423" s="192" t="s">
        <v>1125</v>
      </c>
      <c r="D423" s="192" t="s">
        <v>1108</v>
      </c>
      <c r="E423" s="192"/>
      <c r="H423" s="162"/>
    </row>
    <row r="424" spans="1:8" hidden="1" outlineLevel="1">
      <c r="A424" s="11"/>
      <c r="B424" s="11"/>
      <c r="C424" s="192" t="s">
        <v>1126</v>
      </c>
      <c r="D424" s="192" t="s">
        <v>1110</v>
      </c>
      <c r="E424" s="192"/>
      <c r="H424" s="162"/>
    </row>
    <row r="425" spans="1:8" hidden="1" outlineLevel="1">
      <c r="A425" s="5"/>
      <c r="B425" s="5"/>
      <c r="C425" s="192" t="s">
        <v>1127</v>
      </c>
      <c r="D425" s="192" t="s">
        <v>1110</v>
      </c>
      <c r="E425" s="192"/>
      <c r="H425" s="162"/>
    </row>
    <row r="426" spans="1:8" hidden="1" outlineLevel="1">
      <c r="C426" s="192" t="s">
        <v>1128</v>
      </c>
      <c r="D426" s="192" t="s">
        <v>1110</v>
      </c>
      <c r="E426" s="192"/>
      <c r="H426" s="162"/>
    </row>
    <row r="427" spans="1:8" hidden="1" outlineLevel="1">
      <c r="C427" s="192" t="s">
        <v>1129</v>
      </c>
      <c r="D427" s="192" t="s">
        <v>1110</v>
      </c>
      <c r="E427" s="192"/>
      <c r="H427" s="162"/>
    </row>
    <row r="428" spans="1:8" hidden="1" outlineLevel="1">
      <c r="C428" s="192" t="s">
        <v>1130</v>
      </c>
      <c r="D428" s="192" t="s">
        <v>1110</v>
      </c>
      <c r="E428" s="192"/>
      <c r="H428" s="162"/>
    </row>
    <row r="429" spans="1:8" hidden="1" outlineLevel="1">
      <c r="C429" s="192" t="s">
        <v>1131</v>
      </c>
      <c r="D429" s="192" t="s">
        <v>1110</v>
      </c>
      <c r="E429" s="192"/>
      <c r="H429" s="162"/>
    </row>
    <row r="430" spans="1:8" hidden="1" outlineLevel="1">
      <c r="C430" s="192" t="s">
        <v>1132</v>
      </c>
      <c r="D430" s="192" t="s">
        <v>1112</v>
      </c>
      <c r="E430" s="192"/>
      <c r="H430" s="162"/>
    </row>
    <row r="431" spans="1:8" hidden="1" outlineLevel="1">
      <c r="C431" s="192" t="s">
        <v>1133</v>
      </c>
      <c r="D431" s="192" t="s">
        <v>1112</v>
      </c>
      <c r="E431" s="192"/>
      <c r="H431" s="162"/>
    </row>
    <row r="432" spans="1:8" hidden="1" outlineLevel="1">
      <c r="C432" s="192" t="s">
        <v>1134</v>
      </c>
      <c r="D432" s="192" t="s">
        <v>1114</v>
      </c>
      <c r="E432" s="192"/>
      <c r="H432" s="162"/>
    </row>
    <row r="433" spans="3:8" hidden="1" outlineLevel="1">
      <c r="C433" s="192" t="s">
        <v>1135</v>
      </c>
      <c r="D433" s="192" t="s">
        <v>1114</v>
      </c>
      <c r="E433" s="192"/>
      <c r="H433" s="162"/>
    </row>
    <row r="434" spans="3:8" hidden="1" outlineLevel="1">
      <c r="C434" s="192" t="s">
        <v>1136</v>
      </c>
      <c r="D434" s="192" t="s">
        <v>1114</v>
      </c>
      <c r="E434" s="192"/>
      <c r="H434" s="162"/>
    </row>
    <row r="435" spans="3:8" hidden="1" outlineLevel="1">
      <c r="C435" s="192" t="s">
        <v>1137</v>
      </c>
      <c r="D435" s="192" t="s">
        <v>1114</v>
      </c>
      <c r="E435" s="192"/>
      <c r="H435" s="162"/>
    </row>
    <row r="436" spans="3:8" hidden="1" outlineLevel="1">
      <c r="C436" s="192" t="s">
        <v>1138</v>
      </c>
      <c r="D436" s="192" t="s">
        <v>1116</v>
      </c>
      <c r="E436" s="192"/>
      <c r="H436" s="162"/>
    </row>
    <row r="437" spans="3:8" hidden="1" outlineLevel="1">
      <c r="C437" s="192" t="s">
        <v>1139</v>
      </c>
      <c r="D437" s="192" t="s">
        <v>1116</v>
      </c>
      <c r="E437" s="192"/>
      <c r="H437" s="162"/>
    </row>
    <row r="438" spans="3:8" hidden="1" outlineLevel="1">
      <c r="C438" s="192" t="s">
        <v>1140</v>
      </c>
      <c r="D438" s="192" t="s">
        <v>1116</v>
      </c>
      <c r="E438" s="192"/>
      <c r="H438" s="162"/>
    </row>
    <row r="439" spans="3:8" hidden="1" outlineLevel="1">
      <c r="C439" s="192" t="s">
        <v>1141</v>
      </c>
      <c r="D439" s="192" t="s">
        <v>1116</v>
      </c>
      <c r="E439" s="192"/>
      <c r="H439" s="162"/>
    </row>
    <row r="440" spans="3:8" hidden="1" outlineLevel="1">
      <c r="C440" s="192" t="s">
        <v>1142</v>
      </c>
      <c r="D440" s="192" t="s">
        <v>1116</v>
      </c>
      <c r="E440" s="192"/>
      <c r="H440" s="162"/>
    </row>
    <row r="441" spans="3:8" ht="15.75" hidden="1" outlineLevel="1" thickBot="1">
      <c r="C441" s="192" t="s">
        <v>1143</v>
      </c>
      <c r="D441" s="192" t="s">
        <v>1116</v>
      </c>
      <c r="E441" s="192"/>
      <c r="H441" s="163"/>
    </row>
    <row r="442" spans="3:8" hidden="1" outlineLevel="1">
      <c r="C442" s="192" t="s">
        <v>1144</v>
      </c>
      <c r="D442" s="192" t="s">
        <v>1116</v>
      </c>
      <c r="E442" s="192"/>
    </row>
    <row r="443" spans="3:8" hidden="1" outlineLevel="1">
      <c r="C443" s="192" t="s">
        <v>1145</v>
      </c>
      <c r="D443" s="192" t="s">
        <v>1116</v>
      </c>
      <c r="E443" s="192"/>
    </row>
    <row r="444" spans="3:8" hidden="1" outlineLevel="1">
      <c r="C444" t="s">
        <v>1146</v>
      </c>
      <c r="D444" s="192" t="s">
        <v>1118</v>
      </c>
      <c r="E444" s="192"/>
    </row>
    <row r="445" spans="3:8" hidden="1" outlineLevel="1">
      <c r="C445" s="192" t="s">
        <v>1147</v>
      </c>
      <c r="D445" s="192" t="s">
        <v>1118</v>
      </c>
      <c r="E445" s="192"/>
    </row>
    <row r="446" spans="3:8" hidden="1" outlineLevel="1">
      <c r="C446" s="192" t="s">
        <v>1148</v>
      </c>
      <c r="D446" s="192" t="s">
        <v>1118</v>
      </c>
      <c r="E446" s="192"/>
    </row>
    <row r="447" spans="3:8" hidden="1" outlineLevel="1">
      <c r="C447" s="192"/>
      <c r="D447" s="192"/>
      <c r="E447" s="192"/>
    </row>
    <row r="448" spans="3:8" hidden="1" outlineLevel="1">
      <c r="D448" s="192"/>
      <c r="E448" s="192"/>
    </row>
    <row r="449" spans="3:35" hidden="1" outlineLevel="1">
      <c r="D449" s="192"/>
      <c r="E449" s="192"/>
    </row>
    <row r="450" spans="3:35" ht="15.75" hidden="1" outlineLevel="1" thickBot="1">
      <c r="C450" s="372" t="s">
        <v>1149</v>
      </c>
      <c r="E450" s="192"/>
      <c r="AA450" s="372" t="s">
        <v>1150</v>
      </c>
      <c r="AB450" s="372">
        <f>Analysis_Help!D4</f>
        <v>0</v>
      </c>
      <c r="AC450" s="261" t="s">
        <v>1151</v>
      </c>
      <c r="AD450" s="170"/>
      <c r="AE450" s="170"/>
      <c r="AF450" s="170"/>
      <c r="AG450" s="170"/>
    </row>
    <row r="451" spans="3:35" ht="15.75" hidden="1" outlineLevel="1" thickBot="1">
      <c r="C451" t="s">
        <v>1152</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1153</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75" hidden="1" outlineLevel="1" thickBot="1">
      <c r="C492" s="192"/>
      <c r="D492" s="192"/>
      <c r="E492" s="192"/>
      <c r="AC492" s="261" t="s">
        <v>1154</v>
      </c>
      <c r="AD492" s="170"/>
      <c r="AE492" s="170"/>
      <c r="AF492" s="170"/>
      <c r="AG492" s="170"/>
    </row>
    <row r="493" spans="3:35" ht="15.7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75" hidden="1" outlineLevel="1" thickBot="1">
      <c r="C509" s="192"/>
      <c r="D509" s="192"/>
      <c r="E509" s="192"/>
      <c r="AC509" s="232"/>
      <c r="AD509" s="233"/>
      <c r="AE509" s="234"/>
      <c r="AF509" s="235"/>
      <c r="AG509" s="36"/>
      <c r="AI509" t="str">
        <f t="shared" si="12"/>
        <v>----</v>
      </c>
    </row>
    <row r="510" spans="2:35" hidden="1" outlineLevel="1"/>
    <row r="511" spans="2:35" ht="15.75" collapsed="1" thickBot="1">
      <c r="AA511" s="5" t="s">
        <v>1155</v>
      </c>
      <c r="AD511">
        <f>16-COUNTIF(AD494:AD509,"")</f>
        <v>0</v>
      </c>
      <c r="AE511">
        <f>16-COUNTIF(AE494:AE509,"")</f>
        <v>0</v>
      </c>
      <c r="AF511" s="216">
        <f>SUM(AF494:AF509)</f>
        <v>0</v>
      </c>
      <c r="AG511" s="216">
        <f>SUM(AG494:AG509)</f>
        <v>0</v>
      </c>
    </row>
    <row r="512" spans="2:35" ht="17.25">
      <c r="B512" s="17" t="s">
        <v>1156</v>
      </c>
      <c r="C512" s="18"/>
      <c r="D512" s="18"/>
      <c r="E512" s="18"/>
      <c r="F512" s="18"/>
      <c r="G512" s="18"/>
      <c r="H512" s="18"/>
      <c r="I512" s="18"/>
      <c r="J512" s="18"/>
      <c r="K512" s="18"/>
      <c r="L512" s="18"/>
      <c r="M512" s="18"/>
      <c r="N512" s="18"/>
      <c r="AA512">
        <f>Analysis_Help!C163</f>
        <v>0</v>
      </c>
      <c r="AC512" s="404" t="s">
        <v>1157</v>
      </c>
      <c r="AD512" s="405" t="s">
        <v>1158</v>
      </c>
    </row>
    <row r="513" spans="3:30" ht="15.7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798</v>
      </c>
      <c r="D514" s="310" t="s">
        <v>575</v>
      </c>
      <c r="F514" s="533" t="s">
        <v>1159</v>
      </c>
      <c r="AA514">
        <f>Analysis_Help!C167</f>
        <v>0</v>
      </c>
      <c r="AC514" s="96"/>
      <c r="AD514" s="97"/>
    </row>
    <row r="515" spans="3:30" hidden="1" outlineLevel="1">
      <c r="C515" s="2" t="s">
        <v>431</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432</v>
      </c>
      <c r="D516" s="532">
        <f>_xlfn.XLOOKUP(MD_ProblemPurposes[[#This Row],[PURPOSE]],ProblemData!$E$27:$E$31,ProblemData!$H$27:$H$31,0)</f>
        <v>1</v>
      </c>
      <c r="F516" s="162" t="str">
        <v>Use the Accounting Identity to analyze transactions.</v>
      </c>
      <c r="AA516" s="5" t="s">
        <v>338</v>
      </c>
      <c r="AC516" s="96"/>
      <c r="AD516" s="97"/>
    </row>
    <row r="517" spans="3:30" hidden="1" outlineLevel="1">
      <c r="C517" s="2" t="s">
        <v>1160</v>
      </c>
      <c r="D517" s="532">
        <f>_xlfn.XLOOKUP(MD_ProblemPurposes[[#This Row],[PURPOSE]],ProblemData!$E$27:$E$31,ProblemData!$H$27:$H$31,0)</f>
        <v>0</v>
      </c>
      <c r="F517" s="162" t="str">
        <v>Practice journal entry notation for analyzing/recording transactions.</v>
      </c>
      <c r="AA517" t="s">
        <v>389</v>
      </c>
      <c r="AB517" t="b">
        <f>ISNUMBER(MATCH(AA513,_xlfn.ANCHORARRAY(AC513),0))</f>
        <v>0</v>
      </c>
      <c r="AC517" s="96"/>
      <c r="AD517" s="97"/>
    </row>
    <row r="518" spans="3:30" hidden="1" outlineLevel="1">
      <c r="C518" s="3" t="s">
        <v>1161</v>
      </c>
      <c r="D518" s="532">
        <f>_xlfn.XLOOKUP(MD_ProblemPurposes[[#This Row],[PURPOSE]],ProblemData!$E$27:$E$31,ProblemData!$H$27:$H$31,0)</f>
        <v>0</v>
      </c>
      <c r="F518" s="162" t="str">
        <v>Better understand the nature of accounting equities.</v>
      </c>
      <c r="AA518" t="s">
        <v>388</v>
      </c>
      <c r="AB518" t="b">
        <f>ISNUMBER(MATCH(AA513,_xlfn.ANCHORARRAY(AD513),0))</f>
        <v>0</v>
      </c>
      <c r="AC518" s="96"/>
      <c r="AD518" s="97"/>
    </row>
    <row r="519" spans="3:30" hidden="1" outlineLevel="1">
      <c r="C519" s="2" t="s">
        <v>433</v>
      </c>
      <c r="D519" s="532">
        <f>_xlfn.XLOOKUP(MD_ProblemPurposes[[#This Row],[PURPOSE]],ProblemData!$E$27:$E$31,ProblemData!$H$27:$H$31,0)</f>
        <v>1</v>
      </c>
      <c r="F519" s="162" t="str">
        <v>Become familiar with Gains and Losses accounts.</v>
      </c>
      <c r="AC519" s="96"/>
      <c r="AD519" s="97"/>
    </row>
    <row r="520" spans="3:30" hidden="1" outlineLevel="1">
      <c r="C520" s="3" t="s">
        <v>1162</v>
      </c>
      <c r="D520" s="532">
        <f>_xlfn.XLOOKUP(MD_ProblemPurposes[[#This Row],[PURPOSE]],ProblemData!$E$27:$E$31,ProblemData!$H$27:$H$31,0)</f>
        <v>0</v>
      </c>
      <c r="F520" s="162"/>
      <c r="AA520" s="5" t="s">
        <v>339</v>
      </c>
      <c r="AC520" s="96"/>
      <c r="AD520" s="97"/>
    </row>
    <row r="521" spans="3:30" hidden="1" outlineLevel="1">
      <c r="C521" s="2" t="s">
        <v>1163</v>
      </c>
      <c r="D521" s="532">
        <f>_xlfn.XLOOKUP(MD_ProblemPurposes[[#This Row],[PURPOSE]],ProblemData!$E$27:$E$31,ProblemData!$H$27:$H$31,0)</f>
        <v>0</v>
      </c>
      <c r="F521" s="162"/>
      <c r="AA521" t="s">
        <v>389</v>
      </c>
      <c r="AB521" t="b">
        <f>ISNUMBER(MATCH(AA514,AD494:AD509,0))</f>
        <v>0</v>
      </c>
      <c r="AC521" s="96"/>
      <c r="AD521" s="97"/>
    </row>
    <row r="522" spans="3:30" hidden="1" outlineLevel="1">
      <c r="C522" s="3" t="s">
        <v>434</v>
      </c>
      <c r="D522" s="532">
        <f>_xlfn.XLOOKUP(MD_ProblemPurposes[[#This Row],[PURPOSE]],ProblemData!$E$27:$E$31,ProblemData!$H$27:$H$31,0)</f>
        <v>1</v>
      </c>
      <c r="F522" s="162"/>
      <c r="AA522" t="s">
        <v>388</v>
      </c>
      <c r="AB522" t="b">
        <f>ISNUMBER(MATCH(AA514,AE494:AE509,0))</f>
        <v>0</v>
      </c>
      <c r="AC522" s="96"/>
      <c r="AD522" s="97"/>
    </row>
    <row r="523" spans="3:30" hidden="1" outlineLevel="1">
      <c r="C523" s="2" t="s">
        <v>1164</v>
      </c>
      <c r="D523" s="532">
        <f>_xlfn.XLOOKUP(MD_ProblemPurposes[[#This Row],[PURPOSE]],ProblemData!$E$27:$E$31,ProblemData!$H$27:$H$31,0)</f>
        <v>0</v>
      </c>
      <c r="F523" s="162"/>
      <c r="AC523" s="96"/>
      <c r="AD523" s="97"/>
    </row>
    <row r="524" spans="3:30" hidden="1" outlineLevel="1">
      <c r="C524" s="3" t="s">
        <v>1165</v>
      </c>
      <c r="D524" s="532">
        <f>_xlfn.XLOOKUP(MD_ProblemPurposes[[#This Row],[PURPOSE]],ProblemData!$E$27:$E$31,ProblemData!$H$27:$H$31,0)</f>
        <v>0</v>
      </c>
      <c r="F524" s="162"/>
      <c r="AC524" s="96"/>
      <c r="AD524" s="97"/>
    </row>
    <row r="525" spans="3:30" hidden="1" outlineLevel="1">
      <c r="C525" s="2" t="s">
        <v>1166</v>
      </c>
      <c r="D525" s="532">
        <f>_xlfn.XLOOKUP(MD_ProblemPurposes[[#This Row],[PURPOSE]],ProblemData!$E$27:$E$31,ProblemData!$H$27:$H$31,0)</f>
        <v>0</v>
      </c>
      <c r="F525" s="162"/>
      <c r="AC525" s="96"/>
      <c r="AD525" s="97"/>
    </row>
    <row r="526" spans="3:30" hidden="1" outlineLevel="1">
      <c r="C526" s="3" t="s">
        <v>1167</v>
      </c>
      <c r="D526" s="532">
        <f>_xlfn.XLOOKUP(MD_ProblemPurposes[[#This Row],[PURPOSE]],ProblemData!$E$27:$E$31,ProblemData!$H$27:$H$31,0)</f>
        <v>0</v>
      </c>
      <c r="F526" s="162"/>
      <c r="AC526" s="96"/>
      <c r="AD526" s="97"/>
    </row>
    <row r="527" spans="3:30" ht="15.75" hidden="1" outlineLevel="1" thickBot="1">
      <c r="C527" s="2" t="s">
        <v>1168</v>
      </c>
      <c r="D527" s="532">
        <f>_xlfn.XLOOKUP(MD_ProblemPurposes[[#This Row],[PURPOSE]],ProblemData!$E$27:$E$31,ProblemData!$H$27:$H$31,0)</f>
        <v>0</v>
      </c>
      <c r="F527" s="162"/>
      <c r="AC527" s="98"/>
      <c r="AD527" s="99"/>
    </row>
    <row r="528" spans="3:30" hidden="1" outlineLevel="1">
      <c r="C528" s="3" t="s">
        <v>1169</v>
      </c>
      <c r="D528" s="532">
        <f>_xlfn.XLOOKUP(MD_ProblemPurposes[[#This Row],[PURPOSE]],ProblemData!$E$27:$E$31,ProblemData!$H$27:$H$31,0)</f>
        <v>0</v>
      </c>
      <c r="F528" s="162"/>
    </row>
    <row r="529" spans="3:6" hidden="1" outlineLevel="1">
      <c r="C529" s="2" t="s">
        <v>1170</v>
      </c>
      <c r="D529" s="532">
        <f>_xlfn.XLOOKUP(MD_ProblemPurposes[[#This Row],[PURPOSE]],ProblemData!$E$27:$E$31,ProblemData!$H$27:$H$31,0)</f>
        <v>0</v>
      </c>
      <c r="F529" s="162"/>
    </row>
    <row r="530" spans="3:6" hidden="1" outlineLevel="1">
      <c r="C530" s="3" t="s">
        <v>435</v>
      </c>
      <c r="D530" s="532">
        <f>_xlfn.XLOOKUP(MD_ProblemPurposes[[#This Row],[PURPOSE]],ProblemData!$E$27:$E$31,ProblemData!$H$27:$H$31,0)</f>
        <v>1</v>
      </c>
      <c r="F530" s="162"/>
    </row>
    <row r="531" spans="3:6" hidden="1" outlineLevel="1">
      <c r="C531" s="3" t="s">
        <v>1171</v>
      </c>
      <c r="D531" s="532">
        <f>_xlfn.XLOOKUP(MD_ProblemPurposes[[#This Row],[PURPOSE]],ProblemData!$E$27:$E$31,ProblemData!$H$27:$H$31,0)</f>
        <v>0</v>
      </c>
      <c r="F531" s="162"/>
    </row>
    <row r="532" spans="3:6" hidden="1" outlineLevel="1">
      <c r="C532" s="3" t="s">
        <v>1172</v>
      </c>
      <c r="D532" s="532">
        <f>_xlfn.XLOOKUP(MD_ProblemPurposes[[#This Row],[PURPOSE]],ProblemData!$E$27:$E$31,ProblemData!$H$27:$H$31,0)</f>
        <v>0</v>
      </c>
      <c r="F532" s="162"/>
    </row>
    <row r="533" spans="3:6" hidden="1" outlineLevel="1">
      <c r="C533" s="3" t="s">
        <v>1173</v>
      </c>
      <c r="D533" s="532">
        <f>_xlfn.XLOOKUP(MD_ProblemPurposes[[#This Row],[PURPOSE]],ProblemData!$E$27:$E$31,ProblemData!$H$27:$H$31,0)</f>
        <v>0</v>
      </c>
      <c r="F533" s="162"/>
    </row>
    <row r="534" spans="3:6" ht="15.75" hidden="1" outlineLevel="1" thickBot="1">
      <c r="C534" s="48" t="s">
        <v>1174</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312</v>
      </c>
    </row>
    <row r="540" spans="3:6" hidden="1" outlineLevel="1">
      <c r="C540" t="s">
        <v>108</v>
      </c>
    </row>
    <row r="541" spans="3:6" hidden="1" outlineLevel="1">
      <c r="C541" t="s">
        <v>444</v>
      </c>
    </row>
    <row r="542" spans="3:6" hidden="1" outlineLevel="1">
      <c r="C542" t="s">
        <v>446</v>
      </c>
    </row>
    <row r="543" spans="3:6" hidden="1" outlineLevel="1">
      <c r="C543" t="s">
        <v>88</v>
      </c>
    </row>
    <row r="544" spans="3:6" hidden="1" outlineLevel="1">
      <c r="C544" t="s">
        <v>180</v>
      </c>
    </row>
    <row r="545" spans="3:4" hidden="1" outlineLevel="1">
      <c r="C545" t="s">
        <v>448</v>
      </c>
    </row>
    <row r="546" spans="3:4" hidden="1" outlineLevel="1">
      <c r="C546" t="s">
        <v>449</v>
      </c>
    </row>
    <row r="547" spans="3:4" hidden="1" outlineLevel="1">
      <c r="C547" t="s">
        <v>450</v>
      </c>
    </row>
    <row r="548" spans="3:4" hidden="1" outlineLevel="1">
      <c r="C548" t="s">
        <v>452</v>
      </c>
    </row>
    <row r="549" spans="3:4" hidden="1" outlineLevel="1">
      <c r="C549" t="s">
        <v>91</v>
      </c>
    </row>
    <row r="550" spans="3:4" hidden="1" outlineLevel="1"/>
    <row r="551" spans="3:4" hidden="1" outlineLevel="1">
      <c r="C551" s="313" t="s">
        <v>800</v>
      </c>
    </row>
    <row r="552" spans="3:4" hidden="1" outlineLevel="1">
      <c r="C552" s="4" t="s">
        <v>1175</v>
      </c>
    </row>
    <row r="553" spans="3:4" hidden="1" outlineLevel="1">
      <c r="C553" s="3" t="s">
        <v>1176</v>
      </c>
    </row>
    <row r="554" spans="3:4" hidden="1" outlineLevel="1">
      <c r="C554" s="2" t="s">
        <v>1177</v>
      </c>
    </row>
    <row r="555" spans="3:4" hidden="1" outlineLevel="1">
      <c r="C555" s="3" t="s">
        <v>1178</v>
      </c>
      <c r="D555" s="11"/>
    </row>
    <row r="556" spans="3:4" hidden="1" outlineLevel="1">
      <c r="C556" s="2" t="s">
        <v>1179</v>
      </c>
    </row>
    <row r="557" spans="3:4" hidden="1" outlineLevel="1">
      <c r="C557" s="3" t="s">
        <v>1180</v>
      </c>
    </row>
    <row r="558" spans="3:4" hidden="1" outlineLevel="1">
      <c r="C558" s="2" t="s">
        <v>1181</v>
      </c>
    </row>
    <row r="559" spans="3:4" hidden="1" outlineLevel="1">
      <c r="C559" s="3" t="s">
        <v>1182</v>
      </c>
    </row>
    <row r="560" spans="3:4" hidden="1" outlineLevel="1">
      <c r="C560" s="2" t="s">
        <v>1183</v>
      </c>
    </row>
    <row r="561" spans="2:7" hidden="1" outlineLevel="1">
      <c r="C561" s="3" t="s">
        <v>1184</v>
      </c>
    </row>
    <row r="562" spans="2:7" hidden="1" outlineLevel="1">
      <c r="C562" s="46" t="s">
        <v>1185</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1186</v>
      </c>
      <c r="C573" s="44" t="s">
        <v>800</v>
      </c>
      <c r="D573" s="44" t="s">
        <v>437</v>
      </c>
      <c r="E573" s="45" t="s">
        <v>419</v>
      </c>
    </row>
    <row r="574" spans="2:7" hidden="1" outlineLevel="1">
      <c r="B574" s="49" t="s">
        <v>487</v>
      </c>
      <c r="C574" s="50" t="s">
        <v>1175</v>
      </c>
      <c r="D574" s="47" t="s">
        <v>1187</v>
      </c>
      <c r="E574" s="51">
        <v>1</v>
      </c>
    </row>
    <row r="575" spans="2:7" hidden="1" outlineLevel="1">
      <c r="B575" s="52" t="s">
        <v>487</v>
      </c>
      <c r="C575" s="48" t="s">
        <v>1176</v>
      </c>
      <c r="D575" s="14" t="s">
        <v>1188</v>
      </c>
      <c r="E575" s="53">
        <v>1</v>
      </c>
    </row>
    <row r="576" spans="2:7" hidden="1" outlineLevel="1">
      <c r="B576" s="49" t="s">
        <v>487</v>
      </c>
      <c r="C576" s="46" t="s">
        <v>1177</v>
      </c>
      <c r="D576" s="47" t="s">
        <v>445</v>
      </c>
      <c r="E576" s="51">
        <v>1</v>
      </c>
    </row>
    <row r="577" spans="2:5" hidden="1" outlineLevel="1">
      <c r="B577" s="52" t="s">
        <v>487</v>
      </c>
      <c r="C577" s="48" t="s">
        <v>1178</v>
      </c>
      <c r="D577" s="14" t="s">
        <v>445</v>
      </c>
      <c r="E577" s="53">
        <v>1</v>
      </c>
    </row>
    <row r="578" spans="2:5" hidden="1" outlineLevel="1">
      <c r="B578" s="49" t="s">
        <v>487</v>
      </c>
      <c r="C578" s="46" t="s">
        <v>1179</v>
      </c>
      <c r="D578" s="47" t="s">
        <v>1188</v>
      </c>
      <c r="E578" s="51">
        <v>1</v>
      </c>
    </row>
    <row r="579" spans="2:5" hidden="1" outlineLevel="1">
      <c r="B579" s="52" t="s">
        <v>487</v>
      </c>
      <c r="C579" s="48" t="s">
        <v>1180</v>
      </c>
      <c r="D579" s="14" t="s">
        <v>1188</v>
      </c>
      <c r="E579" s="53">
        <v>1</v>
      </c>
    </row>
    <row r="580" spans="2:5" hidden="1" outlineLevel="1">
      <c r="B580" s="49" t="s">
        <v>487</v>
      </c>
      <c r="C580" s="46" t="s">
        <v>1181</v>
      </c>
      <c r="D580" s="47" t="s">
        <v>1188</v>
      </c>
      <c r="E580" s="51">
        <v>1</v>
      </c>
    </row>
    <row r="581" spans="2:5" hidden="1" outlineLevel="1">
      <c r="B581" s="52" t="s">
        <v>1000</v>
      </c>
      <c r="C581" s="48" t="s">
        <v>1189</v>
      </c>
      <c r="D581" s="14" t="s">
        <v>1188</v>
      </c>
      <c r="E581" s="53">
        <v>1</v>
      </c>
    </row>
    <row r="582" spans="2:5" hidden="1" outlineLevel="1">
      <c r="B582" s="49" t="s">
        <v>1000</v>
      </c>
      <c r="C582" s="46" t="s">
        <v>1190</v>
      </c>
      <c r="D582" s="47" t="s">
        <v>1191</v>
      </c>
      <c r="E582" s="51">
        <v>1</v>
      </c>
    </row>
    <row r="583" spans="2:5" hidden="1" outlineLevel="1">
      <c r="B583" s="52" t="s">
        <v>1000</v>
      </c>
      <c r="C583" s="48" t="s">
        <v>1192</v>
      </c>
      <c r="D583" s="14" t="s">
        <v>1188</v>
      </c>
      <c r="E583" s="53">
        <v>1</v>
      </c>
    </row>
    <row r="584" spans="2:5" hidden="1" outlineLevel="1">
      <c r="B584" s="49" t="s">
        <v>487</v>
      </c>
      <c r="C584" s="50" t="s">
        <v>1175</v>
      </c>
      <c r="D584" s="47" t="s">
        <v>1187</v>
      </c>
      <c r="E584" s="51">
        <v>2</v>
      </c>
    </row>
    <row r="585" spans="2:5" hidden="1" outlineLevel="1">
      <c r="B585" s="52" t="s">
        <v>487</v>
      </c>
      <c r="C585" s="48" t="s">
        <v>1193</v>
      </c>
      <c r="D585" s="14" t="s">
        <v>1194</v>
      </c>
      <c r="E585" s="53">
        <v>2</v>
      </c>
    </row>
    <row r="586" spans="2:5" hidden="1" outlineLevel="1">
      <c r="B586" s="49" t="s">
        <v>487</v>
      </c>
      <c r="C586" s="46" t="s">
        <v>1177</v>
      </c>
      <c r="D586" s="47" t="s">
        <v>445</v>
      </c>
      <c r="E586" s="51">
        <v>2</v>
      </c>
    </row>
    <row r="587" spans="2:5" hidden="1" outlineLevel="1">
      <c r="B587" s="52" t="s">
        <v>487</v>
      </c>
      <c r="C587" s="48" t="s">
        <v>1178</v>
      </c>
      <c r="D587" s="14" t="s">
        <v>445</v>
      </c>
      <c r="E587" s="53">
        <v>2</v>
      </c>
    </row>
    <row r="588" spans="2:5" hidden="1" outlineLevel="1">
      <c r="B588" s="49" t="s">
        <v>487</v>
      </c>
      <c r="C588" s="46" t="s">
        <v>1179</v>
      </c>
      <c r="D588" s="47" t="s">
        <v>1194</v>
      </c>
      <c r="E588" s="51">
        <v>2</v>
      </c>
    </row>
    <row r="589" spans="2:5" hidden="1" outlineLevel="1">
      <c r="B589" s="52" t="s">
        <v>487</v>
      </c>
      <c r="C589" s="48" t="s">
        <v>1180</v>
      </c>
      <c r="D589" s="14" t="s">
        <v>1194</v>
      </c>
      <c r="E589" s="53">
        <v>2</v>
      </c>
    </row>
    <row r="590" spans="2:5" hidden="1" outlineLevel="1">
      <c r="B590" s="49" t="s">
        <v>487</v>
      </c>
      <c r="C590" s="46" t="s">
        <v>1195</v>
      </c>
      <c r="D590" s="47" t="s">
        <v>1194</v>
      </c>
      <c r="E590" s="51">
        <v>2</v>
      </c>
    </row>
    <row r="591" spans="2:5" hidden="1" outlineLevel="1">
      <c r="B591" s="52" t="s">
        <v>487</v>
      </c>
      <c r="C591" s="48" t="s">
        <v>1189</v>
      </c>
      <c r="D591" s="14" t="s">
        <v>1194</v>
      </c>
      <c r="E591" s="53">
        <v>2</v>
      </c>
    </row>
    <row r="592" spans="2:5" hidden="1" outlineLevel="1">
      <c r="B592" s="49" t="s">
        <v>487</v>
      </c>
      <c r="C592" s="46" t="s">
        <v>1190</v>
      </c>
      <c r="D592" s="47" t="s">
        <v>1191</v>
      </c>
      <c r="E592" s="51">
        <v>2</v>
      </c>
    </row>
    <row r="593" spans="2:5" hidden="1" outlineLevel="1">
      <c r="B593" s="52" t="s">
        <v>487</v>
      </c>
      <c r="C593" s="48" t="s">
        <v>1192</v>
      </c>
      <c r="D593" s="14" t="s">
        <v>1194</v>
      </c>
      <c r="E593" s="53">
        <v>2</v>
      </c>
    </row>
    <row r="594" spans="2:5" hidden="1" outlineLevel="1">
      <c r="B594" s="49" t="s">
        <v>487</v>
      </c>
      <c r="C594" s="50" t="s">
        <v>1175</v>
      </c>
      <c r="D594" s="47" t="s">
        <v>1187</v>
      </c>
      <c r="E594" s="51">
        <v>3</v>
      </c>
    </row>
    <row r="595" spans="2:5" hidden="1" outlineLevel="1">
      <c r="B595" s="52" t="s">
        <v>487</v>
      </c>
      <c r="C595" s="48" t="s">
        <v>1193</v>
      </c>
      <c r="D595" s="14" t="s">
        <v>1196</v>
      </c>
      <c r="E595" s="53">
        <v>3</v>
      </c>
    </row>
    <row r="596" spans="2:5" hidden="1" outlineLevel="1">
      <c r="B596" s="49" t="s">
        <v>487</v>
      </c>
      <c r="C596" s="46" t="s">
        <v>1177</v>
      </c>
      <c r="D596" s="47" t="s">
        <v>445</v>
      </c>
      <c r="E596" s="51">
        <v>3</v>
      </c>
    </row>
    <row r="597" spans="2:5" hidden="1" outlineLevel="1">
      <c r="B597" s="52" t="s">
        <v>487</v>
      </c>
      <c r="C597" s="48" t="s">
        <v>1178</v>
      </c>
      <c r="D597" s="14" t="s">
        <v>445</v>
      </c>
      <c r="E597" s="53">
        <v>3</v>
      </c>
    </row>
    <row r="598" spans="2:5" hidden="1" outlineLevel="1">
      <c r="B598" s="49" t="s">
        <v>487</v>
      </c>
      <c r="C598" s="46" t="s">
        <v>1197</v>
      </c>
      <c r="D598" s="47" t="s">
        <v>1196</v>
      </c>
      <c r="E598" s="51">
        <v>3</v>
      </c>
    </row>
    <row r="599" spans="2:5" hidden="1" outlineLevel="1">
      <c r="B599" s="52" t="s">
        <v>487</v>
      </c>
      <c r="C599" s="48" t="s">
        <v>1180</v>
      </c>
      <c r="D599" s="14" t="s">
        <v>1196</v>
      </c>
      <c r="E599" s="53">
        <v>3</v>
      </c>
    </row>
    <row r="600" spans="2:5" hidden="1" outlineLevel="1">
      <c r="B600" s="49" t="s">
        <v>487</v>
      </c>
      <c r="C600" s="46" t="s">
        <v>1195</v>
      </c>
      <c r="D600" s="47" t="s">
        <v>1196</v>
      </c>
      <c r="E600" s="51">
        <v>3</v>
      </c>
    </row>
    <row r="601" spans="2:5" hidden="1" outlineLevel="1">
      <c r="B601" s="52" t="s">
        <v>487</v>
      </c>
      <c r="C601" s="48" t="s">
        <v>1189</v>
      </c>
      <c r="D601" s="14" t="s">
        <v>1196</v>
      </c>
      <c r="E601" s="53">
        <v>3</v>
      </c>
    </row>
    <row r="602" spans="2:5" hidden="1" outlineLevel="1">
      <c r="B602" s="49" t="s">
        <v>487</v>
      </c>
      <c r="C602" s="46" t="s">
        <v>1190</v>
      </c>
      <c r="D602" s="47" t="s">
        <v>1191</v>
      </c>
      <c r="E602" s="51">
        <v>3</v>
      </c>
    </row>
    <row r="603" spans="2:5" hidden="1" outlineLevel="1">
      <c r="B603" s="52" t="s">
        <v>487</v>
      </c>
      <c r="C603" s="48" t="s">
        <v>1192</v>
      </c>
      <c r="D603" s="14" t="s">
        <v>1196</v>
      </c>
      <c r="E603" s="53">
        <v>3</v>
      </c>
    </row>
    <row r="604" spans="2:5" hidden="1" outlineLevel="1">
      <c r="B604" s="49" t="s">
        <v>487</v>
      </c>
      <c r="C604" s="50" t="s">
        <v>1175</v>
      </c>
      <c r="D604" s="47" t="s">
        <v>1187</v>
      </c>
      <c r="E604" s="51">
        <v>4</v>
      </c>
    </row>
    <row r="605" spans="2:5" hidden="1" outlineLevel="1">
      <c r="B605" s="52" t="s">
        <v>487</v>
      </c>
      <c r="C605" s="48" t="s">
        <v>1193</v>
      </c>
      <c r="D605" s="14" t="s">
        <v>1198</v>
      </c>
      <c r="E605" s="53">
        <v>4</v>
      </c>
    </row>
    <row r="606" spans="2:5" hidden="1" outlineLevel="1">
      <c r="B606" s="49" t="s">
        <v>487</v>
      </c>
      <c r="C606" s="46" t="s">
        <v>1177</v>
      </c>
      <c r="D606" s="47" t="s">
        <v>445</v>
      </c>
      <c r="E606" s="51">
        <v>4</v>
      </c>
    </row>
    <row r="607" spans="2:5" hidden="1" outlineLevel="1">
      <c r="B607" s="52" t="s">
        <v>487</v>
      </c>
      <c r="C607" s="48" t="s">
        <v>1178</v>
      </c>
      <c r="D607" s="14" t="s">
        <v>445</v>
      </c>
      <c r="E607" s="53">
        <v>4</v>
      </c>
    </row>
    <row r="608" spans="2:5" hidden="1" outlineLevel="1">
      <c r="B608" s="49" t="s">
        <v>487</v>
      </c>
      <c r="C608" s="46" t="s">
        <v>1197</v>
      </c>
      <c r="D608" s="47" t="s">
        <v>1198</v>
      </c>
      <c r="E608" s="51">
        <v>4</v>
      </c>
    </row>
    <row r="609" spans="2:5" hidden="1" outlineLevel="1">
      <c r="B609" s="52" t="s">
        <v>487</v>
      </c>
      <c r="C609" s="48" t="s">
        <v>1199</v>
      </c>
      <c r="D609" s="14" t="s">
        <v>1198</v>
      </c>
      <c r="E609" s="53">
        <v>4</v>
      </c>
    </row>
    <row r="610" spans="2:5" hidden="1" outlineLevel="1">
      <c r="B610" s="49" t="s">
        <v>487</v>
      </c>
      <c r="C610" s="46" t="s">
        <v>1195</v>
      </c>
      <c r="D610" s="47" t="s">
        <v>1198</v>
      </c>
      <c r="E610" s="51">
        <v>4</v>
      </c>
    </row>
    <row r="611" spans="2:5" hidden="1" outlineLevel="1">
      <c r="B611" s="52" t="s">
        <v>487</v>
      </c>
      <c r="C611" s="48" t="s">
        <v>1189</v>
      </c>
      <c r="D611" s="14" t="s">
        <v>1198</v>
      </c>
      <c r="E611" s="53">
        <v>4</v>
      </c>
    </row>
    <row r="612" spans="2:5" hidden="1" outlineLevel="1">
      <c r="B612" s="49" t="s">
        <v>487</v>
      </c>
      <c r="C612" s="46" t="s">
        <v>1190</v>
      </c>
      <c r="D612" s="47" t="s">
        <v>1191</v>
      </c>
      <c r="E612" s="51">
        <v>4</v>
      </c>
    </row>
    <row r="613" spans="2:5" hidden="1" outlineLevel="1">
      <c r="B613" s="52" t="s">
        <v>487</v>
      </c>
      <c r="C613" s="48" t="s">
        <v>1192</v>
      </c>
      <c r="D613" s="14" t="s">
        <v>1198</v>
      </c>
      <c r="E613" s="53">
        <v>4</v>
      </c>
    </row>
    <row r="614" spans="2:5" hidden="1" outlineLevel="1">
      <c r="B614" s="49" t="s">
        <v>487</v>
      </c>
      <c r="C614" s="50" t="s">
        <v>1175</v>
      </c>
      <c r="D614" s="47" t="s">
        <v>1187</v>
      </c>
      <c r="E614" s="51">
        <v>5</v>
      </c>
    </row>
    <row r="615" spans="2:5" hidden="1" outlineLevel="1">
      <c r="B615" s="52" t="s">
        <v>487</v>
      </c>
      <c r="C615" s="48" t="s">
        <v>1193</v>
      </c>
      <c r="D615" s="14" t="s">
        <v>1200</v>
      </c>
      <c r="E615" s="53">
        <v>5</v>
      </c>
    </row>
    <row r="616" spans="2:5" hidden="1" outlineLevel="1">
      <c r="B616" s="49" t="s">
        <v>487</v>
      </c>
      <c r="C616" s="46" t="s">
        <v>1177</v>
      </c>
      <c r="D616" s="47" t="s">
        <v>445</v>
      </c>
      <c r="E616" s="51">
        <v>5</v>
      </c>
    </row>
    <row r="617" spans="2:5" hidden="1" outlineLevel="1">
      <c r="B617" s="52" t="s">
        <v>487</v>
      </c>
      <c r="C617" s="48" t="s">
        <v>1178</v>
      </c>
      <c r="D617" s="14" t="s">
        <v>445</v>
      </c>
      <c r="E617" s="53">
        <v>5</v>
      </c>
    </row>
    <row r="618" spans="2:5" hidden="1" outlineLevel="1">
      <c r="B618" s="49" t="s">
        <v>487</v>
      </c>
      <c r="C618" s="46" t="s">
        <v>1197</v>
      </c>
      <c r="D618" s="47" t="s">
        <v>1200</v>
      </c>
      <c r="E618" s="51">
        <v>5</v>
      </c>
    </row>
    <row r="619" spans="2:5" hidden="1" outlineLevel="1">
      <c r="B619" s="52" t="s">
        <v>487</v>
      </c>
      <c r="C619" s="48" t="s">
        <v>1199</v>
      </c>
      <c r="D619" s="14" t="s">
        <v>1200</v>
      </c>
      <c r="E619" s="53">
        <v>5</v>
      </c>
    </row>
    <row r="620" spans="2:5" hidden="1" outlineLevel="1">
      <c r="B620" s="49" t="s">
        <v>487</v>
      </c>
      <c r="C620" s="46" t="s">
        <v>1195</v>
      </c>
      <c r="D620" s="47" t="s">
        <v>1200</v>
      </c>
      <c r="E620" s="51">
        <v>5</v>
      </c>
    </row>
    <row r="621" spans="2:5" hidden="1" outlineLevel="1">
      <c r="B621" s="52" t="s">
        <v>487</v>
      </c>
      <c r="C621" s="48" t="s">
        <v>1201</v>
      </c>
      <c r="D621" s="14" t="s">
        <v>1200</v>
      </c>
      <c r="E621" s="53">
        <v>5</v>
      </c>
    </row>
    <row r="622" spans="2:5" hidden="1" outlineLevel="1">
      <c r="B622" s="49" t="s">
        <v>487</v>
      </c>
      <c r="C622" s="46" t="s">
        <v>1190</v>
      </c>
      <c r="D622" s="47" t="s">
        <v>1191</v>
      </c>
      <c r="E622" s="51">
        <v>5</v>
      </c>
    </row>
    <row r="623" spans="2:5" hidden="1" outlineLevel="1">
      <c r="B623" s="52" t="s">
        <v>487</v>
      </c>
      <c r="C623" s="48" t="s">
        <v>1192</v>
      </c>
      <c r="D623" s="14" t="s">
        <v>1200</v>
      </c>
      <c r="E623" s="53">
        <v>5</v>
      </c>
    </row>
    <row r="624" spans="2:5" hidden="1" outlineLevel="1">
      <c r="B624" s="49" t="s">
        <v>487</v>
      </c>
      <c r="C624" s="50" t="s">
        <v>1175</v>
      </c>
      <c r="D624" s="47" t="s">
        <v>1187</v>
      </c>
      <c r="E624" s="51">
        <v>6</v>
      </c>
    </row>
    <row r="625" spans="2:5" hidden="1" outlineLevel="1">
      <c r="B625" s="52" t="s">
        <v>487</v>
      </c>
      <c r="C625" s="48" t="s">
        <v>1193</v>
      </c>
      <c r="D625" s="14" t="s">
        <v>1200</v>
      </c>
      <c r="E625" s="53">
        <v>6</v>
      </c>
    </row>
    <row r="626" spans="2:5" hidden="1" outlineLevel="1">
      <c r="B626" s="49" t="s">
        <v>487</v>
      </c>
      <c r="C626" s="46" t="s">
        <v>1177</v>
      </c>
      <c r="D626" s="47" t="s">
        <v>445</v>
      </c>
      <c r="E626" s="51">
        <v>6</v>
      </c>
    </row>
    <row r="627" spans="2:5" hidden="1" outlineLevel="1">
      <c r="B627" s="52" t="s">
        <v>487</v>
      </c>
      <c r="C627" s="48" t="s">
        <v>1178</v>
      </c>
      <c r="D627" s="14" t="s">
        <v>445</v>
      </c>
      <c r="E627" s="53">
        <v>6</v>
      </c>
    </row>
    <row r="628" spans="2:5" hidden="1" outlineLevel="1">
      <c r="B628" s="49" t="s">
        <v>487</v>
      </c>
      <c r="C628" s="46" t="s">
        <v>1197</v>
      </c>
      <c r="D628" s="47" t="s">
        <v>1200</v>
      </c>
      <c r="E628" s="51">
        <v>6</v>
      </c>
    </row>
    <row r="629" spans="2:5" hidden="1" outlineLevel="1">
      <c r="B629" s="52" t="s">
        <v>487</v>
      </c>
      <c r="C629" s="48" t="s">
        <v>1199</v>
      </c>
      <c r="D629" s="14" t="s">
        <v>1200</v>
      </c>
      <c r="E629" s="53">
        <v>6</v>
      </c>
    </row>
    <row r="630" spans="2:5" hidden="1" outlineLevel="1">
      <c r="B630" s="49" t="s">
        <v>487</v>
      </c>
      <c r="C630" s="46" t="s">
        <v>1195</v>
      </c>
      <c r="D630" s="47" t="s">
        <v>1200</v>
      </c>
      <c r="E630" s="51">
        <v>6</v>
      </c>
    </row>
    <row r="631" spans="2:5" hidden="1" outlineLevel="1">
      <c r="B631" s="54" t="s">
        <v>487</v>
      </c>
      <c r="C631" s="3" t="s">
        <v>1202</v>
      </c>
      <c r="D631" s="8" t="s">
        <v>1200</v>
      </c>
      <c r="E631" s="55">
        <v>6</v>
      </c>
    </row>
    <row r="632" spans="2:5" hidden="1" outlineLevel="1"/>
    <row r="633" spans="2:5" hidden="1" outlineLevel="1"/>
    <row r="634" spans="2:5" hidden="1" outlineLevel="1">
      <c r="C634" t="s">
        <v>40</v>
      </c>
    </row>
    <row r="635" spans="2:5" hidden="1" outlineLevel="1">
      <c r="C635" t="s">
        <v>749</v>
      </c>
    </row>
    <row r="636" spans="2:5" hidden="1" outlineLevel="1">
      <c r="C636" t="s">
        <v>88</v>
      </c>
    </row>
    <row r="637" spans="2:5" hidden="1" outlineLevel="1">
      <c r="C637" t="s">
        <v>180</v>
      </c>
    </row>
    <row r="638" spans="2:5" hidden="1" outlineLevel="1">
      <c r="C638" t="s">
        <v>90</v>
      </c>
    </row>
    <row r="639" spans="2:5" hidden="1" outlineLevel="1">
      <c r="C639" t="s">
        <v>1203</v>
      </c>
    </row>
    <row r="640" spans="2:5" hidden="1" outlineLevel="1"/>
    <row r="641" spans="2:30" hidden="1" outlineLevel="1">
      <c r="C641" t="s">
        <v>1204</v>
      </c>
    </row>
    <row r="642" spans="2:30" hidden="1" outlineLevel="1">
      <c r="C642" t="s">
        <v>1205</v>
      </c>
    </row>
    <row r="643" spans="2:30" hidden="1" outlineLevel="1">
      <c r="C643" t="str">
        <f>"for the "&amp;Period&amp;" Ended"</f>
        <v>for the Year Ended</v>
      </c>
    </row>
    <row r="644" spans="2:30" hidden="1" outlineLevel="1"/>
    <row r="645" spans="2:30" hidden="1" outlineLevel="1"/>
    <row r="646" spans="2:30" hidden="1" outlineLevel="1">
      <c r="C646" t="s">
        <v>1206</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5.75" collapsed="1" thickBot="1"/>
    <row r="653" spans="2:30" ht="17.25">
      <c r="B653" s="17" t="s">
        <v>1207</v>
      </c>
      <c r="C653" s="18"/>
      <c r="D653" s="18"/>
      <c r="E653" s="18"/>
      <c r="F653" s="18"/>
      <c r="G653" s="18"/>
      <c r="H653" s="18"/>
      <c r="I653" s="18"/>
      <c r="J653" s="18"/>
      <c r="K653" s="18"/>
      <c r="L653" s="18"/>
      <c r="M653" s="18"/>
      <c r="N653" s="18"/>
      <c r="AA653" t="str">
        <f ca="1">Analysis_Help!C304</f>
        <v/>
      </c>
      <c r="AC653" s="404" t="s">
        <v>1157</v>
      </c>
      <c r="AD653" s="405" t="s">
        <v>1158</v>
      </c>
    </row>
    <row r="655" spans="2:30">
      <c r="C655" t="s">
        <v>40</v>
      </c>
      <c r="D655" t="s">
        <v>722</v>
      </c>
      <c r="E655" t="s">
        <v>1208</v>
      </c>
      <c r="F655" t="s">
        <v>459</v>
      </c>
      <c r="G655" t="s">
        <v>460</v>
      </c>
      <c r="H655" t="s">
        <v>92</v>
      </c>
      <c r="I655" t="s">
        <v>85</v>
      </c>
      <c r="J655" t="s">
        <v>1209</v>
      </c>
      <c r="K655" t="s">
        <v>1210</v>
      </c>
      <c r="L655" t="s">
        <v>250</v>
      </c>
      <c r="M655" t="s">
        <v>1211</v>
      </c>
      <c r="N655" t="s">
        <v>1212</v>
      </c>
      <c r="O655" t="s">
        <v>1213</v>
      </c>
      <c r="P655" t="s">
        <v>1214</v>
      </c>
    </row>
    <row r="656" spans="2:30">
      <c r="C656" t="s">
        <v>1215</v>
      </c>
      <c r="D656" t="s">
        <v>1216</v>
      </c>
      <c r="E656" t="s">
        <v>1060</v>
      </c>
      <c r="F656" t="s">
        <v>1217</v>
      </c>
      <c r="G656" t="s">
        <v>1218</v>
      </c>
      <c r="H656" t="s">
        <v>1219</v>
      </c>
      <c r="I656" t="s">
        <v>1066</v>
      </c>
      <c r="J656" s="391">
        <v>1000</v>
      </c>
      <c r="K656">
        <v>60</v>
      </c>
      <c r="L656">
        <v>0</v>
      </c>
      <c r="M656" t="s">
        <v>1072</v>
      </c>
      <c r="N656" t="s">
        <v>1081</v>
      </c>
      <c r="O656" t="s">
        <v>1076</v>
      </c>
      <c r="P656" t="str">
        <f>_xlfn.XLOOKUP(Entities[[#This Row],[End Date]],End,$H$684:$H$703)</f>
        <v>3/31/20x6</v>
      </c>
    </row>
    <row r="657" spans="3:16">
      <c r="C657" t="s">
        <v>456</v>
      </c>
      <c r="D657" t="s">
        <v>1216</v>
      </c>
      <c r="E657" t="s">
        <v>1060</v>
      </c>
      <c r="F657" t="s">
        <v>1220</v>
      </c>
      <c r="G657" t="s">
        <v>1217</v>
      </c>
      <c r="H657" t="s">
        <v>1219</v>
      </c>
      <c r="I657" t="s">
        <v>1066</v>
      </c>
      <c r="J657" s="391">
        <v>0</v>
      </c>
      <c r="K657">
        <v>0</v>
      </c>
      <c r="L657">
        <v>0</v>
      </c>
      <c r="M657" t="s">
        <v>1072</v>
      </c>
      <c r="N657" t="s">
        <v>1081</v>
      </c>
      <c r="O657" t="s">
        <v>1076</v>
      </c>
      <c r="P657" t="str">
        <f>_xlfn.XLOOKUP(Entities[[#This Row],[End Date]],End,$H$684:$H$703)</f>
        <v>3/31/20x5</v>
      </c>
    </row>
    <row r="658" spans="3:16">
      <c r="C658" t="s">
        <v>1221</v>
      </c>
      <c r="D658" t="s">
        <v>1216</v>
      </c>
      <c r="E658" t="s">
        <v>1063</v>
      </c>
      <c r="F658" t="s">
        <v>1220</v>
      </c>
      <c r="G658" t="s">
        <v>1217</v>
      </c>
      <c r="H658" t="s">
        <v>1219</v>
      </c>
      <c r="I658" t="s">
        <v>1065</v>
      </c>
      <c r="J658">
        <v>0</v>
      </c>
      <c r="K658">
        <v>0</v>
      </c>
      <c r="L658">
        <v>0</v>
      </c>
      <c r="M658" t="s">
        <v>1072</v>
      </c>
      <c r="N658" t="s">
        <v>1081</v>
      </c>
      <c r="O658" t="s">
        <v>1076</v>
      </c>
      <c r="P658" t="str">
        <f>_xlfn.XLOOKUP(Entities[[#This Row],[End Date]],End,$H$684:$H$703)</f>
        <v>3/31/20x5</v>
      </c>
    </row>
    <row r="659" spans="3:16">
      <c r="C659" t="s">
        <v>1222</v>
      </c>
      <c r="D659" t="s">
        <v>1216</v>
      </c>
      <c r="E659" t="s">
        <v>1060</v>
      </c>
      <c r="F659" t="s">
        <v>1223</v>
      </c>
      <c r="G659" t="s">
        <v>1224</v>
      </c>
      <c r="H659" t="s">
        <v>1225</v>
      </c>
      <c r="I659" t="s">
        <v>1066</v>
      </c>
      <c r="J659" s="391">
        <v>0</v>
      </c>
      <c r="K659">
        <v>5</v>
      </c>
      <c r="L659">
        <v>0</v>
      </c>
      <c r="M659" t="s">
        <v>1072</v>
      </c>
      <c r="N659" t="s">
        <v>1082</v>
      </c>
      <c r="O659" t="s">
        <v>1076</v>
      </c>
      <c r="P659" t="str">
        <f>_xlfn.XLOOKUP(Entities[[#This Row],[End Date]],End,$H$684:$H$703)</f>
        <v>3/31/20x2</v>
      </c>
    </row>
    <row r="660" spans="3:16">
      <c r="C660" t="s">
        <v>1226</v>
      </c>
      <c r="D660" t="s">
        <v>1216</v>
      </c>
      <c r="E660" t="s">
        <v>1060</v>
      </c>
      <c r="F660" t="s">
        <v>1227</v>
      </c>
      <c r="G660" t="s">
        <v>1217</v>
      </c>
      <c r="H660" t="s">
        <v>1228</v>
      </c>
      <c r="I660" t="s">
        <v>1066</v>
      </c>
      <c r="J660" s="391">
        <v>0</v>
      </c>
      <c r="K660">
        <v>5</v>
      </c>
      <c r="L660">
        <v>0</v>
      </c>
      <c r="M660" t="s">
        <v>1072</v>
      </c>
      <c r="N660" t="s">
        <v>1082</v>
      </c>
      <c r="O660" t="s">
        <v>1076</v>
      </c>
      <c r="P660" t="str">
        <f>_xlfn.XLOOKUP(Entities[[#This Row],[End Date]],End,$H$684:$H$703)</f>
        <v>3/31/20x5</v>
      </c>
    </row>
    <row r="661" spans="3:16">
      <c r="C661" t="s">
        <v>1229</v>
      </c>
      <c r="D661" t="s">
        <v>1216</v>
      </c>
      <c r="E661" t="s">
        <v>1064</v>
      </c>
      <c r="F661" t="s">
        <v>1220</v>
      </c>
      <c r="G661" t="s">
        <v>1217</v>
      </c>
      <c r="H661" t="s">
        <v>1219</v>
      </c>
      <c r="I661" t="s">
        <v>1067</v>
      </c>
      <c r="J661" s="391">
        <v>1100000</v>
      </c>
      <c r="K661">
        <v>1</v>
      </c>
      <c r="L661">
        <v>0</v>
      </c>
      <c r="M661" t="s">
        <v>1072</v>
      </c>
      <c r="N661" t="s">
        <v>1080</v>
      </c>
      <c r="O661" t="s">
        <v>1076</v>
      </c>
      <c r="P661" t="str">
        <f>_xlfn.XLOOKUP(Entities[[#This Row],[End Date]],End,$H$684:$H$703)</f>
        <v>3/31/20x5</v>
      </c>
    </row>
    <row r="662" spans="3:16">
      <c r="C662" t="s">
        <v>1230</v>
      </c>
      <c r="D662" t="s">
        <v>1216</v>
      </c>
      <c r="E662" t="s">
        <v>1063</v>
      </c>
      <c r="F662" t="s">
        <v>1220</v>
      </c>
      <c r="G662" t="s">
        <v>1217</v>
      </c>
      <c r="H662" t="s">
        <v>1219</v>
      </c>
      <c r="I662" t="s">
        <v>1067</v>
      </c>
      <c r="J662" s="391">
        <v>50000</v>
      </c>
      <c r="K662">
        <v>0</v>
      </c>
      <c r="L662">
        <v>0</v>
      </c>
      <c r="M662" t="s">
        <v>1072</v>
      </c>
      <c r="N662" t="s">
        <v>1082</v>
      </c>
      <c r="O662" t="s">
        <v>1076</v>
      </c>
      <c r="P662" t="str">
        <f>_xlfn.XLOOKUP(Entities[[#This Row],[End Date]],End,$H$684:$H$703)</f>
        <v>3/31/20x5</v>
      </c>
    </row>
    <row r="663" spans="3:16">
      <c r="C663" t="s">
        <v>1231</v>
      </c>
      <c r="D663" t="s">
        <v>1054</v>
      </c>
      <c r="E663" t="s">
        <v>1060</v>
      </c>
      <c r="F663" t="s">
        <v>1232</v>
      </c>
      <c r="G663" t="s">
        <v>1233</v>
      </c>
      <c r="H663" t="s">
        <v>1219</v>
      </c>
      <c r="I663" t="s">
        <v>1067</v>
      </c>
      <c r="J663">
        <v>100000</v>
      </c>
      <c r="K663">
        <v>0</v>
      </c>
      <c r="L663">
        <v>0</v>
      </c>
      <c r="M663" t="s">
        <v>1234</v>
      </c>
      <c r="N663" s="534" t="s">
        <v>1235</v>
      </c>
      <c r="O663" s="534" t="s">
        <v>1236</v>
      </c>
      <c r="P663" t="str">
        <f>_xlfn.XLOOKUP(Entities[[#This Row],[End Date]],End,$H$684:$H$703)</f>
        <v>3/31/20x3</v>
      </c>
    </row>
    <row r="664" spans="3:16">
      <c r="C664" t="s">
        <v>1237</v>
      </c>
      <c r="D664" t="s">
        <v>1054</v>
      </c>
      <c r="E664" t="s">
        <v>1060</v>
      </c>
      <c r="F664" t="s">
        <v>1224</v>
      </c>
      <c r="G664" t="s">
        <v>1238</v>
      </c>
      <c r="H664" t="s">
        <v>1219</v>
      </c>
      <c r="I664" t="s">
        <v>1067</v>
      </c>
      <c r="J664">
        <v>100000</v>
      </c>
      <c r="K664">
        <v>0</v>
      </c>
      <c r="L664">
        <v>0</v>
      </c>
      <c r="M664" t="s">
        <v>1234</v>
      </c>
      <c r="N664" s="534" t="s">
        <v>1235</v>
      </c>
      <c r="O664" s="534" t="s">
        <v>1236</v>
      </c>
      <c r="P664" t="str">
        <f>_xlfn.XLOOKUP(Entities[[#This Row],[End Date]],End,$H$684:$H$703)</f>
        <v>3/31/20x3</v>
      </c>
    </row>
    <row r="665" spans="3:16">
      <c r="C665" t="s">
        <v>1239</v>
      </c>
      <c r="D665" t="s">
        <v>1216</v>
      </c>
      <c r="E665" t="s">
        <v>1060</v>
      </c>
      <c r="J665" s="391"/>
      <c r="P665">
        <f>_xlfn.XLOOKUP(Entities[[#This Row],[End Date]],End,$H$684:$H$703)</f>
        <v>0</v>
      </c>
    </row>
    <row r="666" spans="3:16">
      <c r="C666" t="s">
        <v>1240</v>
      </c>
      <c r="D666" t="s">
        <v>1216</v>
      </c>
      <c r="E666" t="s">
        <v>1060</v>
      </c>
      <c r="F666" t="s">
        <v>1241</v>
      </c>
      <c r="G666" t="s">
        <v>1242</v>
      </c>
      <c r="H666" t="s">
        <v>1225</v>
      </c>
      <c r="I666" t="s">
        <v>1066</v>
      </c>
      <c r="J666" s="391">
        <v>185000</v>
      </c>
      <c r="K666">
        <v>0</v>
      </c>
      <c r="L666">
        <v>0</v>
      </c>
      <c r="M666" t="s">
        <v>1072</v>
      </c>
      <c r="N666" t="s">
        <v>1082</v>
      </c>
      <c r="O666" t="s">
        <v>1076</v>
      </c>
      <c r="P666" t="s">
        <v>1243</v>
      </c>
    </row>
    <row r="667" spans="3:16">
      <c r="C667" t="s">
        <v>1244</v>
      </c>
      <c r="D667" t="s">
        <v>1216</v>
      </c>
      <c r="E667" t="s">
        <v>1060</v>
      </c>
      <c r="J667" s="391"/>
      <c r="P667">
        <f>_xlfn.XLOOKUP(Entities[[#This Row],[End Date]],End,$H$684:$H$703)</f>
        <v>0</v>
      </c>
    </row>
    <row r="668" spans="3:16">
      <c r="C668" t="s">
        <v>1245</v>
      </c>
      <c r="D668" t="s">
        <v>1216</v>
      </c>
      <c r="J668" s="391"/>
      <c r="P668">
        <f>_xlfn.XLOOKUP(Entities[[#This Row],[End Date]],End,$H$684:$H$703)</f>
        <v>0</v>
      </c>
    </row>
    <row r="669" spans="3:16">
      <c r="C669" t="s">
        <v>1246</v>
      </c>
      <c r="D669" t="s">
        <v>1216</v>
      </c>
      <c r="E669" t="s">
        <v>1060</v>
      </c>
      <c r="F669" t="s">
        <v>1247</v>
      </c>
      <c r="G669" t="s">
        <v>1248</v>
      </c>
      <c r="H669" t="s">
        <v>1219</v>
      </c>
      <c r="I669" t="s">
        <v>1066</v>
      </c>
      <c r="J669" s="391">
        <v>250000</v>
      </c>
      <c r="K669">
        <v>0</v>
      </c>
      <c r="L669">
        <v>0</v>
      </c>
      <c r="M669" t="s">
        <v>1072</v>
      </c>
      <c r="N669" t="s">
        <v>1082</v>
      </c>
      <c r="O669" t="s">
        <v>1076</v>
      </c>
      <c r="P669" t="str">
        <f>_xlfn.XLOOKUP(Entities[[#This Row],[End Date]],End,$H$684:$H$703)</f>
        <v>3/31/20x0</v>
      </c>
    </row>
    <row r="670" spans="3:16">
      <c r="C670" t="s">
        <v>1249</v>
      </c>
      <c r="D670" t="s">
        <v>1216</v>
      </c>
      <c r="E670" t="s">
        <v>1063</v>
      </c>
      <c r="F670" t="s">
        <v>1250</v>
      </c>
      <c r="G670" t="s">
        <v>1224</v>
      </c>
      <c r="H670" t="s">
        <v>1219</v>
      </c>
      <c r="I670" t="s">
        <v>1066</v>
      </c>
      <c r="J670" s="391">
        <v>200000</v>
      </c>
      <c r="K670">
        <v>1</v>
      </c>
      <c r="L670">
        <v>1000</v>
      </c>
      <c r="M670" t="s">
        <v>1072</v>
      </c>
      <c r="N670" t="s">
        <v>1082</v>
      </c>
      <c r="O670" t="s">
        <v>1076</v>
      </c>
      <c r="P670" t="s">
        <v>1251</v>
      </c>
    </row>
    <row r="671" spans="3:16">
      <c r="C671" t="s">
        <v>1252</v>
      </c>
      <c r="D671" t="s">
        <v>1216</v>
      </c>
      <c r="J671" s="391"/>
      <c r="P671">
        <f>_xlfn.XLOOKUP(Entities[[#This Row],[End Date]],End,$H$684:$H$703)</f>
        <v>0</v>
      </c>
    </row>
    <row r="672" spans="3:16">
      <c r="C672" t="s">
        <v>1253</v>
      </c>
      <c r="D672" t="s">
        <v>1216</v>
      </c>
      <c r="J672" s="391"/>
      <c r="P672">
        <f>_xlfn.XLOOKUP(Entities[[#This Row],[End Date]],End,$H$684:$H$703)</f>
        <v>0</v>
      </c>
    </row>
    <row r="673" spans="3:16">
      <c r="C673" t="s">
        <v>1254</v>
      </c>
      <c r="D673" t="s">
        <v>1216</v>
      </c>
      <c r="J673" s="391"/>
      <c r="P673">
        <f>_xlfn.XLOOKUP(Entities[[#This Row],[End Date]],End,$H$684:$H$703)</f>
        <v>0</v>
      </c>
    </row>
    <row r="674" spans="3:16">
      <c r="C674" t="s">
        <v>1255</v>
      </c>
      <c r="D674" t="s">
        <v>1256</v>
      </c>
      <c r="E674" t="s">
        <v>1063</v>
      </c>
      <c r="F674" t="s">
        <v>1223</v>
      </c>
      <c r="G674" t="s">
        <v>1224</v>
      </c>
      <c r="H674" t="s">
        <v>1225</v>
      </c>
      <c r="I674" t="s">
        <v>1066</v>
      </c>
      <c r="J674" s="391">
        <v>191000</v>
      </c>
      <c r="K674">
        <v>1</v>
      </c>
      <c r="L674">
        <v>9000</v>
      </c>
      <c r="M674" t="s">
        <v>1072</v>
      </c>
      <c r="N674" t="s">
        <v>1082</v>
      </c>
      <c r="O674" t="s">
        <v>1076</v>
      </c>
      <c r="P674" t="str">
        <f>_xlfn.XLOOKUP(Entities[[#This Row],[End Date]],End,$H$684:$H$703)</f>
        <v>3/31/20x2</v>
      </c>
    </row>
    <row r="675" spans="3:16">
      <c r="C675" t="s">
        <v>1257</v>
      </c>
      <c r="D675" t="s">
        <v>1258</v>
      </c>
      <c r="J675" s="391"/>
      <c r="P675">
        <f>_xlfn.XLOOKUP(Entities[[#This Row],[End Date]],End,$H$684:$H$703)</f>
        <v>0</v>
      </c>
    </row>
    <row r="676" spans="3:16">
      <c r="C676" t="s">
        <v>1259</v>
      </c>
      <c r="D676" t="s">
        <v>1216</v>
      </c>
      <c r="E676" t="s">
        <v>1260</v>
      </c>
      <c r="F676" t="s">
        <v>1250</v>
      </c>
      <c r="G676" t="s">
        <v>1224</v>
      </c>
      <c r="H676" t="s">
        <v>1219</v>
      </c>
      <c r="I676" t="s">
        <v>1066</v>
      </c>
      <c r="J676" s="391">
        <v>0</v>
      </c>
      <c r="K676">
        <v>0</v>
      </c>
      <c r="L676">
        <v>0</v>
      </c>
      <c r="M676" t="s">
        <v>1072</v>
      </c>
      <c r="N676" t="s">
        <v>1081</v>
      </c>
      <c r="P676" t="s">
        <v>1251</v>
      </c>
    </row>
    <row r="677" spans="3:16">
      <c r="C677" t="s">
        <v>1261</v>
      </c>
      <c r="D677" t="s">
        <v>1216</v>
      </c>
      <c r="E677" t="s">
        <v>1260</v>
      </c>
      <c r="F677" t="s">
        <v>1250</v>
      </c>
      <c r="G677" t="s">
        <v>1224</v>
      </c>
      <c r="H677" t="s">
        <v>1219</v>
      </c>
      <c r="I677" t="s">
        <v>1066</v>
      </c>
      <c r="J677" s="391">
        <v>0</v>
      </c>
      <c r="K677">
        <v>0</v>
      </c>
      <c r="L677">
        <v>0</v>
      </c>
      <c r="M677" t="s">
        <v>1072</v>
      </c>
      <c r="N677" t="s">
        <v>1081</v>
      </c>
      <c r="P677" t="s">
        <v>1251</v>
      </c>
    </row>
    <row r="678" spans="3:16">
      <c r="C678" t="s">
        <v>1262</v>
      </c>
      <c r="D678" t="s">
        <v>1216</v>
      </c>
      <c r="E678" t="s">
        <v>1260</v>
      </c>
      <c r="F678" t="s">
        <v>1250</v>
      </c>
      <c r="G678" t="s">
        <v>1224</v>
      </c>
      <c r="H678" t="s">
        <v>1219</v>
      </c>
      <c r="I678" t="s">
        <v>1066</v>
      </c>
      <c r="J678" s="391">
        <v>0</v>
      </c>
      <c r="K678">
        <v>0</v>
      </c>
      <c r="L678">
        <v>0</v>
      </c>
      <c r="M678" t="s">
        <v>1072</v>
      </c>
      <c r="N678" t="s">
        <v>1081</v>
      </c>
      <c r="P678" t="s">
        <v>1251</v>
      </c>
    </row>
    <row r="679" spans="3:16">
      <c r="C679" t="s">
        <v>1263</v>
      </c>
      <c r="D679" t="s">
        <v>1216</v>
      </c>
      <c r="E679" t="s">
        <v>1260</v>
      </c>
      <c r="F679" t="s">
        <v>1250</v>
      </c>
      <c r="G679" t="s">
        <v>1224</v>
      </c>
      <c r="H679" t="s">
        <v>1219</v>
      </c>
      <c r="I679" t="s">
        <v>1066</v>
      </c>
      <c r="J679" s="391">
        <v>0</v>
      </c>
      <c r="K679">
        <v>0</v>
      </c>
      <c r="L679">
        <v>0</v>
      </c>
      <c r="M679" t="s">
        <v>1072</v>
      </c>
      <c r="N679" t="s">
        <v>1081</v>
      </c>
      <c r="P679" t="s">
        <v>1251</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75" thickBot="1">
      <c r="F683" t="s">
        <v>1264</v>
      </c>
      <c r="G683" t="s">
        <v>1265</v>
      </c>
      <c r="H683" t="s">
        <v>1214</v>
      </c>
      <c r="J683" s="391"/>
    </row>
    <row r="684" spans="3:16">
      <c r="F684" s="453" t="s">
        <v>1250</v>
      </c>
      <c r="G684" s="453" t="s">
        <v>1250</v>
      </c>
      <c r="H684" t="s">
        <v>1266</v>
      </c>
    </row>
    <row r="685" spans="3:16">
      <c r="F685" s="454" t="s">
        <v>1224</v>
      </c>
      <c r="G685" s="454" t="s">
        <v>1224</v>
      </c>
      <c r="H685" t="s">
        <v>1251</v>
      </c>
    </row>
    <row r="686" spans="3:16">
      <c r="F686" s="454" t="s">
        <v>1238</v>
      </c>
      <c r="G686" s="454" t="s">
        <v>1238</v>
      </c>
      <c r="H686" t="s">
        <v>1267</v>
      </c>
    </row>
    <row r="687" spans="3:16">
      <c r="F687" s="454" t="s">
        <v>1220</v>
      </c>
      <c r="G687" s="454" t="s">
        <v>1220</v>
      </c>
      <c r="H687" t="s">
        <v>1268</v>
      </c>
    </row>
    <row r="688" spans="3:16">
      <c r="F688" s="454" t="s">
        <v>1217</v>
      </c>
      <c r="G688" s="454" t="s">
        <v>1217</v>
      </c>
      <c r="H688" t="s">
        <v>1269</v>
      </c>
    </row>
    <row r="689" spans="6:8">
      <c r="F689" s="454" t="s">
        <v>1218</v>
      </c>
      <c r="G689" s="454" t="s">
        <v>1218</v>
      </c>
      <c r="H689" t="s">
        <v>1270</v>
      </c>
    </row>
    <row r="690" spans="6:8">
      <c r="F690" s="454" t="s">
        <v>1271</v>
      </c>
      <c r="G690" s="454" t="s">
        <v>1271</v>
      </c>
      <c r="H690" t="s">
        <v>1272</v>
      </c>
    </row>
    <row r="691" spans="6:8">
      <c r="F691" s="454" t="s">
        <v>1273</v>
      </c>
      <c r="G691" s="454" t="s">
        <v>1273</v>
      </c>
      <c r="H691" t="s">
        <v>1274</v>
      </c>
    </row>
    <row r="692" spans="6:8">
      <c r="F692" s="454" t="s">
        <v>1247</v>
      </c>
      <c r="G692" s="454" t="s">
        <v>1247</v>
      </c>
      <c r="H692" t="s">
        <v>1243</v>
      </c>
    </row>
    <row r="693" spans="6:8">
      <c r="F693" s="454" t="s">
        <v>1248</v>
      </c>
      <c r="G693" s="454" t="s">
        <v>1248</v>
      </c>
      <c r="H693" t="s">
        <v>1275</v>
      </c>
    </row>
    <row r="694" spans="6:8">
      <c r="F694" s="454" t="s">
        <v>1223</v>
      </c>
      <c r="G694" s="454" t="s">
        <v>1224</v>
      </c>
      <c r="H694" t="s">
        <v>1251</v>
      </c>
    </row>
    <row r="695" spans="6:8">
      <c r="F695" s="162" t="s">
        <v>1227</v>
      </c>
      <c r="G695" s="454" t="s">
        <v>1217</v>
      </c>
      <c r="H695" t="s">
        <v>1269</v>
      </c>
    </row>
    <row r="696" spans="6:8">
      <c r="F696" s="454" t="s">
        <v>1241</v>
      </c>
      <c r="G696" s="454" t="s">
        <v>1242</v>
      </c>
      <c r="H696" t="s">
        <v>1243</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75" thickBot="1">
      <c r="F703" s="455"/>
      <c r="G703" s="455"/>
    </row>
    <row r="706" spans="3:6" ht="15.75" thickBot="1">
      <c r="C706" s="40" t="s">
        <v>1276</v>
      </c>
      <c r="D706" s="40" t="s">
        <v>356</v>
      </c>
      <c r="E706" s="40" t="s">
        <v>339</v>
      </c>
      <c r="F706" s="40" t="s">
        <v>106</v>
      </c>
    </row>
    <row r="707" spans="3:6">
      <c r="C707" s="175" t="s">
        <v>1277</v>
      </c>
      <c r="D707" s="365" t="s">
        <v>62</v>
      </c>
      <c r="E707" s="365" t="s">
        <v>58</v>
      </c>
      <c r="F707" s="174">
        <v>55</v>
      </c>
    </row>
    <row r="708" spans="3:6">
      <c r="C708" s="96" t="s">
        <v>1277</v>
      </c>
      <c r="D708" t="s">
        <v>62</v>
      </c>
      <c r="E708" t="s">
        <v>68</v>
      </c>
      <c r="F708" s="97">
        <v>0</v>
      </c>
    </row>
    <row r="709" spans="3:6">
      <c r="C709" s="96" t="s">
        <v>1277</v>
      </c>
      <c r="D709" t="s">
        <v>62</v>
      </c>
      <c r="E709" t="s">
        <v>67</v>
      </c>
      <c r="F709" s="97">
        <v>5</v>
      </c>
    </row>
    <row r="710" spans="3:6">
      <c r="C710" s="96" t="s">
        <v>1277</v>
      </c>
      <c r="D710" t="s">
        <v>63</v>
      </c>
      <c r="E710" t="s">
        <v>64</v>
      </c>
      <c r="F710" s="97">
        <v>60</v>
      </c>
    </row>
    <row r="711" spans="3:6" ht="15.75" thickBot="1">
      <c r="C711" s="98" t="s">
        <v>1277</v>
      </c>
      <c r="D711" s="283" t="s">
        <v>63</v>
      </c>
      <c r="E711" s="283" t="s">
        <v>74</v>
      </c>
      <c r="F711" s="99">
        <v>0</v>
      </c>
    </row>
    <row r="712" spans="3:6" ht="15.75" thickBot="1"/>
    <row r="713" spans="3:6">
      <c r="C713" s="175" t="s">
        <v>456</v>
      </c>
      <c r="D713" s="365" t="s">
        <v>62</v>
      </c>
      <c r="E713" s="365" t="s">
        <v>58</v>
      </c>
      <c r="F713" s="174">
        <v>0</v>
      </c>
    </row>
    <row r="714" spans="3:6">
      <c r="C714" s="96" t="s">
        <v>456</v>
      </c>
      <c r="D714" t="s">
        <v>62</v>
      </c>
      <c r="E714" t="s">
        <v>69</v>
      </c>
      <c r="F714" s="97">
        <v>0</v>
      </c>
    </row>
    <row r="715" spans="3:6">
      <c r="C715" s="96" t="s">
        <v>456</v>
      </c>
      <c r="D715" t="s">
        <v>62</v>
      </c>
      <c r="E715" t="s">
        <v>68</v>
      </c>
      <c r="F715" s="97">
        <v>0</v>
      </c>
    </row>
    <row r="716" spans="3:6">
      <c r="C716" s="96" t="s">
        <v>456</v>
      </c>
      <c r="D716" t="s">
        <v>62</v>
      </c>
      <c r="E716" t="s">
        <v>67</v>
      </c>
      <c r="F716" s="97">
        <v>0</v>
      </c>
    </row>
    <row r="717" spans="3:6">
      <c r="C717" s="96" t="s">
        <v>456</v>
      </c>
      <c r="D717" t="s">
        <v>62</v>
      </c>
      <c r="E717" t="s">
        <v>80</v>
      </c>
      <c r="F717" s="97">
        <v>0</v>
      </c>
    </row>
    <row r="718" spans="3:6">
      <c r="C718" s="96" t="s">
        <v>456</v>
      </c>
      <c r="D718" t="s">
        <v>65</v>
      </c>
      <c r="E718" t="s">
        <v>75</v>
      </c>
      <c r="F718" s="97">
        <v>0</v>
      </c>
    </row>
    <row r="719" spans="3:6">
      <c r="C719" s="96" t="s">
        <v>456</v>
      </c>
      <c r="D719" t="s">
        <v>65</v>
      </c>
      <c r="E719" t="s">
        <v>77</v>
      </c>
      <c r="F719" s="97">
        <v>0</v>
      </c>
    </row>
    <row r="720" spans="3:6">
      <c r="C720" s="96" t="s">
        <v>456</v>
      </c>
      <c r="D720" t="s">
        <v>65</v>
      </c>
      <c r="E720" t="s">
        <v>66</v>
      </c>
      <c r="F720" s="97">
        <v>0</v>
      </c>
    </row>
    <row r="721" spans="3:6">
      <c r="C721" s="96" t="s">
        <v>456</v>
      </c>
      <c r="D721" t="s">
        <v>63</v>
      </c>
      <c r="E721" t="s">
        <v>64</v>
      </c>
      <c r="F721" s="97">
        <v>0</v>
      </c>
    </row>
    <row r="722" spans="3:6" ht="15.75" thickBot="1">
      <c r="C722" s="98" t="s">
        <v>456</v>
      </c>
      <c r="D722" s="283" t="s">
        <v>63</v>
      </c>
      <c r="E722" s="283" t="s">
        <v>74</v>
      </c>
      <c r="F722" s="99">
        <v>0</v>
      </c>
    </row>
    <row r="723" spans="3:6" ht="15.75" thickBot="1"/>
    <row r="724" spans="3:6">
      <c r="C724" s="175" t="s">
        <v>1221</v>
      </c>
      <c r="D724" s="365" t="s">
        <v>62</v>
      </c>
      <c r="E724" s="365" t="s">
        <v>58</v>
      </c>
      <c r="F724" s="174">
        <v>0</v>
      </c>
    </row>
    <row r="725" spans="3:6">
      <c r="C725" s="96" t="s">
        <v>1221</v>
      </c>
      <c r="D725" t="s">
        <v>62</v>
      </c>
      <c r="E725" t="s">
        <v>69</v>
      </c>
      <c r="F725" s="97">
        <v>0</v>
      </c>
    </row>
    <row r="726" spans="3:6">
      <c r="C726" s="96" t="s">
        <v>1221</v>
      </c>
      <c r="D726" t="s">
        <v>62</v>
      </c>
      <c r="E726" t="s">
        <v>68</v>
      </c>
      <c r="F726" s="97">
        <v>0</v>
      </c>
    </row>
    <row r="727" spans="3:6">
      <c r="C727" s="96" t="s">
        <v>1221</v>
      </c>
      <c r="D727" t="s">
        <v>62</v>
      </c>
      <c r="E727" t="s">
        <v>605</v>
      </c>
      <c r="F727" s="97">
        <v>0</v>
      </c>
    </row>
    <row r="728" spans="3:6">
      <c r="C728" s="96" t="s">
        <v>1221</v>
      </c>
      <c r="D728" t="s">
        <v>62</v>
      </c>
      <c r="E728" t="s">
        <v>67</v>
      </c>
      <c r="F728" s="97">
        <v>0</v>
      </c>
    </row>
    <row r="729" spans="3:6">
      <c r="C729" s="96" t="s">
        <v>1221</v>
      </c>
      <c r="D729" t="s">
        <v>62</v>
      </c>
      <c r="F729" s="97"/>
    </row>
    <row r="730" spans="3:6">
      <c r="C730" s="96" t="s">
        <v>1221</v>
      </c>
      <c r="D730" t="s">
        <v>62</v>
      </c>
      <c r="F730" s="97"/>
    </row>
    <row r="731" spans="3:6">
      <c r="C731" s="96" t="s">
        <v>1221</v>
      </c>
      <c r="D731" t="s">
        <v>62</v>
      </c>
      <c r="F731" s="97"/>
    </row>
    <row r="732" spans="3:6">
      <c r="C732" s="96" t="s">
        <v>1221</v>
      </c>
      <c r="D732" t="s">
        <v>62</v>
      </c>
      <c r="F732" s="97"/>
    </row>
    <row r="733" spans="3:6">
      <c r="C733" s="96" t="s">
        <v>1221</v>
      </c>
      <c r="D733" t="s">
        <v>62</v>
      </c>
      <c r="F733" s="97"/>
    </row>
    <row r="734" spans="3:6">
      <c r="C734" s="96" t="s">
        <v>1221</v>
      </c>
      <c r="D734" t="s">
        <v>65</v>
      </c>
      <c r="E734" t="s">
        <v>75</v>
      </c>
      <c r="F734" s="97">
        <v>0</v>
      </c>
    </row>
    <row r="735" spans="3:6">
      <c r="C735" s="96" t="s">
        <v>1221</v>
      </c>
      <c r="D735" t="s">
        <v>65</v>
      </c>
      <c r="E735" t="s">
        <v>77</v>
      </c>
      <c r="F735" s="97">
        <v>0</v>
      </c>
    </row>
    <row r="736" spans="3:6">
      <c r="C736" s="96" t="s">
        <v>1221</v>
      </c>
      <c r="D736" t="s">
        <v>65</v>
      </c>
      <c r="E736" t="s">
        <v>662</v>
      </c>
      <c r="F736" s="97">
        <v>0</v>
      </c>
    </row>
    <row r="737" spans="3:6">
      <c r="C737" s="96" t="s">
        <v>1221</v>
      </c>
      <c r="D737" t="s">
        <v>65</v>
      </c>
      <c r="E737" t="s">
        <v>663</v>
      </c>
      <c r="F737" s="97">
        <v>0</v>
      </c>
    </row>
    <row r="738" spans="3:6">
      <c r="C738" s="96" t="s">
        <v>1221</v>
      </c>
      <c r="D738" t="s">
        <v>65</v>
      </c>
      <c r="E738" t="s">
        <v>66</v>
      </c>
      <c r="F738" s="97">
        <v>0</v>
      </c>
    </row>
    <row r="739" spans="3:6">
      <c r="C739" s="96" t="s">
        <v>1221</v>
      </c>
      <c r="D739" t="s">
        <v>65</v>
      </c>
      <c r="F739" s="97"/>
    </row>
    <row r="740" spans="3:6">
      <c r="C740" s="96" t="s">
        <v>1221</v>
      </c>
      <c r="D740" t="s">
        <v>65</v>
      </c>
      <c r="F740" s="97"/>
    </row>
    <row r="741" spans="3:6">
      <c r="C741" s="96" t="s">
        <v>1221</v>
      </c>
      <c r="D741" t="s">
        <v>65</v>
      </c>
      <c r="F741" s="97"/>
    </row>
    <row r="742" spans="3:6">
      <c r="C742" s="96" t="s">
        <v>1221</v>
      </c>
      <c r="D742" t="s">
        <v>65</v>
      </c>
      <c r="F742" s="97"/>
    </row>
    <row r="743" spans="3:6">
      <c r="C743" s="96" t="s">
        <v>1221</v>
      </c>
      <c r="D743" t="s">
        <v>65</v>
      </c>
      <c r="F743" s="97"/>
    </row>
    <row r="744" spans="3:6">
      <c r="C744" s="96" t="s">
        <v>1221</v>
      </c>
      <c r="D744" t="s">
        <v>65</v>
      </c>
      <c r="F744" s="97"/>
    </row>
    <row r="745" spans="3:6">
      <c r="C745" s="96" t="s">
        <v>1221</v>
      </c>
      <c r="D745" t="s">
        <v>63</v>
      </c>
      <c r="E745" t="s">
        <v>64</v>
      </c>
      <c r="F745" s="97">
        <v>0</v>
      </c>
    </row>
    <row r="746" spans="3:6">
      <c r="C746" s="96" t="s">
        <v>1221</v>
      </c>
      <c r="D746" t="s">
        <v>63</v>
      </c>
      <c r="E746" t="s">
        <v>243</v>
      </c>
      <c r="F746" s="97">
        <v>0</v>
      </c>
    </row>
    <row r="747" spans="3:6">
      <c r="C747" s="96" t="s">
        <v>1221</v>
      </c>
      <c r="D747" t="s">
        <v>63</v>
      </c>
      <c r="E747" t="s">
        <v>74</v>
      </c>
      <c r="F747" s="97">
        <v>0</v>
      </c>
    </row>
    <row r="748" spans="3:6">
      <c r="C748" s="96" t="s">
        <v>1221</v>
      </c>
      <c r="D748" t="s">
        <v>63</v>
      </c>
      <c r="F748" s="97"/>
    </row>
    <row r="749" spans="3:6" ht="15.75" thickBot="1">
      <c r="C749" s="98" t="s">
        <v>1221</v>
      </c>
      <c r="D749" s="283" t="s">
        <v>63</v>
      </c>
      <c r="E749" s="283"/>
      <c r="F749" s="99"/>
    </row>
    <row r="750" spans="3:6" ht="15.75" thickBot="1"/>
    <row r="751" spans="3:6">
      <c r="C751" s="175"/>
      <c r="D751" s="365" t="s">
        <v>62</v>
      </c>
      <c r="E751" s="365"/>
      <c r="F751" s="174"/>
    </row>
    <row r="752" spans="3:6">
      <c r="C752" s="96"/>
      <c r="D752" t="s">
        <v>62</v>
      </c>
      <c r="F752" s="97"/>
    </row>
    <row r="753" spans="3:6">
      <c r="C753" s="96"/>
      <c r="D753" t="s">
        <v>62</v>
      </c>
      <c r="F753" s="97"/>
    </row>
    <row r="754" spans="3:6">
      <c r="C754" s="96"/>
      <c r="D754" t="s">
        <v>62</v>
      </c>
      <c r="F754" s="97"/>
    </row>
    <row r="755" spans="3:6">
      <c r="C755" s="96"/>
      <c r="D755" t="s">
        <v>62</v>
      </c>
      <c r="F755" s="97"/>
    </row>
    <row r="756" spans="3:6">
      <c r="C756" s="96"/>
      <c r="D756" t="s">
        <v>62</v>
      </c>
      <c r="F756" s="97"/>
    </row>
    <row r="757" spans="3:6">
      <c r="C757" s="96"/>
      <c r="D757" t="s">
        <v>62</v>
      </c>
      <c r="F757" s="97"/>
    </row>
    <row r="758" spans="3:6">
      <c r="C758" s="96"/>
      <c r="D758" t="s">
        <v>62</v>
      </c>
      <c r="F758" s="97"/>
    </row>
    <row r="759" spans="3:6">
      <c r="C759" s="96"/>
      <c r="D759" t="s">
        <v>62</v>
      </c>
      <c r="F759" s="97"/>
    </row>
    <row r="760" spans="3:6">
      <c r="C760" s="96"/>
      <c r="D760" t="s">
        <v>62</v>
      </c>
      <c r="F760" s="97"/>
    </row>
    <row r="761" spans="3:6">
      <c r="C761" s="96"/>
      <c r="D761" t="s">
        <v>65</v>
      </c>
      <c r="F761" s="97"/>
    </row>
    <row r="762" spans="3:6">
      <c r="C762" s="96"/>
      <c r="D762" t="s">
        <v>65</v>
      </c>
      <c r="F762" s="97"/>
    </row>
    <row r="763" spans="3:6">
      <c r="C763" s="96"/>
      <c r="D763" t="s">
        <v>65</v>
      </c>
      <c r="F763" s="97"/>
    </row>
    <row r="764" spans="3:6">
      <c r="C764" s="96"/>
      <c r="D764" t="s">
        <v>65</v>
      </c>
      <c r="F764" s="97"/>
    </row>
    <row r="765" spans="3:6">
      <c r="C765" s="96"/>
      <c r="D765" t="s">
        <v>65</v>
      </c>
      <c r="F765" s="97"/>
    </row>
    <row r="766" spans="3:6">
      <c r="C766" s="96"/>
      <c r="D766" t="s">
        <v>65</v>
      </c>
      <c r="F766" s="97"/>
    </row>
    <row r="767" spans="3:6">
      <c r="C767" s="96"/>
      <c r="D767" t="s">
        <v>65</v>
      </c>
      <c r="F767" s="97"/>
    </row>
    <row r="768" spans="3:6">
      <c r="C768" s="96"/>
      <c r="D768" t="s">
        <v>65</v>
      </c>
      <c r="F768" s="97"/>
    </row>
    <row r="769" spans="3:6">
      <c r="C769" s="96"/>
      <c r="D769" t="s">
        <v>65</v>
      </c>
      <c r="F769" s="97"/>
    </row>
    <row r="770" spans="3:6">
      <c r="C770" s="96"/>
      <c r="D770" t="s">
        <v>65</v>
      </c>
      <c r="F770" s="97"/>
    </row>
    <row r="771" spans="3:6">
      <c r="C771" s="96"/>
      <c r="D771" t="s">
        <v>65</v>
      </c>
      <c r="F771" s="97"/>
    </row>
    <row r="772" spans="3:6">
      <c r="C772" s="96"/>
      <c r="D772" t="s">
        <v>63</v>
      </c>
      <c r="F772" s="97"/>
    </row>
    <row r="773" spans="3:6">
      <c r="C773" s="96"/>
      <c r="D773" t="s">
        <v>63</v>
      </c>
      <c r="F773" s="97"/>
    </row>
    <row r="774" spans="3:6">
      <c r="C774" s="96"/>
      <c r="D774" t="s">
        <v>63</v>
      </c>
      <c r="F774" s="97"/>
    </row>
    <row r="775" spans="3:6">
      <c r="C775" s="96"/>
      <c r="D775" t="s">
        <v>63</v>
      </c>
      <c r="F775" s="97"/>
    </row>
    <row r="776" spans="3:6" ht="15.75" thickBot="1">
      <c r="C776" s="98"/>
      <c r="D776" s="283" t="s">
        <v>63</v>
      </c>
      <c r="E776" s="283"/>
      <c r="F776" s="99"/>
    </row>
    <row r="777" spans="3:6" ht="15.75" thickBot="1"/>
    <row r="778" spans="3:6">
      <c r="C778" s="175"/>
      <c r="D778" s="365" t="s">
        <v>62</v>
      </c>
      <c r="E778" s="365"/>
      <c r="F778" s="174"/>
    </row>
    <row r="779" spans="3:6">
      <c r="C779" s="96"/>
      <c r="D779" t="s">
        <v>62</v>
      </c>
      <c r="F779" s="97"/>
    </row>
    <row r="780" spans="3:6">
      <c r="C780" s="96"/>
      <c r="D780" t="s">
        <v>62</v>
      </c>
      <c r="F780" s="97"/>
    </row>
    <row r="781" spans="3:6">
      <c r="C781" s="96"/>
      <c r="D781" t="s">
        <v>62</v>
      </c>
      <c r="F781" s="97"/>
    </row>
    <row r="782" spans="3:6">
      <c r="C782" s="96"/>
      <c r="D782" t="s">
        <v>62</v>
      </c>
      <c r="F782" s="97"/>
    </row>
    <row r="783" spans="3:6">
      <c r="C783" s="96"/>
      <c r="D783" t="s">
        <v>62</v>
      </c>
      <c r="F783" s="97"/>
    </row>
    <row r="784" spans="3:6">
      <c r="C784" s="96"/>
      <c r="D784" t="s">
        <v>62</v>
      </c>
      <c r="F784" s="97"/>
    </row>
    <row r="785" spans="3:6">
      <c r="C785" s="96"/>
      <c r="D785" t="s">
        <v>62</v>
      </c>
      <c r="F785" s="97"/>
    </row>
    <row r="786" spans="3:6">
      <c r="C786" s="96"/>
      <c r="D786" t="s">
        <v>62</v>
      </c>
      <c r="F786" s="97"/>
    </row>
    <row r="787" spans="3:6">
      <c r="C787" s="96"/>
      <c r="D787" t="s">
        <v>62</v>
      </c>
      <c r="F787" s="97"/>
    </row>
    <row r="788" spans="3:6">
      <c r="C788" s="96"/>
      <c r="D788" t="s">
        <v>65</v>
      </c>
      <c r="F788" s="97"/>
    </row>
    <row r="789" spans="3:6">
      <c r="C789" s="96"/>
      <c r="D789" t="s">
        <v>65</v>
      </c>
      <c r="F789" s="97"/>
    </row>
    <row r="790" spans="3:6">
      <c r="C790" s="96"/>
      <c r="D790" t="s">
        <v>65</v>
      </c>
      <c r="F790" s="97"/>
    </row>
    <row r="791" spans="3:6">
      <c r="C791" s="96"/>
      <c r="D791" t="s">
        <v>65</v>
      </c>
      <c r="F791" s="97"/>
    </row>
    <row r="792" spans="3:6">
      <c r="C792" s="96"/>
      <c r="D792" t="s">
        <v>65</v>
      </c>
      <c r="F792" s="97"/>
    </row>
    <row r="793" spans="3:6">
      <c r="C793" s="96"/>
      <c r="D793" t="s">
        <v>65</v>
      </c>
      <c r="F793" s="97"/>
    </row>
    <row r="794" spans="3:6">
      <c r="C794" s="96"/>
      <c r="D794" t="s">
        <v>65</v>
      </c>
      <c r="F794" s="97"/>
    </row>
    <row r="795" spans="3:6">
      <c r="C795" s="96"/>
      <c r="D795" t="s">
        <v>65</v>
      </c>
      <c r="F795" s="97"/>
    </row>
    <row r="796" spans="3:6">
      <c r="C796" s="96"/>
      <c r="D796" t="s">
        <v>65</v>
      </c>
      <c r="F796" s="97"/>
    </row>
    <row r="797" spans="3:6">
      <c r="C797" s="96"/>
      <c r="D797" t="s">
        <v>65</v>
      </c>
      <c r="F797" s="97"/>
    </row>
    <row r="798" spans="3:6">
      <c r="C798" s="96"/>
      <c r="D798" t="s">
        <v>65</v>
      </c>
      <c r="F798" s="97"/>
    </row>
    <row r="799" spans="3:6">
      <c r="C799" s="96"/>
      <c r="D799" t="s">
        <v>63</v>
      </c>
      <c r="F799" s="97"/>
    </row>
    <row r="800" spans="3:6">
      <c r="C800" s="96"/>
      <c r="D800" t="s">
        <v>63</v>
      </c>
      <c r="F800" s="97"/>
    </row>
    <row r="801" spans="3:6">
      <c r="C801" s="96"/>
      <c r="D801" t="s">
        <v>63</v>
      </c>
      <c r="F801" s="97"/>
    </row>
    <row r="802" spans="3:6">
      <c r="C802" s="96"/>
      <c r="D802" t="s">
        <v>63</v>
      </c>
      <c r="F802" s="97"/>
    </row>
    <row r="803" spans="3:6" ht="15.75" thickBot="1">
      <c r="C803" s="98"/>
      <c r="D803" s="283" t="s">
        <v>63</v>
      </c>
      <c r="E803" s="283"/>
      <c r="F803" s="99"/>
    </row>
    <row r="804" spans="3:6" ht="15.75" thickBot="1"/>
    <row r="805" spans="3:6">
      <c r="C805" s="175"/>
      <c r="D805" s="365" t="s">
        <v>62</v>
      </c>
      <c r="E805" s="365"/>
      <c r="F805" s="174"/>
    </row>
    <row r="806" spans="3:6">
      <c r="C806" s="96"/>
      <c r="D806" t="s">
        <v>62</v>
      </c>
      <c r="F806" s="97"/>
    </row>
    <row r="807" spans="3:6">
      <c r="C807" s="96"/>
      <c r="D807" t="s">
        <v>62</v>
      </c>
      <c r="F807" s="97"/>
    </row>
    <row r="808" spans="3:6">
      <c r="C808" s="96"/>
      <c r="D808" t="s">
        <v>62</v>
      </c>
      <c r="F808" s="97"/>
    </row>
    <row r="809" spans="3:6">
      <c r="C809" s="96"/>
      <c r="D809" t="s">
        <v>62</v>
      </c>
      <c r="F809" s="97"/>
    </row>
    <row r="810" spans="3:6">
      <c r="C810" s="96"/>
      <c r="D810" t="s">
        <v>62</v>
      </c>
      <c r="F810" s="97"/>
    </row>
    <row r="811" spans="3:6">
      <c r="C811" s="96"/>
      <c r="D811" t="s">
        <v>62</v>
      </c>
      <c r="F811" s="97"/>
    </row>
    <row r="812" spans="3:6">
      <c r="C812" s="96"/>
      <c r="D812" t="s">
        <v>62</v>
      </c>
      <c r="F812" s="97"/>
    </row>
    <row r="813" spans="3:6">
      <c r="C813" s="96"/>
      <c r="D813" t="s">
        <v>62</v>
      </c>
      <c r="F813" s="97"/>
    </row>
    <row r="814" spans="3:6">
      <c r="C814" s="96"/>
      <c r="D814" t="s">
        <v>62</v>
      </c>
      <c r="F814" s="97"/>
    </row>
    <row r="815" spans="3:6">
      <c r="C815" s="96"/>
      <c r="D815" t="s">
        <v>65</v>
      </c>
      <c r="F815" s="97"/>
    </row>
    <row r="816" spans="3:6">
      <c r="C816" s="96"/>
      <c r="D816" t="s">
        <v>65</v>
      </c>
      <c r="F816" s="97"/>
    </row>
    <row r="817" spans="3:6">
      <c r="C817" s="96"/>
      <c r="D817" t="s">
        <v>65</v>
      </c>
      <c r="F817" s="97"/>
    </row>
    <row r="818" spans="3:6">
      <c r="C818" s="96"/>
      <c r="D818" t="s">
        <v>65</v>
      </c>
      <c r="F818" s="97"/>
    </row>
    <row r="819" spans="3:6">
      <c r="C819" s="96"/>
      <c r="D819" t="s">
        <v>65</v>
      </c>
      <c r="F819" s="97"/>
    </row>
    <row r="820" spans="3:6">
      <c r="C820" s="96"/>
      <c r="D820" t="s">
        <v>65</v>
      </c>
      <c r="F820" s="97"/>
    </row>
    <row r="821" spans="3:6">
      <c r="C821" s="96"/>
      <c r="D821" t="s">
        <v>65</v>
      </c>
      <c r="F821" s="97"/>
    </row>
    <row r="822" spans="3:6">
      <c r="C822" s="96"/>
      <c r="D822" t="s">
        <v>65</v>
      </c>
      <c r="F822" s="97"/>
    </row>
    <row r="823" spans="3:6">
      <c r="C823" s="96"/>
      <c r="D823" t="s">
        <v>65</v>
      </c>
      <c r="F823" s="97"/>
    </row>
    <row r="824" spans="3:6">
      <c r="C824" s="96"/>
      <c r="D824" t="s">
        <v>65</v>
      </c>
      <c r="F824" s="97"/>
    </row>
    <row r="825" spans="3:6">
      <c r="C825" s="96"/>
      <c r="D825" t="s">
        <v>65</v>
      </c>
      <c r="F825" s="97"/>
    </row>
    <row r="826" spans="3:6">
      <c r="C826" s="96"/>
      <c r="D826" t="s">
        <v>63</v>
      </c>
      <c r="F826" s="97"/>
    </row>
    <row r="827" spans="3:6">
      <c r="C827" s="96"/>
      <c r="D827" t="s">
        <v>63</v>
      </c>
      <c r="F827" s="97"/>
    </row>
    <row r="828" spans="3:6">
      <c r="C828" s="96"/>
      <c r="D828" t="s">
        <v>63</v>
      </c>
      <c r="F828" s="97"/>
    </row>
    <row r="829" spans="3:6">
      <c r="C829" s="96"/>
      <c r="D829" t="s">
        <v>63</v>
      </c>
      <c r="F829" s="97"/>
    </row>
    <row r="830" spans="3:6" ht="15.75" thickBot="1">
      <c r="C830" s="98"/>
      <c r="D830" s="283" t="s">
        <v>63</v>
      </c>
      <c r="E830" s="283"/>
      <c r="F830" s="99"/>
    </row>
    <row r="831" spans="3:6" ht="15.75" thickBot="1"/>
    <row r="832" spans="3:6">
      <c r="C832" s="175"/>
      <c r="D832" s="365" t="s">
        <v>62</v>
      </c>
      <c r="E832" s="365"/>
      <c r="F832" s="174"/>
    </row>
    <row r="833" spans="3:6">
      <c r="C833" s="96"/>
      <c r="D833" t="s">
        <v>62</v>
      </c>
      <c r="F833" s="97"/>
    </row>
    <row r="834" spans="3:6">
      <c r="C834" s="96"/>
      <c r="D834" t="s">
        <v>62</v>
      </c>
      <c r="F834" s="97"/>
    </row>
    <row r="835" spans="3:6">
      <c r="C835" s="96"/>
      <c r="D835" t="s">
        <v>62</v>
      </c>
      <c r="F835" s="97"/>
    </row>
    <row r="836" spans="3:6">
      <c r="C836" s="96"/>
      <c r="D836" t="s">
        <v>62</v>
      </c>
      <c r="F836" s="97"/>
    </row>
    <row r="837" spans="3:6">
      <c r="C837" s="96"/>
      <c r="D837" t="s">
        <v>62</v>
      </c>
      <c r="F837" s="97"/>
    </row>
    <row r="838" spans="3:6">
      <c r="C838" s="96"/>
      <c r="D838" t="s">
        <v>62</v>
      </c>
      <c r="F838" s="97"/>
    </row>
    <row r="839" spans="3:6">
      <c r="C839" s="96"/>
      <c r="D839" t="s">
        <v>62</v>
      </c>
      <c r="F839" s="97"/>
    </row>
    <row r="840" spans="3:6">
      <c r="C840" s="96"/>
      <c r="D840" t="s">
        <v>62</v>
      </c>
      <c r="F840" s="97"/>
    </row>
    <row r="841" spans="3:6">
      <c r="C841" s="96"/>
      <c r="D841" t="s">
        <v>62</v>
      </c>
      <c r="F841" s="97"/>
    </row>
    <row r="842" spans="3:6">
      <c r="C842" s="96"/>
      <c r="D842" t="s">
        <v>65</v>
      </c>
      <c r="F842" s="97"/>
    </row>
    <row r="843" spans="3:6">
      <c r="C843" s="96"/>
      <c r="D843" t="s">
        <v>65</v>
      </c>
      <c r="F843" s="97"/>
    </row>
    <row r="844" spans="3:6">
      <c r="C844" s="96"/>
      <c r="D844" t="s">
        <v>65</v>
      </c>
      <c r="F844" s="97"/>
    </row>
    <row r="845" spans="3:6">
      <c r="C845" s="96"/>
      <c r="D845" t="s">
        <v>65</v>
      </c>
      <c r="F845" s="97"/>
    </row>
    <row r="846" spans="3:6">
      <c r="C846" s="96"/>
      <c r="D846" t="s">
        <v>65</v>
      </c>
      <c r="F846" s="97"/>
    </row>
    <row r="847" spans="3:6">
      <c r="C847" s="96"/>
      <c r="D847" t="s">
        <v>65</v>
      </c>
      <c r="F847" s="97"/>
    </row>
    <row r="848" spans="3:6">
      <c r="C848" s="96"/>
      <c r="D848" t="s">
        <v>65</v>
      </c>
      <c r="F848" s="97"/>
    </row>
    <row r="849" spans="3:6">
      <c r="C849" s="96"/>
      <c r="D849" t="s">
        <v>65</v>
      </c>
      <c r="F849" s="97"/>
    </row>
    <row r="850" spans="3:6">
      <c r="C850" s="96"/>
      <c r="D850" t="s">
        <v>65</v>
      </c>
      <c r="F850" s="97"/>
    </row>
    <row r="851" spans="3:6">
      <c r="C851" s="96"/>
      <c r="D851" t="s">
        <v>65</v>
      </c>
      <c r="F851" s="97"/>
    </row>
    <row r="852" spans="3:6">
      <c r="C852" s="96"/>
      <c r="D852" t="s">
        <v>65</v>
      </c>
      <c r="F852" s="97"/>
    </row>
    <row r="853" spans="3:6">
      <c r="C853" s="96"/>
      <c r="D853" t="s">
        <v>63</v>
      </c>
      <c r="F853" s="97"/>
    </row>
    <row r="854" spans="3:6">
      <c r="C854" s="96"/>
      <c r="D854" t="s">
        <v>63</v>
      </c>
      <c r="F854" s="97"/>
    </row>
    <row r="855" spans="3:6">
      <c r="C855" s="96"/>
      <c r="D855" t="s">
        <v>63</v>
      </c>
      <c r="F855" s="97"/>
    </row>
    <row r="856" spans="3:6">
      <c r="C856" s="96"/>
      <c r="D856" t="s">
        <v>63</v>
      </c>
      <c r="F856" s="97"/>
    </row>
    <row r="857" spans="3:6" ht="15.75" thickBot="1">
      <c r="C857" s="98"/>
      <c r="D857" s="283" t="s">
        <v>63</v>
      </c>
      <c r="E857" s="283"/>
      <c r="F857" s="99"/>
    </row>
    <row r="858" spans="3:6" ht="15.75" thickBot="1"/>
    <row r="859" spans="3:6">
      <c r="C859" s="175"/>
      <c r="D859" s="365" t="s">
        <v>62</v>
      </c>
      <c r="E859" s="365"/>
      <c r="F859" s="174"/>
    </row>
    <row r="860" spans="3:6">
      <c r="C860" s="96"/>
      <c r="D860" t="s">
        <v>62</v>
      </c>
      <c r="F860" s="97"/>
    </row>
    <row r="861" spans="3:6">
      <c r="C861" s="96"/>
      <c r="D861" t="s">
        <v>62</v>
      </c>
      <c r="F861" s="97"/>
    </row>
    <row r="862" spans="3:6">
      <c r="C862" s="96"/>
      <c r="D862" t="s">
        <v>62</v>
      </c>
      <c r="F862" s="97"/>
    </row>
    <row r="863" spans="3:6">
      <c r="C863" s="96"/>
      <c r="D863" t="s">
        <v>62</v>
      </c>
      <c r="F863" s="97"/>
    </row>
    <row r="864" spans="3:6">
      <c r="C864" s="96"/>
      <c r="D864" t="s">
        <v>62</v>
      </c>
      <c r="F864" s="97"/>
    </row>
    <row r="865" spans="3:6">
      <c r="C865" s="96"/>
      <c r="D865" t="s">
        <v>62</v>
      </c>
      <c r="F865" s="97"/>
    </row>
    <row r="866" spans="3:6">
      <c r="C866" s="96"/>
      <c r="D866" t="s">
        <v>62</v>
      </c>
      <c r="F866" s="97"/>
    </row>
    <row r="867" spans="3:6">
      <c r="C867" s="96"/>
      <c r="D867" t="s">
        <v>62</v>
      </c>
      <c r="F867" s="97"/>
    </row>
    <row r="868" spans="3:6">
      <c r="C868" s="96"/>
      <c r="D868" t="s">
        <v>62</v>
      </c>
      <c r="F868" s="97"/>
    </row>
    <row r="869" spans="3:6">
      <c r="C869" s="96"/>
      <c r="D869" t="s">
        <v>65</v>
      </c>
      <c r="F869" s="97"/>
    </row>
    <row r="870" spans="3:6">
      <c r="C870" s="96"/>
      <c r="D870" t="s">
        <v>65</v>
      </c>
      <c r="F870" s="97"/>
    </row>
    <row r="871" spans="3:6">
      <c r="C871" s="96"/>
      <c r="D871" t="s">
        <v>65</v>
      </c>
      <c r="F871" s="97"/>
    </row>
    <row r="872" spans="3:6">
      <c r="C872" s="96"/>
      <c r="D872" t="s">
        <v>65</v>
      </c>
      <c r="F872" s="97"/>
    </row>
    <row r="873" spans="3:6">
      <c r="C873" s="96"/>
      <c r="D873" t="s">
        <v>65</v>
      </c>
      <c r="F873" s="97"/>
    </row>
    <row r="874" spans="3:6">
      <c r="C874" s="96"/>
      <c r="D874" t="s">
        <v>65</v>
      </c>
      <c r="F874" s="97"/>
    </row>
    <row r="875" spans="3:6">
      <c r="C875" s="96"/>
      <c r="D875" t="s">
        <v>65</v>
      </c>
      <c r="F875" s="97"/>
    </row>
    <row r="876" spans="3:6">
      <c r="C876" s="96"/>
      <c r="D876" t="s">
        <v>65</v>
      </c>
      <c r="F876" s="97"/>
    </row>
    <row r="877" spans="3:6">
      <c r="C877" s="96"/>
      <c r="D877" t="s">
        <v>65</v>
      </c>
      <c r="F877" s="97"/>
    </row>
    <row r="878" spans="3:6">
      <c r="C878" s="96"/>
      <c r="D878" t="s">
        <v>65</v>
      </c>
      <c r="F878" s="97"/>
    </row>
    <row r="879" spans="3:6">
      <c r="C879" s="96"/>
      <c r="D879" t="s">
        <v>65</v>
      </c>
      <c r="F879" s="97"/>
    </row>
    <row r="880" spans="3:6">
      <c r="C880" s="96"/>
      <c r="D880" t="s">
        <v>63</v>
      </c>
      <c r="F880" s="97"/>
    </row>
    <row r="881" spans="3:6">
      <c r="C881" s="96"/>
      <c r="D881" t="s">
        <v>63</v>
      </c>
      <c r="F881" s="97"/>
    </row>
    <row r="882" spans="3:6">
      <c r="C882" s="96"/>
      <c r="D882" t="s">
        <v>63</v>
      </c>
      <c r="F882" s="97"/>
    </row>
    <row r="883" spans="3:6">
      <c r="C883" s="96"/>
      <c r="D883" t="s">
        <v>63</v>
      </c>
      <c r="F883" s="97"/>
    </row>
    <row r="884" spans="3:6" ht="15.75" thickBot="1">
      <c r="C884" s="98"/>
      <c r="D884" s="283" t="s">
        <v>63</v>
      </c>
      <c r="E884" s="283"/>
      <c r="F884" s="99"/>
    </row>
    <row r="885" spans="3:6" ht="15.75" thickBot="1"/>
    <row r="886" spans="3:6">
      <c r="C886" s="175"/>
      <c r="D886" s="365" t="s">
        <v>62</v>
      </c>
      <c r="E886" s="365"/>
      <c r="F886" s="174"/>
    </row>
    <row r="887" spans="3:6">
      <c r="C887" s="96"/>
      <c r="D887" t="s">
        <v>62</v>
      </c>
      <c r="F887" s="97"/>
    </row>
    <row r="888" spans="3:6">
      <c r="C888" s="96"/>
      <c r="D888" t="s">
        <v>62</v>
      </c>
      <c r="F888" s="97"/>
    </row>
    <row r="889" spans="3:6">
      <c r="C889" s="96"/>
      <c r="D889" t="s">
        <v>62</v>
      </c>
      <c r="F889" s="97"/>
    </row>
    <row r="890" spans="3:6">
      <c r="C890" s="96"/>
      <c r="D890" t="s">
        <v>62</v>
      </c>
      <c r="F890" s="97"/>
    </row>
    <row r="891" spans="3:6">
      <c r="C891" s="96"/>
      <c r="D891" t="s">
        <v>62</v>
      </c>
      <c r="F891" s="97"/>
    </row>
    <row r="892" spans="3:6">
      <c r="C892" s="96"/>
      <c r="D892" t="s">
        <v>62</v>
      </c>
      <c r="F892" s="97"/>
    </row>
    <row r="893" spans="3:6">
      <c r="C893" s="96"/>
      <c r="D893" t="s">
        <v>62</v>
      </c>
      <c r="F893" s="97"/>
    </row>
    <row r="894" spans="3:6">
      <c r="C894" s="96"/>
      <c r="D894" t="s">
        <v>62</v>
      </c>
      <c r="F894" s="97"/>
    </row>
    <row r="895" spans="3:6">
      <c r="C895" s="96"/>
      <c r="D895" t="s">
        <v>62</v>
      </c>
      <c r="F895" s="97"/>
    </row>
    <row r="896" spans="3:6">
      <c r="C896" s="96"/>
      <c r="D896" t="s">
        <v>65</v>
      </c>
      <c r="F896" s="97"/>
    </row>
    <row r="897" spans="3:6">
      <c r="C897" s="96"/>
      <c r="D897" t="s">
        <v>65</v>
      </c>
      <c r="F897" s="97"/>
    </row>
    <row r="898" spans="3:6">
      <c r="C898" s="96"/>
      <c r="D898" t="s">
        <v>65</v>
      </c>
      <c r="F898" s="97"/>
    </row>
    <row r="899" spans="3:6">
      <c r="C899" s="96"/>
      <c r="D899" t="s">
        <v>65</v>
      </c>
      <c r="F899" s="97"/>
    </row>
    <row r="900" spans="3:6">
      <c r="C900" s="96"/>
      <c r="D900" t="s">
        <v>65</v>
      </c>
      <c r="F900" s="97"/>
    </row>
    <row r="901" spans="3:6">
      <c r="C901" s="96"/>
      <c r="D901" t="s">
        <v>65</v>
      </c>
      <c r="F901" s="97"/>
    </row>
    <row r="902" spans="3:6">
      <c r="C902" s="96"/>
      <c r="D902" t="s">
        <v>65</v>
      </c>
      <c r="F902" s="97"/>
    </row>
    <row r="903" spans="3:6">
      <c r="C903" s="96"/>
      <c r="D903" t="s">
        <v>65</v>
      </c>
      <c r="F903" s="97"/>
    </row>
    <row r="904" spans="3:6">
      <c r="C904" s="96"/>
      <c r="D904" t="s">
        <v>65</v>
      </c>
      <c r="F904" s="97"/>
    </row>
    <row r="905" spans="3:6">
      <c r="C905" s="96"/>
      <c r="D905" t="s">
        <v>65</v>
      </c>
      <c r="F905" s="97"/>
    </row>
    <row r="906" spans="3:6">
      <c r="C906" s="96"/>
      <c r="D906" t="s">
        <v>65</v>
      </c>
      <c r="F906" s="97"/>
    </row>
    <row r="907" spans="3:6">
      <c r="C907" s="96"/>
      <c r="D907" t="s">
        <v>63</v>
      </c>
      <c r="F907" s="97"/>
    </row>
    <row r="908" spans="3:6">
      <c r="C908" s="96"/>
      <c r="D908" t="s">
        <v>63</v>
      </c>
      <c r="F908" s="97"/>
    </row>
    <row r="909" spans="3:6">
      <c r="C909" s="96"/>
      <c r="D909" t="s">
        <v>63</v>
      </c>
      <c r="F909" s="97"/>
    </row>
    <row r="910" spans="3:6">
      <c r="C910" s="96"/>
      <c r="D910" t="s">
        <v>63</v>
      </c>
      <c r="F910" s="97"/>
    </row>
    <row r="911" spans="3:6" ht="15.75" thickBot="1">
      <c r="C911" s="98"/>
      <c r="D911" s="283" t="s">
        <v>63</v>
      </c>
      <c r="E911" s="283"/>
      <c r="F911" s="99"/>
    </row>
    <row r="912" spans="3:6" ht="15.75" thickBot="1"/>
    <row r="913" spans="3:6">
      <c r="C913" s="175"/>
      <c r="D913" s="365" t="s">
        <v>62</v>
      </c>
      <c r="E913" s="365"/>
      <c r="F913" s="174"/>
    </row>
    <row r="914" spans="3:6">
      <c r="C914" s="96"/>
      <c r="D914" t="s">
        <v>62</v>
      </c>
      <c r="F914" s="97"/>
    </row>
    <row r="915" spans="3:6">
      <c r="C915" s="96"/>
      <c r="D915" t="s">
        <v>62</v>
      </c>
      <c r="F915" s="97"/>
    </row>
    <row r="916" spans="3:6">
      <c r="C916" s="96"/>
      <c r="D916" t="s">
        <v>62</v>
      </c>
      <c r="F916" s="97"/>
    </row>
    <row r="917" spans="3:6">
      <c r="C917" s="96"/>
      <c r="D917" t="s">
        <v>62</v>
      </c>
      <c r="F917" s="97"/>
    </row>
    <row r="918" spans="3:6">
      <c r="C918" s="96"/>
      <c r="D918" t="s">
        <v>62</v>
      </c>
      <c r="F918" s="97"/>
    </row>
    <row r="919" spans="3:6">
      <c r="C919" s="96"/>
      <c r="D919" t="s">
        <v>62</v>
      </c>
      <c r="F919" s="97"/>
    </row>
    <row r="920" spans="3:6">
      <c r="C920" s="96"/>
      <c r="D920" t="s">
        <v>62</v>
      </c>
      <c r="F920" s="97"/>
    </row>
    <row r="921" spans="3:6">
      <c r="C921" s="96"/>
      <c r="D921" t="s">
        <v>62</v>
      </c>
      <c r="F921" s="97"/>
    </row>
    <row r="922" spans="3:6">
      <c r="C922" s="96"/>
      <c r="D922" t="s">
        <v>62</v>
      </c>
      <c r="F922" s="97"/>
    </row>
    <row r="923" spans="3:6">
      <c r="C923" s="96"/>
      <c r="D923" t="s">
        <v>65</v>
      </c>
      <c r="F923" s="97"/>
    </row>
    <row r="924" spans="3:6">
      <c r="C924" s="96"/>
      <c r="D924" t="s">
        <v>65</v>
      </c>
      <c r="F924" s="97"/>
    </row>
    <row r="925" spans="3:6">
      <c r="C925" s="96"/>
      <c r="D925" t="s">
        <v>65</v>
      </c>
      <c r="F925" s="97"/>
    </row>
    <row r="926" spans="3:6">
      <c r="C926" s="96"/>
      <c r="D926" t="s">
        <v>65</v>
      </c>
      <c r="F926" s="97"/>
    </row>
    <row r="927" spans="3:6">
      <c r="C927" s="96"/>
      <c r="D927" t="s">
        <v>65</v>
      </c>
      <c r="F927" s="97"/>
    </row>
    <row r="928" spans="3:6">
      <c r="C928" s="96"/>
      <c r="D928" t="s">
        <v>65</v>
      </c>
      <c r="F928" s="97"/>
    </row>
    <row r="929" spans="3:6">
      <c r="C929" s="96"/>
      <c r="D929" t="s">
        <v>65</v>
      </c>
      <c r="F929" s="97"/>
    </row>
    <row r="930" spans="3:6">
      <c r="C930" s="96"/>
      <c r="D930" t="s">
        <v>65</v>
      </c>
      <c r="F930" s="97"/>
    </row>
    <row r="931" spans="3:6">
      <c r="C931" s="96"/>
      <c r="D931" t="s">
        <v>65</v>
      </c>
      <c r="F931" s="97"/>
    </row>
    <row r="932" spans="3:6">
      <c r="C932" s="96"/>
      <c r="D932" t="s">
        <v>65</v>
      </c>
      <c r="F932" s="97"/>
    </row>
    <row r="933" spans="3:6">
      <c r="C933" s="96"/>
      <c r="D933" t="s">
        <v>65</v>
      </c>
      <c r="F933" s="97"/>
    </row>
    <row r="934" spans="3:6">
      <c r="C934" s="96"/>
      <c r="D934" t="s">
        <v>63</v>
      </c>
      <c r="F934" s="97"/>
    </row>
    <row r="935" spans="3:6">
      <c r="C935" s="96"/>
      <c r="D935" t="s">
        <v>63</v>
      </c>
      <c r="F935" s="97"/>
    </row>
    <row r="936" spans="3:6">
      <c r="C936" s="96"/>
      <c r="D936" t="s">
        <v>63</v>
      </c>
      <c r="F936" s="97"/>
    </row>
    <row r="937" spans="3:6">
      <c r="C937" s="96"/>
      <c r="D937" t="s">
        <v>63</v>
      </c>
      <c r="F937" s="97"/>
    </row>
    <row r="938" spans="3:6" ht="15.75" thickBot="1">
      <c r="C938" s="98"/>
      <c r="D938" s="283" t="s">
        <v>63</v>
      </c>
      <c r="E938" s="283"/>
      <c r="F938" s="99"/>
    </row>
    <row r="939" spans="3:6" ht="15.75" thickBot="1"/>
    <row r="940" spans="3:6">
      <c r="C940" s="175"/>
      <c r="D940" s="365" t="s">
        <v>62</v>
      </c>
      <c r="E940" s="365"/>
      <c r="F940" s="174"/>
    </row>
    <row r="941" spans="3:6">
      <c r="C941" s="96"/>
      <c r="D941" t="s">
        <v>62</v>
      </c>
      <c r="F941" s="97"/>
    </row>
    <row r="942" spans="3:6">
      <c r="C942" s="96"/>
      <c r="D942" t="s">
        <v>62</v>
      </c>
      <c r="F942" s="97"/>
    </row>
    <row r="943" spans="3:6">
      <c r="C943" s="96"/>
      <c r="D943" t="s">
        <v>62</v>
      </c>
      <c r="F943" s="97"/>
    </row>
    <row r="944" spans="3:6">
      <c r="C944" s="96"/>
      <c r="D944" t="s">
        <v>62</v>
      </c>
      <c r="F944" s="97"/>
    </row>
    <row r="945" spans="3:6">
      <c r="C945" s="96"/>
      <c r="D945" t="s">
        <v>62</v>
      </c>
      <c r="F945" s="97"/>
    </row>
    <row r="946" spans="3:6">
      <c r="C946" s="96"/>
      <c r="D946" t="s">
        <v>62</v>
      </c>
      <c r="F946" s="97"/>
    </row>
    <row r="947" spans="3:6">
      <c r="C947" s="96"/>
      <c r="D947" t="s">
        <v>62</v>
      </c>
      <c r="F947" s="97"/>
    </row>
    <row r="948" spans="3:6">
      <c r="C948" s="96"/>
      <c r="D948" t="s">
        <v>62</v>
      </c>
      <c r="F948" s="97"/>
    </row>
    <row r="949" spans="3:6">
      <c r="C949" s="96"/>
      <c r="D949" t="s">
        <v>62</v>
      </c>
      <c r="F949" s="97"/>
    </row>
    <row r="950" spans="3:6">
      <c r="C950" s="96"/>
      <c r="D950" t="s">
        <v>65</v>
      </c>
      <c r="F950" s="97"/>
    </row>
    <row r="951" spans="3:6">
      <c r="C951" s="96"/>
      <c r="D951" t="s">
        <v>65</v>
      </c>
      <c r="F951" s="97"/>
    </row>
    <row r="952" spans="3:6">
      <c r="C952" s="96"/>
      <c r="D952" t="s">
        <v>65</v>
      </c>
      <c r="F952" s="97"/>
    </row>
    <row r="953" spans="3:6">
      <c r="C953" s="96"/>
      <c r="D953" t="s">
        <v>65</v>
      </c>
      <c r="F953" s="97"/>
    </row>
    <row r="954" spans="3:6">
      <c r="C954" s="96"/>
      <c r="D954" t="s">
        <v>65</v>
      </c>
      <c r="F954" s="97"/>
    </row>
    <row r="955" spans="3:6">
      <c r="C955" s="96"/>
      <c r="D955" t="s">
        <v>65</v>
      </c>
      <c r="F955" s="97"/>
    </row>
    <row r="956" spans="3:6">
      <c r="C956" s="96"/>
      <c r="D956" t="s">
        <v>65</v>
      </c>
      <c r="F956" s="97"/>
    </row>
    <row r="957" spans="3:6">
      <c r="C957" s="96"/>
      <c r="D957" t="s">
        <v>65</v>
      </c>
      <c r="F957" s="97"/>
    </row>
    <row r="958" spans="3:6">
      <c r="C958" s="96"/>
      <c r="D958" t="s">
        <v>65</v>
      </c>
      <c r="F958" s="97"/>
    </row>
    <row r="959" spans="3:6">
      <c r="C959" s="96"/>
      <c r="D959" t="s">
        <v>65</v>
      </c>
      <c r="F959" s="97"/>
    </row>
    <row r="960" spans="3:6">
      <c r="C960" s="96"/>
      <c r="D960" t="s">
        <v>65</v>
      </c>
      <c r="F960" s="97"/>
    </row>
    <row r="961" spans="3:6">
      <c r="C961" s="96"/>
      <c r="D961" t="s">
        <v>63</v>
      </c>
      <c r="F961" s="97"/>
    </row>
    <row r="962" spans="3:6">
      <c r="C962" s="96"/>
      <c r="D962" t="s">
        <v>63</v>
      </c>
      <c r="F962" s="97"/>
    </row>
    <row r="963" spans="3:6">
      <c r="C963" s="96"/>
      <c r="D963" t="s">
        <v>63</v>
      </c>
      <c r="F963" s="97"/>
    </row>
    <row r="964" spans="3:6">
      <c r="C964" s="96"/>
      <c r="D964" t="s">
        <v>63</v>
      </c>
      <c r="F964" s="97"/>
    </row>
    <row r="965" spans="3:6" ht="15.75" thickBot="1">
      <c r="C965" s="98"/>
      <c r="D965" s="283" t="s">
        <v>63</v>
      </c>
      <c r="E965" s="283"/>
      <c r="F965" s="99"/>
    </row>
    <row r="966" spans="3:6" ht="15.75" thickBot="1"/>
    <row r="967" spans="3:6">
      <c r="C967" s="175"/>
      <c r="D967" s="365" t="s">
        <v>62</v>
      </c>
      <c r="E967" s="365"/>
      <c r="F967" s="174"/>
    </row>
    <row r="968" spans="3:6">
      <c r="C968" s="96"/>
      <c r="D968" t="s">
        <v>62</v>
      </c>
      <c r="F968" s="97"/>
    </row>
    <row r="969" spans="3:6">
      <c r="C969" s="96"/>
      <c r="D969" t="s">
        <v>62</v>
      </c>
      <c r="F969" s="97"/>
    </row>
    <row r="970" spans="3:6">
      <c r="C970" s="96"/>
      <c r="D970" t="s">
        <v>62</v>
      </c>
      <c r="F970" s="97"/>
    </row>
    <row r="971" spans="3:6">
      <c r="C971" s="96"/>
      <c r="D971" t="s">
        <v>62</v>
      </c>
      <c r="F971" s="97"/>
    </row>
    <row r="972" spans="3:6">
      <c r="C972" s="96"/>
      <c r="D972" t="s">
        <v>62</v>
      </c>
      <c r="F972" s="97"/>
    </row>
    <row r="973" spans="3:6">
      <c r="C973" s="96"/>
      <c r="D973" t="s">
        <v>62</v>
      </c>
      <c r="F973" s="97"/>
    </row>
    <row r="974" spans="3:6">
      <c r="C974" s="96"/>
      <c r="D974" t="s">
        <v>62</v>
      </c>
      <c r="F974" s="97"/>
    </row>
    <row r="975" spans="3:6">
      <c r="C975" s="96"/>
      <c r="D975" t="s">
        <v>62</v>
      </c>
      <c r="F975" s="97"/>
    </row>
    <row r="976" spans="3:6">
      <c r="C976" s="96"/>
      <c r="D976" t="s">
        <v>62</v>
      </c>
      <c r="F976" s="97"/>
    </row>
    <row r="977" spans="3:6">
      <c r="C977" s="96"/>
      <c r="D977" t="s">
        <v>65</v>
      </c>
      <c r="F977" s="97"/>
    </row>
    <row r="978" spans="3:6">
      <c r="C978" s="96"/>
      <c r="D978" t="s">
        <v>65</v>
      </c>
      <c r="F978" s="97"/>
    </row>
    <row r="979" spans="3:6">
      <c r="C979" s="96"/>
      <c r="D979" t="s">
        <v>65</v>
      </c>
      <c r="F979" s="97"/>
    </row>
    <row r="980" spans="3:6">
      <c r="C980" s="96"/>
      <c r="D980" t="s">
        <v>65</v>
      </c>
      <c r="F980" s="97"/>
    </row>
    <row r="981" spans="3:6">
      <c r="C981" s="96"/>
      <c r="D981" t="s">
        <v>65</v>
      </c>
      <c r="F981" s="97"/>
    </row>
    <row r="982" spans="3:6">
      <c r="C982" s="96"/>
      <c r="D982" t="s">
        <v>65</v>
      </c>
      <c r="F982" s="97"/>
    </row>
    <row r="983" spans="3:6">
      <c r="C983" s="96"/>
      <c r="D983" t="s">
        <v>65</v>
      </c>
      <c r="F983" s="97"/>
    </row>
    <row r="984" spans="3:6">
      <c r="C984" s="96"/>
      <c r="D984" t="s">
        <v>65</v>
      </c>
      <c r="F984" s="97"/>
    </row>
    <row r="985" spans="3:6">
      <c r="C985" s="96"/>
      <c r="D985" t="s">
        <v>65</v>
      </c>
      <c r="F985" s="97"/>
    </row>
    <row r="986" spans="3:6">
      <c r="C986" s="96"/>
      <c r="D986" t="s">
        <v>65</v>
      </c>
      <c r="F986" s="97"/>
    </row>
    <row r="987" spans="3:6">
      <c r="C987" s="96"/>
      <c r="D987" t="s">
        <v>65</v>
      </c>
      <c r="F987" s="97"/>
    </row>
    <row r="988" spans="3:6">
      <c r="C988" s="96"/>
      <c r="D988" t="s">
        <v>63</v>
      </c>
      <c r="F988" s="97"/>
    </row>
    <row r="989" spans="3:6">
      <c r="C989" s="96"/>
      <c r="D989" t="s">
        <v>63</v>
      </c>
      <c r="F989" s="97"/>
    </row>
    <row r="990" spans="3:6">
      <c r="C990" s="96"/>
      <c r="D990" t="s">
        <v>63</v>
      </c>
      <c r="F990" s="97"/>
    </row>
    <row r="991" spans="3:6">
      <c r="C991" s="96"/>
      <c r="D991" t="s">
        <v>63</v>
      </c>
      <c r="F991" s="97"/>
    </row>
    <row r="992" spans="3:6" ht="15.75" thickBot="1">
      <c r="C992" s="98"/>
      <c r="D992" s="283" t="s">
        <v>63</v>
      </c>
      <c r="E992" s="283"/>
      <c r="F992" s="99"/>
    </row>
    <row r="993" spans="3:6" ht="15.75" thickBot="1"/>
    <row r="994" spans="3:6">
      <c r="C994" s="175"/>
      <c r="D994" s="365" t="s">
        <v>62</v>
      </c>
      <c r="E994" s="365"/>
      <c r="F994" s="174"/>
    </row>
    <row r="995" spans="3:6">
      <c r="C995" s="96"/>
      <c r="D995" t="s">
        <v>62</v>
      </c>
      <c r="F995" s="97"/>
    </row>
    <row r="996" spans="3:6">
      <c r="C996" s="96"/>
      <c r="D996" t="s">
        <v>62</v>
      </c>
      <c r="F996" s="97"/>
    </row>
    <row r="997" spans="3:6">
      <c r="C997" s="96"/>
      <c r="D997" t="s">
        <v>62</v>
      </c>
      <c r="F997" s="97"/>
    </row>
    <row r="998" spans="3:6">
      <c r="C998" s="96"/>
      <c r="D998" t="s">
        <v>62</v>
      </c>
      <c r="F998" s="97"/>
    </row>
    <row r="999" spans="3:6">
      <c r="C999" s="96"/>
      <c r="D999" t="s">
        <v>62</v>
      </c>
      <c r="F999" s="97"/>
    </row>
    <row r="1000" spans="3:6">
      <c r="C1000" s="96"/>
      <c r="D1000" t="s">
        <v>62</v>
      </c>
      <c r="F1000" s="97"/>
    </row>
    <row r="1001" spans="3:6">
      <c r="C1001" s="96"/>
      <c r="D1001" t="s">
        <v>62</v>
      </c>
      <c r="F1001" s="97"/>
    </row>
    <row r="1002" spans="3:6">
      <c r="C1002" s="96"/>
      <c r="D1002" t="s">
        <v>62</v>
      </c>
      <c r="F1002" s="97"/>
    </row>
    <row r="1003" spans="3:6">
      <c r="C1003" s="96"/>
      <c r="D1003" t="s">
        <v>62</v>
      </c>
      <c r="F1003" s="97"/>
    </row>
    <row r="1004" spans="3:6">
      <c r="C1004" s="96"/>
      <c r="D1004" t="s">
        <v>65</v>
      </c>
      <c r="F1004" s="97"/>
    </row>
    <row r="1005" spans="3:6">
      <c r="C1005" s="96"/>
      <c r="D1005" t="s">
        <v>65</v>
      </c>
      <c r="F1005" s="97"/>
    </row>
    <row r="1006" spans="3:6">
      <c r="C1006" s="96"/>
      <c r="D1006" t="s">
        <v>65</v>
      </c>
      <c r="F1006" s="97"/>
    </row>
    <row r="1007" spans="3:6">
      <c r="C1007" s="96"/>
      <c r="D1007" t="s">
        <v>65</v>
      </c>
      <c r="F1007" s="97"/>
    </row>
    <row r="1008" spans="3:6">
      <c r="C1008" s="96"/>
      <c r="D1008" t="s">
        <v>65</v>
      </c>
      <c r="F1008" s="97"/>
    </row>
    <row r="1009" spans="3:6">
      <c r="C1009" s="96"/>
      <c r="D1009" t="s">
        <v>65</v>
      </c>
      <c r="F1009" s="97"/>
    </row>
    <row r="1010" spans="3:6">
      <c r="C1010" s="96"/>
      <c r="D1010" t="s">
        <v>65</v>
      </c>
      <c r="F1010" s="97"/>
    </row>
    <row r="1011" spans="3:6">
      <c r="C1011" s="96"/>
      <c r="D1011" t="s">
        <v>65</v>
      </c>
      <c r="F1011" s="97"/>
    </row>
    <row r="1012" spans="3:6">
      <c r="C1012" s="96"/>
      <c r="D1012" t="s">
        <v>65</v>
      </c>
      <c r="F1012" s="97"/>
    </row>
    <row r="1013" spans="3:6">
      <c r="C1013" s="96"/>
      <c r="D1013" t="s">
        <v>65</v>
      </c>
      <c r="F1013" s="97"/>
    </row>
    <row r="1014" spans="3:6">
      <c r="C1014" s="96"/>
      <c r="D1014" t="s">
        <v>65</v>
      </c>
      <c r="F1014" s="97"/>
    </row>
    <row r="1015" spans="3:6">
      <c r="C1015" s="96"/>
      <c r="D1015" t="s">
        <v>63</v>
      </c>
      <c r="F1015" s="97"/>
    </row>
    <row r="1016" spans="3:6">
      <c r="C1016" s="96"/>
      <c r="D1016" t="s">
        <v>63</v>
      </c>
      <c r="F1016" s="97"/>
    </row>
    <row r="1017" spans="3:6">
      <c r="C1017" s="96"/>
      <c r="D1017" t="s">
        <v>63</v>
      </c>
      <c r="F1017" s="97"/>
    </row>
    <row r="1018" spans="3:6">
      <c r="C1018" s="96"/>
      <c r="D1018" t="s">
        <v>63</v>
      </c>
      <c r="F1018" s="97"/>
    </row>
    <row r="1019" spans="3:6" ht="15.75" thickBot="1">
      <c r="C1019" s="98"/>
      <c r="D1019" s="283" t="s">
        <v>63</v>
      </c>
      <c r="E1019" s="283"/>
      <c r="F1019" s="99"/>
    </row>
    <row r="1020" spans="3:6" ht="15.75" thickBot="1"/>
    <row r="1021" spans="3:6">
      <c r="C1021" s="175"/>
      <c r="D1021" s="365" t="s">
        <v>62</v>
      </c>
      <c r="E1021" s="365"/>
      <c r="F1021" s="174"/>
    </row>
    <row r="1022" spans="3:6">
      <c r="C1022" s="96"/>
      <c r="D1022" t="s">
        <v>62</v>
      </c>
      <c r="F1022" s="97"/>
    </row>
    <row r="1023" spans="3:6">
      <c r="C1023" s="96"/>
      <c r="D1023" t="s">
        <v>62</v>
      </c>
      <c r="F1023" s="97"/>
    </row>
    <row r="1024" spans="3:6">
      <c r="C1024" s="96"/>
      <c r="D1024" t="s">
        <v>62</v>
      </c>
      <c r="F1024" s="97"/>
    </row>
    <row r="1025" spans="3:6">
      <c r="C1025" s="96"/>
      <c r="D1025" t="s">
        <v>62</v>
      </c>
      <c r="F1025" s="97"/>
    </row>
    <row r="1026" spans="3:6">
      <c r="C1026" s="96"/>
      <c r="D1026" t="s">
        <v>62</v>
      </c>
      <c r="F1026" s="97"/>
    </row>
    <row r="1027" spans="3:6">
      <c r="C1027" s="96"/>
      <c r="D1027" t="s">
        <v>62</v>
      </c>
      <c r="F1027" s="97"/>
    </row>
    <row r="1028" spans="3:6">
      <c r="C1028" s="96"/>
      <c r="D1028" t="s">
        <v>62</v>
      </c>
      <c r="F1028" s="97"/>
    </row>
    <row r="1029" spans="3:6">
      <c r="C1029" s="96"/>
      <c r="D1029" t="s">
        <v>62</v>
      </c>
      <c r="F1029" s="97"/>
    </row>
    <row r="1030" spans="3:6">
      <c r="C1030" s="96"/>
      <c r="D1030" t="s">
        <v>62</v>
      </c>
      <c r="F1030" s="97"/>
    </row>
    <row r="1031" spans="3:6">
      <c r="C1031" s="96"/>
      <c r="D1031" t="s">
        <v>65</v>
      </c>
      <c r="F1031" s="97"/>
    </row>
    <row r="1032" spans="3:6">
      <c r="C1032" s="96"/>
      <c r="D1032" t="s">
        <v>65</v>
      </c>
      <c r="F1032" s="97"/>
    </row>
    <row r="1033" spans="3:6">
      <c r="C1033" s="96"/>
      <c r="D1033" t="s">
        <v>65</v>
      </c>
      <c r="F1033" s="97"/>
    </row>
    <row r="1034" spans="3:6">
      <c r="C1034" s="96"/>
      <c r="D1034" t="s">
        <v>65</v>
      </c>
      <c r="F1034" s="97"/>
    </row>
    <row r="1035" spans="3:6">
      <c r="C1035" s="96"/>
      <c r="D1035" t="s">
        <v>65</v>
      </c>
      <c r="F1035" s="97"/>
    </row>
    <row r="1036" spans="3:6">
      <c r="C1036" s="96"/>
      <c r="D1036" t="s">
        <v>65</v>
      </c>
      <c r="F1036" s="97"/>
    </row>
    <row r="1037" spans="3:6">
      <c r="C1037" s="96"/>
      <c r="D1037" t="s">
        <v>65</v>
      </c>
      <c r="F1037" s="97"/>
    </row>
    <row r="1038" spans="3:6">
      <c r="C1038" s="96"/>
      <c r="D1038" t="s">
        <v>65</v>
      </c>
      <c r="F1038" s="97"/>
    </row>
    <row r="1039" spans="3:6">
      <c r="C1039" s="96"/>
      <c r="D1039" t="s">
        <v>65</v>
      </c>
      <c r="F1039" s="97"/>
    </row>
    <row r="1040" spans="3:6">
      <c r="C1040" s="96"/>
      <c r="D1040" t="s">
        <v>65</v>
      </c>
      <c r="F1040" s="97"/>
    </row>
    <row r="1041" spans="3:6">
      <c r="C1041" s="96"/>
      <c r="D1041" t="s">
        <v>65</v>
      </c>
      <c r="F1041" s="97"/>
    </row>
    <row r="1042" spans="3:6">
      <c r="C1042" s="96"/>
      <c r="D1042" t="s">
        <v>63</v>
      </c>
      <c r="F1042" s="97"/>
    </row>
    <row r="1043" spans="3:6">
      <c r="C1043" s="96"/>
      <c r="D1043" t="s">
        <v>63</v>
      </c>
      <c r="F1043" s="97"/>
    </row>
    <row r="1044" spans="3:6">
      <c r="C1044" s="96"/>
      <c r="D1044" t="s">
        <v>63</v>
      </c>
      <c r="F1044" s="97"/>
    </row>
    <row r="1045" spans="3:6">
      <c r="C1045" s="96"/>
      <c r="D1045" t="s">
        <v>63</v>
      </c>
      <c r="F1045" s="97"/>
    </row>
    <row r="1046" spans="3:6" ht="15.75" thickBot="1">
      <c r="C1046" s="98"/>
      <c r="D1046" s="283" t="s">
        <v>63</v>
      </c>
      <c r="E1046" s="283"/>
      <c r="F1046" s="99"/>
    </row>
    <row r="1047" spans="3:6" ht="15.75" thickBot="1"/>
    <row r="1048" spans="3:6">
      <c r="C1048" s="175"/>
      <c r="D1048" s="365" t="s">
        <v>62</v>
      </c>
      <c r="E1048" s="365"/>
      <c r="F1048" s="174"/>
    </row>
    <row r="1049" spans="3:6">
      <c r="C1049" s="96"/>
      <c r="D1049" t="s">
        <v>62</v>
      </c>
      <c r="F1049" s="97"/>
    </row>
    <row r="1050" spans="3:6">
      <c r="C1050" s="96"/>
      <c r="D1050" t="s">
        <v>62</v>
      </c>
      <c r="F1050" s="97"/>
    </row>
    <row r="1051" spans="3:6">
      <c r="C1051" s="96"/>
      <c r="D1051" t="s">
        <v>62</v>
      </c>
      <c r="F1051" s="97"/>
    </row>
    <row r="1052" spans="3:6">
      <c r="C1052" s="96"/>
      <c r="D1052" t="s">
        <v>62</v>
      </c>
      <c r="F1052" s="97"/>
    </row>
    <row r="1053" spans="3:6">
      <c r="C1053" s="96"/>
      <c r="D1053" t="s">
        <v>62</v>
      </c>
      <c r="F1053" s="97"/>
    </row>
    <row r="1054" spans="3:6">
      <c r="C1054" s="96"/>
      <c r="D1054" t="s">
        <v>62</v>
      </c>
      <c r="F1054" s="97"/>
    </row>
    <row r="1055" spans="3:6">
      <c r="C1055" s="96"/>
      <c r="D1055" t="s">
        <v>62</v>
      </c>
      <c r="F1055" s="97"/>
    </row>
    <row r="1056" spans="3:6">
      <c r="C1056" s="96"/>
      <c r="D1056" t="s">
        <v>62</v>
      </c>
      <c r="F1056" s="97"/>
    </row>
    <row r="1057" spans="3:6">
      <c r="C1057" s="96"/>
      <c r="D1057" t="s">
        <v>62</v>
      </c>
      <c r="F1057" s="97"/>
    </row>
    <row r="1058" spans="3:6">
      <c r="C1058" s="96"/>
      <c r="D1058" t="s">
        <v>65</v>
      </c>
      <c r="F1058" s="97"/>
    </row>
    <row r="1059" spans="3:6">
      <c r="C1059" s="96"/>
      <c r="D1059" t="s">
        <v>65</v>
      </c>
      <c r="F1059" s="97"/>
    </row>
    <row r="1060" spans="3:6">
      <c r="C1060" s="96"/>
      <c r="D1060" t="s">
        <v>65</v>
      </c>
      <c r="F1060" s="97"/>
    </row>
    <row r="1061" spans="3:6">
      <c r="C1061" s="96"/>
      <c r="D1061" t="s">
        <v>65</v>
      </c>
      <c r="F1061" s="97"/>
    </row>
    <row r="1062" spans="3:6">
      <c r="C1062" s="96"/>
      <c r="D1062" t="s">
        <v>65</v>
      </c>
      <c r="F1062" s="97"/>
    </row>
    <row r="1063" spans="3:6">
      <c r="C1063" s="96"/>
      <c r="D1063" t="s">
        <v>65</v>
      </c>
      <c r="F1063" s="97"/>
    </row>
    <row r="1064" spans="3:6">
      <c r="C1064" s="96"/>
      <c r="D1064" t="s">
        <v>65</v>
      </c>
      <c r="F1064" s="97"/>
    </row>
    <row r="1065" spans="3:6">
      <c r="C1065" s="96"/>
      <c r="D1065" t="s">
        <v>65</v>
      </c>
      <c r="F1065" s="97"/>
    </row>
    <row r="1066" spans="3:6">
      <c r="C1066" s="96"/>
      <c r="D1066" t="s">
        <v>65</v>
      </c>
      <c r="F1066" s="97"/>
    </row>
    <row r="1067" spans="3:6">
      <c r="C1067" s="96"/>
      <c r="D1067" t="s">
        <v>65</v>
      </c>
      <c r="F1067" s="97"/>
    </row>
    <row r="1068" spans="3:6">
      <c r="C1068" s="96"/>
      <c r="D1068" t="s">
        <v>65</v>
      </c>
      <c r="F1068" s="97"/>
    </row>
    <row r="1069" spans="3:6">
      <c r="C1069" s="96"/>
      <c r="D1069" t="s">
        <v>63</v>
      </c>
      <c r="F1069" s="97"/>
    </row>
    <row r="1070" spans="3:6">
      <c r="C1070" s="96"/>
      <c r="D1070" t="s">
        <v>63</v>
      </c>
      <c r="F1070" s="97"/>
    </row>
    <row r="1071" spans="3:6">
      <c r="C1071" s="96"/>
      <c r="D1071" t="s">
        <v>63</v>
      </c>
      <c r="F1071" s="97"/>
    </row>
    <row r="1072" spans="3:6">
      <c r="C1072" s="96"/>
      <c r="D1072" t="s">
        <v>63</v>
      </c>
      <c r="F1072" s="97"/>
    </row>
    <row r="1073" spans="3:6" ht="15.75" thickBot="1">
      <c r="C1073" s="98"/>
      <c r="D1073" s="283" t="s">
        <v>63</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2026-03-02T14:35:07Z</dcterms:modified>
  <cp:category/>
  <cp:contentStatus/>
</cp:coreProperties>
</file>